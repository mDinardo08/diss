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8_{0C72F6CA-2159-4DB5-8E6D-0246BACECDEC}" xr6:coauthVersionLast="41" xr6:coauthVersionMax="41" xr10:uidLastSave="{00000000-0000-0000-0000-000000000000}"/>
  <bookViews>
    <workbookView xWindow="-120" yWindow="-120" windowWidth="20730" windowHeight="11160" tabRatio="803" firstSheet="9" activeTab="11" xr2:uid="{00000000-000D-0000-FFFF-FFFF00000000}"/>
  </bookViews>
  <sheets>
    <sheet name="Good dad 60-40 vs MCTS games" sheetId="1" r:id="rId1"/>
    <sheet name="Good dad 80-20 vs MCTS" sheetId="7" r:id="rId2"/>
    <sheet name="Good dad 80-20 vs Minefield" sheetId="8" r:id="rId3"/>
    <sheet name="Good dad 80-20 vs Random" sheetId="9" r:id="rId4"/>
    <sheet name="Good dad 80-20 vs Random games" sheetId="12" r:id="rId5"/>
    <sheet name="Good dad 80-20 vs MCTS games" sheetId="14" r:id="rId6"/>
    <sheet name="Gooddad 80-20vs MineField games" sheetId="16" r:id="rId7"/>
    <sheet name="Good dad 80-20 vs MCTS options" sheetId="10" r:id="rId8"/>
    <sheet name="Good dad v2 vs Random Games" sheetId="19" r:id="rId9"/>
    <sheet name="UserGames" sheetId="33" r:id="rId10"/>
    <sheet name="Good dad v2 vs MCTS Games" sheetId="22" r:id="rId11"/>
    <sheet name="Sheet2" sheetId="35" r:id="rId12"/>
    <sheet name="Sheet1" sheetId="34" r:id="rId13"/>
    <sheet name="Good dad v2 vs MineField" sheetId="23" r:id="rId14"/>
    <sheet name="Gooddad80-20(PickWin) vs Random" sheetId="25" r:id="rId15"/>
    <sheet name="Gooddad80-20(PickWin) vs MCTS" sheetId="27" r:id="rId16"/>
    <sheet name="Gooddad80-20(PickWin)vsMineFiel" sheetId="28" r:id="rId17"/>
  </sheets>
  <definedNames>
    <definedName name="ExternalData_1" localSheetId="5" hidden="1">'Good dad 80-20 vs MCTS games'!$A$1:$C$51</definedName>
    <definedName name="ExternalData_1" localSheetId="4" hidden="1">'Good dad 80-20 vs Random games'!$A$1:$C$51</definedName>
    <definedName name="ExternalData_1" localSheetId="10" hidden="1">'Good dad v2 vs MCTS Games'!$A$1:$C$51</definedName>
    <definedName name="ExternalData_1" localSheetId="13" hidden="1">'Good dad v2 vs MineField'!$A$1:$C$51</definedName>
    <definedName name="ExternalData_1" localSheetId="8" hidden="1">'Good dad v2 vs Random Games'!$A$1:$C$51</definedName>
    <definedName name="ExternalData_1" localSheetId="6" hidden="1">'Gooddad 80-20vs MineField games'!$A$1:$C$51</definedName>
    <definedName name="ExternalData_1" localSheetId="15" hidden="1">'Gooddad80-20(PickWin) vs MCTS'!$A$1:$C$51</definedName>
    <definedName name="ExternalData_1" localSheetId="14" hidden="1">'Gooddad80-20(PickWin) vs Random'!$A$1:$C$51</definedName>
    <definedName name="ExternalData_1" localSheetId="16" hidden="1">'Gooddad80-20(PickWin)vsMineFiel'!$A$1:$C$51</definedName>
    <definedName name="ExternalData_1" localSheetId="11" hidden="1">Sheet2!$A$1:$B$2096</definedName>
    <definedName name="ExternalData_1" localSheetId="9" hidden="1">UserGames!$A$1:$C$25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35" l="1"/>
  <c r="I6" i="35"/>
  <c r="I5" i="35"/>
  <c r="I4" i="35"/>
  <c r="E3" i="35" l="1"/>
  <c r="E4" i="35"/>
  <c r="E8" i="35"/>
  <c r="E12" i="35"/>
  <c r="E16" i="35"/>
  <c r="E20" i="35"/>
  <c r="E24" i="35"/>
  <c r="E28" i="35"/>
  <c r="E32" i="35"/>
  <c r="E36" i="35"/>
  <c r="E40" i="35"/>
  <c r="E44" i="35"/>
  <c r="E48" i="35"/>
  <c r="E52" i="35"/>
  <c r="E56" i="35"/>
  <c r="E60" i="35"/>
  <c r="E64" i="35"/>
  <c r="E68" i="35"/>
  <c r="E72" i="35"/>
  <c r="E76" i="35"/>
  <c r="E80" i="35"/>
  <c r="E84" i="35"/>
  <c r="E88" i="35"/>
  <c r="E92" i="35"/>
  <c r="E96" i="35"/>
  <c r="E100" i="35"/>
  <c r="E104" i="35"/>
  <c r="E108" i="35"/>
  <c r="E112" i="35"/>
  <c r="E116" i="35"/>
  <c r="E120" i="35"/>
  <c r="E124" i="35"/>
  <c r="E128" i="35"/>
  <c r="E132" i="35"/>
  <c r="E136" i="35"/>
  <c r="E140" i="35"/>
  <c r="E144" i="35"/>
  <c r="E148" i="35"/>
  <c r="E152" i="35"/>
  <c r="E156" i="35"/>
  <c r="E160" i="35"/>
  <c r="E164" i="35"/>
  <c r="E168" i="35"/>
  <c r="E172" i="35"/>
  <c r="E176" i="35"/>
  <c r="E180" i="35"/>
  <c r="E184" i="35"/>
  <c r="E188" i="35"/>
  <c r="E192" i="35"/>
  <c r="E196" i="35"/>
  <c r="E200" i="35"/>
  <c r="E204" i="35"/>
  <c r="E208" i="35"/>
  <c r="E212" i="35"/>
  <c r="E216" i="35"/>
  <c r="E220" i="35"/>
  <c r="E224" i="35"/>
  <c r="E228" i="35"/>
  <c r="E232" i="35"/>
  <c r="E236" i="35"/>
  <c r="E240" i="35"/>
  <c r="E244" i="35"/>
  <c r="E248" i="35"/>
  <c r="E252" i="35"/>
  <c r="E256" i="35"/>
  <c r="E260" i="35"/>
  <c r="E264" i="35"/>
  <c r="E268" i="35"/>
  <c r="E272" i="35"/>
  <c r="E276" i="35"/>
  <c r="E280" i="35"/>
  <c r="E284" i="35"/>
  <c r="E288" i="35"/>
  <c r="E292" i="35"/>
  <c r="E296" i="35"/>
  <c r="E300" i="35"/>
  <c r="E304" i="35"/>
  <c r="E308" i="35"/>
  <c r="E312" i="35"/>
  <c r="E316" i="35"/>
  <c r="E320" i="35"/>
  <c r="E324" i="35"/>
  <c r="E328" i="35"/>
  <c r="E332" i="35"/>
  <c r="E336" i="35"/>
  <c r="E340" i="35"/>
  <c r="E5" i="35"/>
  <c r="E9" i="35"/>
  <c r="E13" i="35"/>
  <c r="E17" i="35"/>
  <c r="E21" i="35"/>
  <c r="E25" i="35"/>
  <c r="E29" i="35"/>
  <c r="E33" i="35"/>
  <c r="E37" i="35"/>
  <c r="E41" i="35"/>
  <c r="E45" i="35"/>
  <c r="E49" i="35"/>
  <c r="E53" i="35"/>
  <c r="E57" i="35"/>
  <c r="E61" i="35"/>
  <c r="E65" i="35"/>
  <c r="E69" i="35"/>
  <c r="E73" i="35"/>
  <c r="E77" i="35"/>
  <c r="E81" i="35"/>
  <c r="E85" i="35"/>
  <c r="E89" i="35"/>
  <c r="E93" i="35"/>
  <c r="E97" i="35"/>
  <c r="E101" i="35"/>
  <c r="E105" i="35"/>
  <c r="E109" i="35"/>
  <c r="E113" i="35"/>
  <c r="E117" i="35"/>
  <c r="E121" i="35"/>
  <c r="E125" i="35"/>
  <c r="E129" i="35"/>
  <c r="E133" i="35"/>
  <c r="E137" i="35"/>
  <c r="E141" i="35"/>
  <c r="E145" i="35"/>
  <c r="E149" i="35"/>
  <c r="E153" i="35"/>
  <c r="E157" i="35"/>
  <c r="E161" i="35"/>
  <c r="E165" i="35"/>
  <c r="E169" i="35"/>
  <c r="E173" i="35"/>
  <c r="E177" i="35"/>
  <c r="E181" i="35"/>
  <c r="E185" i="35"/>
  <c r="E189" i="35"/>
  <c r="E193" i="35"/>
  <c r="E197" i="35"/>
  <c r="E201" i="35"/>
  <c r="E205" i="35"/>
  <c r="E209" i="35"/>
  <c r="E213" i="35"/>
  <c r="E217" i="35"/>
  <c r="E221" i="35"/>
  <c r="E225" i="35"/>
  <c r="E229" i="35"/>
  <c r="E233" i="35"/>
  <c r="E237" i="35"/>
  <c r="E241" i="35"/>
  <c r="E245" i="35"/>
  <c r="E249" i="35"/>
  <c r="E253" i="35"/>
  <c r="E257" i="35"/>
  <c r="E261" i="35"/>
  <c r="E265" i="35"/>
  <c r="E269" i="35"/>
  <c r="E273" i="35"/>
  <c r="E277" i="35"/>
  <c r="E281" i="35"/>
  <c r="E285" i="35"/>
  <c r="E289" i="35"/>
  <c r="E293" i="35"/>
  <c r="E297" i="35"/>
  <c r="E301" i="35"/>
  <c r="E305" i="35"/>
  <c r="E309" i="35"/>
  <c r="E313" i="35"/>
  <c r="E317" i="35"/>
  <c r="E321" i="35"/>
  <c r="E325" i="35"/>
  <c r="E329" i="35"/>
  <c r="E333" i="35"/>
  <c r="E337" i="35"/>
  <c r="E6" i="35"/>
  <c r="E14" i="35"/>
  <c r="E22" i="35"/>
  <c r="E30" i="35"/>
  <c r="E38" i="35"/>
  <c r="E46" i="35"/>
  <c r="E54" i="35"/>
  <c r="E62" i="35"/>
  <c r="E70" i="35"/>
  <c r="E78" i="35"/>
  <c r="E86" i="35"/>
  <c r="E94" i="35"/>
  <c r="E102" i="35"/>
  <c r="E110" i="35"/>
  <c r="E118" i="35"/>
  <c r="E126" i="35"/>
  <c r="E134" i="35"/>
  <c r="E142" i="35"/>
  <c r="E150" i="35"/>
  <c r="E158" i="35"/>
  <c r="E166" i="35"/>
  <c r="E174" i="35"/>
  <c r="E182" i="35"/>
  <c r="E190" i="35"/>
  <c r="E198" i="35"/>
  <c r="E206" i="35"/>
  <c r="E214" i="35"/>
  <c r="E222" i="35"/>
  <c r="E230" i="35"/>
  <c r="E238" i="35"/>
  <c r="E246" i="35"/>
  <c r="E254" i="35"/>
  <c r="E262" i="35"/>
  <c r="E270" i="35"/>
  <c r="E278" i="35"/>
  <c r="E286" i="35"/>
  <c r="E294" i="35"/>
  <c r="E302" i="35"/>
  <c r="E310" i="35"/>
  <c r="E318" i="35"/>
  <c r="E326" i="35"/>
  <c r="E334" i="35"/>
  <c r="E341" i="35"/>
  <c r="E345" i="35"/>
  <c r="E349" i="35"/>
  <c r="E353" i="35"/>
  <c r="E357" i="35"/>
  <c r="E361" i="35"/>
  <c r="E365" i="35"/>
  <c r="E369" i="35"/>
  <c r="E7" i="35"/>
  <c r="E15" i="35"/>
  <c r="E23" i="35"/>
  <c r="E31" i="35"/>
  <c r="E39" i="35"/>
  <c r="E47" i="35"/>
  <c r="E55" i="35"/>
  <c r="E63" i="35"/>
  <c r="E71" i="35"/>
  <c r="E79" i="35"/>
  <c r="E87" i="35"/>
  <c r="E95" i="35"/>
  <c r="E103" i="35"/>
  <c r="E111" i="35"/>
  <c r="E119" i="35"/>
  <c r="E127" i="35"/>
  <c r="E135" i="35"/>
  <c r="E143" i="35"/>
  <c r="E151" i="35"/>
  <c r="E159" i="35"/>
  <c r="E167" i="35"/>
  <c r="E175" i="35"/>
  <c r="E183" i="35"/>
  <c r="E191" i="35"/>
  <c r="E199" i="35"/>
  <c r="E207" i="35"/>
  <c r="E215" i="35"/>
  <c r="E223" i="35"/>
  <c r="E231" i="35"/>
  <c r="E239" i="35"/>
  <c r="E247" i="35"/>
  <c r="E255" i="35"/>
  <c r="E263" i="35"/>
  <c r="E271" i="35"/>
  <c r="E279" i="35"/>
  <c r="E287" i="35"/>
  <c r="E295" i="35"/>
  <c r="E303" i="35"/>
  <c r="E311" i="35"/>
  <c r="E319" i="35"/>
  <c r="E327" i="35"/>
  <c r="E335" i="35"/>
  <c r="E342" i="35"/>
  <c r="E346" i="35"/>
  <c r="E350" i="35"/>
  <c r="E354" i="35"/>
  <c r="E358" i="35"/>
  <c r="E362" i="35"/>
  <c r="E366" i="35"/>
  <c r="E370" i="35"/>
  <c r="E374" i="35"/>
  <c r="E378" i="35"/>
  <c r="E382" i="35"/>
  <c r="E386" i="35"/>
  <c r="E390" i="35"/>
  <c r="E394" i="35"/>
  <c r="E398" i="35"/>
  <c r="E402" i="35"/>
  <c r="E406" i="35"/>
  <c r="E410" i="35"/>
  <c r="E414" i="35"/>
  <c r="E418" i="35"/>
  <c r="E422" i="35"/>
  <c r="E426" i="35"/>
  <c r="E430" i="35"/>
  <c r="E434" i="35"/>
  <c r="E438" i="35"/>
  <c r="E442" i="35"/>
  <c r="E446" i="35"/>
  <c r="E450" i="35"/>
  <c r="E454" i="35"/>
  <c r="E458" i="35"/>
  <c r="E462" i="35"/>
  <c r="E466" i="35"/>
  <c r="E470" i="35"/>
  <c r="E474" i="35"/>
  <c r="E478" i="35"/>
  <c r="E482" i="35"/>
  <c r="E486" i="35"/>
  <c r="E490" i="35"/>
  <c r="E494" i="35"/>
  <c r="E498" i="35"/>
  <c r="E502" i="35"/>
  <c r="E506" i="35"/>
  <c r="E510" i="35"/>
  <c r="E514" i="35"/>
  <c r="E518" i="35"/>
  <c r="E522" i="35"/>
  <c r="E526" i="35"/>
  <c r="E530" i="35"/>
  <c r="E534" i="35"/>
  <c r="E538" i="35"/>
  <c r="E542" i="35"/>
  <c r="E546" i="35"/>
  <c r="E10" i="35"/>
  <c r="E18" i="35"/>
  <c r="E26" i="35"/>
  <c r="E34" i="35"/>
  <c r="E42" i="35"/>
  <c r="E50" i="35"/>
  <c r="E58" i="35"/>
  <c r="E66" i="35"/>
  <c r="E74" i="35"/>
  <c r="E82" i="35"/>
  <c r="E90" i="35"/>
  <c r="E98" i="35"/>
  <c r="E106" i="35"/>
  <c r="E114" i="35"/>
  <c r="E122" i="35"/>
  <c r="E130" i="35"/>
  <c r="E138" i="35"/>
  <c r="E146" i="35"/>
  <c r="E154" i="35"/>
  <c r="E162" i="35"/>
  <c r="E170" i="35"/>
  <c r="E178" i="35"/>
  <c r="E186" i="35"/>
  <c r="E194" i="35"/>
  <c r="E202" i="35"/>
  <c r="E210" i="35"/>
  <c r="E218" i="35"/>
  <c r="E226" i="35"/>
  <c r="E234" i="35"/>
  <c r="E242" i="35"/>
  <c r="E250" i="35"/>
  <c r="E258" i="35"/>
  <c r="E266" i="35"/>
  <c r="E274" i="35"/>
  <c r="E282" i="35"/>
  <c r="E290" i="35"/>
  <c r="E298" i="35"/>
  <c r="E306" i="35"/>
  <c r="E314" i="35"/>
  <c r="E322" i="35"/>
  <c r="E330" i="35"/>
  <c r="E338" i="35"/>
  <c r="E343" i="35"/>
  <c r="E347" i="35"/>
  <c r="E351" i="35"/>
  <c r="E355" i="35"/>
  <c r="E359" i="35"/>
  <c r="E363" i="35"/>
  <c r="E367" i="35"/>
  <c r="E371" i="35"/>
  <c r="E375" i="35"/>
  <c r="E379" i="35"/>
  <c r="E383" i="35"/>
  <c r="E387" i="35"/>
  <c r="E391" i="35"/>
  <c r="E395" i="35"/>
  <c r="E399" i="35"/>
  <c r="E403" i="35"/>
  <c r="E407" i="35"/>
  <c r="E411" i="35"/>
  <c r="E415" i="35"/>
  <c r="E419" i="35"/>
  <c r="E423" i="35"/>
  <c r="E427" i="35"/>
  <c r="E431" i="35"/>
  <c r="E435" i="35"/>
  <c r="E439" i="35"/>
  <c r="E443" i="35"/>
  <c r="E447" i="35"/>
  <c r="E451" i="35"/>
  <c r="E455" i="35"/>
  <c r="E459" i="35"/>
  <c r="E463" i="35"/>
  <c r="E467" i="35"/>
  <c r="E471" i="35"/>
  <c r="E475" i="35"/>
  <c r="E479" i="35"/>
  <c r="E483" i="35"/>
  <c r="E487" i="35"/>
  <c r="E491" i="35"/>
  <c r="E495" i="35"/>
  <c r="E499" i="35"/>
  <c r="E503" i="35"/>
  <c r="E507" i="35"/>
  <c r="E511" i="35"/>
  <c r="E11" i="35"/>
  <c r="E43" i="35"/>
  <c r="E75" i="35"/>
  <c r="E107" i="35"/>
  <c r="E139" i="35"/>
  <c r="E171" i="35"/>
  <c r="E203" i="35"/>
  <c r="E235" i="35"/>
  <c r="E267" i="35"/>
  <c r="E299" i="35"/>
  <c r="E331" i="35"/>
  <c r="E352" i="35"/>
  <c r="E368" i="35"/>
  <c r="E377" i="35"/>
  <c r="E385" i="35"/>
  <c r="E393" i="35"/>
  <c r="E401" i="35"/>
  <c r="E409" i="35"/>
  <c r="E417" i="35"/>
  <c r="E425" i="35"/>
  <c r="E433" i="35"/>
  <c r="E441" i="35"/>
  <c r="E449" i="35"/>
  <c r="E457" i="35"/>
  <c r="E465" i="35"/>
  <c r="E473" i="35"/>
  <c r="E481" i="35"/>
  <c r="E489" i="35"/>
  <c r="E497" i="35"/>
  <c r="E505" i="35"/>
  <c r="E513" i="35"/>
  <c r="E519" i="35"/>
  <c r="E524" i="35"/>
  <c r="E529" i="35"/>
  <c r="E535" i="35"/>
  <c r="E540" i="35"/>
  <c r="E545" i="35"/>
  <c r="E550" i="35"/>
  <c r="E554" i="35"/>
  <c r="E558" i="35"/>
  <c r="E562" i="35"/>
  <c r="E566" i="35"/>
  <c r="E570" i="35"/>
  <c r="E574" i="35"/>
  <c r="E578" i="35"/>
  <c r="E582" i="35"/>
  <c r="E586" i="35"/>
  <c r="E590" i="35"/>
  <c r="E594" i="35"/>
  <c r="E598" i="35"/>
  <c r="E602" i="35"/>
  <c r="E606" i="35"/>
  <c r="E610" i="35"/>
  <c r="E614" i="35"/>
  <c r="E618" i="35"/>
  <c r="E622" i="35"/>
  <c r="E626" i="35"/>
  <c r="E630" i="35"/>
  <c r="E634" i="35"/>
  <c r="E638" i="35"/>
  <c r="E642" i="35"/>
  <c r="E646" i="35"/>
  <c r="E650" i="35"/>
  <c r="E654" i="35"/>
  <c r="E658" i="35"/>
  <c r="E662" i="35"/>
  <c r="E666" i="35"/>
  <c r="E670" i="35"/>
  <c r="E674" i="35"/>
  <c r="E678" i="35"/>
  <c r="E682" i="35"/>
  <c r="E686" i="35"/>
  <c r="E690" i="35"/>
  <c r="E694" i="35"/>
  <c r="E698" i="35"/>
  <c r="E702" i="35"/>
  <c r="E706" i="35"/>
  <c r="E710" i="35"/>
  <c r="E714" i="35"/>
  <c r="E718" i="35"/>
  <c r="E722" i="35"/>
  <c r="E726" i="35"/>
  <c r="E730" i="35"/>
  <c r="E734" i="35"/>
  <c r="E738" i="35"/>
  <c r="E19" i="35"/>
  <c r="E51" i="35"/>
  <c r="E83" i="35"/>
  <c r="E115" i="35"/>
  <c r="E147" i="35"/>
  <c r="E179" i="35"/>
  <c r="E211" i="35"/>
  <c r="E243" i="35"/>
  <c r="E275" i="35"/>
  <c r="E307" i="35"/>
  <c r="E339" i="35"/>
  <c r="E356" i="35"/>
  <c r="E372" i="35"/>
  <c r="E380" i="35"/>
  <c r="E388" i="35"/>
  <c r="E396" i="35"/>
  <c r="E404" i="35"/>
  <c r="E412" i="35"/>
  <c r="E420" i="35"/>
  <c r="E428" i="35"/>
  <c r="E436" i="35"/>
  <c r="E444" i="35"/>
  <c r="E452" i="35"/>
  <c r="E460" i="35"/>
  <c r="E468" i="35"/>
  <c r="E476" i="35"/>
  <c r="E484" i="35"/>
  <c r="E492" i="35"/>
  <c r="E500" i="35"/>
  <c r="E508" i="35"/>
  <c r="E515" i="35"/>
  <c r="E520" i="35"/>
  <c r="E525" i="35"/>
  <c r="E531" i="35"/>
  <c r="E536" i="35"/>
  <c r="E541" i="35"/>
  <c r="E547" i="35"/>
  <c r="E551" i="35"/>
  <c r="E555" i="35"/>
  <c r="E559" i="35"/>
  <c r="E563" i="35"/>
  <c r="E567" i="35"/>
  <c r="E571" i="35"/>
  <c r="E575" i="35"/>
  <c r="E579" i="35"/>
  <c r="E583" i="35"/>
  <c r="E587" i="35"/>
  <c r="E591" i="35"/>
  <c r="E595" i="35"/>
  <c r="E599" i="35"/>
  <c r="E603" i="35"/>
  <c r="E607" i="35"/>
  <c r="E611" i="35"/>
  <c r="E615" i="35"/>
  <c r="E619" i="35"/>
  <c r="E623" i="35"/>
  <c r="E627" i="35"/>
  <c r="E631" i="35"/>
  <c r="E635" i="35"/>
  <c r="E639" i="35"/>
  <c r="E643" i="35"/>
  <c r="E647" i="35"/>
  <c r="E651" i="35"/>
  <c r="E655" i="35"/>
  <c r="E659" i="35"/>
  <c r="E663" i="35"/>
  <c r="E667" i="35"/>
  <c r="E671" i="35"/>
  <c r="E675" i="35"/>
  <c r="E679" i="35"/>
  <c r="E683" i="35"/>
  <c r="E687" i="35"/>
  <c r="E691" i="35"/>
  <c r="E695" i="35"/>
  <c r="E699" i="35"/>
  <c r="E703" i="35"/>
  <c r="E707" i="35"/>
  <c r="E711" i="35"/>
  <c r="E715" i="35"/>
  <c r="E719" i="35"/>
  <c r="E723" i="35"/>
  <c r="E727" i="35"/>
  <c r="E731" i="35"/>
  <c r="E735" i="35"/>
  <c r="E739" i="35"/>
  <c r="E743" i="35"/>
  <c r="E747" i="35"/>
  <c r="E751" i="35"/>
  <c r="E755" i="35"/>
  <c r="E759" i="35"/>
  <c r="E763" i="35"/>
  <c r="E767" i="35"/>
  <c r="E771" i="35"/>
  <c r="E775" i="35"/>
  <c r="E779" i="35"/>
  <c r="E783" i="35"/>
  <c r="E787" i="35"/>
  <c r="E791" i="35"/>
  <c r="E795" i="35"/>
  <c r="E799" i="35"/>
  <c r="E803" i="35"/>
  <c r="E807" i="35"/>
  <c r="E811" i="35"/>
  <c r="E815" i="35"/>
  <c r="E819" i="35"/>
  <c r="E823" i="35"/>
  <c r="E827" i="35"/>
  <c r="E831" i="35"/>
  <c r="E835" i="35"/>
  <c r="E839" i="35"/>
  <c r="E843" i="35"/>
  <c r="E847" i="35"/>
  <c r="E851" i="35"/>
  <c r="E855" i="35"/>
  <c r="E859" i="35"/>
  <c r="E863" i="35"/>
  <c r="E867" i="35"/>
  <c r="E871" i="35"/>
  <c r="E875" i="35"/>
  <c r="E879" i="35"/>
  <c r="E883" i="35"/>
  <c r="E887" i="35"/>
  <c r="E891" i="35"/>
  <c r="E895" i="35"/>
  <c r="E899" i="35"/>
  <c r="E903" i="35"/>
  <c r="E907" i="35"/>
  <c r="E911" i="35"/>
  <c r="E915" i="35"/>
  <c r="E27" i="35"/>
  <c r="E59" i="35"/>
  <c r="E91" i="35"/>
  <c r="E123" i="35"/>
  <c r="E155" i="35"/>
  <c r="E187" i="35"/>
  <c r="E219" i="35"/>
  <c r="E251" i="35"/>
  <c r="E283" i="35"/>
  <c r="E315" i="35"/>
  <c r="E344" i="35"/>
  <c r="E360" i="35"/>
  <c r="E373" i="35"/>
  <c r="E381" i="35"/>
  <c r="E389" i="35"/>
  <c r="E397" i="35"/>
  <c r="E405" i="35"/>
  <c r="E413" i="35"/>
  <c r="E421" i="35"/>
  <c r="E429" i="35"/>
  <c r="E437" i="35"/>
  <c r="E445" i="35"/>
  <c r="E453" i="35"/>
  <c r="E461" i="35"/>
  <c r="E469" i="35"/>
  <c r="E477" i="35"/>
  <c r="E485" i="35"/>
  <c r="E493" i="35"/>
  <c r="E501" i="35"/>
  <c r="E509" i="35"/>
  <c r="E516" i="35"/>
  <c r="E521" i="35"/>
  <c r="E527" i="35"/>
  <c r="E532" i="35"/>
  <c r="E537" i="35"/>
  <c r="E543" i="35"/>
  <c r="E548" i="35"/>
  <c r="E552" i="35"/>
  <c r="E556" i="35"/>
  <c r="E560" i="35"/>
  <c r="E564" i="35"/>
  <c r="E568" i="35"/>
  <c r="E572" i="35"/>
  <c r="E576" i="35"/>
  <c r="E580" i="35"/>
  <c r="E584" i="35"/>
  <c r="E588" i="35"/>
  <c r="E592" i="35"/>
  <c r="E596" i="35"/>
  <c r="E600" i="35"/>
  <c r="E604" i="35"/>
  <c r="E608" i="35"/>
  <c r="E612" i="35"/>
  <c r="E616" i="35"/>
  <c r="E620" i="35"/>
  <c r="E624" i="35"/>
  <c r="E628" i="35"/>
  <c r="E632" i="35"/>
  <c r="E636" i="35"/>
  <c r="E640" i="35"/>
  <c r="E644" i="35"/>
  <c r="E648" i="35"/>
  <c r="E652" i="35"/>
  <c r="E656" i="35"/>
  <c r="E660" i="35"/>
  <c r="E664" i="35"/>
  <c r="E668" i="35"/>
  <c r="E672" i="35"/>
  <c r="E676" i="35"/>
  <c r="E680" i="35"/>
  <c r="E684" i="35"/>
  <c r="E688" i="35"/>
  <c r="E692" i="35"/>
  <c r="E696" i="35"/>
  <c r="E700" i="35"/>
  <c r="E704" i="35"/>
  <c r="E708" i="35"/>
  <c r="E712" i="35"/>
  <c r="E716" i="35"/>
  <c r="E720" i="35"/>
  <c r="E724" i="35"/>
  <c r="E728" i="35"/>
  <c r="E732" i="35"/>
  <c r="E736" i="35"/>
  <c r="E740" i="35"/>
  <c r="E744" i="35"/>
  <c r="E748" i="35"/>
  <c r="E752" i="35"/>
  <c r="E756" i="35"/>
  <c r="E760" i="35"/>
  <c r="E764" i="35"/>
  <c r="E768" i="35"/>
  <c r="E772" i="35"/>
  <c r="E776" i="35"/>
  <c r="E780" i="35"/>
  <c r="E784" i="35"/>
  <c r="E788" i="35"/>
  <c r="E792" i="35"/>
  <c r="E796" i="35"/>
  <c r="E800" i="35"/>
  <c r="E804" i="35"/>
  <c r="E808" i="35"/>
  <c r="E812" i="35"/>
  <c r="E816" i="35"/>
  <c r="E820" i="35"/>
  <c r="E824" i="35"/>
  <c r="E828" i="35"/>
  <c r="E832" i="35"/>
  <c r="E836" i="35"/>
  <c r="E840" i="35"/>
  <c r="E844" i="35"/>
  <c r="E848" i="35"/>
  <c r="E852" i="35"/>
  <c r="E856" i="35"/>
  <c r="E860" i="35"/>
  <c r="E864" i="35"/>
  <c r="E868" i="35"/>
  <c r="E872" i="35"/>
  <c r="E876" i="35"/>
  <c r="E880" i="35"/>
  <c r="E884" i="35"/>
  <c r="E888" i="35"/>
  <c r="E892" i="35"/>
  <c r="E896" i="35"/>
  <c r="E900" i="35"/>
  <c r="E904" i="35"/>
  <c r="E908" i="35"/>
  <c r="E912" i="35"/>
  <c r="E916" i="35"/>
  <c r="E35" i="35"/>
  <c r="E163" i="35"/>
  <c r="E291" i="35"/>
  <c r="E376" i="35"/>
  <c r="E408" i="35"/>
  <c r="E440" i="35"/>
  <c r="E472" i="35"/>
  <c r="E504" i="35"/>
  <c r="E528" i="35"/>
  <c r="E549" i="35"/>
  <c r="E565" i="35"/>
  <c r="E581" i="35"/>
  <c r="E597" i="35"/>
  <c r="E613" i="35"/>
  <c r="E629" i="35"/>
  <c r="E645" i="35"/>
  <c r="E661" i="35"/>
  <c r="E677" i="35"/>
  <c r="E693" i="35"/>
  <c r="E709" i="35"/>
  <c r="E725" i="35"/>
  <c r="E741" i="35"/>
  <c r="E749" i="35"/>
  <c r="E757" i="35"/>
  <c r="E765" i="35"/>
  <c r="E773" i="35"/>
  <c r="E781" i="35"/>
  <c r="E789" i="35"/>
  <c r="E797" i="35"/>
  <c r="E805" i="35"/>
  <c r="E813" i="35"/>
  <c r="E821" i="35"/>
  <c r="E829" i="35"/>
  <c r="E837" i="35"/>
  <c r="E845" i="35"/>
  <c r="E853" i="35"/>
  <c r="E861" i="35"/>
  <c r="E869" i="35"/>
  <c r="E877" i="35"/>
  <c r="E885" i="35"/>
  <c r="E893" i="35"/>
  <c r="E901" i="35"/>
  <c r="E909" i="35"/>
  <c r="E917" i="35"/>
  <c r="E921" i="35"/>
  <c r="E925" i="35"/>
  <c r="E929" i="35"/>
  <c r="E933" i="35"/>
  <c r="E937" i="35"/>
  <c r="E941" i="35"/>
  <c r="E945" i="35"/>
  <c r="E949" i="35"/>
  <c r="E953" i="35"/>
  <c r="E957" i="35"/>
  <c r="E961" i="35"/>
  <c r="E965" i="35"/>
  <c r="E969" i="35"/>
  <c r="E973" i="35"/>
  <c r="E977" i="35"/>
  <c r="E981" i="35"/>
  <c r="E985" i="35"/>
  <c r="E989" i="35"/>
  <c r="E993" i="35"/>
  <c r="E997" i="35"/>
  <c r="E1001" i="35"/>
  <c r="E1005" i="35"/>
  <c r="E1009" i="35"/>
  <c r="E1013" i="35"/>
  <c r="E1017" i="35"/>
  <c r="E1021" i="35"/>
  <c r="E1025" i="35"/>
  <c r="E1029" i="35"/>
  <c r="E1033" i="35"/>
  <c r="E1037" i="35"/>
  <c r="E1041" i="35"/>
  <c r="E1045" i="35"/>
  <c r="E1049" i="35"/>
  <c r="E1053" i="35"/>
  <c r="E1057" i="35"/>
  <c r="E1061" i="35"/>
  <c r="E1065" i="35"/>
  <c r="E1069" i="35"/>
  <c r="E1073" i="35"/>
  <c r="E1077" i="35"/>
  <c r="E1081" i="35"/>
  <c r="E1085" i="35"/>
  <c r="E1089" i="35"/>
  <c r="E1093" i="35"/>
  <c r="E1097" i="35"/>
  <c r="E1101" i="35"/>
  <c r="E1105" i="35"/>
  <c r="E1109" i="35"/>
  <c r="E1113" i="35"/>
  <c r="E1117" i="35"/>
  <c r="E1121" i="35"/>
  <c r="E1125" i="35"/>
  <c r="E1129" i="35"/>
  <c r="E1133" i="35"/>
  <c r="E1137" i="35"/>
  <c r="E1141" i="35"/>
  <c r="E1145" i="35"/>
  <c r="E1149" i="35"/>
  <c r="E1153" i="35"/>
  <c r="E1157" i="35"/>
  <c r="E1161" i="35"/>
  <c r="E1165" i="35"/>
  <c r="E1169" i="35"/>
  <c r="E1173" i="35"/>
  <c r="E1177" i="35"/>
  <c r="E1181" i="35"/>
  <c r="E1185" i="35"/>
  <c r="E1189" i="35"/>
  <c r="E1193" i="35"/>
  <c r="E1197" i="35"/>
  <c r="E1201" i="35"/>
  <c r="E1205" i="35"/>
  <c r="E1209" i="35"/>
  <c r="E1213" i="35"/>
  <c r="E1217" i="35"/>
  <c r="E1221" i="35"/>
  <c r="E1225" i="35"/>
  <c r="E1229" i="35"/>
  <c r="E1233" i="35"/>
  <c r="E1237" i="35"/>
  <c r="E1241" i="35"/>
  <c r="E1245" i="35"/>
  <c r="E1249" i="35"/>
  <c r="E1253" i="35"/>
  <c r="E1257" i="35"/>
  <c r="E1261" i="35"/>
  <c r="E1265" i="35"/>
  <c r="E1269" i="35"/>
  <c r="E1273" i="35"/>
  <c r="E1277" i="35"/>
  <c r="E1281" i="35"/>
  <c r="E1285" i="35"/>
  <c r="E1289" i="35"/>
  <c r="E1293" i="35"/>
  <c r="E1297" i="35"/>
  <c r="E1301" i="35"/>
  <c r="E1305" i="35"/>
  <c r="E1309" i="35"/>
  <c r="E1313" i="35"/>
  <c r="E1317" i="35"/>
  <c r="E1321" i="35"/>
  <c r="E1325" i="35"/>
  <c r="E1329" i="35"/>
  <c r="E1333" i="35"/>
  <c r="E1337" i="35"/>
  <c r="E1341" i="35"/>
  <c r="E1345" i="35"/>
  <c r="E1349" i="35"/>
  <c r="E1353" i="35"/>
  <c r="E1357" i="35"/>
  <c r="E1361" i="35"/>
  <c r="E1365" i="35"/>
  <c r="E1369" i="35"/>
  <c r="E1373" i="35"/>
  <c r="E1377" i="35"/>
  <c r="E1381" i="35"/>
  <c r="E1385" i="35"/>
  <c r="E1389" i="35"/>
  <c r="E1393" i="35"/>
  <c r="E1397" i="35"/>
  <c r="E1401" i="35"/>
  <c r="E1405" i="35"/>
  <c r="E1409" i="35"/>
  <c r="E1413" i="35"/>
  <c r="E1417" i="35"/>
  <c r="E1421" i="35"/>
  <c r="E67" i="35"/>
  <c r="E195" i="35"/>
  <c r="E323" i="35"/>
  <c r="E384" i="35"/>
  <c r="E416" i="35"/>
  <c r="E448" i="35"/>
  <c r="E480" i="35"/>
  <c r="E512" i="35"/>
  <c r="E533" i="35"/>
  <c r="E553" i="35"/>
  <c r="E569" i="35"/>
  <c r="E585" i="35"/>
  <c r="E601" i="35"/>
  <c r="E617" i="35"/>
  <c r="E633" i="35"/>
  <c r="E649" i="35"/>
  <c r="E665" i="35"/>
  <c r="E681" i="35"/>
  <c r="E697" i="35"/>
  <c r="E713" i="35"/>
  <c r="E729" i="35"/>
  <c r="E742" i="35"/>
  <c r="E750" i="35"/>
  <c r="E758" i="35"/>
  <c r="E766" i="35"/>
  <c r="E774" i="35"/>
  <c r="E782" i="35"/>
  <c r="E790" i="35"/>
  <c r="E798" i="35"/>
  <c r="E806" i="35"/>
  <c r="E814" i="35"/>
  <c r="E822" i="35"/>
  <c r="E830" i="35"/>
  <c r="E838" i="35"/>
  <c r="E846" i="35"/>
  <c r="E854" i="35"/>
  <c r="E862" i="35"/>
  <c r="E870" i="35"/>
  <c r="E878" i="35"/>
  <c r="E886" i="35"/>
  <c r="E894" i="35"/>
  <c r="E902" i="35"/>
  <c r="E910" i="35"/>
  <c r="E918" i="35"/>
  <c r="E922" i="35"/>
  <c r="E926" i="35"/>
  <c r="E930" i="35"/>
  <c r="E934" i="35"/>
  <c r="E938" i="35"/>
  <c r="E942" i="35"/>
  <c r="E946" i="35"/>
  <c r="E950" i="35"/>
  <c r="E954" i="35"/>
  <c r="E958" i="35"/>
  <c r="E962" i="35"/>
  <c r="E966" i="35"/>
  <c r="E970" i="35"/>
  <c r="E974" i="35"/>
  <c r="E978" i="35"/>
  <c r="E982" i="35"/>
  <c r="E986" i="35"/>
  <c r="E990" i="35"/>
  <c r="E994" i="35"/>
  <c r="E998" i="35"/>
  <c r="E1002" i="35"/>
  <c r="E1006" i="35"/>
  <c r="E1010" i="35"/>
  <c r="E1014" i="35"/>
  <c r="E1018" i="35"/>
  <c r="E1022" i="35"/>
  <c r="E1026" i="35"/>
  <c r="E1030" i="35"/>
  <c r="E1034" i="35"/>
  <c r="E1038" i="35"/>
  <c r="E1042" i="35"/>
  <c r="E1046" i="35"/>
  <c r="E1050" i="35"/>
  <c r="E1054" i="35"/>
  <c r="E1058" i="35"/>
  <c r="E1062" i="35"/>
  <c r="E1066" i="35"/>
  <c r="E1070" i="35"/>
  <c r="E1074" i="35"/>
  <c r="E1078" i="35"/>
  <c r="E1082" i="35"/>
  <c r="E1086" i="35"/>
  <c r="E1090" i="35"/>
  <c r="E1094" i="35"/>
  <c r="E1098" i="35"/>
  <c r="E1102" i="35"/>
  <c r="E1106" i="35"/>
  <c r="E1110" i="35"/>
  <c r="E1114" i="35"/>
  <c r="E1118" i="35"/>
  <c r="E1122" i="35"/>
  <c r="E1126" i="35"/>
  <c r="E1130" i="35"/>
  <c r="E1134" i="35"/>
  <c r="E1138" i="35"/>
  <c r="E1142" i="35"/>
  <c r="E1146" i="35"/>
  <c r="E1150" i="35"/>
  <c r="E1154" i="35"/>
  <c r="E1158" i="35"/>
  <c r="E1162" i="35"/>
  <c r="E1166" i="35"/>
  <c r="E1170" i="35"/>
  <c r="E1174" i="35"/>
  <c r="E1178" i="35"/>
  <c r="E1182" i="35"/>
  <c r="E1186" i="35"/>
  <c r="E1190" i="35"/>
  <c r="E1194" i="35"/>
  <c r="E1198" i="35"/>
  <c r="E1202" i="35"/>
  <c r="E1206" i="35"/>
  <c r="E1210" i="35"/>
  <c r="E1214" i="35"/>
  <c r="E1218" i="35"/>
  <c r="E1222" i="35"/>
  <c r="E1226" i="35"/>
  <c r="E1230" i="35"/>
  <c r="E1234" i="35"/>
  <c r="E1238" i="35"/>
  <c r="E1242" i="35"/>
  <c r="E1246" i="35"/>
  <c r="E1250" i="35"/>
  <c r="E1254" i="35"/>
  <c r="E1258" i="35"/>
  <c r="E1262" i="35"/>
  <c r="E1266" i="35"/>
  <c r="E1270" i="35"/>
  <c r="E1274" i="35"/>
  <c r="E1278" i="35"/>
  <c r="E1282" i="35"/>
  <c r="E1286" i="35"/>
  <c r="E1290" i="35"/>
  <c r="E1294" i="35"/>
  <c r="E1298" i="35"/>
  <c r="E1302" i="35"/>
  <c r="E1306" i="35"/>
  <c r="E1310" i="35"/>
  <c r="E1314" i="35"/>
  <c r="E1318" i="35"/>
  <c r="E1322" i="35"/>
  <c r="E1326" i="35"/>
  <c r="E1330" i="35"/>
  <c r="E1334" i="35"/>
  <c r="E1338" i="35"/>
  <c r="E1342" i="35"/>
  <c r="E1346" i="35"/>
  <c r="E1350" i="35"/>
  <c r="E1354" i="35"/>
  <c r="E1358" i="35"/>
  <c r="E1362" i="35"/>
  <c r="E1366" i="35"/>
  <c r="E1370" i="35"/>
  <c r="E1374" i="35"/>
  <c r="E1378" i="35"/>
  <c r="E1382" i="35"/>
  <c r="E1386" i="35"/>
  <c r="E1390" i="35"/>
  <c r="E1394" i="35"/>
  <c r="E1398" i="35"/>
  <c r="E1402" i="35"/>
  <c r="E1406" i="35"/>
  <c r="E1410" i="35"/>
  <c r="E1414" i="35"/>
  <c r="E1418" i="35"/>
  <c r="E1422" i="35"/>
  <c r="E99" i="35"/>
  <c r="E227" i="35"/>
  <c r="E348" i="35"/>
  <c r="E392" i="35"/>
  <c r="E424" i="35"/>
  <c r="E456" i="35"/>
  <c r="E488" i="35"/>
  <c r="E517" i="35"/>
  <c r="E539" i="35"/>
  <c r="E557" i="35"/>
  <c r="E573" i="35"/>
  <c r="E589" i="35"/>
  <c r="E605" i="35"/>
  <c r="E621" i="35"/>
  <c r="E637" i="35"/>
  <c r="E653" i="35"/>
  <c r="E669" i="35"/>
  <c r="E685" i="35"/>
  <c r="E701" i="35"/>
  <c r="E717" i="35"/>
  <c r="E733" i="35"/>
  <c r="E745" i="35"/>
  <c r="E753" i="35"/>
  <c r="E761" i="35"/>
  <c r="E769" i="35"/>
  <c r="E777" i="35"/>
  <c r="E785" i="35"/>
  <c r="E793" i="35"/>
  <c r="E801" i="35"/>
  <c r="E809" i="35"/>
  <c r="E817" i="35"/>
  <c r="E825" i="35"/>
  <c r="E833" i="35"/>
  <c r="E841" i="35"/>
  <c r="E849" i="35"/>
  <c r="E857" i="35"/>
  <c r="E865" i="35"/>
  <c r="E873" i="35"/>
  <c r="E881" i="35"/>
  <c r="E889" i="35"/>
  <c r="E897" i="35"/>
  <c r="E905" i="35"/>
  <c r="E913" i="35"/>
  <c r="E919" i="35"/>
  <c r="E923" i="35"/>
  <c r="E927" i="35"/>
  <c r="E931" i="35"/>
  <c r="E935" i="35"/>
  <c r="E939" i="35"/>
  <c r="E943" i="35"/>
  <c r="E947" i="35"/>
  <c r="E951" i="35"/>
  <c r="E955" i="35"/>
  <c r="E959" i="35"/>
  <c r="E963" i="35"/>
  <c r="E967" i="35"/>
  <c r="E971" i="35"/>
  <c r="E975" i="35"/>
  <c r="E979" i="35"/>
  <c r="E983" i="35"/>
  <c r="E987" i="35"/>
  <c r="E991" i="35"/>
  <c r="E995" i="35"/>
  <c r="E999" i="35"/>
  <c r="E1003" i="35"/>
  <c r="E1007" i="35"/>
  <c r="E1011" i="35"/>
  <c r="E1015" i="35"/>
  <c r="E1019" i="35"/>
  <c r="E1023" i="35"/>
  <c r="E1027" i="35"/>
  <c r="E1031" i="35"/>
  <c r="E1035" i="35"/>
  <c r="E1039" i="35"/>
  <c r="E1043" i="35"/>
  <c r="E1047" i="35"/>
  <c r="E1051" i="35"/>
  <c r="E1055" i="35"/>
  <c r="E1059" i="35"/>
  <c r="E1063" i="35"/>
  <c r="E1067" i="35"/>
  <c r="E1071" i="35"/>
  <c r="E1075" i="35"/>
  <c r="E1079" i="35"/>
  <c r="E1083" i="35"/>
  <c r="E1087" i="35"/>
  <c r="E1091" i="35"/>
  <c r="E1095" i="35"/>
  <c r="E1099" i="35"/>
  <c r="E1103" i="35"/>
  <c r="E1107" i="35"/>
  <c r="E1111" i="35"/>
  <c r="E1115" i="35"/>
  <c r="E1119" i="35"/>
  <c r="E1123" i="35"/>
  <c r="E1127" i="35"/>
  <c r="E1131" i="35"/>
  <c r="E1135" i="35"/>
  <c r="E1139" i="35"/>
  <c r="E1143" i="35"/>
  <c r="E1147" i="35"/>
  <c r="E1151" i="35"/>
  <c r="E1155" i="35"/>
  <c r="E1159" i="35"/>
  <c r="E1163" i="35"/>
  <c r="E1167" i="35"/>
  <c r="E1171" i="35"/>
  <c r="E1175" i="35"/>
  <c r="E1179" i="35"/>
  <c r="E1183" i="35"/>
  <c r="E1187" i="35"/>
  <c r="E1191" i="35"/>
  <c r="E1195" i="35"/>
  <c r="E1199" i="35"/>
  <c r="E1203" i="35"/>
  <c r="E1207" i="35"/>
  <c r="E131" i="35"/>
  <c r="E432" i="35"/>
  <c r="E544" i="35"/>
  <c r="E609" i="35"/>
  <c r="E673" i="35"/>
  <c r="E737" i="35"/>
  <c r="E770" i="35"/>
  <c r="E802" i="35"/>
  <c r="E834" i="35"/>
  <c r="E866" i="35"/>
  <c r="E898" i="35"/>
  <c r="E924" i="35"/>
  <c r="E940" i="35"/>
  <c r="E956" i="35"/>
  <c r="E972" i="35"/>
  <c r="E988" i="35"/>
  <c r="E1004" i="35"/>
  <c r="E1020" i="35"/>
  <c r="E1036" i="35"/>
  <c r="E1052" i="35"/>
  <c r="E1068" i="35"/>
  <c r="E1084" i="35"/>
  <c r="E1100" i="35"/>
  <c r="E1116" i="35"/>
  <c r="E1132" i="35"/>
  <c r="E1148" i="35"/>
  <c r="E1164" i="35"/>
  <c r="E1180" i="35"/>
  <c r="E1196" i="35"/>
  <c r="E1211" i="35"/>
  <c r="E1219" i="35"/>
  <c r="E1227" i="35"/>
  <c r="E1235" i="35"/>
  <c r="E1243" i="35"/>
  <c r="E1251" i="35"/>
  <c r="E1259" i="35"/>
  <c r="E1267" i="35"/>
  <c r="E1275" i="35"/>
  <c r="E1283" i="35"/>
  <c r="E1291" i="35"/>
  <c r="E1299" i="35"/>
  <c r="E1307" i="35"/>
  <c r="E1315" i="35"/>
  <c r="E1323" i="35"/>
  <c r="E1331" i="35"/>
  <c r="E1339" i="35"/>
  <c r="E1347" i="35"/>
  <c r="E1355" i="35"/>
  <c r="E1363" i="35"/>
  <c r="E1371" i="35"/>
  <c r="E1379" i="35"/>
  <c r="E1387" i="35"/>
  <c r="E1395" i="35"/>
  <c r="E1403" i="35"/>
  <c r="E1411" i="35"/>
  <c r="E1419" i="35"/>
  <c r="E1425" i="35"/>
  <c r="E1429" i="35"/>
  <c r="E1433" i="35"/>
  <c r="E1437" i="35"/>
  <c r="E1441" i="35"/>
  <c r="E1445" i="35"/>
  <c r="E1449" i="35"/>
  <c r="E1453" i="35"/>
  <c r="E1457" i="35"/>
  <c r="E1461" i="35"/>
  <c r="E1465" i="35"/>
  <c r="E1469" i="35"/>
  <c r="E1473" i="35"/>
  <c r="E1477" i="35"/>
  <c r="E1481" i="35"/>
  <c r="E1485" i="35"/>
  <c r="E1489" i="35"/>
  <c r="E1493" i="35"/>
  <c r="E1497" i="35"/>
  <c r="E1501" i="35"/>
  <c r="E1505" i="35"/>
  <c r="E1509" i="35"/>
  <c r="E1513" i="35"/>
  <c r="E1517" i="35"/>
  <c r="E1521" i="35"/>
  <c r="E1525" i="35"/>
  <c r="E1529" i="35"/>
  <c r="E1533" i="35"/>
  <c r="E1537" i="35"/>
  <c r="E1541" i="35"/>
  <c r="E1545" i="35"/>
  <c r="E1549" i="35"/>
  <c r="E1553" i="35"/>
  <c r="E1557" i="35"/>
  <c r="E1561" i="35"/>
  <c r="E1565" i="35"/>
  <c r="E1569" i="35"/>
  <c r="E1573" i="35"/>
  <c r="E1577" i="35"/>
  <c r="E1581" i="35"/>
  <c r="E1585" i="35"/>
  <c r="E1589" i="35"/>
  <c r="E1593" i="35"/>
  <c r="E1597" i="35"/>
  <c r="E1601" i="35"/>
  <c r="E1605" i="35"/>
  <c r="E1609" i="35"/>
  <c r="E1613" i="35"/>
  <c r="E1617" i="35"/>
  <c r="E1621" i="35"/>
  <c r="E1625" i="35"/>
  <c r="E1629" i="35"/>
  <c r="E1633" i="35"/>
  <c r="E1637" i="35"/>
  <c r="E1641" i="35"/>
  <c r="E1645" i="35"/>
  <c r="E1649" i="35"/>
  <c r="E1653" i="35"/>
  <c r="E1657" i="35"/>
  <c r="E1661" i="35"/>
  <c r="E1665" i="35"/>
  <c r="E1669" i="35"/>
  <c r="E1673" i="35"/>
  <c r="E1677" i="35"/>
  <c r="E1681" i="35"/>
  <c r="E1685" i="35"/>
  <c r="E1689" i="35"/>
  <c r="E1693" i="35"/>
  <c r="E1697" i="35"/>
  <c r="E1701" i="35"/>
  <c r="E259" i="35"/>
  <c r="E464" i="35"/>
  <c r="E561" i="35"/>
  <c r="E625" i="35"/>
  <c r="E689" i="35"/>
  <c r="E746" i="35"/>
  <c r="E778" i="35"/>
  <c r="E810" i="35"/>
  <c r="E842" i="35"/>
  <c r="E874" i="35"/>
  <c r="E906" i="35"/>
  <c r="E928" i="35"/>
  <c r="E944" i="35"/>
  <c r="E960" i="35"/>
  <c r="E976" i="35"/>
  <c r="E992" i="35"/>
  <c r="E1008" i="35"/>
  <c r="E1024" i="35"/>
  <c r="E1040" i="35"/>
  <c r="E1056" i="35"/>
  <c r="E1072" i="35"/>
  <c r="E1088" i="35"/>
  <c r="E1104" i="35"/>
  <c r="E1120" i="35"/>
  <c r="E1136" i="35"/>
  <c r="E1152" i="35"/>
  <c r="E1168" i="35"/>
  <c r="E1184" i="35"/>
  <c r="E1200" i="35"/>
  <c r="E1212" i="35"/>
  <c r="E1220" i="35"/>
  <c r="E1228" i="35"/>
  <c r="E1236" i="35"/>
  <c r="E1244" i="35"/>
  <c r="E1252" i="35"/>
  <c r="E1260" i="35"/>
  <c r="E1268" i="35"/>
  <c r="E1276" i="35"/>
  <c r="E1284" i="35"/>
  <c r="E1292" i="35"/>
  <c r="E1300" i="35"/>
  <c r="E1308" i="35"/>
  <c r="E1316" i="35"/>
  <c r="E1324" i="35"/>
  <c r="E1332" i="35"/>
  <c r="E1340" i="35"/>
  <c r="E1348" i="35"/>
  <c r="E1356" i="35"/>
  <c r="E1364" i="35"/>
  <c r="E1372" i="35"/>
  <c r="E1380" i="35"/>
  <c r="E1388" i="35"/>
  <c r="E1396" i="35"/>
  <c r="E1404" i="35"/>
  <c r="E1412" i="35"/>
  <c r="E1420" i="35"/>
  <c r="E1426" i="35"/>
  <c r="E1430" i="35"/>
  <c r="E1434" i="35"/>
  <c r="E1438" i="35"/>
  <c r="E1442" i="35"/>
  <c r="E1446" i="35"/>
  <c r="E1450" i="35"/>
  <c r="E1454" i="35"/>
  <c r="E1458" i="35"/>
  <c r="E1462" i="35"/>
  <c r="E1466" i="35"/>
  <c r="E1470" i="35"/>
  <c r="E1474" i="35"/>
  <c r="E1478" i="35"/>
  <c r="E1482" i="35"/>
  <c r="E1486" i="35"/>
  <c r="E1490" i="35"/>
  <c r="E1494" i="35"/>
  <c r="E1498" i="35"/>
  <c r="E1502" i="35"/>
  <c r="E1506" i="35"/>
  <c r="E1510" i="35"/>
  <c r="E1514" i="35"/>
  <c r="E1518" i="35"/>
  <c r="E1522" i="35"/>
  <c r="E1526" i="35"/>
  <c r="E1530" i="35"/>
  <c r="E1534" i="35"/>
  <c r="E1538" i="35"/>
  <c r="E1542" i="35"/>
  <c r="E1546" i="35"/>
  <c r="E1550" i="35"/>
  <c r="E1554" i="35"/>
  <c r="E1558" i="35"/>
  <c r="E1562" i="35"/>
  <c r="E1566" i="35"/>
  <c r="E1570" i="35"/>
  <c r="E1574" i="35"/>
  <c r="E1578" i="35"/>
  <c r="E1582" i="35"/>
  <c r="E1586" i="35"/>
  <c r="E1590" i="35"/>
  <c r="E1594" i="35"/>
  <c r="E1598" i="35"/>
  <c r="E1602" i="35"/>
  <c r="E1606" i="35"/>
  <c r="E1610" i="35"/>
  <c r="E1614" i="35"/>
  <c r="E1618" i="35"/>
  <c r="E1622" i="35"/>
  <c r="E1626" i="35"/>
  <c r="E1630" i="35"/>
  <c r="E1634" i="35"/>
  <c r="E1638" i="35"/>
  <c r="E1642" i="35"/>
  <c r="E1646" i="35"/>
  <c r="E1650" i="35"/>
  <c r="E1654" i="35"/>
  <c r="E1658" i="35"/>
  <c r="E1662" i="35"/>
  <c r="E1666" i="35"/>
  <c r="E1670" i="35"/>
  <c r="E1674" i="35"/>
  <c r="E1678" i="35"/>
  <c r="E1682" i="35"/>
  <c r="E1686" i="35"/>
  <c r="E1690" i="35"/>
  <c r="E1694" i="35"/>
  <c r="E1698" i="35"/>
  <c r="E1702" i="35"/>
  <c r="E1706" i="35"/>
  <c r="E1710" i="35"/>
  <c r="E1714" i="35"/>
  <c r="E1718" i="35"/>
  <c r="E1722" i="35"/>
  <c r="E1726" i="35"/>
  <c r="E1730" i="35"/>
  <c r="E1734" i="35"/>
  <c r="E1738" i="35"/>
  <c r="E1742" i="35"/>
  <c r="E1746" i="35"/>
  <c r="E1750" i="35"/>
  <c r="E1754" i="35"/>
  <c r="E1758" i="35"/>
  <c r="E1762" i="35"/>
  <c r="E1766" i="35"/>
  <c r="E1770" i="35"/>
  <c r="E1774" i="35"/>
  <c r="E1778" i="35"/>
  <c r="E1782" i="35"/>
  <c r="E1786" i="35"/>
  <c r="E1790" i="35"/>
  <c r="E1794" i="35"/>
  <c r="E1798" i="35"/>
  <c r="E1802" i="35"/>
  <c r="E1806" i="35"/>
  <c r="E1810" i="35"/>
  <c r="E1814" i="35"/>
  <c r="E1818" i="35"/>
  <c r="E1822" i="35"/>
  <c r="E1826" i="35"/>
  <c r="E1830" i="35"/>
  <c r="E1834" i="35"/>
  <c r="E1838" i="35"/>
  <c r="E1842" i="35"/>
  <c r="E1846" i="35"/>
  <c r="E1850" i="35"/>
  <c r="E1854" i="35"/>
  <c r="E1858" i="35"/>
  <c r="E1862" i="35"/>
  <c r="E1866" i="35"/>
  <c r="E1870" i="35"/>
  <c r="E1874" i="35"/>
  <c r="E1878" i="35"/>
  <c r="E1882" i="35"/>
  <c r="E1886" i="35"/>
  <c r="E1890" i="35"/>
  <c r="E1894" i="35"/>
  <c r="E1898" i="35"/>
  <c r="E1902" i="35"/>
  <c r="E1906" i="35"/>
  <c r="E1910" i="35"/>
  <c r="E1914" i="35"/>
  <c r="E1918" i="35"/>
  <c r="E1922" i="35"/>
  <c r="E1926" i="35"/>
  <c r="E1930" i="35"/>
  <c r="E1934" i="35"/>
  <c r="E1938" i="35"/>
  <c r="E1942" i="35"/>
  <c r="E1946" i="35"/>
  <c r="E1950" i="35"/>
  <c r="E1954" i="35"/>
  <c r="E1958" i="35"/>
  <c r="E1962" i="35"/>
  <c r="E1966" i="35"/>
  <c r="E1970" i="35"/>
  <c r="E364" i="35"/>
  <c r="E496" i="35"/>
  <c r="E577" i="35"/>
  <c r="E641" i="35"/>
  <c r="E705" i="35"/>
  <c r="E754" i="35"/>
  <c r="E786" i="35"/>
  <c r="E818" i="35"/>
  <c r="E850" i="35"/>
  <c r="E882" i="35"/>
  <c r="E914" i="35"/>
  <c r="E932" i="35"/>
  <c r="E948" i="35"/>
  <c r="E964" i="35"/>
  <c r="E980" i="35"/>
  <c r="E996" i="35"/>
  <c r="E1012" i="35"/>
  <c r="E1028" i="35"/>
  <c r="E1044" i="35"/>
  <c r="E1060" i="35"/>
  <c r="E1076" i="35"/>
  <c r="E1092" i="35"/>
  <c r="E1108" i="35"/>
  <c r="E1124" i="35"/>
  <c r="E1140" i="35"/>
  <c r="E1156" i="35"/>
  <c r="E1172" i="35"/>
  <c r="E1188" i="35"/>
  <c r="E1204" i="35"/>
  <c r="E1215" i="35"/>
  <c r="E1223" i="35"/>
  <c r="E1231" i="35"/>
  <c r="E1239" i="35"/>
  <c r="E1247" i="35"/>
  <c r="E1255" i="35"/>
  <c r="E1263" i="35"/>
  <c r="E1271" i="35"/>
  <c r="E1279" i="35"/>
  <c r="E1287" i="35"/>
  <c r="E1295" i="35"/>
  <c r="E1303" i="35"/>
  <c r="E1311" i="35"/>
  <c r="E1319" i="35"/>
  <c r="E1327" i="35"/>
  <c r="E1335" i="35"/>
  <c r="E1343" i="35"/>
  <c r="E1351" i="35"/>
  <c r="E1359" i="35"/>
  <c r="E1367" i="35"/>
  <c r="E1375" i="35"/>
  <c r="E1383" i="35"/>
  <c r="E1391" i="35"/>
  <c r="E1399" i="35"/>
  <c r="E1407" i="35"/>
  <c r="E1415" i="35"/>
  <c r="E1423" i="35"/>
  <c r="E1427" i="35"/>
  <c r="E1431" i="35"/>
  <c r="E1435" i="35"/>
  <c r="E1439" i="35"/>
  <c r="E1443" i="35"/>
  <c r="E1447" i="35"/>
  <c r="E1451" i="35"/>
  <c r="E1455" i="35"/>
  <c r="E1459" i="35"/>
  <c r="E1463" i="35"/>
  <c r="E1467" i="35"/>
  <c r="E1471" i="35"/>
  <c r="E1475" i="35"/>
  <c r="E1479" i="35"/>
  <c r="E1483" i="35"/>
  <c r="E1487" i="35"/>
  <c r="E1491" i="35"/>
  <c r="E1495" i="35"/>
  <c r="E1499" i="35"/>
  <c r="E1503" i="35"/>
  <c r="E1507" i="35"/>
  <c r="E1511" i="35"/>
  <c r="E1515" i="35"/>
  <c r="E1519" i="35"/>
  <c r="E1523" i="35"/>
  <c r="E1527" i="35"/>
  <c r="E1531" i="35"/>
  <c r="E1535" i="35"/>
  <c r="E1539" i="35"/>
  <c r="E1543" i="35"/>
  <c r="E1547" i="35"/>
  <c r="E1551" i="35"/>
  <c r="E1555" i="35"/>
  <c r="E1559" i="35"/>
  <c r="E1563" i="35"/>
  <c r="E1567" i="35"/>
  <c r="E1571" i="35"/>
  <c r="E1575" i="35"/>
  <c r="E1579" i="35"/>
  <c r="E1583" i="35"/>
  <c r="E1587" i="35"/>
  <c r="E1591" i="35"/>
  <c r="E1595" i="35"/>
  <c r="E1599" i="35"/>
  <c r="E1603" i="35"/>
  <c r="E1607" i="35"/>
  <c r="E1611" i="35"/>
  <c r="E1615" i="35"/>
  <c r="E1619" i="35"/>
  <c r="E1623" i="35"/>
  <c r="E1627" i="35"/>
  <c r="E1631" i="35"/>
  <c r="E1635" i="35"/>
  <c r="E1639" i="35"/>
  <c r="E1643" i="35"/>
  <c r="E1647" i="35"/>
  <c r="E1651" i="35"/>
  <c r="E1655" i="35"/>
  <c r="E1659" i="35"/>
  <c r="E1663" i="35"/>
  <c r="E1667" i="35"/>
  <c r="E1671" i="35"/>
  <c r="E1675" i="35"/>
  <c r="E1679" i="35"/>
  <c r="E1683" i="35"/>
  <c r="E1687" i="35"/>
  <c r="E1691" i="35"/>
  <c r="E1695" i="35"/>
  <c r="E1699" i="35"/>
  <c r="E1703" i="35"/>
  <c r="E1707" i="35"/>
  <c r="E1711" i="35"/>
  <c r="E1715" i="35"/>
  <c r="E1719" i="35"/>
  <c r="E1723" i="35"/>
  <c r="E1727" i="35"/>
  <c r="E1731" i="35"/>
  <c r="E1735" i="35"/>
  <c r="E1739" i="35"/>
  <c r="E1743" i="35"/>
  <c r="E1747" i="35"/>
  <c r="E1751" i="35"/>
  <c r="E1755" i="35"/>
  <c r="E1759" i="35"/>
  <c r="E1763" i="35"/>
  <c r="E1767" i="35"/>
  <c r="E1771" i="35"/>
  <c r="E1775" i="35"/>
  <c r="E1779" i="35"/>
  <c r="E1783" i="35"/>
  <c r="E1787" i="35"/>
  <c r="E1791" i="35"/>
  <c r="E1795" i="35"/>
  <c r="E1799" i="35"/>
  <c r="E1803" i="35"/>
  <c r="E1807" i="35"/>
  <c r="E1811" i="35"/>
  <c r="E1815" i="35"/>
  <c r="E1819" i="35"/>
  <c r="E1823" i="35"/>
  <c r="E1827" i="35"/>
  <c r="E1831" i="35"/>
  <c r="E1835" i="35"/>
  <c r="E1839" i="35"/>
  <c r="E1843" i="35"/>
  <c r="E1847" i="35"/>
  <c r="E1851" i="35"/>
  <c r="E1855" i="35"/>
  <c r="E1859" i="35"/>
  <c r="E1863" i="35"/>
  <c r="E1867" i="35"/>
  <c r="E1871" i="35"/>
  <c r="E1875" i="35"/>
  <c r="E1879" i="35"/>
  <c r="E2089" i="35"/>
  <c r="E2077" i="35"/>
  <c r="E2065" i="35"/>
  <c r="E2053" i="35"/>
  <c r="E2033" i="35"/>
  <c r="E2021" i="35"/>
  <c r="E2009" i="35"/>
  <c r="E1997" i="35"/>
  <c r="E1985" i="35"/>
  <c r="E1968" i="35"/>
  <c r="E1947" i="35"/>
  <c r="E1931" i="35"/>
  <c r="E1915" i="35"/>
  <c r="E1899" i="35"/>
  <c r="E1883" i="35"/>
  <c r="E1852" i="35"/>
  <c r="E1820" i="35"/>
  <c r="E1764" i="35"/>
  <c r="E1584" i="35"/>
  <c r="E2096" i="35"/>
  <c r="E2092" i="35"/>
  <c r="E2088" i="35"/>
  <c r="E2084" i="35"/>
  <c r="E2080" i="35"/>
  <c r="E2076" i="35"/>
  <c r="E2072" i="35"/>
  <c r="E2068" i="35"/>
  <c r="E2064" i="35"/>
  <c r="E2060" i="35"/>
  <c r="E2056" i="35"/>
  <c r="E2052" i="35"/>
  <c r="E2048" i="35"/>
  <c r="E2044" i="35"/>
  <c r="E2040" i="35"/>
  <c r="E2036" i="35"/>
  <c r="E2032" i="35"/>
  <c r="E2028" i="35"/>
  <c r="E2024" i="35"/>
  <c r="E2020" i="35"/>
  <c r="E2016" i="35"/>
  <c r="E2012" i="35"/>
  <c r="E2008" i="35"/>
  <c r="E2004" i="35"/>
  <c r="E2000" i="35"/>
  <c r="E1996" i="35"/>
  <c r="E1992" i="35"/>
  <c r="E1988" i="35"/>
  <c r="E1984" i="35"/>
  <c r="E1980" i="35"/>
  <c r="E1976" i="35"/>
  <c r="E1972" i="35"/>
  <c r="E1967" i="35"/>
  <c r="E1961" i="35"/>
  <c r="E1956" i="35"/>
  <c r="E1951" i="35"/>
  <c r="E1945" i="35"/>
  <c r="E1940" i="35"/>
  <c r="E1935" i="35"/>
  <c r="E1929" i="35"/>
  <c r="E1924" i="35"/>
  <c r="E1919" i="35"/>
  <c r="E1913" i="35"/>
  <c r="E1908" i="35"/>
  <c r="E1903" i="35"/>
  <c r="E1897" i="35"/>
  <c r="E1892" i="35"/>
  <c r="E1887" i="35"/>
  <c r="E1881" i="35"/>
  <c r="E1873" i="35"/>
  <c r="E1865" i="35"/>
  <c r="E1857" i="35"/>
  <c r="E1849" i="35"/>
  <c r="E1841" i="35"/>
  <c r="E1833" i="35"/>
  <c r="E1825" i="35"/>
  <c r="E1817" i="35"/>
  <c r="E1809" i="35"/>
  <c r="E1801" i="35"/>
  <c r="E1793" i="35"/>
  <c r="E1785" i="35"/>
  <c r="E1777" i="35"/>
  <c r="E1769" i="35"/>
  <c r="E1761" i="35"/>
  <c r="E1753" i="35"/>
  <c r="E1745" i="35"/>
  <c r="E1737" i="35"/>
  <c r="E1729" i="35"/>
  <c r="E1721" i="35"/>
  <c r="E1713" i="35"/>
  <c r="E1705" i="35"/>
  <c r="E1692" i="35"/>
  <c r="E1676" i="35"/>
  <c r="E1660" i="35"/>
  <c r="E1644" i="35"/>
  <c r="E1628" i="35"/>
  <c r="E1612" i="35"/>
  <c r="E1596" i="35"/>
  <c r="E1580" i="35"/>
  <c r="E1564" i="35"/>
  <c r="E1548" i="35"/>
  <c r="E1532" i="35"/>
  <c r="E1516" i="35"/>
  <c r="E1500" i="35"/>
  <c r="E1484" i="35"/>
  <c r="E1468" i="35"/>
  <c r="E1452" i="35"/>
  <c r="E1436" i="35"/>
  <c r="E1416" i="35"/>
  <c r="E1384" i="35"/>
  <c r="E1352" i="35"/>
  <c r="E1320" i="35"/>
  <c r="E1288" i="35"/>
  <c r="E1256" i="35"/>
  <c r="E1224" i="35"/>
  <c r="E1176" i="35"/>
  <c r="E1112" i="35"/>
  <c r="E1048" i="35"/>
  <c r="E984" i="35"/>
  <c r="E920" i="35"/>
  <c r="E794" i="35"/>
  <c r="E593" i="35"/>
  <c r="E2093" i="35"/>
  <c r="E2085" i="35"/>
  <c r="E2069" i="35"/>
  <c r="E2057" i="35"/>
  <c r="E2045" i="35"/>
  <c r="E2037" i="35"/>
  <c r="E2025" i="35"/>
  <c r="E2017" i="35"/>
  <c r="E2005" i="35"/>
  <c r="E1993" i="35"/>
  <c r="E1981" i="35"/>
  <c r="E1973" i="35"/>
  <c r="E1957" i="35"/>
  <c r="E1941" i="35"/>
  <c r="E1925" i="35"/>
  <c r="E1909" i="35"/>
  <c r="E1893" i="35"/>
  <c r="E1876" i="35"/>
  <c r="E1860" i="35"/>
  <c r="E1844" i="35"/>
  <c r="E1828" i="35"/>
  <c r="E1804" i="35"/>
  <c r="E1788" i="35"/>
  <c r="E1772" i="35"/>
  <c r="E1748" i="35"/>
  <c r="E1732" i="35"/>
  <c r="E1716" i="35"/>
  <c r="E1696" i="35"/>
  <c r="E1664" i="35"/>
  <c r="E1632" i="35"/>
  <c r="E1600" i="35"/>
  <c r="E1568" i="35"/>
  <c r="E1552" i="35"/>
  <c r="E1536" i="35"/>
  <c r="E1520" i="35"/>
  <c r="E1504" i="35"/>
  <c r="E1488" i="35"/>
  <c r="E1472" i="35"/>
  <c r="E1440" i="35"/>
  <c r="E1424" i="35"/>
  <c r="E1392" i="35"/>
  <c r="E1360" i="35"/>
  <c r="E1328" i="35"/>
  <c r="E1296" i="35"/>
  <c r="E1264" i="35"/>
  <c r="E1232" i="35"/>
  <c r="E1192" i="35"/>
  <c r="E1128" i="35"/>
  <c r="E1064" i="35"/>
  <c r="E1000" i="35"/>
  <c r="E936" i="35"/>
  <c r="E826" i="35"/>
  <c r="E657" i="35"/>
  <c r="E2095" i="35"/>
  <c r="E2091" i="35"/>
  <c r="E2087" i="35"/>
  <c r="E2083" i="35"/>
  <c r="E2079" i="35"/>
  <c r="E2075" i="35"/>
  <c r="E2071" i="35"/>
  <c r="E2067" i="35"/>
  <c r="E2063" i="35"/>
  <c r="E2059" i="35"/>
  <c r="E2055" i="35"/>
  <c r="E2051" i="35"/>
  <c r="E2047" i="35"/>
  <c r="E2043" i="35"/>
  <c r="E2039" i="35"/>
  <c r="E2035" i="35"/>
  <c r="E2031" i="35"/>
  <c r="E2027" i="35"/>
  <c r="E2023" i="35"/>
  <c r="E2019" i="35"/>
  <c r="E2015" i="35"/>
  <c r="E2011" i="35"/>
  <c r="E2007" i="35"/>
  <c r="E2003" i="35"/>
  <c r="E1999" i="35"/>
  <c r="E1995" i="35"/>
  <c r="E1991" i="35"/>
  <c r="E1987" i="35"/>
  <c r="E1983" i="35"/>
  <c r="E1979" i="35"/>
  <c r="E1975" i="35"/>
  <c r="E1971" i="35"/>
  <c r="E1965" i="35"/>
  <c r="E1960" i="35"/>
  <c r="E1955" i="35"/>
  <c r="E1949" i="35"/>
  <c r="E1944" i="35"/>
  <c r="E1939" i="35"/>
  <c r="E1933" i="35"/>
  <c r="E1928" i="35"/>
  <c r="E1923" i="35"/>
  <c r="E1917" i="35"/>
  <c r="E1912" i="35"/>
  <c r="E1907" i="35"/>
  <c r="E1901" i="35"/>
  <c r="E1896" i="35"/>
  <c r="E1891" i="35"/>
  <c r="E1885" i="35"/>
  <c r="E1880" i="35"/>
  <c r="E1872" i="35"/>
  <c r="E1864" i="35"/>
  <c r="E1856" i="35"/>
  <c r="E1848" i="35"/>
  <c r="E1840" i="35"/>
  <c r="E1832" i="35"/>
  <c r="E1824" i="35"/>
  <c r="E1816" i="35"/>
  <c r="E1808" i="35"/>
  <c r="E1800" i="35"/>
  <c r="E1792" i="35"/>
  <c r="E1784" i="35"/>
  <c r="E1776" i="35"/>
  <c r="E1768" i="35"/>
  <c r="E1760" i="35"/>
  <c r="E1752" i="35"/>
  <c r="E1744" i="35"/>
  <c r="E1736" i="35"/>
  <c r="E1728" i="35"/>
  <c r="E1720" i="35"/>
  <c r="E1712" i="35"/>
  <c r="E1704" i="35"/>
  <c r="E1688" i="35"/>
  <c r="E1672" i="35"/>
  <c r="E1656" i="35"/>
  <c r="E1640" i="35"/>
  <c r="E1624" i="35"/>
  <c r="E1608" i="35"/>
  <c r="E1592" i="35"/>
  <c r="E1576" i="35"/>
  <c r="E1560" i="35"/>
  <c r="E1544" i="35"/>
  <c r="E1528" i="35"/>
  <c r="E1512" i="35"/>
  <c r="E1496" i="35"/>
  <c r="E1480" i="35"/>
  <c r="E1464" i="35"/>
  <c r="E1448" i="35"/>
  <c r="E1432" i="35"/>
  <c r="E1408" i="35"/>
  <c r="E1376" i="35"/>
  <c r="E1344" i="35"/>
  <c r="E1312" i="35"/>
  <c r="E1280" i="35"/>
  <c r="E1248" i="35"/>
  <c r="E1216" i="35"/>
  <c r="E1160" i="35"/>
  <c r="E1096" i="35"/>
  <c r="E1032" i="35"/>
  <c r="E968" i="35"/>
  <c r="E890" i="35"/>
  <c r="E762" i="35"/>
  <c r="E523" i="35"/>
  <c r="E2" i="35"/>
  <c r="E2081" i="35"/>
  <c r="E2073" i="35"/>
  <c r="E2061" i="35"/>
  <c r="E2049" i="35"/>
  <c r="E2041" i="35"/>
  <c r="E2029" i="35"/>
  <c r="E2013" i="35"/>
  <c r="E2001" i="35"/>
  <c r="E1989" i="35"/>
  <c r="E1977" i="35"/>
  <c r="E1963" i="35"/>
  <c r="E1952" i="35"/>
  <c r="E1936" i="35"/>
  <c r="E1920" i="35"/>
  <c r="E1904" i="35"/>
  <c r="E1888" i="35"/>
  <c r="E1868" i="35"/>
  <c r="E1836" i="35"/>
  <c r="E1812" i="35"/>
  <c r="E1796" i="35"/>
  <c r="E1780" i="35"/>
  <c r="E1756" i="35"/>
  <c r="E1740" i="35"/>
  <c r="E1724" i="35"/>
  <c r="E1708" i="35"/>
  <c r="E1680" i="35"/>
  <c r="E1648" i="35"/>
  <c r="E1616" i="35"/>
  <c r="E1456" i="35"/>
  <c r="E2094" i="35"/>
  <c r="E2090" i="35"/>
  <c r="E2086" i="35"/>
  <c r="E2082" i="35"/>
  <c r="E2078" i="35"/>
  <c r="E2074" i="35"/>
  <c r="E2070" i="35"/>
  <c r="E2066" i="35"/>
  <c r="E2062" i="35"/>
  <c r="E2058" i="35"/>
  <c r="E2054" i="35"/>
  <c r="E2050" i="35"/>
  <c r="E2046" i="35"/>
  <c r="E2042" i="35"/>
  <c r="E2038" i="35"/>
  <c r="E2034" i="35"/>
  <c r="E2030" i="35"/>
  <c r="E2026" i="35"/>
  <c r="E2022" i="35"/>
  <c r="E2018" i="35"/>
  <c r="E2014" i="35"/>
  <c r="E2010" i="35"/>
  <c r="E2006" i="35"/>
  <c r="E2002" i="35"/>
  <c r="E1998" i="35"/>
  <c r="E1994" i="35"/>
  <c r="E1990" i="35"/>
  <c r="E1986" i="35"/>
  <c r="E1982" i="35"/>
  <c r="E1978" i="35"/>
  <c r="E1974" i="35"/>
  <c r="E1969" i="35"/>
  <c r="E1964" i="35"/>
  <c r="E1959" i="35"/>
  <c r="E1953" i="35"/>
  <c r="E1948" i="35"/>
  <c r="E1943" i="35"/>
  <c r="E1937" i="35"/>
  <c r="E1932" i="35"/>
  <c r="E1927" i="35"/>
  <c r="E1921" i="35"/>
  <c r="E1916" i="35"/>
  <c r="E1911" i="35"/>
  <c r="E1905" i="35"/>
  <c r="E1900" i="35"/>
  <c r="E1895" i="35"/>
  <c r="E1889" i="35"/>
  <c r="E1884" i="35"/>
  <c r="E1877" i="35"/>
  <c r="E1869" i="35"/>
  <c r="E1861" i="35"/>
  <c r="E1853" i="35"/>
  <c r="E1845" i="35"/>
  <c r="E1837" i="35"/>
  <c r="E1829" i="35"/>
  <c r="E1821" i="35"/>
  <c r="E1813" i="35"/>
  <c r="E1805" i="35"/>
  <c r="E1797" i="35"/>
  <c r="E1789" i="35"/>
  <c r="E1781" i="35"/>
  <c r="E1773" i="35"/>
  <c r="E1765" i="35"/>
  <c r="E1757" i="35"/>
  <c r="E1749" i="35"/>
  <c r="E1741" i="35"/>
  <c r="E1733" i="35"/>
  <c r="E1725" i="35"/>
  <c r="E1717" i="35"/>
  <c r="E1709" i="35"/>
  <c r="E1700" i="35"/>
  <c r="E1684" i="35"/>
  <c r="E1668" i="35"/>
  <c r="E1652" i="35"/>
  <c r="E1636" i="35"/>
  <c r="E1620" i="35"/>
  <c r="E1604" i="35"/>
  <c r="E1588" i="35"/>
  <c r="E1572" i="35"/>
  <c r="E1556" i="35"/>
  <c r="E1540" i="35"/>
  <c r="E1524" i="35"/>
  <c r="E1508" i="35"/>
  <c r="E1492" i="35"/>
  <c r="E1476" i="35"/>
  <c r="E1460" i="35"/>
  <c r="E1444" i="35"/>
  <c r="E1428" i="35"/>
  <c r="E1400" i="35"/>
  <c r="E1368" i="35"/>
  <c r="E1336" i="35"/>
  <c r="E1304" i="35"/>
  <c r="E1272" i="35"/>
  <c r="E1240" i="35"/>
  <c r="E1208" i="35"/>
  <c r="E1144" i="35"/>
  <c r="E1080" i="35"/>
  <c r="E1016" i="35"/>
  <c r="E952" i="35"/>
  <c r="E858" i="35"/>
  <c r="E721" i="35"/>
  <c r="E400" i="35"/>
  <c r="MQ28" i="10"/>
  <c r="MY25" i="10"/>
  <c r="MY29" i="10"/>
  <c r="MY33" i="10"/>
  <c r="MY22" i="10"/>
  <c r="MY9" i="10"/>
  <c r="MY13" i="10"/>
  <c r="MY17" i="10"/>
  <c r="MY21" i="10"/>
  <c r="MU35" i="10"/>
  <c r="MU36" i="10"/>
  <c r="MW35" i="10"/>
  <c r="MZ35" i="10" s="1"/>
  <c r="MW36" i="10"/>
  <c r="MZ36" i="10" s="1"/>
  <c r="MV35" i="10"/>
  <c r="MY35" i="10" s="1"/>
  <c r="MV36" i="10"/>
  <c r="MY36" i="10" s="1"/>
  <c r="MU5" i="10"/>
  <c r="MU6" i="10"/>
  <c r="MU7" i="10"/>
  <c r="MU8" i="10"/>
  <c r="MU9" i="10"/>
  <c r="MU10" i="10"/>
  <c r="MU11" i="10"/>
  <c r="MU12" i="10"/>
  <c r="MU13" i="10"/>
  <c r="MU14" i="10"/>
  <c r="MU15" i="10"/>
  <c r="MU16" i="10"/>
  <c r="MU17" i="10"/>
  <c r="MU18" i="10"/>
  <c r="MU19" i="10"/>
  <c r="MU20" i="10"/>
  <c r="MU21" i="10"/>
  <c r="MU22" i="10"/>
  <c r="MU23" i="10"/>
  <c r="MU24" i="10"/>
  <c r="MU25" i="10"/>
  <c r="MU26" i="10"/>
  <c r="MU27" i="10"/>
  <c r="MU28" i="10"/>
  <c r="MU29" i="10"/>
  <c r="MU30" i="10"/>
  <c r="MU31" i="10"/>
  <c r="MU32" i="10"/>
  <c r="MU33" i="10"/>
  <c r="MU34" i="10"/>
  <c r="MU4" i="10"/>
  <c r="MW5" i="10"/>
  <c r="MZ5" i="10" s="1"/>
  <c r="MW6" i="10"/>
  <c r="MZ7" i="10" s="1"/>
  <c r="MW7" i="10"/>
  <c r="MW8" i="10"/>
  <c r="MZ8" i="10" s="1"/>
  <c r="MW9" i="10"/>
  <c r="MZ9" i="10" s="1"/>
  <c r="MW10" i="10"/>
  <c r="MZ11" i="10" s="1"/>
  <c r="MW11" i="10"/>
  <c r="MW12" i="10"/>
  <c r="MZ12" i="10" s="1"/>
  <c r="MW13" i="10"/>
  <c r="MZ13" i="10" s="1"/>
  <c r="MW14" i="10"/>
  <c r="MZ15" i="10" s="1"/>
  <c r="MW15" i="10"/>
  <c r="MW16" i="10"/>
  <c r="MZ16" i="10" s="1"/>
  <c r="MW17" i="10"/>
  <c r="MZ17" i="10" s="1"/>
  <c r="MW18" i="10"/>
  <c r="MZ19" i="10" s="1"/>
  <c r="MW19" i="10"/>
  <c r="MW20" i="10"/>
  <c r="MZ20" i="10" s="1"/>
  <c r="MW21" i="10"/>
  <c r="MZ21" i="10" s="1"/>
  <c r="MW22" i="10"/>
  <c r="MZ23" i="10" s="1"/>
  <c r="MW23" i="10"/>
  <c r="MW24" i="10"/>
  <c r="MZ24" i="10" s="1"/>
  <c r="MW25" i="10"/>
  <c r="MZ25" i="10" s="1"/>
  <c r="MW26" i="10"/>
  <c r="MZ27" i="10" s="1"/>
  <c r="MW27" i="10"/>
  <c r="MW28" i="10"/>
  <c r="MZ28" i="10" s="1"/>
  <c r="MW29" i="10"/>
  <c r="MZ29" i="10" s="1"/>
  <c r="MW30" i="10"/>
  <c r="MZ31" i="10" s="1"/>
  <c r="MW31" i="10"/>
  <c r="MW32" i="10"/>
  <c r="MZ32" i="10" s="1"/>
  <c r="MW33" i="10"/>
  <c r="MZ33" i="10" s="1"/>
  <c r="MW34" i="10"/>
  <c r="MZ34" i="10" s="1"/>
  <c r="MW4" i="10"/>
  <c r="MV5" i="10"/>
  <c r="MY5" i="10" s="1"/>
  <c r="MV6" i="10"/>
  <c r="MY6" i="10" s="1"/>
  <c r="MV7" i="10"/>
  <c r="MY7" i="10" s="1"/>
  <c r="MV8" i="10"/>
  <c r="MV9" i="10"/>
  <c r="MV10" i="10"/>
  <c r="MY10" i="10" s="1"/>
  <c r="MV11" i="10"/>
  <c r="MY11" i="10" s="1"/>
  <c r="MV12" i="10"/>
  <c r="MV13" i="10"/>
  <c r="MV14" i="10"/>
  <c r="MY14" i="10" s="1"/>
  <c r="MV15" i="10"/>
  <c r="MY15" i="10" s="1"/>
  <c r="MV16" i="10"/>
  <c r="MV17" i="10"/>
  <c r="MV18" i="10"/>
  <c r="MY18" i="10" s="1"/>
  <c r="MV19" i="10"/>
  <c r="MY19" i="10" s="1"/>
  <c r="MV20" i="10"/>
  <c r="MV21" i="10"/>
  <c r="MV22" i="10"/>
  <c r="MV23" i="10"/>
  <c r="MY23" i="10" s="1"/>
  <c r="MV24" i="10"/>
  <c r="MY24" i="10" s="1"/>
  <c r="MV25" i="10"/>
  <c r="MV26" i="10"/>
  <c r="MY26" i="10" s="1"/>
  <c r="MV27" i="10"/>
  <c r="MY27" i="10" s="1"/>
  <c r="MV28" i="10"/>
  <c r="MY28" i="10" s="1"/>
  <c r="MV29" i="10"/>
  <c r="MV30" i="10"/>
  <c r="MY30" i="10" s="1"/>
  <c r="MV31" i="10"/>
  <c r="MY31" i="10" s="1"/>
  <c r="MV32" i="10"/>
  <c r="MY32" i="10" s="1"/>
  <c r="MV33" i="10"/>
  <c r="MV34" i="10"/>
  <c r="MY34" i="10" s="1"/>
  <c r="MV4" i="10"/>
  <c r="MR5" i="10"/>
  <c r="MR6" i="10"/>
  <c r="MR7" i="10"/>
  <c r="MR8" i="10"/>
  <c r="MR9" i="10"/>
  <c r="MR10" i="10"/>
  <c r="MR11" i="10"/>
  <c r="MR12" i="10"/>
  <c r="MR13" i="10"/>
  <c r="MR14" i="10"/>
  <c r="MR15" i="10"/>
  <c r="MR16" i="10"/>
  <c r="MR17" i="10"/>
  <c r="MR18" i="10"/>
  <c r="MR19" i="10"/>
  <c r="MR20" i="10"/>
  <c r="MR21" i="10"/>
  <c r="MR22" i="10"/>
  <c r="MR23" i="10"/>
  <c r="MR24" i="10"/>
  <c r="MR25" i="10"/>
  <c r="MR26" i="10"/>
  <c r="MR27" i="10"/>
  <c r="MR28" i="10"/>
  <c r="MR29" i="10"/>
  <c r="MR30" i="10"/>
  <c r="MR31" i="10"/>
  <c r="MR32" i="10"/>
  <c r="MR33" i="10"/>
  <c r="MR34" i="10"/>
  <c r="MR4" i="10"/>
  <c r="MQ34" i="10"/>
  <c r="MQ5" i="10"/>
  <c r="MQ6" i="10"/>
  <c r="MQ7" i="10"/>
  <c r="MQ8" i="10"/>
  <c r="MQ9" i="10"/>
  <c r="MQ10" i="10"/>
  <c r="MQ11" i="10"/>
  <c r="MQ12" i="10"/>
  <c r="MQ13" i="10"/>
  <c r="MQ14" i="10"/>
  <c r="MQ15" i="10"/>
  <c r="MQ16" i="10"/>
  <c r="MQ17" i="10"/>
  <c r="MQ18" i="10"/>
  <c r="MQ19" i="10"/>
  <c r="MQ20" i="10"/>
  <c r="MQ21" i="10"/>
  <c r="MQ22" i="10"/>
  <c r="MQ23" i="10"/>
  <c r="MQ24" i="10"/>
  <c r="MQ25" i="10"/>
  <c r="MQ26" i="10"/>
  <c r="MQ27" i="10"/>
  <c r="MQ29" i="10"/>
  <c r="MQ30" i="10"/>
  <c r="MQ31" i="10"/>
  <c r="MQ32" i="10"/>
  <c r="MQ33" i="10"/>
  <c r="MQ4" i="10"/>
  <c r="MO4" i="10"/>
  <c r="MO5" i="10"/>
  <c r="MO6" i="10"/>
  <c r="MO7" i="10"/>
  <c r="MO8" i="10"/>
  <c r="MO9" i="10"/>
  <c r="MO10" i="10"/>
  <c r="MO11" i="10"/>
  <c r="MO12" i="10"/>
  <c r="MO13" i="10"/>
  <c r="MO14" i="10"/>
  <c r="MO15" i="10"/>
  <c r="MO16" i="10"/>
  <c r="MO17" i="10"/>
  <c r="MO18" i="10"/>
  <c r="MO19" i="10"/>
  <c r="MO20" i="10"/>
  <c r="MO21" i="10"/>
  <c r="MO22" i="10"/>
  <c r="MO23" i="10"/>
  <c r="MO24" i="10"/>
  <c r="MO25" i="10"/>
  <c r="MO26" i="10"/>
  <c r="MO27" i="10"/>
  <c r="MO28" i="10"/>
  <c r="MO29" i="10"/>
  <c r="MO30" i="10"/>
  <c r="MO31" i="10"/>
  <c r="MO32" i="10"/>
  <c r="MO33" i="10"/>
  <c r="MN5" i="10"/>
  <c r="MN6" i="10"/>
  <c r="MN7" i="10"/>
  <c r="MN8" i="10"/>
  <c r="MN9" i="10"/>
  <c r="MN10" i="10"/>
  <c r="MN11" i="10"/>
  <c r="MN12" i="10"/>
  <c r="MN13" i="10"/>
  <c r="MN14" i="10"/>
  <c r="MN15" i="10"/>
  <c r="MN16" i="10"/>
  <c r="MN17" i="10"/>
  <c r="MN18" i="10"/>
  <c r="MN19" i="10"/>
  <c r="MN20" i="10"/>
  <c r="MN21" i="10"/>
  <c r="MN22" i="10"/>
  <c r="MN23" i="10"/>
  <c r="MN24" i="10"/>
  <c r="MN25" i="10"/>
  <c r="MN26" i="10"/>
  <c r="MN27" i="10"/>
  <c r="MN28" i="10"/>
  <c r="MN29" i="10"/>
  <c r="MN30" i="10"/>
  <c r="MN31" i="10"/>
  <c r="MN32" i="10"/>
  <c r="MN33" i="10"/>
  <c r="MY20" i="10" l="1"/>
  <c r="MY16" i="10"/>
  <c r="MY12" i="10"/>
  <c r="MY8" i="10"/>
  <c r="MZ30" i="10"/>
  <c r="MZ26" i="10"/>
  <c r="MZ22" i="10"/>
  <c r="MZ18" i="10"/>
  <c r="MZ14" i="10"/>
  <c r="MZ10" i="10"/>
  <c r="MZ6" i="10"/>
  <c r="MN4" i="10"/>
  <c r="O4" i="27" l="1"/>
  <c r="K6" i="27"/>
  <c r="K5" i="27"/>
  <c r="K4" i="27"/>
  <c r="G4" i="27"/>
  <c r="K4" i="28"/>
  <c r="O4" i="28"/>
  <c r="K6" i="28"/>
  <c r="K5" i="28"/>
  <c r="G4" i="28"/>
  <c r="O6" i="28"/>
  <c r="G6" i="28"/>
  <c r="O5" i="28"/>
  <c r="G5" i="28"/>
  <c r="O6" i="27"/>
  <c r="G6" i="27"/>
  <c r="O5" i="27"/>
  <c r="G5" i="27"/>
  <c r="O6" i="25"/>
  <c r="K6" i="25"/>
  <c r="G6" i="25"/>
  <c r="O5" i="25"/>
  <c r="K5" i="25"/>
  <c r="G5" i="25"/>
  <c r="O4" i="25"/>
  <c r="K4" i="25"/>
  <c r="G4" i="25"/>
  <c r="O4" i="23"/>
  <c r="K6" i="23"/>
  <c r="K5" i="23"/>
  <c r="K4" i="23"/>
  <c r="G4" i="23"/>
  <c r="O6" i="23"/>
  <c r="G6" i="23"/>
  <c r="O5" i="23"/>
  <c r="G5" i="23"/>
  <c r="G6" i="19"/>
  <c r="G5" i="19"/>
  <c r="G4" i="19"/>
  <c r="O4" i="22"/>
  <c r="K5" i="22"/>
  <c r="K6" i="22"/>
  <c r="K4" i="22"/>
  <c r="G6" i="22"/>
  <c r="G5" i="22"/>
  <c r="G4" i="22"/>
  <c r="O6" i="22"/>
  <c r="O5" i="22"/>
  <c r="O6" i="19"/>
  <c r="K6" i="19"/>
  <c r="O5" i="19"/>
  <c r="K5" i="19"/>
  <c r="O4" i="19"/>
  <c r="K4" i="19"/>
  <c r="O6" i="16" l="1"/>
  <c r="K6" i="16"/>
  <c r="G6" i="16"/>
  <c r="O5" i="16"/>
  <c r="K5" i="16"/>
  <c r="G5" i="16"/>
  <c r="O4" i="16"/>
  <c r="K4" i="16"/>
  <c r="G4" i="16"/>
  <c r="O5" i="14"/>
  <c r="O6" i="14"/>
  <c r="O4" i="14"/>
  <c r="K5" i="14"/>
  <c r="K6" i="14"/>
  <c r="K4" i="14"/>
  <c r="G5" i="14"/>
  <c r="G6" i="14"/>
  <c r="G4" i="14"/>
  <c r="O6" i="12"/>
  <c r="O5" i="12"/>
  <c r="O4" i="12"/>
  <c r="K6" i="12"/>
  <c r="K5" i="12"/>
  <c r="K4" i="12"/>
  <c r="G6" i="12"/>
  <c r="G5" i="12"/>
  <c r="G4" i="12"/>
  <c r="MF1" i="10" l="1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A148" i="8"/>
  <c r="A145" i="8"/>
  <c r="A142" i="8"/>
  <c r="A139" i="8"/>
  <c r="A136" i="8"/>
  <c r="A133" i="8"/>
  <c r="A130" i="8"/>
  <c r="A127" i="8"/>
  <c r="A124" i="8"/>
  <c r="A121" i="8"/>
  <c r="A118" i="8"/>
  <c r="A115" i="8"/>
  <c r="A112" i="8"/>
  <c r="A109" i="8"/>
  <c r="A106" i="8"/>
  <c r="A103" i="8"/>
  <c r="A100" i="8"/>
  <c r="A97" i="8"/>
  <c r="A94" i="8"/>
  <c r="A91" i="8"/>
  <c r="A88" i="8"/>
  <c r="A85" i="8"/>
  <c r="A82" i="8"/>
  <c r="A79" i="8"/>
  <c r="A76" i="8"/>
  <c r="A73" i="8"/>
  <c r="A70" i="8"/>
  <c r="A67" i="8"/>
  <c r="A64" i="8"/>
  <c r="A61" i="8"/>
  <c r="A58" i="8"/>
  <c r="A55" i="8"/>
  <c r="A52" i="8"/>
  <c r="A49" i="8"/>
  <c r="A46" i="8"/>
  <c r="A43" i="8"/>
  <c r="A40" i="8"/>
  <c r="A37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79960D-D38D-49A3-A079-E0181FE188DB}" keepAlive="1" name="Query - Good dad 80-20 vs MCTS" description="Connection to the 'Good dad 80-20 vs MCTS' query in the workbook." type="5" refreshedVersion="6" background="1" saveData="1">
    <dbPr connection="Provider=Microsoft.Mashup.OleDb.1;Data Source=$Workbook$;Location=&quot;Good dad 80-20 vs MCTS&quot;;Extended Properties=&quot;&quot;" command="SELECT * FROM [Good dad 80-20 vs MCTS]"/>
  </connection>
  <connection id="2" xr16:uid="{A882F5F9-D033-4279-ABFF-78EF22F1F3AB}" keepAlive="1" name="Query - Good dad 80-20 vs MineField" description="Connection to the 'Good dad 80-20 vs MineField' query in the workbook." type="5" refreshedVersion="6" background="1" saveData="1">
    <dbPr connection="Provider=Microsoft.Mashup.OleDb.1;Data Source=$Workbook$;Location=&quot;Good dad 80-20 vs MineField&quot;;Extended Properties=&quot;&quot;" command="SELECT * FROM [Good dad 80-20 vs MineField]"/>
  </connection>
  <connection id="3" xr16:uid="{1601BB30-803D-487B-AA64-84CBE8160BD6}" keepAlive="1" name="Query - Good dad 80-20 vs random" description="Connection to the 'Good dad 80-20 vs random' query in the workbook." type="5" refreshedVersion="6" background="1" saveData="1">
    <dbPr connection="Provider=Microsoft.Mashup.OleDb.1;Data Source=$Workbook$;Location=&quot;Good dad 80-20 vs random&quot;;Extended Properties=&quot;&quot;" command="SELECT * FROM [Good dad 80-20 vs random]"/>
  </connection>
  <connection id="4" xr16:uid="{927EF3B3-6DD0-482F-898D-97761C14EA39}" keepAlive="1" name="Query - Good dad 80-20(Picks Win) vs Random" description="Connection to the 'Good dad 80-20(Picks Win) vs Random' query in the workbook." type="5" refreshedVersion="6" background="1" saveData="1">
    <dbPr connection="Provider=Microsoft.Mashup.OleDb.1;Data Source=$Workbook$;Location=Good dad 80-20(Picks Win) vs Random;Extended Properties=&quot;&quot;" command="SELECT * FROM [Good dad 80-20(Picks Win) vs Random]"/>
  </connection>
  <connection id="5" xr16:uid="{3EDDA9A6-8494-4364-8382-39000E2B6442}" keepAlive="1" name="Query - Good dad 80-20(PickWin) vs MCTS" description="Connection to the 'Good dad 80-20(PickWin) vs MCTS' query in the workbook." type="5" refreshedVersion="6" background="1" saveData="1">
    <dbPr connection="Provider=Microsoft.Mashup.OleDb.1;Data Source=$Workbook$;Location=&quot;Good dad 80-20(PickWin) vs MCTS&quot;;Extended Properties=&quot;&quot;" command="SELECT * FROM [Good dad 80-20(PickWin) vs MCTS]"/>
  </connection>
  <connection id="6" xr16:uid="{F1433A0A-1BFA-4F7E-9911-E28936955324}" keepAlive="1" name="Query - Good dad 80-20(PickWin) vs MineField" description="Connection to the 'Good dad 80-20(PickWin) vs MineField' query in the workbook." type="5" refreshedVersion="6" background="1" saveData="1">
    <dbPr connection="Provider=Microsoft.Mashup.OleDb.1;Data Source=$Workbook$;Location=&quot;Good dad 80-20(PickWin) vs MineField&quot;;Extended Properties=&quot;&quot;" command="SELECT * FROM [Good dad 80-20(PickWin) vs MineField]"/>
  </connection>
  <connection id="7" xr16:uid="{5928E7AA-40F7-46B5-9BDB-9100E681E59E}" keepAlive="1" name="Query - Good dad v2 vs MCTS" description="Connection to the 'Good dad v2 vs MCTS' query in the workbook." type="5" refreshedVersion="6" background="1" saveData="1">
    <dbPr connection="Provider=Microsoft.Mashup.OleDb.1;Data Source=$Workbook$;Location=&quot;Good dad v2 vs MCTS&quot;;Extended Properties=&quot;&quot;" command="SELECT * FROM [Good dad v2 vs MCTS]"/>
  </connection>
  <connection id="8" xr16:uid="{EFD629FB-A1B4-4B2F-9471-30C0986233BB}" keepAlive="1" name="Query - Good dad v2 vs Random" description="Connection to the 'Good dad v2 vs Random' query in the workbook." type="5" refreshedVersion="6" background="1" saveData="1">
    <dbPr connection="Provider=Microsoft.Mashup.OleDb.1;Data Source=$Workbook$;Location=Good dad v2 vs Random;Extended Properties=&quot;&quot;" command="SELECT * FROM [Good dad v2 vs Random]"/>
  </connection>
  <connection id="9" xr16:uid="{35ED3BD6-A60D-404D-AC76-9639079C07DD}" keepAlive="1" name="Query - Goood dad v2 vs MineField" description="Connection to the 'Goood dad v2 vs MineField' query in the workbook." type="5" refreshedVersion="6" background="1" saveData="1">
    <dbPr connection="Provider=Microsoft.Mashup.OleDb.1;Data Source=$Workbook$;Location=&quot;Goood dad v2 vs MineField&quot;;Extended Properties=&quot;&quot;" command="SELECT * FROM [Goood dad v2 vs MineField]"/>
  </connection>
  <connection id="10" xr16:uid="{15A62D6E-9946-4747-9DDA-A43CC2D005F4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11" xr16:uid="{3F420F4B-E57E-417B-B419-A81218876502}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<sst xmlns="http://schemas.openxmlformats.org/spreadsheetml/2006/main" count="2795" uniqueCount="82">
  <si>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</si>
  <si>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</si>
  <si>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</si>
  <si>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</si>
  <si>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</si>
  <si>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</si>
  <si>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</si>
  <si>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</si>
  <si>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</si>
  <si>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</si>
  <si>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</si>
  <si>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</si>
  <si>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</si>
  <si>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</si>
  <si>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</si>
  <si>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</si>
  <si>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</si>
  <si>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</si>
  <si>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</si>
  <si>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</si>
  <si>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</si>
  <si>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</si>
  <si>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</si>
  <si>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</si>
  <si>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</si>
  <si>
    <t>MCTS wins</t>
  </si>
  <si>
    <t>MineField Player One Results</t>
  </si>
  <si>
    <t>MineField wins</t>
  </si>
  <si>
    <t>MCTS High</t>
  </si>
  <si>
    <t>MCTS Low</t>
  </si>
  <si>
    <t>Player1</t>
  </si>
  <si>
    <t>Player2</t>
  </si>
  <si>
    <t>User</t>
  </si>
  <si>
    <t>Good dad v2</t>
  </si>
  <si>
    <t>average</t>
  </si>
  <si>
    <t>made it very tricky</t>
  </si>
  <si>
    <t>very hard</t>
  </si>
  <si>
    <t>very fun</t>
  </si>
  <si>
    <t>poorly</t>
  </si>
  <si>
    <t>clever</t>
  </si>
  <si>
    <t>hard</t>
  </si>
  <si>
    <t>fun</t>
  </si>
  <si>
    <t>well</t>
  </si>
  <si>
    <t>easy</t>
  </si>
  <si>
    <t>neutral</t>
  </si>
  <si>
    <t>very well</t>
  </si>
  <si>
    <t>Could have won the game on the last move but did not do so. However, turned down winning a board to prevent me winning a board (I think.)</t>
  </si>
  <si>
    <t>It turned down two moves that would have won a sub-board.</t>
  </si>
  <si>
    <t>Opponent made sure to put me in a sub-board which prevented me from winning a board or blocking off the sub-boards they were building up.</t>
  </si>
  <si>
    <t>Opponent was good at setting up their own sub-boards but not at playing aggressively e.g. trying to force me into positions where I have to give up a board or trying to stop me from claiming a board.</t>
  </si>
  <si>
    <t xml:space="preserve">the opponent showed stratigical thinking in its moves and showed a overall strategy inn its play making moves that would make it harder for me to win </t>
  </si>
  <si>
    <t>it did make some move that where tactically sound but also made some major mistakes</t>
  </si>
  <si>
    <t>The AI wasn't as sneaky, if there was a part of the board that was neglected it moved the game over there. It didn't seem interested in winning.</t>
  </si>
  <si>
    <t xml:space="preserve">It performed well and knew how to bait me as its opponent, it did this by not giving me a choice between performing an advantageous move and losing a board. It led me to do moves that allowed the opponent to win the subsequent. I felt almost like it was trying to distract me. I feel I won purely based on luck. </t>
  </si>
  <si>
    <t>Even though i was first  (red) etc it felt thouh i was the one chasing the game.</t>
  </si>
  <si>
    <t>boring</t>
  </si>
  <si>
    <t>Felt though at times i was being set up. However it was quite unpredictable.</t>
  </si>
  <si>
    <t xml:space="preserve">Felt opponent was making foolish moves a first, however after seeing where they lead me and what options I had left, made me think that the A.I was either 'baiting' me into making the wrong move or operating many more moves ahead than I was, perhaps based off my previous moves made. Felt opponent was attempting only diagonal methods of victory.  </t>
  </si>
  <si>
    <t>A couple of obviously incorrect moves made by the opponennt, that they didn't take full advantage of my mistakes made</t>
  </si>
  <si>
    <t>my opponents performance was poor,because it let me win</t>
  </si>
  <si>
    <t>Only seemed to consider the square it was on.</t>
  </si>
  <si>
    <t>Didn't play very strategically.</t>
  </si>
  <si>
    <t>very easy</t>
  </si>
  <si>
    <t>AI could be seen to be making gneral strategies, although on multiple occasions it made poor moves that ended with myself the game.</t>
  </si>
  <si>
    <t>occasionally the AI made moves i would deem 'poor' in terms of overall game state. The ai was seen to be making a general strategy, but could be easily outplayed</t>
  </si>
  <si>
    <t>How do you feel you performed during the game</t>
  </si>
  <si>
    <t>Do you have any comments on the opponents performance</t>
  </si>
  <si>
    <t>How difficult did you find the opponent?</t>
  </si>
  <si>
    <t>How enjoyable was the game?</t>
  </si>
  <si>
    <t>number of games at length</t>
  </si>
  <si>
    <t>Move no</t>
  </si>
  <si>
    <t>MCTS Player1</t>
  </si>
  <si>
    <t>MCTS Player2</t>
  </si>
  <si>
    <t>Games finished</t>
  </si>
  <si>
    <t>Good dad v2 wins</t>
  </si>
  <si>
    <t>Owner</t>
  </si>
  <si>
    <t>Reward</t>
  </si>
  <si>
    <t>Place</t>
  </si>
  <si>
    <t>Placements</t>
  </si>
  <si>
    <t>min</t>
  </si>
  <si>
    <t>max</t>
  </si>
  <si>
    <t>stdiv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</si>
</sst>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60-40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60-40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60-40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60-40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AI</a:t>
            </a:r>
            <a:r>
              <a:rPr lang="en-GB" baseline="0"/>
              <a:t> rewards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60-40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0-4264-A96C-D92A980080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0-4264-A96C-D92A980080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0-4264-A96C-D92A98008054}"/>
              </c:ext>
            </c:extLst>
          </c:dPt>
          <c:cat>
            <c:strRef>
              <c:f>'Good dad 80-20 vs Random games'!$F$4:$F$6</c:f>
              <c:strCache>
                <c:ptCount val="3"/>
                <c:pt idx="0">
                  <c:v>Random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80-20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vs MCTS win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F4-4C1C-9D6A-FB8604E786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F4-4C1C-9D6A-FB8604E786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F4-4C1C-9D6A-FB8604E786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80-20 vs MCTS games'!$F$4:$F$6</c:f>
              <c:strCache>
                <c:ptCount val="3"/>
                <c:pt idx="0">
                  <c:v>MCTS</c:v>
                </c:pt>
                <c:pt idx="1">
                  <c:v>Good dad</c:v>
                </c:pt>
                <c:pt idx="2">
                  <c:v>draw</c:v>
                </c:pt>
              </c:strCache>
            </c:strRef>
          </c:cat>
          <c:val>
            <c:numRef>
              <c:f>'Good dad 80-20 vs MCTS games'!$G$4:$G$6</c:f>
              <c:numCache>
                <c:formatCode>General</c:formatCode>
                <c:ptCount val="3"/>
                <c:pt idx="0">
                  <c:v>43</c:v>
                </c:pt>
                <c:pt idx="1">
                  <c:v>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B-4756-A28F-C5B8A98E27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Best</a:t>
            </a:r>
            <a:r>
              <a:rPr lang="en-GB" baseline="0"/>
              <a:t> options Available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options'!$MN$2:$MN$3</c:f>
              <c:strCache>
                <c:ptCount val="2"/>
                <c:pt idx="0">
                  <c:v>Player1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1-4F83-A911-62C02C33BBE4}"/>
            </c:ext>
          </c:extLst>
        </c:ser>
        <c:ser>
          <c:idx val="1"/>
          <c:order val="1"/>
          <c:tx>
            <c:strRef>
              <c:f>'Good dad 80-20 vs MCTS options'!$MQ$2:$MQ$3</c:f>
              <c:strCache>
                <c:ptCount val="2"/>
                <c:pt idx="0">
                  <c:v>Player2</c:v>
                </c:pt>
                <c:pt idx="1">
                  <c:v>MCTS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options'!$MQ$4:$MQ$34</c:f>
              <c:numCache>
                <c:formatCode>General</c:formatCode>
                <c:ptCount val="31"/>
                <c:pt idx="0">
                  <c:v>1.5663686680692641E-2</c:v>
                </c:pt>
                <c:pt idx="1">
                  <c:v>2.1764261027494534E-2</c:v>
                </c:pt>
                <c:pt idx="2">
                  <c:v>1.0995287639898977E-2</c:v>
                </c:pt>
                <c:pt idx="3">
                  <c:v>9.9754225512309284E-3</c:v>
                </c:pt>
                <c:pt idx="4">
                  <c:v>1.0087634767493737E-2</c:v>
                </c:pt>
                <c:pt idx="5">
                  <c:v>7.8941511469442314E-3</c:v>
                </c:pt>
                <c:pt idx="6">
                  <c:v>1.1549095764609739E-2</c:v>
                </c:pt>
                <c:pt idx="7">
                  <c:v>3.5722407109161775E-2</c:v>
                </c:pt>
                <c:pt idx="8">
                  <c:v>2.74680652990053E-2</c:v>
                </c:pt>
                <c:pt idx="9">
                  <c:v>2.9114868974843194E-2</c:v>
                </c:pt>
                <c:pt idx="10">
                  <c:v>4.3988107095396786E-2</c:v>
                </c:pt>
                <c:pt idx="11">
                  <c:v>3.7403468724590168E-2</c:v>
                </c:pt>
                <c:pt idx="12">
                  <c:v>6.8390304483416306E-2</c:v>
                </c:pt>
                <c:pt idx="13">
                  <c:v>6.9544511875438725E-2</c:v>
                </c:pt>
                <c:pt idx="14">
                  <c:v>0.10454448203673727</c:v>
                </c:pt>
                <c:pt idx="15">
                  <c:v>0.11266633875491625</c:v>
                </c:pt>
                <c:pt idx="16">
                  <c:v>0.15553697579678871</c:v>
                </c:pt>
                <c:pt idx="17">
                  <c:v>0.20644621822608872</c:v>
                </c:pt>
                <c:pt idx="18">
                  <c:v>0.27261158484642484</c:v>
                </c:pt>
                <c:pt idx="19">
                  <c:v>0.39821617224424977</c:v>
                </c:pt>
                <c:pt idx="20">
                  <c:v>0.35770122870572219</c:v>
                </c:pt>
                <c:pt idx="21">
                  <c:v>0.2919272818643362</c:v>
                </c:pt>
                <c:pt idx="22">
                  <c:v>0.26131087412467691</c:v>
                </c:pt>
                <c:pt idx="23">
                  <c:v>0.3262181761593525</c:v>
                </c:pt>
                <c:pt idx="24">
                  <c:v>0.52181723779854583</c:v>
                </c:pt>
                <c:pt idx="25">
                  <c:v>0.28599999999999998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1-4F83-A911-62C02C33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8893184"/>
        <c:axId val="388886952"/>
      </c:lineChart>
      <c:catAx>
        <c:axId val="388893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86952"/>
        <c:crosses val="autoZero"/>
        <c:auto val="1"/>
        <c:lblAlgn val="ctr"/>
        <c:lblOffset val="100"/>
        <c:noMultiLvlLbl val="0"/>
      </c:catAx>
      <c:valAx>
        <c:axId val="38888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</a:t>
            </a:r>
            <a:r>
              <a:rPr lang="en-GB" baseline="0"/>
              <a:t> of Game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options'!$MV$3</c:f>
              <c:strCache>
                <c:ptCount val="1"/>
                <c:pt idx="0">
                  <c:v>MCTS Player1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options'!$MV$4:$MV$36</c:f>
              <c:numCache>
                <c:formatCode>General</c:formatCode>
                <c:ptCount val="3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23</c:v>
                </c:pt>
                <c:pt idx="19">
                  <c:v>19</c:v>
                </c:pt>
                <c:pt idx="20">
                  <c:v>17</c:v>
                </c:pt>
                <c:pt idx="21">
                  <c:v>16</c:v>
                </c:pt>
                <c:pt idx="22">
                  <c:v>13</c:v>
                </c:pt>
                <c:pt idx="23">
                  <c:v>9</c:v>
                </c:pt>
                <c:pt idx="24">
                  <c:v>6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0-47C9-B735-65D6B462FF77}"/>
            </c:ext>
          </c:extLst>
        </c:ser>
        <c:ser>
          <c:idx val="1"/>
          <c:order val="1"/>
          <c:tx>
            <c:strRef>
              <c:f>'Good dad 80-20 vs MCTS options'!$MW$3</c:f>
              <c:strCache>
                <c:ptCount val="1"/>
                <c:pt idx="0">
                  <c:v>MCTS Player2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options'!$MW$4:$MW$36</c:f>
              <c:numCache>
                <c:formatCode>General</c:formatCode>
                <c:ptCount val="3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23</c:v>
                </c:pt>
                <c:pt idx="19">
                  <c:v>21</c:v>
                </c:pt>
                <c:pt idx="20">
                  <c:v>17</c:v>
                </c:pt>
                <c:pt idx="21">
                  <c:v>14</c:v>
                </c:pt>
                <c:pt idx="22">
                  <c:v>11</c:v>
                </c:pt>
                <c:pt idx="23">
                  <c:v>8</c:v>
                </c:pt>
                <c:pt idx="24">
                  <c:v>7</c:v>
                </c:pt>
                <c:pt idx="25">
                  <c:v>4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C0-47C9-B735-65D6B462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150928"/>
        <c:axId val="972153224"/>
      </c:lineChart>
      <c:catAx>
        <c:axId val="97215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moves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3224"/>
        <c:crosses val="autoZero"/>
        <c:auto val="1"/>
        <c:lblAlgn val="ctr"/>
        <c:lblOffset val="100"/>
        <c:noMultiLvlLbl val="0"/>
      </c:catAx>
      <c:valAx>
        <c:axId val="97215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1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Move High Low</a:t>
            </a:r>
            <a:r>
              <a:rPr lang="en-GB" baseline="0"/>
              <a:t> options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80-20 vs MCTS options'!$MN$3</c:f>
              <c:strCache>
                <c:ptCount val="1"/>
                <c:pt idx="0">
                  <c:v>MCTS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options'!$MN$4:$MN$33</c:f>
              <c:numCache>
                <c:formatCode>General</c:formatCode>
                <c:ptCount val="30"/>
                <c:pt idx="0">
                  <c:v>0.39954480796586028</c:v>
                </c:pt>
                <c:pt idx="1">
                  <c:v>0.13094845264426078</c:v>
                </c:pt>
                <c:pt idx="2">
                  <c:v>0.11401413181742896</c:v>
                </c:pt>
                <c:pt idx="3">
                  <c:v>0.11383578128242954</c:v>
                </c:pt>
                <c:pt idx="4">
                  <c:v>0.11227397999866495</c:v>
                </c:pt>
                <c:pt idx="5">
                  <c:v>0.12548843428329412</c:v>
                </c:pt>
                <c:pt idx="6">
                  <c:v>0.13452785835377334</c:v>
                </c:pt>
                <c:pt idx="7">
                  <c:v>0.137864758440298</c:v>
                </c:pt>
                <c:pt idx="8">
                  <c:v>0.15123640168049871</c:v>
                </c:pt>
                <c:pt idx="9">
                  <c:v>0.14409244118963732</c:v>
                </c:pt>
                <c:pt idx="10">
                  <c:v>0.14334929446929434</c:v>
                </c:pt>
                <c:pt idx="11">
                  <c:v>0.12596056811806075</c:v>
                </c:pt>
                <c:pt idx="12">
                  <c:v>0.11969853510471118</c:v>
                </c:pt>
                <c:pt idx="13">
                  <c:v>0.15272614948099997</c:v>
                </c:pt>
                <c:pt idx="14">
                  <c:v>0.13569703469023303</c:v>
                </c:pt>
                <c:pt idx="15">
                  <c:v>0.17152145340141758</c:v>
                </c:pt>
                <c:pt idx="16">
                  <c:v>0.18651098898563062</c:v>
                </c:pt>
                <c:pt idx="17">
                  <c:v>0.23693871307968942</c:v>
                </c:pt>
                <c:pt idx="18">
                  <c:v>0.20373320675126599</c:v>
                </c:pt>
                <c:pt idx="19">
                  <c:v>0.20894800405897609</c:v>
                </c:pt>
                <c:pt idx="20">
                  <c:v>0.28294787001354643</c:v>
                </c:pt>
                <c:pt idx="21">
                  <c:v>0.33876154214484883</c:v>
                </c:pt>
                <c:pt idx="22">
                  <c:v>0.37603911038171195</c:v>
                </c:pt>
                <c:pt idx="23">
                  <c:v>0.41737037037037017</c:v>
                </c:pt>
                <c:pt idx="24">
                  <c:v>0.53162242087678868</c:v>
                </c:pt>
                <c:pt idx="25">
                  <c:v>0.5636208651399488</c:v>
                </c:pt>
                <c:pt idx="26">
                  <c:v>0.298222222222222</c:v>
                </c:pt>
                <c:pt idx="27">
                  <c:v>0.281645569620253</c:v>
                </c:pt>
                <c:pt idx="28">
                  <c:v>0.59799999999999998</c:v>
                </c:pt>
                <c:pt idx="29">
                  <c:v>0.67600000000000005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1-40FD-A1A9-49E6742A3EEF}"/>
            </c:ext>
          </c:extLst>
        </c:ser>
        <c:ser>
          <c:idx val="1"/>
          <c:order val="1"/>
          <c:tx>
            <c:strRef>
              <c:f>'Good dad 80-20 vs MCTS options'!$MO$3</c:f>
              <c:strCache>
                <c:ptCount val="1"/>
                <c:pt idx="0">
                  <c:v>MCTS 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'Good dad 80-20 vs MCTS options'!$MO$4:$MO$33</c:f>
              <c:numCache>
                <c:formatCode>General</c:formatCode>
                <c:ptCount val="30"/>
                <c:pt idx="0">
                  <c:v>-0.32432432432432406</c:v>
                </c:pt>
                <c:pt idx="1">
                  <c:v>-1.8390151588714446E-2</c:v>
                </c:pt>
                <c:pt idx="2">
                  <c:v>-1.4985232045830838E-2</c:v>
                </c:pt>
                <c:pt idx="3">
                  <c:v>-2.5240632530692371E-2</c:v>
                </c:pt>
                <c:pt idx="4">
                  <c:v>-2.7689020931248202E-2</c:v>
                </c:pt>
                <c:pt idx="5">
                  <c:v>-5.0780569307959753E-2</c:v>
                </c:pt>
                <c:pt idx="6">
                  <c:v>-2.4215319120938866E-2</c:v>
                </c:pt>
                <c:pt idx="7">
                  <c:v>-3.2378365904584469E-2</c:v>
                </c:pt>
                <c:pt idx="8">
                  <c:v>-1.3270521680591823E-2</c:v>
                </c:pt>
                <c:pt idx="9">
                  <c:v>-6.8843615841365701E-3</c:v>
                </c:pt>
                <c:pt idx="10">
                  <c:v>-2.0879421695500864E-2</c:v>
                </c:pt>
                <c:pt idx="11">
                  <c:v>-2.738586025015928E-2</c:v>
                </c:pt>
                <c:pt idx="12">
                  <c:v>-7.7132815529051713E-2</c:v>
                </c:pt>
                <c:pt idx="13">
                  <c:v>-7.8305431163505967E-2</c:v>
                </c:pt>
                <c:pt idx="14">
                  <c:v>-6.37386354537509E-2</c:v>
                </c:pt>
                <c:pt idx="15">
                  <c:v>-7.5165963789510973E-2</c:v>
                </c:pt>
                <c:pt idx="16">
                  <c:v>-4.5797033116696619E-2</c:v>
                </c:pt>
                <c:pt idx="17">
                  <c:v>-0.10261682625632967</c:v>
                </c:pt>
                <c:pt idx="18">
                  <c:v>-5.7965942599601486E-2</c:v>
                </c:pt>
                <c:pt idx="19">
                  <c:v>-0.15993405673945313</c:v>
                </c:pt>
                <c:pt idx="20">
                  <c:v>-0.1268884881136442</c:v>
                </c:pt>
                <c:pt idx="21">
                  <c:v>-3.7376378824163226E-3</c:v>
                </c:pt>
                <c:pt idx="22">
                  <c:v>-8.8780888773340047E-2</c:v>
                </c:pt>
                <c:pt idx="23">
                  <c:v>1.0592592592592555E-2</c:v>
                </c:pt>
                <c:pt idx="24">
                  <c:v>-4.0128211352510247E-2</c:v>
                </c:pt>
                <c:pt idx="25">
                  <c:v>0.27492307692307694</c:v>
                </c:pt>
                <c:pt idx="26">
                  <c:v>0.36916666666666653</c:v>
                </c:pt>
                <c:pt idx="27">
                  <c:v>0</c:v>
                </c:pt>
                <c:pt idx="28">
                  <c:v>0.32700000000000001</c:v>
                </c:pt>
                <c:pt idx="29">
                  <c:v>-0.04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1-40FD-A1A9-49E6742A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811760"/>
        <c:axId val="1113813728"/>
      </c:lineChart>
      <c:catAx>
        <c:axId val="111381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3728"/>
        <c:crosses val="autoZero"/>
        <c:auto val="1"/>
        <c:lblAlgn val="ctr"/>
        <c:lblOffset val="100"/>
        <c:noMultiLvlLbl val="0"/>
      </c:catAx>
      <c:valAx>
        <c:axId val="111381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Move</a:t>
                </a:r>
                <a:r>
                  <a:rPr lang="en-GB" baseline="0"/>
                  <a:t> Reward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Good</a:t>
            </a:r>
            <a:r>
              <a:rPr lang="en-GB" baseline="0"/>
              <a:t> dad v2 vs MCTS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v2 vs MCTS Games'!$F$4:$F$6</c:f>
              <c:strCache>
                <c:ptCount val="3"/>
                <c:pt idx="0">
                  <c:v>MCTS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v2 vs MCTS Games'!$G$4:$G$6</c:f>
              <c:numCache>
                <c:formatCode>General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1-4851-985A-E42549CEF6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36-4565-9CC9-312BFAD0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279640"/>
        <c:axId val="804279968"/>
      </c:scatterChart>
      <c:valAx>
        <c:axId val="80427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968"/>
        <c:crosses val="autoZero"/>
        <c:crossBetween val="midCat"/>
      </c:valAx>
      <c:valAx>
        <c:axId val="8042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27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Sheet2!$D$2:$D$2096</c:f>
              <c:numCache>
                <c:formatCode>General</c:formatCode>
                <c:ptCount val="20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4</c:v>
                </c:pt>
                <c:pt idx="1232">
                  <c:v>4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4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4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4</c:v>
                </c:pt>
                <c:pt idx="1292">
                  <c:v>4</c:v>
                </c:pt>
                <c:pt idx="1293">
                  <c:v>4</c:v>
                </c:pt>
                <c:pt idx="1294">
                  <c:v>4</c:v>
                </c:pt>
                <c:pt idx="1295">
                  <c:v>4</c:v>
                </c:pt>
                <c:pt idx="1296">
                  <c:v>4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4</c:v>
                </c:pt>
                <c:pt idx="1302">
                  <c:v>4</c:v>
                </c:pt>
                <c:pt idx="1303">
                  <c:v>4</c:v>
                </c:pt>
                <c:pt idx="1304">
                  <c:v>4</c:v>
                </c:pt>
                <c:pt idx="1305">
                  <c:v>4</c:v>
                </c:pt>
                <c:pt idx="1306">
                  <c:v>4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4</c:v>
                </c:pt>
                <c:pt idx="1311">
                  <c:v>4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4</c:v>
                </c:pt>
                <c:pt idx="1316">
                  <c:v>4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4</c:v>
                </c:pt>
                <c:pt idx="1327">
                  <c:v>4</c:v>
                </c:pt>
                <c:pt idx="1328">
                  <c:v>4</c:v>
                </c:pt>
                <c:pt idx="1329">
                  <c:v>4</c:v>
                </c:pt>
                <c:pt idx="1330">
                  <c:v>4</c:v>
                </c:pt>
                <c:pt idx="1331">
                  <c:v>4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4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4</c:v>
                </c:pt>
                <c:pt idx="1436">
                  <c:v>4</c:v>
                </c:pt>
                <c:pt idx="1437">
                  <c:v>4</c:v>
                </c:pt>
                <c:pt idx="1438">
                  <c:v>4</c:v>
                </c:pt>
                <c:pt idx="1439">
                  <c:v>4</c:v>
                </c:pt>
                <c:pt idx="1440">
                  <c:v>4</c:v>
                </c:pt>
                <c:pt idx="1441">
                  <c:v>4</c:v>
                </c:pt>
                <c:pt idx="1442">
                  <c:v>4</c:v>
                </c:pt>
                <c:pt idx="1443">
                  <c:v>4</c:v>
                </c:pt>
                <c:pt idx="1444">
                  <c:v>4</c:v>
                </c:pt>
                <c:pt idx="1445">
                  <c:v>4</c:v>
                </c:pt>
                <c:pt idx="1446">
                  <c:v>4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6</c:v>
                </c:pt>
                <c:pt idx="1636">
                  <c:v>6</c:v>
                </c:pt>
                <c:pt idx="1637">
                  <c:v>6</c:v>
                </c:pt>
                <c:pt idx="1638">
                  <c:v>6</c:v>
                </c:pt>
                <c:pt idx="1639">
                  <c:v>6</c:v>
                </c:pt>
                <c:pt idx="1640">
                  <c:v>6</c:v>
                </c:pt>
                <c:pt idx="1641">
                  <c:v>6</c:v>
                </c:pt>
                <c:pt idx="1642">
                  <c:v>6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6</c:v>
                </c:pt>
                <c:pt idx="1647">
                  <c:v>6</c:v>
                </c:pt>
                <c:pt idx="1648">
                  <c:v>6</c:v>
                </c:pt>
                <c:pt idx="1649">
                  <c:v>6</c:v>
                </c:pt>
                <c:pt idx="1650">
                  <c:v>6</c:v>
                </c:pt>
                <c:pt idx="1651">
                  <c:v>6</c:v>
                </c:pt>
                <c:pt idx="1652">
                  <c:v>6</c:v>
                </c:pt>
                <c:pt idx="1653">
                  <c:v>6</c:v>
                </c:pt>
                <c:pt idx="1654">
                  <c:v>6</c:v>
                </c:pt>
                <c:pt idx="1655">
                  <c:v>6</c:v>
                </c:pt>
                <c:pt idx="1656">
                  <c:v>6</c:v>
                </c:pt>
                <c:pt idx="1657">
                  <c:v>6</c:v>
                </c:pt>
                <c:pt idx="1658">
                  <c:v>6</c:v>
                </c:pt>
                <c:pt idx="1659">
                  <c:v>6</c:v>
                </c:pt>
                <c:pt idx="1660">
                  <c:v>6</c:v>
                </c:pt>
                <c:pt idx="1661">
                  <c:v>6</c:v>
                </c:pt>
                <c:pt idx="1662">
                  <c:v>6</c:v>
                </c:pt>
                <c:pt idx="1663">
                  <c:v>6</c:v>
                </c:pt>
                <c:pt idx="1664">
                  <c:v>6</c:v>
                </c:pt>
                <c:pt idx="1665">
                  <c:v>6</c:v>
                </c:pt>
                <c:pt idx="1666">
                  <c:v>6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6</c:v>
                </c:pt>
                <c:pt idx="1671">
                  <c:v>6</c:v>
                </c:pt>
                <c:pt idx="1672">
                  <c:v>6</c:v>
                </c:pt>
                <c:pt idx="1673">
                  <c:v>6</c:v>
                </c:pt>
                <c:pt idx="1674">
                  <c:v>6</c:v>
                </c:pt>
                <c:pt idx="1675">
                  <c:v>6</c:v>
                </c:pt>
                <c:pt idx="1676">
                  <c:v>6</c:v>
                </c:pt>
                <c:pt idx="1677">
                  <c:v>6</c:v>
                </c:pt>
                <c:pt idx="1678">
                  <c:v>6</c:v>
                </c:pt>
                <c:pt idx="1679">
                  <c:v>6</c:v>
                </c:pt>
                <c:pt idx="1680">
                  <c:v>6</c:v>
                </c:pt>
                <c:pt idx="1681">
                  <c:v>6</c:v>
                </c:pt>
                <c:pt idx="1682">
                  <c:v>6</c:v>
                </c:pt>
                <c:pt idx="1683">
                  <c:v>6</c:v>
                </c:pt>
                <c:pt idx="1684">
                  <c:v>6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6</c:v>
                </c:pt>
                <c:pt idx="1691">
                  <c:v>6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6</c:v>
                </c:pt>
                <c:pt idx="1698">
                  <c:v>6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6</c:v>
                </c:pt>
                <c:pt idx="1703">
                  <c:v>6</c:v>
                </c:pt>
                <c:pt idx="1704">
                  <c:v>6</c:v>
                </c:pt>
                <c:pt idx="1705">
                  <c:v>6</c:v>
                </c:pt>
                <c:pt idx="1706">
                  <c:v>6</c:v>
                </c:pt>
                <c:pt idx="1707">
                  <c:v>6</c:v>
                </c:pt>
                <c:pt idx="1708">
                  <c:v>6</c:v>
                </c:pt>
                <c:pt idx="1709">
                  <c:v>6</c:v>
                </c:pt>
                <c:pt idx="1710">
                  <c:v>6</c:v>
                </c:pt>
                <c:pt idx="1711">
                  <c:v>6</c:v>
                </c:pt>
                <c:pt idx="1712">
                  <c:v>6</c:v>
                </c:pt>
                <c:pt idx="1713">
                  <c:v>6</c:v>
                </c:pt>
                <c:pt idx="1714">
                  <c:v>6</c:v>
                </c:pt>
                <c:pt idx="1715">
                  <c:v>6</c:v>
                </c:pt>
                <c:pt idx="1716">
                  <c:v>6</c:v>
                </c:pt>
                <c:pt idx="1717">
                  <c:v>6</c:v>
                </c:pt>
                <c:pt idx="1718">
                  <c:v>6</c:v>
                </c:pt>
                <c:pt idx="1719">
                  <c:v>6</c:v>
                </c:pt>
                <c:pt idx="1720">
                  <c:v>6</c:v>
                </c:pt>
                <c:pt idx="1721">
                  <c:v>6</c:v>
                </c:pt>
                <c:pt idx="1722">
                  <c:v>6</c:v>
                </c:pt>
                <c:pt idx="1723">
                  <c:v>6</c:v>
                </c:pt>
                <c:pt idx="1724">
                  <c:v>6</c:v>
                </c:pt>
                <c:pt idx="1725">
                  <c:v>6</c:v>
                </c:pt>
                <c:pt idx="1726">
                  <c:v>6</c:v>
                </c:pt>
                <c:pt idx="1727">
                  <c:v>6</c:v>
                </c:pt>
                <c:pt idx="1728">
                  <c:v>6</c:v>
                </c:pt>
                <c:pt idx="1729">
                  <c:v>6</c:v>
                </c:pt>
                <c:pt idx="1730">
                  <c:v>6</c:v>
                </c:pt>
                <c:pt idx="1731">
                  <c:v>6</c:v>
                </c:pt>
                <c:pt idx="1732">
                  <c:v>6</c:v>
                </c:pt>
                <c:pt idx="1733">
                  <c:v>6</c:v>
                </c:pt>
                <c:pt idx="1734">
                  <c:v>6</c:v>
                </c:pt>
                <c:pt idx="1735">
                  <c:v>6</c:v>
                </c:pt>
                <c:pt idx="1736">
                  <c:v>6</c:v>
                </c:pt>
                <c:pt idx="1737">
                  <c:v>6</c:v>
                </c:pt>
                <c:pt idx="1738">
                  <c:v>6</c:v>
                </c:pt>
                <c:pt idx="1739">
                  <c:v>6</c:v>
                </c:pt>
                <c:pt idx="1740">
                  <c:v>6</c:v>
                </c:pt>
                <c:pt idx="1741">
                  <c:v>6</c:v>
                </c:pt>
                <c:pt idx="1742">
                  <c:v>6</c:v>
                </c:pt>
                <c:pt idx="1743">
                  <c:v>6</c:v>
                </c:pt>
                <c:pt idx="1744">
                  <c:v>6</c:v>
                </c:pt>
                <c:pt idx="1745">
                  <c:v>6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6</c:v>
                </c:pt>
                <c:pt idx="1751">
                  <c:v>6</c:v>
                </c:pt>
                <c:pt idx="1752">
                  <c:v>6</c:v>
                </c:pt>
                <c:pt idx="1753">
                  <c:v>6</c:v>
                </c:pt>
                <c:pt idx="1754">
                  <c:v>6</c:v>
                </c:pt>
                <c:pt idx="1755">
                  <c:v>6</c:v>
                </c:pt>
                <c:pt idx="1756">
                  <c:v>6</c:v>
                </c:pt>
                <c:pt idx="1757">
                  <c:v>6</c:v>
                </c:pt>
                <c:pt idx="1758">
                  <c:v>6</c:v>
                </c:pt>
                <c:pt idx="1759">
                  <c:v>6</c:v>
                </c:pt>
                <c:pt idx="1760">
                  <c:v>6</c:v>
                </c:pt>
                <c:pt idx="1761">
                  <c:v>6</c:v>
                </c:pt>
                <c:pt idx="1762">
                  <c:v>6</c:v>
                </c:pt>
                <c:pt idx="1763">
                  <c:v>6</c:v>
                </c:pt>
                <c:pt idx="1764">
                  <c:v>6</c:v>
                </c:pt>
                <c:pt idx="1765">
                  <c:v>6</c:v>
                </c:pt>
                <c:pt idx="1766">
                  <c:v>6</c:v>
                </c:pt>
                <c:pt idx="1767">
                  <c:v>6</c:v>
                </c:pt>
                <c:pt idx="1768">
                  <c:v>6</c:v>
                </c:pt>
                <c:pt idx="1769">
                  <c:v>6</c:v>
                </c:pt>
                <c:pt idx="1770">
                  <c:v>6</c:v>
                </c:pt>
                <c:pt idx="1771">
                  <c:v>6</c:v>
                </c:pt>
                <c:pt idx="1772">
                  <c:v>6</c:v>
                </c:pt>
                <c:pt idx="1773">
                  <c:v>6</c:v>
                </c:pt>
                <c:pt idx="1774">
                  <c:v>6</c:v>
                </c:pt>
                <c:pt idx="1775">
                  <c:v>6</c:v>
                </c:pt>
                <c:pt idx="1776">
                  <c:v>6</c:v>
                </c:pt>
                <c:pt idx="1777">
                  <c:v>6</c:v>
                </c:pt>
                <c:pt idx="1778">
                  <c:v>6</c:v>
                </c:pt>
                <c:pt idx="1779">
                  <c:v>6</c:v>
                </c:pt>
                <c:pt idx="1780">
                  <c:v>6</c:v>
                </c:pt>
                <c:pt idx="1781">
                  <c:v>6</c:v>
                </c:pt>
                <c:pt idx="1782">
                  <c:v>6</c:v>
                </c:pt>
                <c:pt idx="1783">
                  <c:v>6</c:v>
                </c:pt>
                <c:pt idx="1784">
                  <c:v>6</c:v>
                </c:pt>
                <c:pt idx="1785">
                  <c:v>6</c:v>
                </c:pt>
                <c:pt idx="1786">
                  <c:v>6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10</c:v>
                </c:pt>
                <c:pt idx="1956">
                  <c:v>10</c:v>
                </c:pt>
                <c:pt idx="1957">
                  <c:v>10</c:v>
                </c:pt>
                <c:pt idx="1958">
                  <c:v>10</c:v>
                </c:pt>
                <c:pt idx="1959">
                  <c:v>10</c:v>
                </c:pt>
                <c:pt idx="1960">
                  <c:v>11</c:v>
                </c:pt>
                <c:pt idx="1961">
                  <c:v>11</c:v>
                </c:pt>
                <c:pt idx="1962">
                  <c:v>11</c:v>
                </c:pt>
                <c:pt idx="1963">
                  <c:v>11</c:v>
                </c:pt>
                <c:pt idx="1964">
                  <c:v>11</c:v>
                </c:pt>
                <c:pt idx="1965">
                  <c:v>11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</c:v>
                </c:pt>
                <c:pt idx="1972">
                  <c:v>13</c:v>
                </c:pt>
                <c:pt idx="1973">
                  <c:v>13</c:v>
                </c:pt>
                <c:pt idx="1974">
                  <c:v>13</c:v>
                </c:pt>
                <c:pt idx="1975">
                  <c:v>13</c:v>
                </c:pt>
                <c:pt idx="1976">
                  <c:v>13</c:v>
                </c:pt>
                <c:pt idx="1977">
                  <c:v>13</c:v>
                </c:pt>
                <c:pt idx="1978">
                  <c:v>13</c:v>
                </c:pt>
                <c:pt idx="1979">
                  <c:v>13</c:v>
                </c:pt>
                <c:pt idx="1980">
                  <c:v>14</c:v>
                </c:pt>
                <c:pt idx="1981">
                  <c:v>14</c:v>
                </c:pt>
                <c:pt idx="1982">
                  <c:v>14</c:v>
                </c:pt>
                <c:pt idx="1983">
                  <c:v>14</c:v>
                </c:pt>
                <c:pt idx="1984">
                  <c:v>14</c:v>
                </c:pt>
                <c:pt idx="1985">
                  <c:v>14</c:v>
                </c:pt>
                <c:pt idx="1986">
                  <c:v>14</c:v>
                </c:pt>
                <c:pt idx="1987">
                  <c:v>14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16</c:v>
                </c:pt>
                <c:pt idx="1994">
                  <c:v>16</c:v>
                </c:pt>
                <c:pt idx="1995">
                  <c:v>16</c:v>
                </c:pt>
                <c:pt idx="1996">
                  <c:v>16</c:v>
                </c:pt>
                <c:pt idx="1997">
                  <c:v>16</c:v>
                </c:pt>
                <c:pt idx="1998">
                  <c:v>16</c:v>
                </c:pt>
                <c:pt idx="1999">
                  <c:v>16</c:v>
                </c:pt>
                <c:pt idx="2000">
                  <c:v>17</c:v>
                </c:pt>
                <c:pt idx="2001">
                  <c:v>17</c:v>
                </c:pt>
                <c:pt idx="2002">
                  <c:v>17</c:v>
                </c:pt>
                <c:pt idx="2003">
                  <c:v>18</c:v>
                </c:pt>
                <c:pt idx="2004">
                  <c:v>18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19</c:v>
                </c:pt>
                <c:pt idx="2009">
                  <c:v>19</c:v>
                </c:pt>
                <c:pt idx="2010">
                  <c:v>19</c:v>
                </c:pt>
                <c:pt idx="2011">
                  <c:v>20</c:v>
                </c:pt>
                <c:pt idx="2012">
                  <c:v>20</c:v>
                </c:pt>
                <c:pt idx="2013">
                  <c:v>21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23</c:v>
                </c:pt>
                <c:pt idx="2019">
                  <c:v>23</c:v>
                </c:pt>
                <c:pt idx="2020">
                  <c:v>24</c:v>
                </c:pt>
                <c:pt idx="2021">
                  <c:v>24</c:v>
                </c:pt>
                <c:pt idx="2022">
                  <c:v>25</c:v>
                </c:pt>
                <c:pt idx="2023">
                  <c:v>25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28</c:v>
                </c:pt>
                <c:pt idx="2029">
                  <c:v>28</c:v>
                </c:pt>
                <c:pt idx="2030">
                  <c:v>29</c:v>
                </c:pt>
                <c:pt idx="2031">
                  <c:v>31</c:v>
                </c:pt>
                <c:pt idx="2032">
                  <c:v>31</c:v>
                </c:pt>
                <c:pt idx="2033">
                  <c:v>31</c:v>
                </c:pt>
                <c:pt idx="2034">
                  <c:v>32</c:v>
                </c:pt>
                <c:pt idx="2035">
                  <c:v>32</c:v>
                </c:pt>
                <c:pt idx="2036">
                  <c:v>32</c:v>
                </c:pt>
                <c:pt idx="2037">
                  <c:v>32</c:v>
                </c:pt>
                <c:pt idx="2038">
                  <c:v>32</c:v>
                </c:pt>
                <c:pt idx="2039">
                  <c:v>33</c:v>
                </c:pt>
                <c:pt idx="2040">
                  <c:v>33</c:v>
                </c:pt>
                <c:pt idx="2041">
                  <c:v>34</c:v>
                </c:pt>
                <c:pt idx="2042">
                  <c:v>34</c:v>
                </c:pt>
                <c:pt idx="2043">
                  <c:v>34</c:v>
                </c:pt>
                <c:pt idx="2044">
                  <c:v>35</c:v>
                </c:pt>
                <c:pt idx="2045">
                  <c:v>35</c:v>
                </c:pt>
                <c:pt idx="2046">
                  <c:v>36</c:v>
                </c:pt>
                <c:pt idx="2047">
                  <c:v>36</c:v>
                </c:pt>
                <c:pt idx="2048">
                  <c:v>37</c:v>
                </c:pt>
                <c:pt idx="2049">
                  <c:v>37</c:v>
                </c:pt>
                <c:pt idx="2050">
                  <c:v>37</c:v>
                </c:pt>
                <c:pt idx="2051">
                  <c:v>38</c:v>
                </c:pt>
                <c:pt idx="2052">
                  <c:v>38</c:v>
                </c:pt>
                <c:pt idx="2053">
                  <c:v>39</c:v>
                </c:pt>
                <c:pt idx="2054">
                  <c:v>40</c:v>
                </c:pt>
                <c:pt idx="2055">
                  <c:v>40</c:v>
                </c:pt>
                <c:pt idx="2056">
                  <c:v>40</c:v>
                </c:pt>
                <c:pt idx="2057">
                  <c:v>40</c:v>
                </c:pt>
                <c:pt idx="2058">
                  <c:v>42</c:v>
                </c:pt>
                <c:pt idx="2059">
                  <c:v>43</c:v>
                </c:pt>
                <c:pt idx="2060">
                  <c:v>44</c:v>
                </c:pt>
                <c:pt idx="2061">
                  <c:v>45</c:v>
                </c:pt>
                <c:pt idx="2062">
                  <c:v>45</c:v>
                </c:pt>
                <c:pt idx="2063">
                  <c:v>46</c:v>
                </c:pt>
                <c:pt idx="2064">
                  <c:v>46</c:v>
                </c:pt>
                <c:pt idx="2065">
                  <c:v>47</c:v>
                </c:pt>
                <c:pt idx="2066">
                  <c:v>49</c:v>
                </c:pt>
                <c:pt idx="2067">
                  <c:v>50</c:v>
                </c:pt>
                <c:pt idx="2068">
                  <c:v>51</c:v>
                </c:pt>
                <c:pt idx="2069">
                  <c:v>51</c:v>
                </c:pt>
                <c:pt idx="2070">
                  <c:v>53</c:v>
                </c:pt>
                <c:pt idx="2071">
                  <c:v>53</c:v>
                </c:pt>
                <c:pt idx="2072">
                  <c:v>53</c:v>
                </c:pt>
                <c:pt idx="2073">
                  <c:v>54</c:v>
                </c:pt>
                <c:pt idx="2074">
                  <c:v>54</c:v>
                </c:pt>
                <c:pt idx="2075">
                  <c:v>56</c:v>
                </c:pt>
                <c:pt idx="2076">
                  <c:v>57</c:v>
                </c:pt>
                <c:pt idx="2077">
                  <c:v>59</c:v>
                </c:pt>
                <c:pt idx="2078">
                  <c:v>60</c:v>
                </c:pt>
                <c:pt idx="2079">
                  <c:v>60</c:v>
                </c:pt>
                <c:pt idx="2080">
                  <c:v>62</c:v>
                </c:pt>
                <c:pt idx="2081">
                  <c:v>62</c:v>
                </c:pt>
                <c:pt idx="2082">
                  <c:v>63</c:v>
                </c:pt>
                <c:pt idx="2083">
                  <c:v>65</c:v>
                </c:pt>
                <c:pt idx="2084">
                  <c:v>67</c:v>
                </c:pt>
                <c:pt idx="2085">
                  <c:v>69</c:v>
                </c:pt>
                <c:pt idx="2086">
                  <c:v>70</c:v>
                </c:pt>
                <c:pt idx="2087">
                  <c:v>72</c:v>
                </c:pt>
                <c:pt idx="2088">
                  <c:v>72</c:v>
                </c:pt>
                <c:pt idx="2089">
                  <c:v>74</c:v>
                </c:pt>
                <c:pt idx="2090">
                  <c:v>77</c:v>
                </c:pt>
                <c:pt idx="2091">
                  <c:v>77</c:v>
                </c:pt>
                <c:pt idx="2092">
                  <c:v>79</c:v>
                </c:pt>
                <c:pt idx="2093">
                  <c:v>79</c:v>
                </c:pt>
                <c:pt idx="2094">
                  <c:v>80</c:v>
                </c:pt>
              </c:numCache>
            </c:numRef>
          </c:xVal>
          <c:yVal>
            <c:numRef>
              <c:f>Sheet2!$E$2:$E$2096</c:f>
              <c:numCache>
                <c:formatCode>General</c:formatCode>
                <c:ptCount val="2095"/>
                <c:pt idx="0">
                  <c:v>3.8593787311575464E-2</c:v>
                </c:pt>
                <c:pt idx="1">
                  <c:v>3.8593787311575464E-2</c:v>
                </c:pt>
                <c:pt idx="2">
                  <c:v>3.8593787311575464E-2</c:v>
                </c:pt>
                <c:pt idx="3">
                  <c:v>3.8593787311575464E-2</c:v>
                </c:pt>
                <c:pt idx="4">
                  <c:v>3.8593787311575464E-2</c:v>
                </c:pt>
                <c:pt idx="5">
                  <c:v>3.8593787311575464E-2</c:v>
                </c:pt>
                <c:pt idx="6">
                  <c:v>3.8593787311575464E-2</c:v>
                </c:pt>
                <c:pt idx="7">
                  <c:v>3.8593787311575464E-2</c:v>
                </c:pt>
                <c:pt idx="8">
                  <c:v>3.8593787311575464E-2</c:v>
                </c:pt>
                <c:pt idx="9">
                  <c:v>3.8593787311575464E-2</c:v>
                </c:pt>
                <c:pt idx="10">
                  <c:v>3.8593787311575464E-2</c:v>
                </c:pt>
                <c:pt idx="11">
                  <c:v>3.8593787311575464E-2</c:v>
                </c:pt>
                <c:pt idx="12">
                  <c:v>3.8593787311575464E-2</c:v>
                </c:pt>
                <c:pt idx="13">
                  <c:v>3.8593787311575464E-2</c:v>
                </c:pt>
                <c:pt idx="14">
                  <c:v>3.8593787311575464E-2</c:v>
                </c:pt>
                <c:pt idx="15">
                  <c:v>3.8593787311575464E-2</c:v>
                </c:pt>
                <c:pt idx="16">
                  <c:v>3.8593787311575464E-2</c:v>
                </c:pt>
                <c:pt idx="17">
                  <c:v>3.8593787311575464E-2</c:v>
                </c:pt>
                <c:pt idx="18">
                  <c:v>3.8593787311575464E-2</c:v>
                </c:pt>
                <c:pt idx="19">
                  <c:v>3.8593787311575464E-2</c:v>
                </c:pt>
                <c:pt idx="20">
                  <c:v>3.8593787311575464E-2</c:v>
                </c:pt>
                <c:pt idx="21">
                  <c:v>3.8593787311575464E-2</c:v>
                </c:pt>
                <c:pt idx="22">
                  <c:v>3.8593787311575464E-2</c:v>
                </c:pt>
                <c:pt idx="23">
                  <c:v>3.8593787311575464E-2</c:v>
                </c:pt>
                <c:pt idx="24">
                  <c:v>3.8593787311575464E-2</c:v>
                </c:pt>
                <c:pt idx="25">
                  <c:v>3.8593787311575464E-2</c:v>
                </c:pt>
                <c:pt idx="26">
                  <c:v>3.8593787311575464E-2</c:v>
                </c:pt>
                <c:pt idx="27">
                  <c:v>3.8593787311575464E-2</c:v>
                </c:pt>
                <c:pt idx="28">
                  <c:v>3.8593787311575464E-2</c:v>
                </c:pt>
                <c:pt idx="29">
                  <c:v>3.8593787311575464E-2</c:v>
                </c:pt>
                <c:pt idx="30">
                  <c:v>3.8593787311575464E-2</c:v>
                </c:pt>
                <c:pt idx="31">
                  <c:v>3.8593787311575464E-2</c:v>
                </c:pt>
                <c:pt idx="32">
                  <c:v>3.8593787311575464E-2</c:v>
                </c:pt>
                <c:pt idx="33">
                  <c:v>3.8593787311575464E-2</c:v>
                </c:pt>
                <c:pt idx="34">
                  <c:v>3.8593787311575464E-2</c:v>
                </c:pt>
                <c:pt idx="35">
                  <c:v>3.8593787311575464E-2</c:v>
                </c:pt>
                <c:pt idx="36">
                  <c:v>3.8593787311575464E-2</c:v>
                </c:pt>
                <c:pt idx="37">
                  <c:v>3.8593787311575464E-2</c:v>
                </c:pt>
                <c:pt idx="38">
                  <c:v>3.8593787311575464E-2</c:v>
                </c:pt>
                <c:pt idx="39">
                  <c:v>3.8593787311575464E-2</c:v>
                </c:pt>
                <c:pt idx="40">
                  <c:v>3.8593787311575464E-2</c:v>
                </c:pt>
                <c:pt idx="41">
                  <c:v>3.8593787311575464E-2</c:v>
                </c:pt>
                <c:pt idx="42">
                  <c:v>3.8593787311575464E-2</c:v>
                </c:pt>
                <c:pt idx="43">
                  <c:v>3.8593787311575464E-2</c:v>
                </c:pt>
                <c:pt idx="44">
                  <c:v>3.8593787311575464E-2</c:v>
                </c:pt>
                <c:pt idx="45">
                  <c:v>3.8593787311575464E-2</c:v>
                </c:pt>
                <c:pt idx="46">
                  <c:v>3.8593787311575464E-2</c:v>
                </c:pt>
                <c:pt idx="47">
                  <c:v>3.8593787311575464E-2</c:v>
                </c:pt>
                <c:pt idx="48">
                  <c:v>3.8593787311575464E-2</c:v>
                </c:pt>
                <c:pt idx="49">
                  <c:v>3.8593787311575464E-2</c:v>
                </c:pt>
                <c:pt idx="50">
                  <c:v>3.8593787311575464E-2</c:v>
                </c:pt>
                <c:pt idx="51">
                  <c:v>3.8593787311575464E-2</c:v>
                </c:pt>
                <c:pt idx="52">
                  <c:v>3.8593787311575464E-2</c:v>
                </c:pt>
                <c:pt idx="53">
                  <c:v>3.8593787311575464E-2</c:v>
                </c:pt>
                <c:pt idx="54">
                  <c:v>3.8593787311575464E-2</c:v>
                </c:pt>
                <c:pt idx="55">
                  <c:v>3.8593787311575464E-2</c:v>
                </c:pt>
                <c:pt idx="56">
                  <c:v>3.8593787311575464E-2</c:v>
                </c:pt>
                <c:pt idx="57">
                  <c:v>3.8593787311575464E-2</c:v>
                </c:pt>
                <c:pt idx="58">
                  <c:v>3.8593787311575464E-2</c:v>
                </c:pt>
                <c:pt idx="59">
                  <c:v>3.8593787311575464E-2</c:v>
                </c:pt>
                <c:pt idx="60">
                  <c:v>3.8593787311575464E-2</c:v>
                </c:pt>
                <c:pt idx="61">
                  <c:v>3.8593787311575464E-2</c:v>
                </c:pt>
                <c:pt idx="62">
                  <c:v>3.8593787311575464E-2</c:v>
                </c:pt>
                <c:pt idx="63">
                  <c:v>3.8593787311575464E-2</c:v>
                </c:pt>
                <c:pt idx="64">
                  <c:v>3.8593787311575464E-2</c:v>
                </c:pt>
                <c:pt idx="65">
                  <c:v>3.8593787311575464E-2</c:v>
                </c:pt>
                <c:pt idx="66">
                  <c:v>3.8593787311575464E-2</c:v>
                </c:pt>
                <c:pt idx="67">
                  <c:v>3.8593787311575464E-2</c:v>
                </c:pt>
                <c:pt idx="68">
                  <c:v>3.8593787311575464E-2</c:v>
                </c:pt>
                <c:pt idx="69">
                  <c:v>3.8593787311575464E-2</c:v>
                </c:pt>
                <c:pt idx="70">
                  <c:v>3.8593787311575464E-2</c:v>
                </c:pt>
                <c:pt idx="71">
                  <c:v>3.8593787311575464E-2</c:v>
                </c:pt>
                <c:pt idx="72">
                  <c:v>3.8593787311575464E-2</c:v>
                </c:pt>
                <c:pt idx="73">
                  <c:v>3.8593787311575464E-2</c:v>
                </c:pt>
                <c:pt idx="74">
                  <c:v>3.8593787311575464E-2</c:v>
                </c:pt>
                <c:pt idx="75">
                  <c:v>3.8593787311575464E-2</c:v>
                </c:pt>
                <c:pt idx="76">
                  <c:v>3.8593787311575464E-2</c:v>
                </c:pt>
                <c:pt idx="77">
                  <c:v>3.8593787311575464E-2</c:v>
                </c:pt>
                <c:pt idx="78">
                  <c:v>3.8593787311575464E-2</c:v>
                </c:pt>
                <c:pt idx="79">
                  <c:v>3.8593787311575464E-2</c:v>
                </c:pt>
                <c:pt idx="80">
                  <c:v>3.8593787311575464E-2</c:v>
                </c:pt>
                <c:pt idx="81">
                  <c:v>3.8593787311575464E-2</c:v>
                </c:pt>
                <c:pt idx="82">
                  <c:v>3.8593787311575464E-2</c:v>
                </c:pt>
                <c:pt idx="83">
                  <c:v>3.8593787311575464E-2</c:v>
                </c:pt>
                <c:pt idx="84">
                  <c:v>3.8593787311575464E-2</c:v>
                </c:pt>
                <c:pt idx="85">
                  <c:v>3.8593787311575464E-2</c:v>
                </c:pt>
                <c:pt idx="86">
                  <c:v>3.8593787311575464E-2</c:v>
                </c:pt>
                <c:pt idx="87">
                  <c:v>3.8593787311575464E-2</c:v>
                </c:pt>
                <c:pt idx="88">
                  <c:v>3.8593787311575464E-2</c:v>
                </c:pt>
                <c:pt idx="89">
                  <c:v>3.8593787311575464E-2</c:v>
                </c:pt>
                <c:pt idx="90">
                  <c:v>3.8593787311575464E-2</c:v>
                </c:pt>
                <c:pt idx="91">
                  <c:v>3.8593787311575464E-2</c:v>
                </c:pt>
                <c:pt idx="92">
                  <c:v>3.8593787311575464E-2</c:v>
                </c:pt>
                <c:pt idx="93">
                  <c:v>3.8593787311575464E-2</c:v>
                </c:pt>
                <c:pt idx="94">
                  <c:v>3.8593787311575464E-2</c:v>
                </c:pt>
                <c:pt idx="95">
                  <c:v>3.8593787311575464E-2</c:v>
                </c:pt>
                <c:pt idx="96">
                  <c:v>3.8593787311575464E-2</c:v>
                </c:pt>
                <c:pt idx="97">
                  <c:v>3.8593787311575464E-2</c:v>
                </c:pt>
                <c:pt idx="98">
                  <c:v>3.8593787311575464E-2</c:v>
                </c:pt>
                <c:pt idx="99">
                  <c:v>3.8593787311575464E-2</c:v>
                </c:pt>
                <c:pt idx="100">
                  <c:v>3.8593787311575464E-2</c:v>
                </c:pt>
                <c:pt idx="101">
                  <c:v>3.8593787311575464E-2</c:v>
                </c:pt>
                <c:pt idx="102">
                  <c:v>3.8593787311575464E-2</c:v>
                </c:pt>
                <c:pt idx="103">
                  <c:v>3.8593787311575464E-2</c:v>
                </c:pt>
                <c:pt idx="104">
                  <c:v>3.8593787311575464E-2</c:v>
                </c:pt>
                <c:pt idx="105">
                  <c:v>3.8593787311575464E-2</c:v>
                </c:pt>
                <c:pt idx="106">
                  <c:v>3.8593787311575464E-2</c:v>
                </c:pt>
                <c:pt idx="107">
                  <c:v>3.8593787311575464E-2</c:v>
                </c:pt>
                <c:pt idx="108">
                  <c:v>3.8593787311575464E-2</c:v>
                </c:pt>
                <c:pt idx="109">
                  <c:v>3.8593787311575464E-2</c:v>
                </c:pt>
                <c:pt idx="110">
                  <c:v>3.8593787311575464E-2</c:v>
                </c:pt>
                <c:pt idx="111">
                  <c:v>3.8593787311575464E-2</c:v>
                </c:pt>
                <c:pt idx="112">
                  <c:v>3.8593787311575464E-2</c:v>
                </c:pt>
                <c:pt idx="113">
                  <c:v>3.8593787311575464E-2</c:v>
                </c:pt>
                <c:pt idx="114">
                  <c:v>3.8593787311575464E-2</c:v>
                </c:pt>
                <c:pt idx="115">
                  <c:v>3.8593787311575464E-2</c:v>
                </c:pt>
                <c:pt idx="116">
                  <c:v>3.8593787311575464E-2</c:v>
                </c:pt>
                <c:pt idx="117">
                  <c:v>3.8593787311575464E-2</c:v>
                </c:pt>
                <c:pt idx="118">
                  <c:v>3.8593787311575464E-2</c:v>
                </c:pt>
                <c:pt idx="119">
                  <c:v>3.8593787311575464E-2</c:v>
                </c:pt>
                <c:pt idx="120">
                  <c:v>3.8593787311575464E-2</c:v>
                </c:pt>
                <c:pt idx="121">
                  <c:v>3.8593787311575464E-2</c:v>
                </c:pt>
                <c:pt idx="122">
                  <c:v>3.8593787311575464E-2</c:v>
                </c:pt>
                <c:pt idx="123">
                  <c:v>3.8593787311575464E-2</c:v>
                </c:pt>
                <c:pt idx="124">
                  <c:v>3.8593787311575464E-2</c:v>
                </c:pt>
                <c:pt idx="125">
                  <c:v>3.8593787311575464E-2</c:v>
                </c:pt>
                <c:pt idx="126">
                  <c:v>3.8593787311575464E-2</c:v>
                </c:pt>
                <c:pt idx="127">
                  <c:v>3.8593787311575464E-2</c:v>
                </c:pt>
                <c:pt idx="128">
                  <c:v>3.8593787311575464E-2</c:v>
                </c:pt>
                <c:pt idx="129">
                  <c:v>3.8593787311575464E-2</c:v>
                </c:pt>
                <c:pt idx="130">
                  <c:v>3.8593787311575464E-2</c:v>
                </c:pt>
                <c:pt idx="131">
                  <c:v>3.8593787311575464E-2</c:v>
                </c:pt>
                <c:pt idx="132">
                  <c:v>3.8593787311575464E-2</c:v>
                </c:pt>
                <c:pt idx="133">
                  <c:v>3.8593787311575464E-2</c:v>
                </c:pt>
                <c:pt idx="134">
                  <c:v>3.8593787311575464E-2</c:v>
                </c:pt>
                <c:pt idx="135">
                  <c:v>3.8593787311575464E-2</c:v>
                </c:pt>
                <c:pt idx="136">
                  <c:v>3.8593787311575464E-2</c:v>
                </c:pt>
                <c:pt idx="137">
                  <c:v>3.8593787311575464E-2</c:v>
                </c:pt>
                <c:pt idx="138">
                  <c:v>3.8593787311575464E-2</c:v>
                </c:pt>
                <c:pt idx="139">
                  <c:v>3.8593787311575464E-2</c:v>
                </c:pt>
                <c:pt idx="140">
                  <c:v>3.8593787311575464E-2</c:v>
                </c:pt>
                <c:pt idx="141">
                  <c:v>3.8593787311575464E-2</c:v>
                </c:pt>
                <c:pt idx="142">
                  <c:v>3.8593787311575464E-2</c:v>
                </c:pt>
                <c:pt idx="143">
                  <c:v>3.8593787311575464E-2</c:v>
                </c:pt>
                <c:pt idx="144">
                  <c:v>3.8593787311575464E-2</c:v>
                </c:pt>
                <c:pt idx="145">
                  <c:v>3.8593787311575464E-2</c:v>
                </c:pt>
                <c:pt idx="146">
                  <c:v>3.8593787311575464E-2</c:v>
                </c:pt>
                <c:pt idx="147">
                  <c:v>3.8593787311575464E-2</c:v>
                </c:pt>
                <c:pt idx="148">
                  <c:v>3.8593787311575464E-2</c:v>
                </c:pt>
                <c:pt idx="149">
                  <c:v>3.8593787311575464E-2</c:v>
                </c:pt>
                <c:pt idx="150">
                  <c:v>3.8593787311575464E-2</c:v>
                </c:pt>
                <c:pt idx="151">
                  <c:v>3.8593787311575464E-2</c:v>
                </c:pt>
                <c:pt idx="152">
                  <c:v>3.8593787311575464E-2</c:v>
                </c:pt>
                <c:pt idx="153">
                  <c:v>3.8593787311575464E-2</c:v>
                </c:pt>
                <c:pt idx="154">
                  <c:v>3.8593787311575464E-2</c:v>
                </c:pt>
                <c:pt idx="155">
                  <c:v>3.8593787311575464E-2</c:v>
                </c:pt>
                <c:pt idx="156">
                  <c:v>3.8593787311575464E-2</c:v>
                </c:pt>
                <c:pt idx="157">
                  <c:v>3.8593787311575464E-2</c:v>
                </c:pt>
                <c:pt idx="158">
                  <c:v>3.8593787311575464E-2</c:v>
                </c:pt>
                <c:pt idx="159">
                  <c:v>3.8593787311575464E-2</c:v>
                </c:pt>
                <c:pt idx="160">
                  <c:v>3.8593787311575464E-2</c:v>
                </c:pt>
                <c:pt idx="161">
                  <c:v>3.8593787311575464E-2</c:v>
                </c:pt>
                <c:pt idx="162">
                  <c:v>3.8593787311575464E-2</c:v>
                </c:pt>
                <c:pt idx="163">
                  <c:v>3.8593787311575464E-2</c:v>
                </c:pt>
                <c:pt idx="164">
                  <c:v>3.8593787311575464E-2</c:v>
                </c:pt>
                <c:pt idx="165">
                  <c:v>3.8593787311575464E-2</c:v>
                </c:pt>
                <c:pt idx="166">
                  <c:v>3.8593787311575464E-2</c:v>
                </c:pt>
                <c:pt idx="167">
                  <c:v>3.8593787311575464E-2</c:v>
                </c:pt>
                <c:pt idx="168">
                  <c:v>3.8593787311575464E-2</c:v>
                </c:pt>
                <c:pt idx="169">
                  <c:v>3.8593787311575464E-2</c:v>
                </c:pt>
                <c:pt idx="170">
                  <c:v>3.8593787311575464E-2</c:v>
                </c:pt>
                <c:pt idx="171">
                  <c:v>3.8593787311575464E-2</c:v>
                </c:pt>
                <c:pt idx="172">
                  <c:v>3.8593787311575464E-2</c:v>
                </c:pt>
                <c:pt idx="173">
                  <c:v>3.8593787311575464E-2</c:v>
                </c:pt>
                <c:pt idx="174">
                  <c:v>3.8593787311575464E-2</c:v>
                </c:pt>
                <c:pt idx="175">
                  <c:v>3.8593787311575464E-2</c:v>
                </c:pt>
                <c:pt idx="176">
                  <c:v>3.8593787311575464E-2</c:v>
                </c:pt>
                <c:pt idx="177">
                  <c:v>3.8593787311575464E-2</c:v>
                </c:pt>
                <c:pt idx="178">
                  <c:v>3.8593787311575464E-2</c:v>
                </c:pt>
                <c:pt idx="179">
                  <c:v>3.8593787311575464E-2</c:v>
                </c:pt>
                <c:pt idx="180">
                  <c:v>3.8593787311575464E-2</c:v>
                </c:pt>
                <c:pt idx="181">
                  <c:v>3.8593787311575464E-2</c:v>
                </c:pt>
                <c:pt idx="182">
                  <c:v>3.8593787311575464E-2</c:v>
                </c:pt>
                <c:pt idx="183">
                  <c:v>3.8593787311575464E-2</c:v>
                </c:pt>
                <c:pt idx="184">
                  <c:v>3.8593787311575464E-2</c:v>
                </c:pt>
                <c:pt idx="185">
                  <c:v>3.8593787311575464E-2</c:v>
                </c:pt>
                <c:pt idx="186">
                  <c:v>3.8593787311575464E-2</c:v>
                </c:pt>
                <c:pt idx="187">
                  <c:v>3.8593787311575464E-2</c:v>
                </c:pt>
                <c:pt idx="188">
                  <c:v>3.8593787311575464E-2</c:v>
                </c:pt>
                <c:pt idx="189">
                  <c:v>3.8593787311575464E-2</c:v>
                </c:pt>
                <c:pt idx="190">
                  <c:v>3.8593787311575464E-2</c:v>
                </c:pt>
                <c:pt idx="191">
                  <c:v>3.8593787311575464E-2</c:v>
                </c:pt>
                <c:pt idx="192">
                  <c:v>3.8593787311575464E-2</c:v>
                </c:pt>
                <c:pt idx="193">
                  <c:v>3.8593787311575464E-2</c:v>
                </c:pt>
                <c:pt idx="194">
                  <c:v>3.8593787311575464E-2</c:v>
                </c:pt>
                <c:pt idx="195">
                  <c:v>3.8593787311575464E-2</c:v>
                </c:pt>
                <c:pt idx="196">
                  <c:v>3.8593787311575464E-2</c:v>
                </c:pt>
                <c:pt idx="197">
                  <c:v>3.8593787311575464E-2</c:v>
                </c:pt>
                <c:pt idx="198">
                  <c:v>3.8593787311575464E-2</c:v>
                </c:pt>
                <c:pt idx="199">
                  <c:v>3.8593787311575464E-2</c:v>
                </c:pt>
                <c:pt idx="200">
                  <c:v>3.8593787311575464E-2</c:v>
                </c:pt>
                <c:pt idx="201">
                  <c:v>3.8593787311575464E-2</c:v>
                </c:pt>
                <c:pt idx="202">
                  <c:v>3.8593787311575464E-2</c:v>
                </c:pt>
                <c:pt idx="203">
                  <c:v>3.8593787311575464E-2</c:v>
                </c:pt>
                <c:pt idx="204">
                  <c:v>3.8593787311575464E-2</c:v>
                </c:pt>
                <c:pt idx="205">
                  <c:v>3.8593787311575464E-2</c:v>
                </c:pt>
                <c:pt idx="206">
                  <c:v>3.8593787311575464E-2</c:v>
                </c:pt>
                <c:pt idx="207">
                  <c:v>3.8593787311575464E-2</c:v>
                </c:pt>
                <c:pt idx="208">
                  <c:v>3.8593787311575464E-2</c:v>
                </c:pt>
                <c:pt idx="209">
                  <c:v>3.8593787311575464E-2</c:v>
                </c:pt>
                <c:pt idx="210">
                  <c:v>3.8593787311575464E-2</c:v>
                </c:pt>
                <c:pt idx="211">
                  <c:v>3.8593787311575464E-2</c:v>
                </c:pt>
                <c:pt idx="212">
                  <c:v>3.8593787311575464E-2</c:v>
                </c:pt>
                <c:pt idx="213">
                  <c:v>3.8593787311575464E-2</c:v>
                </c:pt>
                <c:pt idx="214">
                  <c:v>3.8593787311575464E-2</c:v>
                </c:pt>
                <c:pt idx="215">
                  <c:v>3.8593787311575464E-2</c:v>
                </c:pt>
                <c:pt idx="216">
                  <c:v>3.8593787311575464E-2</c:v>
                </c:pt>
                <c:pt idx="217">
                  <c:v>3.8593787311575464E-2</c:v>
                </c:pt>
                <c:pt idx="218">
                  <c:v>3.8593787311575464E-2</c:v>
                </c:pt>
                <c:pt idx="219">
                  <c:v>3.8593787311575464E-2</c:v>
                </c:pt>
                <c:pt idx="220">
                  <c:v>3.8593787311575464E-2</c:v>
                </c:pt>
                <c:pt idx="221">
                  <c:v>3.8593787311575464E-2</c:v>
                </c:pt>
                <c:pt idx="222">
                  <c:v>3.8593787311575464E-2</c:v>
                </c:pt>
                <c:pt idx="223">
                  <c:v>3.8593787311575464E-2</c:v>
                </c:pt>
                <c:pt idx="224">
                  <c:v>3.8593787311575464E-2</c:v>
                </c:pt>
                <c:pt idx="225">
                  <c:v>3.8593787311575464E-2</c:v>
                </c:pt>
                <c:pt idx="226">
                  <c:v>3.8593787311575464E-2</c:v>
                </c:pt>
                <c:pt idx="227">
                  <c:v>3.8593787311575464E-2</c:v>
                </c:pt>
                <c:pt idx="228">
                  <c:v>3.8593787311575464E-2</c:v>
                </c:pt>
                <c:pt idx="229">
                  <c:v>3.8593787311575464E-2</c:v>
                </c:pt>
                <c:pt idx="230">
                  <c:v>3.8593787311575464E-2</c:v>
                </c:pt>
                <c:pt idx="231">
                  <c:v>3.8593787311575464E-2</c:v>
                </c:pt>
                <c:pt idx="232">
                  <c:v>3.8593787311575464E-2</c:v>
                </c:pt>
                <c:pt idx="233">
                  <c:v>3.8593787311575464E-2</c:v>
                </c:pt>
                <c:pt idx="234">
                  <c:v>3.8593787311575464E-2</c:v>
                </c:pt>
                <c:pt idx="235">
                  <c:v>3.8593787311575464E-2</c:v>
                </c:pt>
                <c:pt idx="236">
                  <c:v>3.8593787311575464E-2</c:v>
                </c:pt>
                <c:pt idx="237">
                  <c:v>3.8593787311575464E-2</c:v>
                </c:pt>
                <c:pt idx="238">
                  <c:v>3.8593787311575464E-2</c:v>
                </c:pt>
                <c:pt idx="239">
                  <c:v>3.8593787311575464E-2</c:v>
                </c:pt>
                <c:pt idx="240">
                  <c:v>3.8593787311575464E-2</c:v>
                </c:pt>
                <c:pt idx="241">
                  <c:v>3.8593787311575464E-2</c:v>
                </c:pt>
                <c:pt idx="242">
                  <c:v>3.8593787311575464E-2</c:v>
                </c:pt>
                <c:pt idx="243">
                  <c:v>3.8593787311575464E-2</c:v>
                </c:pt>
                <c:pt idx="244">
                  <c:v>3.8593787311575464E-2</c:v>
                </c:pt>
                <c:pt idx="245">
                  <c:v>3.8593787311575464E-2</c:v>
                </c:pt>
                <c:pt idx="246">
                  <c:v>3.8593787311575464E-2</c:v>
                </c:pt>
                <c:pt idx="247">
                  <c:v>3.8593787311575464E-2</c:v>
                </c:pt>
                <c:pt idx="248">
                  <c:v>3.8593787311575464E-2</c:v>
                </c:pt>
                <c:pt idx="249">
                  <c:v>3.8593787311575464E-2</c:v>
                </c:pt>
                <c:pt idx="250">
                  <c:v>3.8593787311575464E-2</c:v>
                </c:pt>
                <c:pt idx="251">
                  <c:v>3.8593787311575464E-2</c:v>
                </c:pt>
                <c:pt idx="252">
                  <c:v>3.8593787311575464E-2</c:v>
                </c:pt>
                <c:pt idx="253">
                  <c:v>3.8593787311575464E-2</c:v>
                </c:pt>
                <c:pt idx="254">
                  <c:v>3.8593787311575464E-2</c:v>
                </c:pt>
                <c:pt idx="255">
                  <c:v>3.8593787311575464E-2</c:v>
                </c:pt>
                <c:pt idx="256">
                  <c:v>3.8593787311575464E-2</c:v>
                </c:pt>
                <c:pt idx="257">
                  <c:v>3.8593787311575464E-2</c:v>
                </c:pt>
                <c:pt idx="258">
                  <c:v>3.8593787311575464E-2</c:v>
                </c:pt>
                <c:pt idx="259">
                  <c:v>3.8593787311575464E-2</c:v>
                </c:pt>
                <c:pt idx="260">
                  <c:v>3.8593787311575464E-2</c:v>
                </c:pt>
                <c:pt idx="261">
                  <c:v>3.8593787311575464E-2</c:v>
                </c:pt>
                <c:pt idx="262">
                  <c:v>3.8593787311575464E-2</c:v>
                </c:pt>
                <c:pt idx="263">
                  <c:v>3.8593787311575464E-2</c:v>
                </c:pt>
                <c:pt idx="264">
                  <c:v>3.8593787311575464E-2</c:v>
                </c:pt>
                <c:pt idx="265">
                  <c:v>3.8593787311575464E-2</c:v>
                </c:pt>
                <c:pt idx="266">
                  <c:v>3.8593787311575464E-2</c:v>
                </c:pt>
                <c:pt idx="267">
                  <c:v>3.8593787311575464E-2</c:v>
                </c:pt>
                <c:pt idx="268">
                  <c:v>3.8593787311575464E-2</c:v>
                </c:pt>
                <c:pt idx="269">
                  <c:v>3.8593787311575464E-2</c:v>
                </c:pt>
                <c:pt idx="270">
                  <c:v>3.8593787311575464E-2</c:v>
                </c:pt>
                <c:pt idx="271">
                  <c:v>3.8593787311575464E-2</c:v>
                </c:pt>
                <c:pt idx="272">
                  <c:v>3.8593787311575464E-2</c:v>
                </c:pt>
                <c:pt idx="273">
                  <c:v>3.8593787311575464E-2</c:v>
                </c:pt>
                <c:pt idx="274">
                  <c:v>3.8593787311575464E-2</c:v>
                </c:pt>
                <c:pt idx="275">
                  <c:v>3.8593787311575464E-2</c:v>
                </c:pt>
                <c:pt idx="276">
                  <c:v>3.8593787311575464E-2</c:v>
                </c:pt>
                <c:pt idx="277">
                  <c:v>3.8593787311575464E-2</c:v>
                </c:pt>
                <c:pt idx="278">
                  <c:v>3.8593787311575464E-2</c:v>
                </c:pt>
                <c:pt idx="279">
                  <c:v>3.8593787311575464E-2</c:v>
                </c:pt>
                <c:pt idx="280">
                  <c:v>3.8593787311575464E-2</c:v>
                </c:pt>
                <c:pt idx="281">
                  <c:v>3.8593787311575464E-2</c:v>
                </c:pt>
                <c:pt idx="282">
                  <c:v>3.8593787311575464E-2</c:v>
                </c:pt>
                <c:pt idx="283">
                  <c:v>3.8593787311575464E-2</c:v>
                </c:pt>
                <c:pt idx="284">
                  <c:v>3.8593787311575464E-2</c:v>
                </c:pt>
                <c:pt idx="285">
                  <c:v>3.8593787311575464E-2</c:v>
                </c:pt>
                <c:pt idx="286">
                  <c:v>3.8593787311575464E-2</c:v>
                </c:pt>
                <c:pt idx="287">
                  <c:v>3.8593787311575464E-2</c:v>
                </c:pt>
                <c:pt idx="288">
                  <c:v>3.8593787311575464E-2</c:v>
                </c:pt>
                <c:pt idx="289">
                  <c:v>3.8593787311575464E-2</c:v>
                </c:pt>
                <c:pt idx="290">
                  <c:v>3.8593787311575464E-2</c:v>
                </c:pt>
                <c:pt idx="291">
                  <c:v>3.8593787311575464E-2</c:v>
                </c:pt>
                <c:pt idx="292">
                  <c:v>3.8593787311575464E-2</c:v>
                </c:pt>
                <c:pt idx="293">
                  <c:v>3.8593787311575464E-2</c:v>
                </c:pt>
                <c:pt idx="294">
                  <c:v>3.8593787311575464E-2</c:v>
                </c:pt>
                <c:pt idx="295">
                  <c:v>3.8593787311575464E-2</c:v>
                </c:pt>
                <c:pt idx="296">
                  <c:v>3.8593787311575464E-2</c:v>
                </c:pt>
                <c:pt idx="297">
                  <c:v>3.8593787311575464E-2</c:v>
                </c:pt>
                <c:pt idx="298">
                  <c:v>3.8593787311575464E-2</c:v>
                </c:pt>
                <c:pt idx="299">
                  <c:v>3.8593787311575464E-2</c:v>
                </c:pt>
                <c:pt idx="300">
                  <c:v>3.8593787311575464E-2</c:v>
                </c:pt>
                <c:pt idx="301">
                  <c:v>3.8593787311575464E-2</c:v>
                </c:pt>
                <c:pt idx="302">
                  <c:v>3.8593787311575464E-2</c:v>
                </c:pt>
                <c:pt idx="303">
                  <c:v>3.8593787311575464E-2</c:v>
                </c:pt>
                <c:pt idx="304">
                  <c:v>3.8593787311575464E-2</c:v>
                </c:pt>
                <c:pt idx="305">
                  <c:v>3.8593787311575464E-2</c:v>
                </c:pt>
                <c:pt idx="306">
                  <c:v>3.8593787311575464E-2</c:v>
                </c:pt>
                <c:pt idx="307">
                  <c:v>3.8593787311575464E-2</c:v>
                </c:pt>
                <c:pt idx="308">
                  <c:v>3.8593787311575464E-2</c:v>
                </c:pt>
                <c:pt idx="309">
                  <c:v>3.8593787311575464E-2</c:v>
                </c:pt>
                <c:pt idx="310">
                  <c:v>3.8593787311575464E-2</c:v>
                </c:pt>
                <c:pt idx="311">
                  <c:v>3.8593787311575464E-2</c:v>
                </c:pt>
                <c:pt idx="312">
                  <c:v>3.8593787311575464E-2</c:v>
                </c:pt>
                <c:pt idx="313">
                  <c:v>3.8593787311575464E-2</c:v>
                </c:pt>
                <c:pt idx="314">
                  <c:v>3.8593787311575464E-2</c:v>
                </c:pt>
                <c:pt idx="315">
                  <c:v>3.8593787311575464E-2</c:v>
                </c:pt>
                <c:pt idx="316">
                  <c:v>3.8593787311575464E-2</c:v>
                </c:pt>
                <c:pt idx="317">
                  <c:v>3.8593787311575464E-2</c:v>
                </c:pt>
                <c:pt idx="318">
                  <c:v>3.8593787311575464E-2</c:v>
                </c:pt>
                <c:pt idx="319">
                  <c:v>3.8593787311575464E-2</c:v>
                </c:pt>
                <c:pt idx="320">
                  <c:v>3.8593787311575464E-2</c:v>
                </c:pt>
                <c:pt idx="321">
                  <c:v>3.8593787311575464E-2</c:v>
                </c:pt>
                <c:pt idx="322">
                  <c:v>3.8593787311575464E-2</c:v>
                </c:pt>
                <c:pt idx="323">
                  <c:v>3.8593787311575464E-2</c:v>
                </c:pt>
                <c:pt idx="324">
                  <c:v>3.8593787311575464E-2</c:v>
                </c:pt>
                <c:pt idx="325">
                  <c:v>3.8593787311575464E-2</c:v>
                </c:pt>
                <c:pt idx="326">
                  <c:v>3.8593787311575464E-2</c:v>
                </c:pt>
                <c:pt idx="327">
                  <c:v>3.8593787311575464E-2</c:v>
                </c:pt>
                <c:pt idx="328">
                  <c:v>3.8593787311575464E-2</c:v>
                </c:pt>
                <c:pt idx="329">
                  <c:v>3.8593787311575464E-2</c:v>
                </c:pt>
                <c:pt idx="330">
                  <c:v>3.8593787311575464E-2</c:v>
                </c:pt>
                <c:pt idx="331">
                  <c:v>3.8593787311575464E-2</c:v>
                </c:pt>
                <c:pt idx="332">
                  <c:v>3.8593787311575464E-2</c:v>
                </c:pt>
                <c:pt idx="333">
                  <c:v>3.8593787311575464E-2</c:v>
                </c:pt>
                <c:pt idx="334">
                  <c:v>3.8593787311575464E-2</c:v>
                </c:pt>
                <c:pt idx="335">
                  <c:v>3.8593787311575464E-2</c:v>
                </c:pt>
                <c:pt idx="336">
                  <c:v>3.8593787311575464E-2</c:v>
                </c:pt>
                <c:pt idx="337">
                  <c:v>3.8593787311575464E-2</c:v>
                </c:pt>
                <c:pt idx="338">
                  <c:v>3.8593787311575464E-2</c:v>
                </c:pt>
                <c:pt idx="339">
                  <c:v>3.8593787311575464E-2</c:v>
                </c:pt>
                <c:pt idx="340">
                  <c:v>3.8593787311575464E-2</c:v>
                </c:pt>
                <c:pt idx="341">
                  <c:v>3.8593787311575464E-2</c:v>
                </c:pt>
                <c:pt idx="342">
                  <c:v>3.8593787311575464E-2</c:v>
                </c:pt>
                <c:pt idx="343">
                  <c:v>3.8593787311575464E-2</c:v>
                </c:pt>
                <c:pt idx="344">
                  <c:v>3.8593787311575464E-2</c:v>
                </c:pt>
                <c:pt idx="345">
                  <c:v>3.8593787311575464E-2</c:v>
                </c:pt>
                <c:pt idx="346">
                  <c:v>3.8593787311575464E-2</c:v>
                </c:pt>
                <c:pt idx="347">
                  <c:v>3.8593787311575464E-2</c:v>
                </c:pt>
                <c:pt idx="348">
                  <c:v>3.8593787311575464E-2</c:v>
                </c:pt>
                <c:pt idx="349">
                  <c:v>3.8593787311575464E-2</c:v>
                </c:pt>
                <c:pt idx="350">
                  <c:v>3.8593787311575464E-2</c:v>
                </c:pt>
                <c:pt idx="351">
                  <c:v>3.8593787311575464E-2</c:v>
                </c:pt>
                <c:pt idx="352">
                  <c:v>3.8593787311575464E-2</c:v>
                </c:pt>
                <c:pt idx="353">
                  <c:v>3.8593787311575464E-2</c:v>
                </c:pt>
                <c:pt idx="354">
                  <c:v>3.8593787311575464E-2</c:v>
                </c:pt>
                <c:pt idx="355">
                  <c:v>3.8593787311575464E-2</c:v>
                </c:pt>
                <c:pt idx="356">
                  <c:v>3.8593787311575464E-2</c:v>
                </c:pt>
                <c:pt idx="357">
                  <c:v>3.8593787311575464E-2</c:v>
                </c:pt>
                <c:pt idx="358">
                  <c:v>3.8593787311575464E-2</c:v>
                </c:pt>
                <c:pt idx="359">
                  <c:v>3.8593787311575464E-2</c:v>
                </c:pt>
                <c:pt idx="360">
                  <c:v>3.8593787311575464E-2</c:v>
                </c:pt>
                <c:pt idx="361">
                  <c:v>3.8593787311575464E-2</c:v>
                </c:pt>
                <c:pt idx="362">
                  <c:v>3.8593787311575464E-2</c:v>
                </c:pt>
                <c:pt idx="363">
                  <c:v>3.8593787311575464E-2</c:v>
                </c:pt>
                <c:pt idx="364">
                  <c:v>3.8593787311575464E-2</c:v>
                </c:pt>
                <c:pt idx="365">
                  <c:v>3.8593787311575464E-2</c:v>
                </c:pt>
                <c:pt idx="366">
                  <c:v>3.8593787311575464E-2</c:v>
                </c:pt>
                <c:pt idx="367">
                  <c:v>3.8593787311575464E-2</c:v>
                </c:pt>
                <c:pt idx="368">
                  <c:v>3.8593787311575464E-2</c:v>
                </c:pt>
                <c:pt idx="369">
                  <c:v>3.8593787311575464E-2</c:v>
                </c:pt>
                <c:pt idx="370">
                  <c:v>3.8593787311575464E-2</c:v>
                </c:pt>
                <c:pt idx="371">
                  <c:v>3.8593787311575464E-2</c:v>
                </c:pt>
                <c:pt idx="372">
                  <c:v>3.8593787311575464E-2</c:v>
                </c:pt>
                <c:pt idx="373">
                  <c:v>3.8593787311575464E-2</c:v>
                </c:pt>
                <c:pt idx="374">
                  <c:v>3.8593787311575464E-2</c:v>
                </c:pt>
                <c:pt idx="375">
                  <c:v>3.8593787311575464E-2</c:v>
                </c:pt>
                <c:pt idx="376">
                  <c:v>3.8593787311575464E-2</c:v>
                </c:pt>
                <c:pt idx="377">
                  <c:v>3.8593787311575464E-2</c:v>
                </c:pt>
                <c:pt idx="378">
                  <c:v>3.8593787311575464E-2</c:v>
                </c:pt>
                <c:pt idx="379">
                  <c:v>3.8593787311575464E-2</c:v>
                </c:pt>
                <c:pt idx="380">
                  <c:v>3.8593787311575464E-2</c:v>
                </c:pt>
                <c:pt idx="381">
                  <c:v>3.8593787311575464E-2</c:v>
                </c:pt>
                <c:pt idx="382">
                  <c:v>3.8593787311575464E-2</c:v>
                </c:pt>
                <c:pt idx="383">
                  <c:v>3.8593787311575464E-2</c:v>
                </c:pt>
                <c:pt idx="384">
                  <c:v>3.8593787311575464E-2</c:v>
                </c:pt>
                <c:pt idx="385">
                  <c:v>3.8593787311575464E-2</c:v>
                </c:pt>
                <c:pt idx="386">
                  <c:v>3.8593787311575464E-2</c:v>
                </c:pt>
                <c:pt idx="387">
                  <c:v>3.8593787311575464E-2</c:v>
                </c:pt>
                <c:pt idx="388">
                  <c:v>3.8593787311575464E-2</c:v>
                </c:pt>
                <c:pt idx="389">
                  <c:v>3.8593787311575464E-2</c:v>
                </c:pt>
                <c:pt idx="390">
                  <c:v>3.8593787311575464E-2</c:v>
                </c:pt>
                <c:pt idx="391">
                  <c:v>3.8593787311575464E-2</c:v>
                </c:pt>
                <c:pt idx="392">
                  <c:v>3.8593787311575464E-2</c:v>
                </c:pt>
                <c:pt idx="393">
                  <c:v>3.8593787311575464E-2</c:v>
                </c:pt>
                <c:pt idx="394">
                  <c:v>3.8593787311575464E-2</c:v>
                </c:pt>
                <c:pt idx="395">
                  <c:v>3.8593787311575464E-2</c:v>
                </c:pt>
                <c:pt idx="396">
                  <c:v>3.8593787311575464E-2</c:v>
                </c:pt>
                <c:pt idx="397">
                  <c:v>3.8593787311575464E-2</c:v>
                </c:pt>
                <c:pt idx="398">
                  <c:v>3.8593787311575464E-2</c:v>
                </c:pt>
                <c:pt idx="399">
                  <c:v>3.8593787311575464E-2</c:v>
                </c:pt>
                <c:pt idx="400">
                  <c:v>3.8593787311575464E-2</c:v>
                </c:pt>
                <c:pt idx="401">
                  <c:v>3.8593787311575464E-2</c:v>
                </c:pt>
                <c:pt idx="402">
                  <c:v>3.8593787311575464E-2</c:v>
                </c:pt>
                <c:pt idx="403">
                  <c:v>3.8593787311575464E-2</c:v>
                </c:pt>
                <c:pt idx="404">
                  <c:v>3.8593787311575464E-2</c:v>
                </c:pt>
                <c:pt idx="405">
                  <c:v>3.8593787311575464E-2</c:v>
                </c:pt>
                <c:pt idx="406">
                  <c:v>3.8593787311575464E-2</c:v>
                </c:pt>
                <c:pt idx="407">
                  <c:v>3.8593787311575464E-2</c:v>
                </c:pt>
                <c:pt idx="408">
                  <c:v>3.8593787311575464E-2</c:v>
                </c:pt>
                <c:pt idx="409">
                  <c:v>3.8593787311575464E-2</c:v>
                </c:pt>
                <c:pt idx="410">
                  <c:v>3.8593787311575464E-2</c:v>
                </c:pt>
                <c:pt idx="411">
                  <c:v>3.8593787311575464E-2</c:v>
                </c:pt>
                <c:pt idx="412">
                  <c:v>3.8593787311575464E-2</c:v>
                </c:pt>
                <c:pt idx="413">
                  <c:v>3.8593787311575464E-2</c:v>
                </c:pt>
                <c:pt idx="414">
                  <c:v>3.8593787311575464E-2</c:v>
                </c:pt>
                <c:pt idx="415">
                  <c:v>3.8593787311575464E-2</c:v>
                </c:pt>
                <c:pt idx="416">
                  <c:v>3.8593787311575464E-2</c:v>
                </c:pt>
                <c:pt idx="417">
                  <c:v>3.8593787311575464E-2</c:v>
                </c:pt>
                <c:pt idx="418">
                  <c:v>3.8593787311575464E-2</c:v>
                </c:pt>
                <c:pt idx="419">
                  <c:v>3.8593787311575464E-2</c:v>
                </c:pt>
                <c:pt idx="420">
                  <c:v>3.8593787311575464E-2</c:v>
                </c:pt>
                <c:pt idx="421">
                  <c:v>3.8593787311575464E-2</c:v>
                </c:pt>
                <c:pt idx="422">
                  <c:v>3.8593787311575464E-2</c:v>
                </c:pt>
                <c:pt idx="423">
                  <c:v>3.8593787311575464E-2</c:v>
                </c:pt>
                <c:pt idx="424">
                  <c:v>3.8593787311575464E-2</c:v>
                </c:pt>
                <c:pt idx="425">
                  <c:v>3.8593787311575464E-2</c:v>
                </c:pt>
                <c:pt idx="426">
                  <c:v>3.8593787311575464E-2</c:v>
                </c:pt>
                <c:pt idx="427">
                  <c:v>3.8593787311575464E-2</c:v>
                </c:pt>
                <c:pt idx="428">
                  <c:v>3.8593787311575464E-2</c:v>
                </c:pt>
                <c:pt idx="429">
                  <c:v>3.8593787311575464E-2</c:v>
                </c:pt>
                <c:pt idx="430">
                  <c:v>3.8593787311575464E-2</c:v>
                </c:pt>
                <c:pt idx="431">
                  <c:v>3.8593787311575464E-2</c:v>
                </c:pt>
                <c:pt idx="432">
                  <c:v>3.8593787311575464E-2</c:v>
                </c:pt>
                <c:pt idx="433">
                  <c:v>3.8593787311575464E-2</c:v>
                </c:pt>
                <c:pt idx="434">
                  <c:v>3.8593787311575464E-2</c:v>
                </c:pt>
                <c:pt idx="435">
                  <c:v>3.8593787311575464E-2</c:v>
                </c:pt>
                <c:pt idx="436">
                  <c:v>3.8593787311575464E-2</c:v>
                </c:pt>
                <c:pt idx="437">
                  <c:v>3.8593787311575464E-2</c:v>
                </c:pt>
                <c:pt idx="438">
                  <c:v>3.8593787311575464E-2</c:v>
                </c:pt>
                <c:pt idx="439">
                  <c:v>3.8593787311575464E-2</c:v>
                </c:pt>
                <c:pt idx="440">
                  <c:v>3.8593787311575464E-2</c:v>
                </c:pt>
                <c:pt idx="441">
                  <c:v>3.8593787311575464E-2</c:v>
                </c:pt>
                <c:pt idx="442">
                  <c:v>3.8593787311575464E-2</c:v>
                </c:pt>
                <c:pt idx="443">
                  <c:v>3.8593787311575464E-2</c:v>
                </c:pt>
                <c:pt idx="444">
                  <c:v>3.8593787311575464E-2</c:v>
                </c:pt>
                <c:pt idx="445">
                  <c:v>3.8593787311575464E-2</c:v>
                </c:pt>
                <c:pt idx="446">
                  <c:v>3.8593787311575464E-2</c:v>
                </c:pt>
                <c:pt idx="447">
                  <c:v>3.8593787311575464E-2</c:v>
                </c:pt>
                <c:pt idx="448">
                  <c:v>3.8593787311575464E-2</c:v>
                </c:pt>
                <c:pt idx="449">
                  <c:v>3.8593787311575464E-2</c:v>
                </c:pt>
                <c:pt idx="450">
                  <c:v>3.8593787311575464E-2</c:v>
                </c:pt>
                <c:pt idx="451">
                  <c:v>3.8593787311575464E-2</c:v>
                </c:pt>
                <c:pt idx="452">
                  <c:v>3.8593787311575464E-2</c:v>
                </c:pt>
                <c:pt idx="453">
                  <c:v>3.8593787311575464E-2</c:v>
                </c:pt>
                <c:pt idx="454">
                  <c:v>3.8593787311575464E-2</c:v>
                </c:pt>
                <c:pt idx="455">
                  <c:v>3.8593787311575464E-2</c:v>
                </c:pt>
                <c:pt idx="456">
                  <c:v>3.8593787311575464E-2</c:v>
                </c:pt>
                <c:pt idx="457">
                  <c:v>3.8593787311575464E-2</c:v>
                </c:pt>
                <c:pt idx="458">
                  <c:v>3.8593787311575464E-2</c:v>
                </c:pt>
                <c:pt idx="459">
                  <c:v>3.8593787311575464E-2</c:v>
                </c:pt>
                <c:pt idx="460">
                  <c:v>3.8593787311575464E-2</c:v>
                </c:pt>
                <c:pt idx="461">
                  <c:v>3.8593787311575464E-2</c:v>
                </c:pt>
                <c:pt idx="462">
                  <c:v>3.8593787311575464E-2</c:v>
                </c:pt>
                <c:pt idx="463">
                  <c:v>3.8593787311575464E-2</c:v>
                </c:pt>
                <c:pt idx="464">
                  <c:v>3.8593787311575464E-2</c:v>
                </c:pt>
                <c:pt idx="465">
                  <c:v>3.8593787311575464E-2</c:v>
                </c:pt>
                <c:pt idx="466">
                  <c:v>3.8593787311575464E-2</c:v>
                </c:pt>
                <c:pt idx="467">
                  <c:v>3.8593787311575464E-2</c:v>
                </c:pt>
                <c:pt idx="468">
                  <c:v>3.8593787311575464E-2</c:v>
                </c:pt>
                <c:pt idx="469">
                  <c:v>3.8593787311575464E-2</c:v>
                </c:pt>
                <c:pt idx="470">
                  <c:v>3.8593787311575464E-2</c:v>
                </c:pt>
                <c:pt idx="471">
                  <c:v>3.8593787311575464E-2</c:v>
                </c:pt>
                <c:pt idx="472">
                  <c:v>3.8593787311575464E-2</c:v>
                </c:pt>
                <c:pt idx="473">
                  <c:v>3.8593787311575464E-2</c:v>
                </c:pt>
                <c:pt idx="474">
                  <c:v>3.8593787311575464E-2</c:v>
                </c:pt>
                <c:pt idx="475">
                  <c:v>3.8593787311575464E-2</c:v>
                </c:pt>
                <c:pt idx="476">
                  <c:v>3.8593787311575464E-2</c:v>
                </c:pt>
                <c:pt idx="477">
                  <c:v>3.8593787311575464E-2</c:v>
                </c:pt>
                <c:pt idx="478">
                  <c:v>3.8593787311575464E-2</c:v>
                </c:pt>
                <c:pt idx="479">
                  <c:v>3.8593787311575464E-2</c:v>
                </c:pt>
                <c:pt idx="480">
                  <c:v>3.8593787311575464E-2</c:v>
                </c:pt>
                <c:pt idx="481">
                  <c:v>3.8593787311575464E-2</c:v>
                </c:pt>
                <c:pt idx="482">
                  <c:v>3.8593787311575464E-2</c:v>
                </c:pt>
                <c:pt idx="483">
                  <c:v>3.8593787311575464E-2</c:v>
                </c:pt>
                <c:pt idx="484">
                  <c:v>3.8593787311575464E-2</c:v>
                </c:pt>
                <c:pt idx="485">
                  <c:v>3.8593787311575464E-2</c:v>
                </c:pt>
                <c:pt idx="486">
                  <c:v>3.8593787311575464E-2</c:v>
                </c:pt>
                <c:pt idx="487">
                  <c:v>3.8593787311575464E-2</c:v>
                </c:pt>
                <c:pt idx="488">
                  <c:v>3.8593787311575464E-2</c:v>
                </c:pt>
                <c:pt idx="489">
                  <c:v>3.8593787311575464E-2</c:v>
                </c:pt>
                <c:pt idx="490">
                  <c:v>3.8593787311575464E-2</c:v>
                </c:pt>
                <c:pt idx="491">
                  <c:v>3.8593787311575464E-2</c:v>
                </c:pt>
                <c:pt idx="492">
                  <c:v>3.8593787311575464E-2</c:v>
                </c:pt>
                <c:pt idx="493">
                  <c:v>3.8593787311575464E-2</c:v>
                </c:pt>
                <c:pt idx="494">
                  <c:v>3.8593787311575464E-2</c:v>
                </c:pt>
                <c:pt idx="495">
                  <c:v>3.8593787311575464E-2</c:v>
                </c:pt>
                <c:pt idx="496">
                  <c:v>4.0615477118338829E-2</c:v>
                </c:pt>
                <c:pt idx="497">
                  <c:v>4.0615477118338829E-2</c:v>
                </c:pt>
                <c:pt idx="498">
                  <c:v>4.0615477118338829E-2</c:v>
                </c:pt>
                <c:pt idx="499">
                  <c:v>4.0615477118338829E-2</c:v>
                </c:pt>
                <c:pt idx="500">
                  <c:v>4.0615477118338829E-2</c:v>
                </c:pt>
                <c:pt idx="501">
                  <c:v>4.0615477118338829E-2</c:v>
                </c:pt>
                <c:pt idx="502">
                  <c:v>4.0615477118338829E-2</c:v>
                </c:pt>
                <c:pt idx="503">
                  <c:v>4.0615477118338829E-2</c:v>
                </c:pt>
                <c:pt idx="504">
                  <c:v>4.0615477118338829E-2</c:v>
                </c:pt>
                <c:pt idx="505">
                  <c:v>4.0615477118338829E-2</c:v>
                </c:pt>
                <c:pt idx="506">
                  <c:v>4.0615477118338829E-2</c:v>
                </c:pt>
                <c:pt idx="507">
                  <c:v>4.0615477118338829E-2</c:v>
                </c:pt>
                <c:pt idx="508">
                  <c:v>4.0615477118338829E-2</c:v>
                </c:pt>
                <c:pt idx="509">
                  <c:v>4.0615477118338829E-2</c:v>
                </c:pt>
                <c:pt idx="510">
                  <c:v>4.0615477118338829E-2</c:v>
                </c:pt>
                <c:pt idx="511">
                  <c:v>4.0615477118338829E-2</c:v>
                </c:pt>
                <c:pt idx="512">
                  <c:v>4.0615477118338829E-2</c:v>
                </c:pt>
                <c:pt idx="513">
                  <c:v>4.0615477118338829E-2</c:v>
                </c:pt>
                <c:pt idx="514">
                  <c:v>4.0615477118338829E-2</c:v>
                </c:pt>
                <c:pt idx="515">
                  <c:v>4.0615477118338829E-2</c:v>
                </c:pt>
                <c:pt idx="516">
                  <c:v>4.0615477118338829E-2</c:v>
                </c:pt>
                <c:pt idx="517">
                  <c:v>4.0615477118338829E-2</c:v>
                </c:pt>
                <c:pt idx="518">
                  <c:v>4.0615477118338829E-2</c:v>
                </c:pt>
                <c:pt idx="519">
                  <c:v>4.0615477118338829E-2</c:v>
                </c:pt>
                <c:pt idx="520">
                  <c:v>4.0615477118338829E-2</c:v>
                </c:pt>
                <c:pt idx="521">
                  <c:v>4.0615477118338829E-2</c:v>
                </c:pt>
                <c:pt idx="522">
                  <c:v>4.0615477118338829E-2</c:v>
                </c:pt>
                <c:pt idx="523">
                  <c:v>4.0615477118338829E-2</c:v>
                </c:pt>
                <c:pt idx="524">
                  <c:v>4.0615477118338829E-2</c:v>
                </c:pt>
                <c:pt idx="525">
                  <c:v>4.0615477118338829E-2</c:v>
                </c:pt>
                <c:pt idx="526">
                  <c:v>4.0615477118338829E-2</c:v>
                </c:pt>
                <c:pt idx="527">
                  <c:v>4.0615477118338829E-2</c:v>
                </c:pt>
                <c:pt idx="528">
                  <c:v>4.0615477118338829E-2</c:v>
                </c:pt>
                <c:pt idx="529">
                  <c:v>4.0615477118338829E-2</c:v>
                </c:pt>
                <c:pt idx="530">
                  <c:v>4.0615477118338829E-2</c:v>
                </c:pt>
                <c:pt idx="531">
                  <c:v>4.0615477118338829E-2</c:v>
                </c:pt>
                <c:pt idx="532">
                  <c:v>4.0615477118338829E-2</c:v>
                </c:pt>
                <c:pt idx="533">
                  <c:v>4.0615477118338829E-2</c:v>
                </c:pt>
                <c:pt idx="534">
                  <c:v>4.0615477118338829E-2</c:v>
                </c:pt>
                <c:pt idx="535">
                  <c:v>4.0615477118338829E-2</c:v>
                </c:pt>
                <c:pt idx="536">
                  <c:v>4.0615477118338829E-2</c:v>
                </c:pt>
                <c:pt idx="537">
                  <c:v>4.0615477118338829E-2</c:v>
                </c:pt>
                <c:pt idx="538">
                  <c:v>4.0615477118338829E-2</c:v>
                </c:pt>
                <c:pt idx="539">
                  <c:v>4.0615477118338829E-2</c:v>
                </c:pt>
                <c:pt idx="540">
                  <c:v>4.0615477118338829E-2</c:v>
                </c:pt>
                <c:pt idx="541">
                  <c:v>4.0615477118338829E-2</c:v>
                </c:pt>
                <c:pt idx="542">
                  <c:v>4.0615477118338829E-2</c:v>
                </c:pt>
                <c:pt idx="543">
                  <c:v>4.0615477118338829E-2</c:v>
                </c:pt>
                <c:pt idx="544">
                  <c:v>4.0615477118338829E-2</c:v>
                </c:pt>
                <c:pt idx="545">
                  <c:v>4.0615477118338829E-2</c:v>
                </c:pt>
                <c:pt idx="546">
                  <c:v>4.0615477118338829E-2</c:v>
                </c:pt>
                <c:pt idx="547">
                  <c:v>4.0615477118338829E-2</c:v>
                </c:pt>
                <c:pt idx="548">
                  <c:v>4.0615477118338829E-2</c:v>
                </c:pt>
                <c:pt idx="549">
                  <c:v>4.0615477118338829E-2</c:v>
                </c:pt>
                <c:pt idx="550">
                  <c:v>4.0615477118338829E-2</c:v>
                </c:pt>
                <c:pt idx="551">
                  <c:v>4.0615477118338829E-2</c:v>
                </c:pt>
                <c:pt idx="552">
                  <c:v>4.0615477118338829E-2</c:v>
                </c:pt>
                <c:pt idx="553">
                  <c:v>4.0615477118338829E-2</c:v>
                </c:pt>
                <c:pt idx="554">
                  <c:v>4.0615477118338829E-2</c:v>
                </c:pt>
                <c:pt idx="555">
                  <c:v>4.0615477118338829E-2</c:v>
                </c:pt>
                <c:pt idx="556">
                  <c:v>4.0615477118338829E-2</c:v>
                </c:pt>
                <c:pt idx="557">
                  <c:v>4.0615477118338829E-2</c:v>
                </c:pt>
                <c:pt idx="558">
                  <c:v>4.0615477118338829E-2</c:v>
                </c:pt>
                <c:pt idx="559">
                  <c:v>4.0615477118338829E-2</c:v>
                </c:pt>
                <c:pt idx="560">
                  <c:v>4.0615477118338829E-2</c:v>
                </c:pt>
                <c:pt idx="561">
                  <c:v>4.0615477118338829E-2</c:v>
                </c:pt>
                <c:pt idx="562">
                  <c:v>4.0615477118338829E-2</c:v>
                </c:pt>
                <c:pt idx="563">
                  <c:v>4.0615477118338829E-2</c:v>
                </c:pt>
                <c:pt idx="564">
                  <c:v>4.0615477118338829E-2</c:v>
                </c:pt>
                <c:pt idx="565">
                  <c:v>4.0615477118338829E-2</c:v>
                </c:pt>
                <c:pt idx="566">
                  <c:v>4.0615477118338829E-2</c:v>
                </c:pt>
                <c:pt idx="567">
                  <c:v>4.0615477118338829E-2</c:v>
                </c:pt>
                <c:pt idx="568">
                  <c:v>4.0615477118338829E-2</c:v>
                </c:pt>
                <c:pt idx="569">
                  <c:v>4.0615477118338829E-2</c:v>
                </c:pt>
                <c:pt idx="570">
                  <c:v>4.0615477118338829E-2</c:v>
                </c:pt>
                <c:pt idx="571">
                  <c:v>4.0615477118338829E-2</c:v>
                </c:pt>
                <c:pt idx="572">
                  <c:v>4.0615477118338829E-2</c:v>
                </c:pt>
                <c:pt idx="573">
                  <c:v>4.0615477118338829E-2</c:v>
                </c:pt>
                <c:pt idx="574">
                  <c:v>4.0615477118338829E-2</c:v>
                </c:pt>
                <c:pt idx="575">
                  <c:v>4.0615477118338829E-2</c:v>
                </c:pt>
                <c:pt idx="576">
                  <c:v>4.0615477118338829E-2</c:v>
                </c:pt>
                <c:pt idx="577">
                  <c:v>4.0615477118338829E-2</c:v>
                </c:pt>
                <c:pt idx="578">
                  <c:v>4.0615477118338829E-2</c:v>
                </c:pt>
                <c:pt idx="579">
                  <c:v>4.0615477118338829E-2</c:v>
                </c:pt>
                <c:pt idx="580">
                  <c:v>4.0615477118338829E-2</c:v>
                </c:pt>
                <c:pt idx="581">
                  <c:v>4.0615477118338829E-2</c:v>
                </c:pt>
                <c:pt idx="582">
                  <c:v>4.0615477118338829E-2</c:v>
                </c:pt>
                <c:pt idx="583">
                  <c:v>4.0615477118338829E-2</c:v>
                </c:pt>
                <c:pt idx="584">
                  <c:v>4.0615477118338829E-2</c:v>
                </c:pt>
                <c:pt idx="585">
                  <c:v>4.0615477118338829E-2</c:v>
                </c:pt>
                <c:pt idx="586">
                  <c:v>4.0615477118338829E-2</c:v>
                </c:pt>
                <c:pt idx="587">
                  <c:v>4.0615477118338829E-2</c:v>
                </c:pt>
                <c:pt idx="588">
                  <c:v>4.0615477118338829E-2</c:v>
                </c:pt>
                <c:pt idx="589">
                  <c:v>4.0615477118338829E-2</c:v>
                </c:pt>
                <c:pt idx="590">
                  <c:v>4.0615477118338829E-2</c:v>
                </c:pt>
                <c:pt idx="591">
                  <c:v>4.0615477118338829E-2</c:v>
                </c:pt>
                <c:pt idx="592">
                  <c:v>4.0615477118338829E-2</c:v>
                </c:pt>
                <c:pt idx="593">
                  <c:v>4.0615477118338829E-2</c:v>
                </c:pt>
                <c:pt idx="594">
                  <c:v>4.0615477118338829E-2</c:v>
                </c:pt>
                <c:pt idx="595">
                  <c:v>4.0615477118338829E-2</c:v>
                </c:pt>
                <c:pt idx="596">
                  <c:v>4.0615477118338829E-2</c:v>
                </c:pt>
                <c:pt idx="597">
                  <c:v>4.0615477118338829E-2</c:v>
                </c:pt>
                <c:pt idx="598">
                  <c:v>4.0615477118338829E-2</c:v>
                </c:pt>
                <c:pt idx="599">
                  <c:v>4.0615477118338829E-2</c:v>
                </c:pt>
                <c:pt idx="600">
                  <c:v>4.0615477118338829E-2</c:v>
                </c:pt>
                <c:pt idx="601">
                  <c:v>4.0615477118338829E-2</c:v>
                </c:pt>
                <c:pt idx="602">
                  <c:v>4.0615477118338829E-2</c:v>
                </c:pt>
                <c:pt idx="603">
                  <c:v>4.0615477118338829E-2</c:v>
                </c:pt>
                <c:pt idx="604">
                  <c:v>4.0615477118338829E-2</c:v>
                </c:pt>
                <c:pt idx="605">
                  <c:v>4.0615477118338829E-2</c:v>
                </c:pt>
                <c:pt idx="606">
                  <c:v>4.0615477118338829E-2</c:v>
                </c:pt>
                <c:pt idx="607">
                  <c:v>4.0615477118338829E-2</c:v>
                </c:pt>
                <c:pt idx="608">
                  <c:v>4.0615477118338829E-2</c:v>
                </c:pt>
                <c:pt idx="609">
                  <c:v>4.0615477118338829E-2</c:v>
                </c:pt>
                <c:pt idx="610">
                  <c:v>4.0615477118338829E-2</c:v>
                </c:pt>
                <c:pt idx="611">
                  <c:v>4.0615477118338829E-2</c:v>
                </c:pt>
                <c:pt idx="612">
                  <c:v>4.0615477118338829E-2</c:v>
                </c:pt>
                <c:pt idx="613">
                  <c:v>4.0615477118338829E-2</c:v>
                </c:pt>
                <c:pt idx="614">
                  <c:v>4.0615477118338829E-2</c:v>
                </c:pt>
                <c:pt idx="615">
                  <c:v>4.0615477118338829E-2</c:v>
                </c:pt>
                <c:pt idx="616">
                  <c:v>4.0615477118338829E-2</c:v>
                </c:pt>
                <c:pt idx="617">
                  <c:v>4.0615477118338829E-2</c:v>
                </c:pt>
                <c:pt idx="618">
                  <c:v>4.0615477118338829E-2</c:v>
                </c:pt>
                <c:pt idx="619">
                  <c:v>4.0615477118338829E-2</c:v>
                </c:pt>
                <c:pt idx="620">
                  <c:v>4.0615477118338829E-2</c:v>
                </c:pt>
                <c:pt idx="621">
                  <c:v>4.0615477118338829E-2</c:v>
                </c:pt>
                <c:pt idx="622">
                  <c:v>4.0615477118338829E-2</c:v>
                </c:pt>
                <c:pt idx="623">
                  <c:v>4.0615477118338829E-2</c:v>
                </c:pt>
                <c:pt idx="624">
                  <c:v>4.0615477118338829E-2</c:v>
                </c:pt>
                <c:pt idx="625">
                  <c:v>4.0615477118338829E-2</c:v>
                </c:pt>
                <c:pt idx="626">
                  <c:v>4.0615477118338829E-2</c:v>
                </c:pt>
                <c:pt idx="627">
                  <c:v>4.0615477118338829E-2</c:v>
                </c:pt>
                <c:pt idx="628">
                  <c:v>4.0615477118338829E-2</c:v>
                </c:pt>
                <c:pt idx="629">
                  <c:v>4.0615477118338829E-2</c:v>
                </c:pt>
                <c:pt idx="630">
                  <c:v>4.0615477118338829E-2</c:v>
                </c:pt>
                <c:pt idx="631">
                  <c:v>4.0615477118338829E-2</c:v>
                </c:pt>
                <c:pt idx="632">
                  <c:v>4.0615477118338829E-2</c:v>
                </c:pt>
                <c:pt idx="633">
                  <c:v>4.0615477118338829E-2</c:v>
                </c:pt>
                <c:pt idx="634">
                  <c:v>4.0615477118338829E-2</c:v>
                </c:pt>
                <c:pt idx="635">
                  <c:v>4.0615477118338829E-2</c:v>
                </c:pt>
                <c:pt idx="636">
                  <c:v>4.0615477118338829E-2</c:v>
                </c:pt>
                <c:pt idx="637">
                  <c:v>4.0615477118338829E-2</c:v>
                </c:pt>
                <c:pt idx="638">
                  <c:v>4.0615477118338829E-2</c:v>
                </c:pt>
                <c:pt idx="639">
                  <c:v>4.0615477118338829E-2</c:v>
                </c:pt>
                <c:pt idx="640">
                  <c:v>4.0615477118338829E-2</c:v>
                </c:pt>
                <c:pt idx="641">
                  <c:v>4.0615477118338829E-2</c:v>
                </c:pt>
                <c:pt idx="642">
                  <c:v>4.0615477118338829E-2</c:v>
                </c:pt>
                <c:pt idx="643">
                  <c:v>4.0615477118338829E-2</c:v>
                </c:pt>
                <c:pt idx="644">
                  <c:v>4.0615477118338829E-2</c:v>
                </c:pt>
                <c:pt idx="645">
                  <c:v>4.0615477118338829E-2</c:v>
                </c:pt>
                <c:pt idx="646">
                  <c:v>4.0615477118338829E-2</c:v>
                </c:pt>
                <c:pt idx="647">
                  <c:v>4.0615477118338829E-2</c:v>
                </c:pt>
                <c:pt idx="648">
                  <c:v>4.0615477118338829E-2</c:v>
                </c:pt>
                <c:pt idx="649">
                  <c:v>4.0615477118338829E-2</c:v>
                </c:pt>
                <c:pt idx="650">
                  <c:v>4.0615477118338829E-2</c:v>
                </c:pt>
                <c:pt idx="651">
                  <c:v>4.0615477118338829E-2</c:v>
                </c:pt>
                <c:pt idx="652">
                  <c:v>4.0615477118338829E-2</c:v>
                </c:pt>
                <c:pt idx="653">
                  <c:v>4.0615477118338829E-2</c:v>
                </c:pt>
                <c:pt idx="654">
                  <c:v>4.0615477118338829E-2</c:v>
                </c:pt>
                <c:pt idx="655">
                  <c:v>4.0615477118338829E-2</c:v>
                </c:pt>
                <c:pt idx="656">
                  <c:v>4.0615477118338829E-2</c:v>
                </c:pt>
                <c:pt idx="657">
                  <c:v>4.0615477118338829E-2</c:v>
                </c:pt>
                <c:pt idx="658">
                  <c:v>4.0615477118338829E-2</c:v>
                </c:pt>
                <c:pt idx="659">
                  <c:v>4.0615477118338829E-2</c:v>
                </c:pt>
                <c:pt idx="660">
                  <c:v>4.0615477118338829E-2</c:v>
                </c:pt>
                <c:pt idx="661">
                  <c:v>4.0615477118338829E-2</c:v>
                </c:pt>
                <c:pt idx="662">
                  <c:v>4.0615477118338829E-2</c:v>
                </c:pt>
                <c:pt idx="663">
                  <c:v>4.0615477118338829E-2</c:v>
                </c:pt>
                <c:pt idx="664">
                  <c:v>4.0615477118338829E-2</c:v>
                </c:pt>
                <c:pt idx="665">
                  <c:v>4.0615477118338829E-2</c:v>
                </c:pt>
                <c:pt idx="666">
                  <c:v>4.0615477118338829E-2</c:v>
                </c:pt>
                <c:pt idx="667">
                  <c:v>4.0615477118338829E-2</c:v>
                </c:pt>
                <c:pt idx="668">
                  <c:v>4.0615477118338829E-2</c:v>
                </c:pt>
                <c:pt idx="669">
                  <c:v>4.0615477118338829E-2</c:v>
                </c:pt>
                <c:pt idx="670">
                  <c:v>4.0615477118338829E-2</c:v>
                </c:pt>
                <c:pt idx="671">
                  <c:v>4.0615477118338829E-2</c:v>
                </c:pt>
                <c:pt idx="672">
                  <c:v>4.0615477118338829E-2</c:v>
                </c:pt>
                <c:pt idx="673">
                  <c:v>4.0615477118338829E-2</c:v>
                </c:pt>
                <c:pt idx="674">
                  <c:v>4.0615477118338829E-2</c:v>
                </c:pt>
                <c:pt idx="675">
                  <c:v>4.0615477118338829E-2</c:v>
                </c:pt>
                <c:pt idx="676">
                  <c:v>4.0615477118338829E-2</c:v>
                </c:pt>
                <c:pt idx="677">
                  <c:v>4.0615477118338829E-2</c:v>
                </c:pt>
                <c:pt idx="678">
                  <c:v>4.0615477118338829E-2</c:v>
                </c:pt>
                <c:pt idx="679">
                  <c:v>4.0615477118338829E-2</c:v>
                </c:pt>
                <c:pt idx="680">
                  <c:v>4.0615477118338829E-2</c:v>
                </c:pt>
                <c:pt idx="681">
                  <c:v>4.0615477118338829E-2</c:v>
                </c:pt>
                <c:pt idx="682">
                  <c:v>4.0615477118338829E-2</c:v>
                </c:pt>
                <c:pt idx="683">
                  <c:v>4.0615477118338829E-2</c:v>
                </c:pt>
                <c:pt idx="684">
                  <c:v>4.0615477118338829E-2</c:v>
                </c:pt>
                <c:pt idx="685">
                  <c:v>4.0615477118338829E-2</c:v>
                </c:pt>
                <c:pt idx="686">
                  <c:v>4.0615477118338829E-2</c:v>
                </c:pt>
                <c:pt idx="687">
                  <c:v>4.0615477118338829E-2</c:v>
                </c:pt>
                <c:pt idx="688">
                  <c:v>4.0615477118338829E-2</c:v>
                </c:pt>
                <c:pt idx="689">
                  <c:v>4.0615477118338829E-2</c:v>
                </c:pt>
                <c:pt idx="690">
                  <c:v>4.0615477118338829E-2</c:v>
                </c:pt>
                <c:pt idx="691">
                  <c:v>4.0615477118338829E-2</c:v>
                </c:pt>
                <c:pt idx="692">
                  <c:v>4.0615477118338829E-2</c:v>
                </c:pt>
                <c:pt idx="693">
                  <c:v>4.0615477118338829E-2</c:v>
                </c:pt>
                <c:pt idx="694">
                  <c:v>4.0615477118338829E-2</c:v>
                </c:pt>
                <c:pt idx="695">
                  <c:v>4.0615477118338829E-2</c:v>
                </c:pt>
                <c:pt idx="696">
                  <c:v>4.0615477118338829E-2</c:v>
                </c:pt>
                <c:pt idx="697">
                  <c:v>4.0615477118338829E-2</c:v>
                </c:pt>
                <c:pt idx="698">
                  <c:v>4.0615477118338829E-2</c:v>
                </c:pt>
                <c:pt idx="699">
                  <c:v>4.0615477118338829E-2</c:v>
                </c:pt>
                <c:pt idx="700">
                  <c:v>4.0615477118338829E-2</c:v>
                </c:pt>
                <c:pt idx="701">
                  <c:v>4.0615477118338829E-2</c:v>
                </c:pt>
                <c:pt idx="702">
                  <c:v>4.0615477118338829E-2</c:v>
                </c:pt>
                <c:pt idx="703">
                  <c:v>4.0615477118338829E-2</c:v>
                </c:pt>
                <c:pt idx="704">
                  <c:v>4.0615477118338829E-2</c:v>
                </c:pt>
                <c:pt idx="705">
                  <c:v>4.0615477118338829E-2</c:v>
                </c:pt>
                <c:pt idx="706">
                  <c:v>4.0615477118338829E-2</c:v>
                </c:pt>
                <c:pt idx="707">
                  <c:v>4.0615477118338829E-2</c:v>
                </c:pt>
                <c:pt idx="708">
                  <c:v>4.0615477118338829E-2</c:v>
                </c:pt>
                <c:pt idx="709">
                  <c:v>4.0615477118338829E-2</c:v>
                </c:pt>
                <c:pt idx="710">
                  <c:v>4.0615477118338829E-2</c:v>
                </c:pt>
                <c:pt idx="711">
                  <c:v>4.0615477118338829E-2</c:v>
                </c:pt>
                <c:pt idx="712">
                  <c:v>4.0615477118338829E-2</c:v>
                </c:pt>
                <c:pt idx="713">
                  <c:v>4.0615477118338829E-2</c:v>
                </c:pt>
                <c:pt idx="714">
                  <c:v>4.0615477118338829E-2</c:v>
                </c:pt>
                <c:pt idx="715">
                  <c:v>4.0615477118338829E-2</c:v>
                </c:pt>
                <c:pt idx="716">
                  <c:v>4.0615477118338829E-2</c:v>
                </c:pt>
                <c:pt idx="717">
                  <c:v>4.0615477118338829E-2</c:v>
                </c:pt>
                <c:pt idx="718">
                  <c:v>4.0615477118338829E-2</c:v>
                </c:pt>
                <c:pt idx="719">
                  <c:v>4.0615477118338829E-2</c:v>
                </c:pt>
                <c:pt idx="720">
                  <c:v>4.0615477118338829E-2</c:v>
                </c:pt>
                <c:pt idx="721">
                  <c:v>4.0615477118338829E-2</c:v>
                </c:pt>
                <c:pt idx="722">
                  <c:v>4.0615477118338829E-2</c:v>
                </c:pt>
                <c:pt idx="723">
                  <c:v>4.0615477118338829E-2</c:v>
                </c:pt>
                <c:pt idx="724">
                  <c:v>4.0615477118338829E-2</c:v>
                </c:pt>
                <c:pt idx="725">
                  <c:v>4.0615477118338829E-2</c:v>
                </c:pt>
                <c:pt idx="726">
                  <c:v>4.0615477118338829E-2</c:v>
                </c:pt>
                <c:pt idx="727">
                  <c:v>4.0615477118338829E-2</c:v>
                </c:pt>
                <c:pt idx="728">
                  <c:v>4.0615477118338829E-2</c:v>
                </c:pt>
                <c:pt idx="729">
                  <c:v>4.0615477118338829E-2</c:v>
                </c:pt>
                <c:pt idx="730">
                  <c:v>4.0615477118338829E-2</c:v>
                </c:pt>
                <c:pt idx="731">
                  <c:v>4.0615477118338829E-2</c:v>
                </c:pt>
                <c:pt idx="732">
                  <c:v>4.0615477118338829E-2</c:v>
                </c:pt>
                <c:pt idx="733">
                  <c:v>4.0615477118338829E-2</c:v>
                </c:pt>
                <c:pt idx="734">
                  <c:v>4.0615477118338829E-2</c:v>
                </c:pt>
                <c:pt idx="735">
                  <c:v>4.0615477118338829E-2</c:v>
                </c:pt>
                <c:pt idx="736">
                  <c:v>4.0615477118338829E-2</c:v>
                </c:pt>
                <c:pt idx="737">
                  <c:v>4.0615477118338829E-2</c:v>
                </c:pt>
                <c:pt idx="738">
                  <c:v>4.0615477118338829E-2</c:v>
                </c:pt>
                <c:pt idx="739">
                  <c:v>4.0615477118338829E-2</c:v>
                </c:pt>
                <c:pt idx="740">
                  <c:v>4.0615477118338829E-2</c:v>
                </c:pt>
                <c:pt idx="741">
                  <c:v>4.0615477118338829E-2</c:v>
                </c:pt>
                <c:pt idx="742">
                  <c:v>4.0615477118338829E-2</c:v>
                </c:pt>
                <c:pt idx="743">
                  <c:v>4.0615477118338829E-2</c:v>
                </c:pt>
                <c:pt idx="744">
                  <c:v>4.0615477118338829E-2</c:v>
                </c:pt>
                <c:pt idx="745">
                  <c:v>4.0615477118338829E-2</c:v>
                </c:pt>
                <c:pt idx="746">
                  <c:v>4.0615477118338829E-2</c:v>
                </c:pt>
                <c:pt idx="747">
                  <c:v>4.0615477118338829E-2</c:v>
                </c:pt>
                <c:pt idx="748">
                  <c:v>4.0615477118338829E-2</c:v>
                </c:pt>
                <c:pt idx="749">
                  <c:v>4.0615477118338829E-2</c:v>
                </c:pt>
                <c:pt idx="750">
                  <c:v>4.2223641135053967E-2</c:v>
                </c:pt>
                <c:pt idx="751">
                  <c:v>4.2223641135053967E-2</c:v>
                </c:pt>
                <c:pt idx="752">
                  <c:v>4.2223641135053967E-2</c:v>
                </c:pt>
                <c:pt idx="753">
                  <c:v>4.2223641135053967E-2</c:v>
                </c:pt>
                <c:pt idx="754">
                  <c:v>4.2223641135053967E-2</c:v>
                </c:pt>
                <c:pt idx="755">
                  <c:v>4.2223641135053967E-2</c:v>
                </c:pt>
                <c:pt idx="756">
                  <c:v>4.2223641135053967E-2</c:v>
                </c:pt>
                <c:pt idx="757">
                  <c:v>4.2223641135053967E-2</c:v>
                </c:pt>
                <c:pt idx="758">
                  <c:v>4.2223641135053967E-2</c:v>
                </c:pt>
                <c:pt idx="759">
                  <c:v>4.2223641135053967E-2</c:v>
                </c:pt>
                <c:pt idx="760">
                  <c:v>4.2223641135053967E-2</c:v>
                </c:pt>
                <c:pt idx="761">
                  <c:v>4.2223641135053967E-2</c:v>
                </c:pt>
                <c:pt idx="762">
                  <c:v>4.2223641135053967E-2</c:v>
                </c:pt>
                <c:pt idx="763">
                  <c:v>4.2223641135053967E-2</c:v>
                </c:pt>
                <c:pt idx="764">
                  <c:v>4.2223641135053967E-2</c:v>
                </c:pt>
                <c:pt idx="765">
                  <c:v>4.2223641135053967E-2</c:v>
                </c:pt>
                <c:pt idx="766">
                  <c:v>4.2223641135053967E-2</c:v>
                </c:pt>
                <c:pt idx="767">
                  <c:v>4.2223641135053967E-2</c:v>
                </c:pt>
                <c:pt idx="768">
                  <c:v>4.2223641135053967E-2</c:v>
                </c:pt>
                <c:pt idx="769">
                  <c:v>4.2223641135053967E-2</c:v>
                </c:pt>
                <c:pt idx="770">
                  <c:v>4.2223641135053967E-2</c:v>
                </c:pt>
                <c:pt idx="771">
                  <c:v>4.2223641135053967E-2</c:v>
                </c:pt>
                <c:pt idx="772">
                  <c:v>4.2223641135053967E-2</c:v>
                </c:pt>
                <c:pt idx="773">
                  <c:v>4.2223641135053967E-2</c:v>
                </c:pt>
                <c:pt idx="774">
                  <c:v>4.2223641135053967E-2</c:v>
                </c:pt>
                <c:pt idx="775">
                  <c:v>4.2223641135053967E-2</c:v>
                </c:pt>
                <c:pt idx="776">
                  <c:v>4.2223641135053967E-2</c:v>
                </c:pt>
                <c:pt idx="777">
                  <c:v>4.2223641135053967E-2</c:v>
                </c:pt>
                <c:pt idx="778">
                  <c:v>4.2223641135053967E-2</c:v>
                </c:pt>
                <c:pt idx="779">
                  <c:v>4.2223641135053967E-2</c:v>
                </c:pt>
                <c:pt idx="780">
                  <c:v>4.2223641135053967E-2</c:v>
                </c:pt>
                <c:pt idx="781">
                  <c:v>4.2223641135053967E-2</c:v>
                </c:pt>
                <c:pt idx="782">
                  <c:v>4.2223641135053967E-2</c:v>
                </c:pt>
                <c:pt idx="783">
                  <c:v>4.2223641135053967E-2</c:v>
                </c:pt>
                <c:pt idx="784">
                  <c:v>4.2223641135053967E-2</c:v>
                </c:pt>
                <c:pt idx="785">
                  <c:v>4.2223641135053967E-2</c:v>
                </c:pt>
                <c:pt idx="786">
                  <c:v>4.2223641135053967E-2</c:v>
                </c:pt>
                <c:pt idx="787">
                  <c:v>4.2223641135053967E-2</c:v>
                </c:pt>
                <c:pt idx="788">
                  <c:v>4.2223641135053967E-2</c:v>
                </c:pt>
                <c:pt idx="789">
                  <c:v>4.2223641135053967E-2</c:v>
                </c:pt>
                <c:pt idx="790">
                  <c:v>4.2223641135053967E-2</c:v>
                </c:pt>
                <c:pt idx="791">
                  <c:v>4.2223641135053967E-2</c:v>
                </c:pt>
                <c:pt idx="792">
                  <c:v>4.2223641135053967E-2</c:v>
                </c:pt>
                <c:pt idx="793">
                  <c:v>4.2223641135053967E-2</c:v>
                </c:pt>
                <c:pt idx="794">
                  <c:v>4.2223641135053967E-2</c:v>
                </c:pt>
                <c:pt idx="795">
                  <c:v>4.2223641135053967E-2</c:v>
                </c:pt>
                <c:pt idx="796">
                  <c:v>4.2223641135053967E-2</c:v>
                </c:pt>
                <c:pt idx="797">
                  <c:v>4.2223641135053967E-2</c:v>
                </c:pt>
                <c:pt idx="798">
                  <c:v>4.2223641135053967E-2</c:v>
                </c:pt>
                <c:pt idx="799">
                  <c:v>4.2223641135053967E-2</c:v>
                </c:pt>
                <c:pt idx="800">
                  <c:v>4.2223641135053967E-2</c:v>
                </c:pt>
                <c:pt idx="801">
                  <c:v>4.2223641135053967E-2</c:v>
                </c:pt>
                <c:pt idx="802">
                  <c:v>4.2223641135053967E-2</c:v>
                </c:pt>
                <c:pt idx="803">
                  <c:v>4.2223641135053967E-2</c:v>
                </c:pt>
                <c:pt idx="804">
                  <c:v>4.2223641135053967E-2</c:v>
                </c:pt>
                <c:pt idx="805">
                  <c:v>4.2223641135053967E-2</c:v>
                </c:pt>
                <c:pt idx="806">
                  <c:v>4.2223641135053967E-2</c:v>
                </c:pt>
                <c:pt idx="807">
                  <c:v>4.2223641135053967E-2</c:v>
                </c:pt>
                <c:pt idx="808">
                  <c:v>4.2223641135053967E-2</c:v>
                </c:pt>
                <c:pt idx="809">
                  <c:v>4.2223641135053967E-2</c:v>
                </c:pt>
                <c:pt idx="810">
                  <c:v>4.2223641135053967E-2</c:v>
                </c:pt>
                <c:pt idx="811">
                  <c:v>4.2223641135053967E-2</c:v>
                </c:pt>
                <c:pt idx="812">
                  <c:v>4.2223641135053967E-2</c:v>
                </c:pt>
                <c:pt idx="813">
                  <c:v>4.2223641135053967E-2</c:v>
                </c:pt>
                <c:pt idx="814">
                  <c:v>4.2223641135053967E-2</c:v>
                </c:pt>
                <c:pt idx="815">
                  <c:v>4.2223641135053967E-2</c:v>
                </c:pt>
                <c:pt idx="816">
                  <c:v>4.2223641135053967E-2</c:v>
                </c:pt>
                <c:pt idx="817">
                  <c:v>4.2223641135053967E-2</c:v>
                </c:pt>
                <c:pt idx="818">
                  <c:v>4.2223641135053967E-2</c:v>
                </c:pt>
                <c:pt idx="819">
                  <c:v>4.2223641135053967E-2</c:v>
                </c:pt>
                <c:pt idx="820">
                  <c:v>4.2223641135053967E-2</c:v>
                </c:pt>
                <c:pt idx="821">
                  <c:v>4.2223641135053967E-2</c:v>
                </c:pt>
                <c:pt idx="822">
                  <c:v>4.2223641135053967E-2</c:v>
                </c:pt>
                <c:pt idx="823">
                  <c:v>4.2223641135053967E-2</c:v>
                </c:pt>
                <c:pt idx="824">
                  <c:v>4.2223641135053967E-2</c:v>
                </c:pt>
                <c:pt idx="825">
                  <c:v>4.2223641135053967E-2</c:v>
                </c:pt>
                <c:pt idx="826">
                  <c:v>4.2223641135053967E-2</c:v>
                </c:pt>
                <c:pt idx="827">
                  <c:v>4.2223641135053967E-2</c:v>
                </c:pt>
                <c:pt idx="828">
                  <c:v>4.2223641135053967E-2</c:v>
                </c:pt>
                <c:pt idx="829">
                  <c:v>4.2223641135053967E-2</c:v>
                </c:pt>
                <c:pt idx="830">
                  <c:v>4.2223641135053967E-2</c:v>
                </c:pt>
                <c:pt idx="831">
                  <c:v>4.2223641135053967E-2</c:v>
                </c:pt>
                <c:pt idx="832">
                  <c:v>4.2223641135053967E-2</c:v>
                </c:pt>
                <c:pt idx="833">
                  <c:v>4.2223641135053967E-2</c:v>
                </c:pt>
                <c:pt idx="834">
                  <c:v>4.2223641135053967E-2</c:v>
                </c:pt>
                <c:pt idx="835">
                  <c:v>4.2223641135053967E-2</c:v>
                </c:pt>
                <c:pt idx="836">
                  <c:v>4.2223641135053967E-2</c:v>
                </c:pt>
                <c:pt idx="837">
                  <c:v>4.2223641135053967E-2</c:v>
                </c:pt>
                <c:pt idx="838">
                  <c:v>4.2223641135053967E-2</c:v>
                </c:pt>
                <c:pt idx="839">
                  <c:v>4.2223641135053967E-2</c:v>
                </c:pt>
                <c:pt idx="840">
                  <c:v>4.2223641135053967E-2</c:v>
                </c:pt>
                <c:pt idx="841">
                  <c:v>4.2223641135053967E-2</c:v>
                </c:pt>
                <c:pt idx="842">
                  <c:v>4.2223641135053967E-2</c:v>
                </c:pt>
                <c:pt idx="843">
                  <c:v>4.2223641135053967E-2</c:v>
                </c:pt>
                <c:pt idx="844">
                  <c:v>4.2223641135053967E-2</c:v>
                </c:pt>
                <c:pt idx="845">
                  <c:v>4.2223641135053967E-2</c:v>
                </c:pt>
                <c:pt idx="846">
                  <c:v>4.2223641135053967E-2</c:v>
                </c:pt>
                <c:pt idx="847">
                  <c:v>4.2223641135053967E-2</c:v>
                </c:pt>
                <c:pt idx="848">
                  <c:v>4.2223641135053967E-2</c:v>
                </c:pt>
                <c:pt idx="849">
                  <c:v>4.2223641135053967E-2</c:v>
                </c:pt>
                <c:pt idx="850">
                  <c:v>4.2223641135053967E-2</c:v>
                </c:pt>
                <c:pt idx="851">
                  <c:v>4.2223641135053967E-2</c:v>
                </c:pt>
                <c:pt idx="852">
                  <c:v>4.2223641135053967E-2</c:v>
                </c:pt>
                <c:pt idx="853">
                  <c:v>4.2223641135053967E-2</c:v>
                </c:pt>
                <c:pt idx="854">
                  <c:v>4.2223641135053967E-2</c:v>
                </c:pt>
                <c:pt idx="855">
                  <c:v>4.2223641135053967E-2</c:v>
                </c:pt>
                <c:pt idx="856">
                  <c:v>4.2223641135053967E-2</c:v>
                </c:pt>
                <c:pt idx="857">
                  <c:v>4.2223641135053967E-2</c:v>
                </c:pt>
                <c:pt idx="858">
                  <c:v>4.2223641135053967E-2</c:v>
                </c:pt>
                <c:pt idx="859">
                  <c:v>4.2223641135053967E-2</c:v>
                </c:pt>
                <c:pt idx="860">
                  <c:v>4.2223641135053967E-2</c:v>
                </c:pt>
                <c:pt idx="861">
                  <c:v>4.2223641135053967E-2</c:v>
                </c:pt>
                <c:pt idx="862">
                  <c:v>4.2223641135053967E-2</c:v>
                </c:pt>
                <c:pt idx="863">
                  <c:v>4.2223641135053967E-2</c:v>
                </c:pt>
                <c:pt idx="864">
                  <c:v>4.2223641135053967E-2</c:v>
                </c:pt>
                <c:pt idx="865">
                  <c:v>4.2223641135053967E-2</c:v>
                </c:pt>
                <c:pt idx="866">
                  <c:v>4.2223641135053967E-2</c:v>
                </c:pt>
                <c:pt idx="867">
                  <c:v>4.2223641135053967E-2</c:v>
                </c:pt>
                <c:pt idx="868">
                  <c:v>4.2223641135053967E-2</c:v>
                </c:pt>
                <c:pt idx="869">
                  <c:v>4.2223641135053967E-2</c:v>
                </c:pt>
                <c:pt idx="870">
                  <c:v>4.2223641135053967E-2</c:v>
                </c:pt>
                <c:pt idx="871">
                  <c:v>4.2223641135053967E-2</c:v>
                </c:pt>
                <c:pt idx="872">
                  <c:v>4.2223641135053967E-2</c:v>
                </c:pt>
                <c:pt idx="873">
                  <c:v>4.2223641135053967E-2</c:v>
                </c:pt>
                <c:pt idx="874">
                  <c:v>4.2223641135053967E-2</c:v>
                </c:pt>
                <c:pt idx="875">
                  <c:v>4.2223641135053967E-2</c:v>
                </c:pt>
                <c:pt idx="876">
                  <c:v>4.2223641135053967E-2</c:v>
                </c:pt>
                <c:pt idx="877">
                  <c:v>4.2223641135053967E-2</c:v>
                </c:pt>
                <c:pt idx="878">
                  <c:v>4.2223641135053967E-2</c:v>
                </c:pt>
                <c:pt idx="879">
                  <c:v>4.2223641135053967E-2</c:v>
                </c:pt>
                <c:pt idx="880">
                  <c:v>4.2223641135053967E-2</c:v>
                </c:pt>
                <c:pt idx="881">
                  <c:v>4.2223641135053967E-2</c:v>
                </c:pt>
                <c:pt idx="882">
                  <c:v>4.2223641135053967E-2</c:v>
                </c:pt>
                <c:pt idx="883">
                  <c:v>4.2223641135053967E-2</c:v>
                </c:pt>
                <c:pt idx="884">
                  <c:v>4.2223641135053967E-2</c:v>
                </c:pt>
                <c:pt idx="885">
                  <c:v>4.2223641135053967E-2</c:v>
                </c:pt>
                <c:pt idx="886">
                  <c:v>4.2223641135053967E-2</c:v>
                </c:pt>
                <c:pt idx="887">
                  <c:v>4.2223641135053967E-2</c:v>
                </c:pt>
                <c:pt idx="888">
                  <c:v>4.2223641135053967E-2</c:v>
                </c:pt>
                <c:pt idx="889">
                  <c:v>4.2223641135053967E-2</c:v>
                </c:pt>
                <c:pt idx="890">
                  <c:v>4.2223641135053967E-2</c:v>
                </c:pt>
                <c:pt idx="891">
                  <c:v>4.2223641135053967E-2</c:v>
                </c:pt>
                <c:pt idx="892">
                  <c:v>4.2223641135053967E-2</c:v>
                </c:pt>
                <c:pt idx="893">
                  <c:v>4.2223641135053967E-2</c:v>
                </c:pt>
                <c:pt idx="894">
                  <c:v>4.2223641135053967E-2</c:v>
                </c:pt>
                <c:pt idx="895">
                  <c:v>4.2223641135053967E-2</c:v>
                </c:pt>
                <c:pt idx="896">
                  <c:v>4.2223641135053967E-2</c:v>
                </c:pt>
                <c:pt idx="897">
                  <c:v>4.2223641135053967E-2</c:v>
                </c:pt>
                <c:pt idx="898">
                  <c:v>4.2223641135053967E-2</c:v>
                </c:pt>
                <c:pt idx="899">
                  <c:v>4.2223641135053967E-2</c:v>
                </c:pt>
                <c:pt idx="900">
                  <c:v>4.2223641135053967E-2</c:v>
                </c:pt>
                <c:pt idx="901">
                  <c:v>4.2223641135053967E-2</c:v>
                </c:pt>
                <c:pt idx="902">
                  <c:v>4.2223641135053967E-2</c:v>
                </c:pt>
                <c:pt idx="903">
                  <c:v>4.2223641135053967E-2</c:v>
                </c:pt>
                <c:pt idx="904">
                  <c:v>4.2223641135053967E-2</c:v>
                </c:pt>
                <c:pt idx="905">
                  <c:v>4.2223641135053967E-2</c:v>
                </c:pt>
                <c:pt idx="906">
                  <c:v>4.2223641135053967E-2</c:v>
                </c:pt>
                <c:pt idx="907">
                  <c:v>4.2223641135053967E-2</c:v>
                </c:pt>
                <c:pt idx="908">
                  <c:v>4.2223641135053967E-2</c:v>
                </c:pt>
                <c:pt idx="909">
                  <c:v>4.2223641135053967E-2</c:v>
                </c:pt>
                <c:pt idx="910">
                  <c:v>4.2223641135053967E-2</c:v>
                </c:pt>
                <c:pt idx="911">
                  <c:v>4.2223641135053967E-2</c:v>
                </c:pt>
                <c:pt idx="912">
                  <c:v>4.2223641135053967E-2</c:v>
                </c:pt>
                <c:pt idx="913">
                  <c:v>4.2223641135053967E-2</c:v>
                </c:pt>
                <c:pt idx="914">
                  <c:v>4.2223641135053967E-2</c:v>
                </c:pt>
                <c:pt idx="915">
                  <c:v>4.2223641135053967E-2</c:v>
                </c:pt>
                <c:pt idx="916">
                  <c:v>4.2223641135053967E-2</c:v>
                </c:pt>
                <c:pt idx="917">
                  <c:v>4.2223641135053967E-2</c:v>
                </c:pt>
                <c:pt idx="918">
                  <c:v>4.2223641135053967E-2</c:v>
                </c:pt>
                <c:pt idx="919">
                  <c:v>4.2223641135053967E-2</c:v>
                </c:pt>
                <c:pt idx="920">
                  <c:v>4.2223641135053967E-2</c:v>
                </c:pt>
                <c:pt idx="921">
                  <c:v>4.2223641135053967E-2</c:v>
                </c:pt>
                <c:pt idx="922">
                  <c:v>4.2223641135053967E-2</c:v>
                </c:pt>
                <c:pt idx="923">
                  <c:v>4.2223641135053967E-2</c:v>
                </c:pt>
                <c:pt idx="924">
                  <c:v>4.2223641135053967E-2</c:v>
                </c:pt>
                <c:pt idx="925">
                  <c:v>4.2223641135053967E-2</c:v>
                </c:pt>
                <c:pt idx="926">
                  <c:v>4.2223641135053967E-2</c:v>
                </c:pt>
                <c:pt idx="927">
                  <c:v>4.2223641135053967E-2</c:v>
                </c:pt>
                <c:pt idx="928">
                  <c:v>4.2223641135053967E-2</c:v>
                </c:pt>
                <c:pt idx="929">
                  <c:v>4.2223641135053967E-2</c:v>
                </c:pt>
                <c:pt idx="930">
                  <c:v>4.2223641135053967E-2</c:v>
                </c:pt>
                <c:pt idx="931">
                  <c:v>4.2223641135053967E-2</c:v>
                </c:pt>
                <c:pt idx="932">
                  <c:v>4.2223641135053967E-2</c:v>
                </c:pt>
                <c:pt idx="933">
                  <c:v>4.2223641135053967E-2</c:v>
                </c:pt>
                <c:pt idx="934">
                  <c:v>4.2223641135053967E-2</c:v>
                </c:pt>
                <c:pt idx="935">
                  <c:v>4.2223641135053967E-2</c:v>
                </c:pt>
                <c:pt idx="936">
                  <c:v>4.2223641135053967E-2</c:v>
                </c:pt>
                <c:pt idx="937">
                  <c:v>4.2223641135053967E-2</c:v>
                </c:pt>
                <c:pt idx="938">
                  <c:v>4.2223641135053967E-2</c:v>
                </c:pt>
                <c:pt idx="939">
                  <c:v>4.2223641135053967E-2</c:v>
                </c:pt>
                <c:pt idx="940">
                  <c:v>4.2223641135053967E-2</c:v>
                </c:pt>
                <c:pt idx="941">
                  <c:v>4.2223641135053967E-2</c:v>
                </c:pt>
                <c:pt idx="942">
                  <c:v>4.2223641135053967E-2</c:v>
                </c:pt>
                <c:pt idx="943">
                  <c:v>4.2223641135053967E-2</c:v>
                </c:pt>
                <c:pt idx="944">
                  <c:v>4.2223641135053967E-2</c:v>
                </c:pt>
                <c:pt idx="945">
                  <c:v>4.2223641135053967E-2</c:v>
                </c:pt>
                <c:pt idx="946">
                  <c:v>4.2223641135053967E-2</c:v>
                </c:pt>
                <c:pt idx="947">
                  <c:v>4.2223641135053967E-2</c:v>
                </c:pt>
                <c:pt idx="948">
                  <c:v>4.2223641135053967E-2</c:v>
                </c:pt>
                <c:pt idx="949">
                  <c:v>4.2223641135053967E-2</c:v>
                </c:pt>
                <c:pt idx="950">
                  <c:v>4.2223641135053967E-2</c:v>
                </c:pt>
                <c:pt idx="951">
                  <c:v>4.2223641135053967E-2</c:v>
                </c:pt>
                <c:pt idx="952">
                  <c:v>4.2223641135053967E-2</c:v>
                </c:pt>
                <c:pt idx="953">
                  <c:v>4.2223641135053967E-2</c:v>
                </c:pt>
                <c:pt idx="954">
                  <c:v>4.2223641135053967E-2</c:v>
                </c:pt>
                <c:pt idx="955">
                  <c:v>4.2223641135053967E-2</c:v>
                </c:pt>
                <c:pt idx="956">
                  <c:v>4.2223641135053967E-2</c:v>
                </c:pt>
                <c:pt idx="957">
                  <c:v>4.2223641135053967E-2</c:v>
                </c:pt>
                <c:pt idx="958">
                  <c:v>4.2223641135053967E-2</c:v>
                </c:pt>
                <c:pt idx="959">
                  <c:v>4.2223641135053967E-2</c:v>
                </c:pt>
                <c:pt idx="960">
                  <c:v>4.2223641135053967E-2</c:v>
                </c:pt>
                <c:pt idx="961">
                  <c:v>4.2223641135053967E-2</c:v>
                </c:pt>
                <c:pt idx="962">
                  <c:v>4.2223641135053967E-2</c:v>
                </c:pt>
                <c:pt idx="963">
                  <c:v>4.2223641135053967E-2</c:v>
                </c:pt>
                <c:pt idx="964">
                  <c:v>4.2223641135053967E-2</c:v>
                </c:pt>
                <c:pt idx="965">
                  <c:v>4.2223641135053967E-2</c:v>
                </c:pt>
                <c:pt idx="966">
                  <c:v>4.2223641135053967E-2</c:v>
                </c:pt>
                <c:pt idx="967">
                  <c:v>4.2223641135053967E-2</c:v>
                </c:pt>
                <c:pt idx="968">
                  <c:v>4.2223641135053967E-2</c:v>
                </c:pt>
                <c:pt idx="969">
                  <c:v>4.2223641135053967E-2</c:v>
                </c:pt>
                <c:pt idx="970">
                  <c:v>4.2223641135053967E-2</c:v>
                </c:pt>
                <c:pt idx="971">
                  <c:v>4.2223641135053967E-2</c:v>
                </c:pt>
                <c:pt idx="972">
                  <c:v>4.2223641135053967E-2</c:v>
                </c:pt>
                <c:pt idx="973">
                  <c:v>4.2223641135053967E-2</c:v>
                </c:pt>
                <c:pt idx="974">
                  <c:v>4.2223641135053967E-2</c:v>
                </c:pt>
                <c:pt idx="975">
                  <c:v>4.2223641135053967E-2</c:v>
                </c:pt>
                <c:pt idx="976">
                  <c:v>4.2223641135053967E-2</c:v>
                </c:pt>
                <c:pt idx="977">
                  <c:v>4.2223641135053967E-2</c:v>
                </c:pt>
                <c:pt idx="978">
                  <c:v>4.2223641135053967E-2</c:v>
                </c:pt>
                <c:pt idx="979">
                  <c:v>4.2223641135053967E-2</c:v>
                </c:pt>
                <c:pt idx="980">
                  <c:v>4.2223641135053967E-2</c:v>
                </c:pt>
                <c:pt idx="981">
                  <c:v>4.2223641135053967E-2</c:v>
                </c:pt>
                <c:pt idx="982">
                  <c:v>4.2223641135053967E-2</c:v>
                </c:pt>
                <c:pt idx="983">
                  <c:v>4.2223641135053967E-2</c:v>
                </c:pt>
                <c:pt idx="984">
                  <c:v>4.2223641135053967E-2</c:v>
                </c:pt>
                <c:pt idx="985">
                  <c:v>4.2223641135053967E-2</c:v>
                </c:pt>
                <c:pt idx="986">
                  <c:v>4.2223641135053967E-2</c:v>
                </c:pt>
                <c:pt idx="987">
                  <c:v>4.2223641135053967E-2</c:v>
                </c:pt>
                <c:pt idx="988">
                  <c:v>4.2223641135053967E-2</c:v>
                </c:pt>
                <c:pt idx="989">
                  <c:v>4.2223641135053967E-2</c:v>
                </c:pt>
                <c:pt idx="990">
                  <c:v>4.2223641135053967E-2</c:v>
                </c:pt>
                <c:pt idx="991">
                  <c:v>4.2223641135053967E-2</c:v>
                </c:pt>
                <c:pt idx="992">
                  <c:v>4.2223641135053967E-2</c:v>
                </c:pt>
                <c:pt idx="993">
                  <c:v>4.2223641135053967E-2</c:v>
                </c:pt>
                <c:pt idx="994">
                  <c:v>4.2223641135053967E-2</c:v>
                </c:pt>
                <c:pt idx="995">
                  <c:v>4.2223641135053967E-2</c:v>
                </c:pt>
                <c:pt idx="996">
                  <c:v>4.2223641135053967E-2</c:v>
                </c:pt>
                <c:pt idx="997">
                  <c:v>4.3362046056062392E-2</c:v>
                </c:pt>
                <c:pt idx="998">
                  <c:v>4.3362046056062392E-2</c:v>
                </c:pt>
                <c:pt idx="999">
                  <c:v>4.3362046056062392E-2</c:v>
                </c:pt>
                <c:pt idx="1000">
                  <c:v>4.3362046056062392E-2</c:v>
                </c:pt>
                <c:pt idx="1001">
                  <c:v>4.3362046056062392E-2</c:v>
                </c:pt>
                <c:pt idx="1002">
                  <c:v>4.3362046056062392E-2</c:v>
                </c:pt>
                <c:pt idx="1003">
                  <c:v>4.3362046056062392E-2</c:v>
                </c:pt>
                <c:pt idx="1004">
                  <c:v>4.3362046056062392E-2</c:v>
                </c:pt>
                <c:pt idx="1005">
                  <c:v>4.3362046056062392E-2</c:v>
                </c:pt>
                <c:pt idx="1006">
                  <c:v>4.3362046056062392E-2</c:v>
                </c:pt>
                <c:pt idx="1007">
                  <c:v>4.3362046056062392E-2</c:v>
                </c:pt>
                <c:pt idx="1008">
                  <c:v>4.3362046056062392E-2</c:v>
                </c:pt>
                <c:pt idx="1009">
                  <c:v>4.3362046056062392E-2</c:v>
                </c:pt>
                <c:pt idx="1010">
                  <c:v>4.3362046056062392E-2</c:v>
                </c:pt>
                <c:pt idx="1011">
                  <c:v>4.3362046056062392E-2</c:v>
                </c:pt>
                <c:pt idx="1012">
                  <c:v>4.3362046056062392E-2</c:v>
                </c:pt>
                <c:pt idx="1013">
                  <c:v>4.3362046056062392E-2</c:v>
                </c:pt>
                <c:pt idx="1014">
                  <c:v>4.3362046056062392E-2</c:v>
                </c:pt>
                <c:pt idx="1015">
                  <c:v>4.3362046056062392E-2</c:v>
                </c:pt>
                <c:pt idx="1016">
                  <c:v>4.3362046056062392E-2</c:v>
                </c:pt>
                <c:pt idx="1017">
                  <c:v>4.3362046056062392E-2</c:v>
                </c:pt>
                <c:pt idx="1018">
                  <c:v>4.3362046056062392E-2</c:v>
                </c:pt>
                <c:pt idx="1019">
                  <c:v>4.3362046056062392E-2</c:v>
                </c:pt>
                <c:pt idx="1020">
                  <c:v>4.3362046056062392E-2</c:v>
                </c:pt>
                <c:pt idx="1021">
                  <c:v>4.3362046056062392E-2</c:v>
                </c:pt>
                <c:pt idx="1022">
                  <c:v>4.3362046056062392E-2</c:v>
                </c:pt>
                <c:pt idx="1023">
                  <c:v>4.3362046056062392E-2</c:v>
                </c:pt>
                <c:pt idx="1024">
                  <c:v>4.3362046056062392E-2</c:v>
                </c:pt>
                <c:pt idx="1025">
                  <c:v>4.3362046056062392E-2</c:v>
                </c:pt>
                <c:pt idx="1026">
                  <c:v>4.3362046056062392E-2</c:v>
                </c:pt>
                <c:pt idx="1027">
                  <c:v>4.3362046056062392E-2</c:v>
                </c:pt>
                <c:pt idx="1028">
                  <c:v>4.3362046056062392E-2</c:v>
                </c:pt>
                <c:pt idx="1029">
                  <c:v>4.3362046056062392E-2</c:v>
                </c:pt>
                <c:pt idx="1030">
                  <c:v>4.3362046056062392E-2</c:v>
                </c:pt>
                <c:pt idx="1031">
                  <c:v>4.3362046056062392E-2</c:v>
                </c:pt>
                <c:pt idx="1032">
                  <c:v>4.3362046056062392E-2</c:v>
                </c:pt>
                <c:pt idx="1033">
                  <c:v>4.3362046056062392E-2</c:v>
                </c:pt>
                <c:pt idx="1034">
                  <c:v>4.3362046056062392E-2</c:v>
                </c:pt>
                <c:pt idx="1035">
                  <c:v>4.3362046056062392E-2</c:v>
                </c:pt>
                <c:pt idx="1036">
                  <c:v>4.3362046056062392E-2</c:v>
                </c:pt>
                <c:pt idx="1037">
                  <c:v>4.3362046056062392E-2</c:v>
                </c:pt>
                <c:pt idx="1038">
                  <c:v>4.3362046056062392E-2</c:v>
                </c:pt>
                <c:pt idx="1039">
                  <c:v>4.3362046056062392E-2</c:v>
                </c:pt>
                <c:pt idx="1040">
                  <c:v>4.3362046056062392E-2</c:v>
                </c:pt>
                <c:pt idx="1041">
                  <c:v>4.3362046056062392E-2</c:v>
                </c:pt>
                <c:pt idx="1042">
                  <c:v>4.3362046056062392E-2</c:v>
                </c:pt>
                <c:pt idx="1043">
                  <c:v>4.3362046056062392E-2</c:v>
                </c:pt>
                <c:pt idx="1044">
                  <c:v>4.3362046056062392E-2</c:v>
                </c:pt>
                <c:pt idx="1045">
                  <c:v>4.3362046056062392E-2</c:v>
                </c:pt>
                <c:pt idx="1046">
                  <c:v>4.3362046056062392E-2</c:v>
                </c:pt>
                <c:pt idx="1047">
                  <c:v>4.3362046056062392E-2</c:v>
                </c:pt>
                <c:pt idx="1048">
                  <c:v>4.3362046056062392E-2</c:v>
                </c:pt>
                <c:pt idx="1049">
                  <c:v>4.3362046056062392E-2</c:v>
                </c:pt>
                <c:pt idx="1050">
                  <c:v>4.3362046056062392E-2</c:v>
                </c:pt>
                <c:pt idx="1051">
                  <c:v>4.3362046056062392E-2</c:v>
                </c:pt>
                <c:pt idx="1052">
                  <c:v>4.3362046056062392E-2</c:v>
                </c:pt>
                <c:pt idx="1053">
                  <c:v>4.3362046056062392E-2</c:v>
                </c:pt>
                <c:pt idx="1054">
                  <c:v>4.3362046056062392E-2</c:v>
                </c:pt>
                <c:pt idx="1055">
                  <c:v>4.3362046056062392E-2</c:v>
                </c:pt>
                <c:pt idx="1056">
                  <c:v>4.3362046056062392E-2</c:v>
                </c:pt>
                <c:pt idx="1057">
                  <c:v>4.3362046056062392E-2</c:v>
                </c:pt>
                <c:pt idx="1058">
                  <c:v>4.3362046056062392E-2</c:v>
                </c:pt>
                <c:pt idx="1059">
                  <c:v>4.3362046056062392E-2</c:v>
                </c:pt>
                <c:pt idx="1060">
                  <c:v>4.3362046056062392E-2</c:v>
                </c:pt>
                <c:pt idx="1061">
                  <c:v>4.3362046056062392E-2</c:v>
                </c:pt>
                <c:pt idx="1062">
                  <c:v>4.3362046056062392E-2</c:v>
                </c:pt>
                <c:pt idx="1063">
                  <c:v>4.3362046056062392E-2</c:v>
                </c:pt>
                <c:pt idx="1064">
                  <c:v>4.3362046056062392E-2</c:v>
                </c:pt>
                <c:pt idx="1065">
                  <c:v>4.3362046056062392E-2</c:v>
                </c:pt>
                <c:pt idx="1066">
                  <c:v>4.3362046056062392E-2</c:v>
                </c:pt>
                <c:pt idx="1067">
                  <c:v>4.3362046056062392E-2</c:v>
                </c:pt>
                <c:pt idx="1068">
                  <c:v>4.3362046056062392E-2</c:v>
                </c:pt>
                <c:pt idx="1069">
                  <c:v>4.3362046056062392E-2</c:v>
                </c:pt>
                <c:pt idx="1070">
                  <c:v>4.3362046056062392E-2</c:v>
                </c:pt>
                <c:pt idx="1071">
                  <c:v>4.3362046056062392E-2</c:v>
                </c:pt>
                <c:pt idx="1072">
                  <c:v>4.3362046056062392E-2</c:v>
                </c:pt>
                <c:pt idx="1073">
                  <c:v>4.3362046056062392E-2</c:v>
                </c:pt>
                <c:pt idx="1074">
                  <c:v>4.3362046056062392E-2</c:v>
                </c:pt>
                <c:pt idx="1075">
                  <c:v>4.3362046056062392E-2</c:v>
                </c:pt>
                <c:pt idx="1076">
                  <c:v>4.3362046056062392E-2</c:v>
                </c:pt>
                <c:pt idx="1077">
                  <c:v>4.3362046056062392E-2</c:v>
                </c:pt>
                <c:pt idx="1078">
                  <c:v>4.3362046056062392E-2</c:v>
                </c:pt>
                <c:pt idx="1079">
                  <c:v>4.3362046056062392E-2</c:v>
                </c:pt>
                <c:pt idx="1080">
                  <c:v>4.3362046056062392E-2</c:v>
                </c:pt>
                <c:pt idx="1081">
                  <c:v>4.3362046056062392E-2</c:v>
                </c:pt>
                <c:pt idx="1082">
                  <c:v>4.3362046056062392E-2</c:v>
                </c:pt>
                <c:pt idx="1083">
                  <c:v>4.3362046056062392E-2</c:v>
                </c:pt>
                <c:pt idx="1084">
                  <c:v>4.3362046056062392E-2</c:v>
                </c:pt>
                <c:pt idx="1085">
                  <c:v>4.3362046056062392E-2</c:v>
                </c:pt>
                <c:pt idx="1086">
                  <c:v>4.3362046056062392E-2</c:v>
                </c:pt>
                <c:pt idx="1087">
                  <c:v>4.3362046056062392E-2</c:v>
                </c:pt>
                <c:pt idx="1088">
                  <c:v>4.3362046056062392E-2</c:v>
                </c:pt>
                <c:pt idx="1089">
                  <c:v>4.3362046056062392E-2</c:v>
                </c:pt>
                <c:pt idx="1090">
                  <c:v>4.3362046056062392E-2</c:v>
                </c:pt>
                <c:pt idx="1091">
                  <c:v>4.3362046056062392E-2</c:v>
                </c:pt>
                <c:pt idx="1092">
                  <c:v>4.3362046056062392E-2</c:v>
                </c:pt>
                <c:pt idx="1093">
                  <c:v>4.3362046056062392E-2</c:v>
                </c:pt>
                <c:pt idx="1094">
                  <c:v>4.3362046056062392E-2</c:v>
                </c:pt>
                <c:pt idx="1095">
                  <c:v>4.3362046056062392E-2</c:v>
                </c:pt>
                <c:pt idx="1096">
                  <c:v>4.3362046056062392E-2</c:v>
                </c:pt>
                <c:pt idx="1097">
                  <c:v>4.3362046056062392E-2</c:v>
                </c:pt>
                <c:pt idx="1098">
                  <c:v>4.3362046056062392E-2</c:v>
                </c:pt>
                <c:pt idx="1099">
                  <c:v>4.3362046056062392E-2</c:v>
                </c:pt>
                <c:pt idx="1100">
                  <c:v>4.3362046056062392E-2</c:v>
                </c:pt>
                <c:pt idx="1101">
                  <c:v>4.3362046056062392E-2</c:v>
                </c:pt>
                <c:pt idx="1102">
                  <c:v>4.3362046056062392E-2</c:v>
                </c:pt>
                <c:pt idx="1103">
                  <c:v>4.3362046056062392E-2</c:v>
                </c:pt>
                <c:pt idx="1104">
                  <c:v>4.3362046056062392E-2</c:v>
                </c:pt>
                <c:pt idx="1105">
                  <c:v>4.3362046056062392E-2</c:v>
                </c:pt>
                <c:pt idx="1106">
                  <c:v>4.3362046056062392E-2</c:v>
                </c:pt>
                <c:pt idx="1107">
                  <c:v>4.3362046056062392E-2</c:v>
                </c:pt>
                <c:pt idx="1108">
                  <c:v>4.3362046056062392E-2</c:v>
                </c:pt>
                <c:pt idx="1109">
                  <c:v>4.3362046056062392E-2</c:v>
                </c:pt>
                <c:pt idx="1110">
                  <c:v>4.3362046056062392E-2</c:v>
                </c:pt>
                <c:pt idx="1111">
                  <c:v>4.3362046056062392E-2</c:v>
                </c:pt>
                <c:pt idx="1112">
                  <c:v>4.3362046056062392E-2</c:v>
                </c:pt>
                <c:pt idx="1113">
                  <c:v>4.3362046056062392E-2</c:v>
                </c:pt>
                <c:pt idx="1114">
                  <c:v>4.3362046056062392E-2</c:v>
                </c:pt>
                <c:pt idx="1115">
                  <c:v>4.3362046056062392E-2</c:v>
                </c:pt>
                <c:pt idx="1116">
                  <c:v>4.3362046056062392E-2</c:v>
                </c:pt>
                <c:pt idx="1117">
                  <c:v>4.3362046056062392E-2</c:v>
                </c:pt>
                <c:pt idx="1118">
                  <c:v>4.3362046056062392E-2</c:v>
                </c:pt>
                <c:pt idx="1119">
                  <c:v>4.3362046056062392E-2</c:v>
                </c:pt>
                <c:pt idx="1120">
                  <c:v>4.3362046056062392E-2</c:v>
                </c:pt>
                <c:pt idx="1121">
                  <c:v>4.3362046056062392E-2</c:v>
                </c:pt>
                <c:pt idx="1122">
                  <c:v>4.3362046056062392E-2</c:v>
                </c:pt>
                <c:pt idx="1123">
                  <c:v>4.3362046056062392E-2</c:v>
                </c:pt>
                <c:pt idx="1124">
                  <c:v>4.3362046056062392E-2</c:v>
                </c:pt>
                <c:pt idx="1125">
                  <c:v>4.3362046056062392E-2</c:v>
                </c:pt>
                <c:pt idx="1126">
                  <c:v>4.3362046056062392E-2</c:v>
                </c:pt>
                <c:pt idx="1127">
                  <c:v>4.3362046056062392E-2</c:v>
                </c:pt>
                <c:pt idx="1128">
                  <c:v>4.3362046056062392E-2</c:v>
                </c:pt>
                <c:pt idx="1129">
                  <c:v>4.3362046056062392E-2</c:v>
                </c:pt>
                <c:pt idx="1130">
                  <c:v>4.3362046056062392E-2</c:v>
                </c:pt>
                <c:pt idx="1131">
                  <c:v>4.3362046056062392E-2</c:v>
                </c:pt>
                <c:pt idx="1132">
                  <c:v>4.3362046056062392E-2</c:v>
                </c:pt>
                <c:pt idx="1133">
                  <c:v>4.3362046056062392E-2</c:v>
                </c:pt>
                <c:pt idx="1134">
                  <c:v>4.3362046056062392E-2</c:v>
                </c:pt>
                <c:pt idx="1135">
                  <c:v>4.3362046056062392E-2</c:v>
                </c:pt>
                <c:pt idx="1136">
                  <c:v>4.3362046056062392E-2</c:v>
                </c:pt>
                <c:pt idx="1137">
                  <c:v>4.3362046056062392E-2</c:v>
                </c:pt>
                <c:pt idx="1138">
                  <c:v>4.3362046056062392E-2</c:v>
                </c:pt>
                <c:pt idx="1139">
                  <c:v>4.3362046056062392E-2</c:v>
                </c:pt>
                <c:pt idx="1140">
                  <c:v>4.3362046056062392E-2</c:v>
                </c:pt>
                <c:pt idx="1141">
                  <c:v>4.3362046056062392E-2</c:v>
                </c:pt>
                <c:pt idx="1142">
                  <c:v>4.3362046056062392E-2</c:v>
                </c:pt>
                <c:pt idx="1143">
                  <c:v>4.3362046056062392E-2</c:v>
                </c:pt>
                <c:pt idx="1144">
                  <c:v>4.3362046056062392E-2</c:v>
                </c:pt>
                <c:pt idx="1145">
                  <c:v>4.3362046056062392E-2</c:v>
                </c:pt>
                <c:pt idx="1146">
                  <c:v>4.3362046056062392E-2</c:v>
                </c:pt>
                <c:pt idx="1147">
                  <c:v>4.3362046056062392E-2</c:v>
                </c:pt>
                <c:pt idx="1148">
                  <c:v>4.3362046056062392E-2</c:v>
                </c:pt>
                <c:pt idx="1149">
                  <c:v>4.3362046056062392E-2</c:v>
                </c:pt>
                <c:pt idx="1150">
                  <c:v>4.3362046056062392E-2</c:v>
                </c:pt>
                <c:pt idx="1151">
                  <c:v>4.3362046056062392E-2</c:v>
                </c:pt>
                <c:pt idx="1152">
                  <c:v>4.3362046056062392E-2</c:v>
                </c:pt>
                <c:pt idx="1153">
                  <c:v>4.3362046056062392E-2</c:v>
                </c:pt>
                <c:pt idx="1154">
                  <c:v>4.3362046056062392E-2</c:v>
                </c:pt>
                <c:pt idx="1155">
                  <c:v>4.3362046056062392E-2</c:v>
                </c:pt>
                <c:pt idx="1156">
                  <c:v>4.3362046056062392E-2</c:v>
                </c:pt>
                <c:pt idx="1157">
                  <c:v>4.3362046056062392E-2</c:v>
                </c:pt>
                <c:pt idx="1158">
                  <c:v>4.3362046056062392E-2</c:v>
                </c:pt>
                <c:pt idx="1159">
                  <c:v>4.3362046056062392E-2</c:v>
                </c:pt>
                <c:pt idx="1160">
                  <c:v>4.3362046056062392E-2</c:v>
                </c:pt>
                <c:pt idx="1161">
                  <c:v>4.3362046056062392E-2</c:v>
                </c:pt>
                <c:pt idx="1162">
                  <c:v>4.3362046056062392E-2</c:v>
                </c:pt>
                <c:pt idx="1163">
                  <c:v>4.3362046056062392E-2</c:v>
                </c:pt>
                <c:pt idx="1164">
                  <c:v>4.3362046056062392E-2</c:v>
                </c:pt>
                <c:pt idx="1165">
                  <c:v>4.3362046056062392E-2</c:v>
                </c:pt>
                <c:pt idx="1166">
                  <c:v>4.3362046056062392E-2</c:v>
                </c:pt>
                <c:pt idx="1167">
                  <c:v>4.3362046056062392E-2</c:v>
                </c:pt>
                <c:pt idx="1168">
                  <c:v>4.3362046056062392E-2</c:v>
                </c:pt>
                <c:pt idx="1169">
                  <c:v>4.3362046056062392E-2</c:v>
                </c:pt>
                <c:pt idx="1170">
                  <c:v>4.3362046056062392E-2</c:v>
                </c:pt>
                <c:pt idx="1171">
                  <c:v>4.3362046056062392E-2</c:v>
                </c:pt>
                <c:pt idx="1172">
                  <c:v>4.3362046056062392E-2</c:v>
                </c:pt>
                <c:pt idx="1173">
                  <c:v>4.3362046056062392E-2</c:v>
                </c:pt>
                <c:pt idx="1174">
                  <c:v>4.3362046056062392E-2</c:v>
                </c:pt>
                <c:pt idx="1175">
                  <c:v>4.3362046056062392E-2</c:v>
                </c:pt>
                <c:pt idx="1176">
                  <c:v>4.3362046056062392E-2</c:v>
                </c:pt>
                <c:pt idx="1177">
                  <c:v>4.3362046056062392E-2</c:v>
                </c:pt>
                <c:pt idx="1178">
                  <c:v>4.3362046056062392E-2</c:v>
                </c:pt>
                <c:pt idx="1179">
                  <c:v>4.3362046056062392E-2</c:v>
                </c:pt>
                <c:pt idx="1180">
                  <c:v>4.3362046056062392E-2</c:v>
                </c:pt>
                <c:pt idx="1181">
                  <c:v>4.3362046056062392E-2</c:v>
                </c:pt>
                <c:pt idx="1182">
                  <c:v>4.3362046056062392E-2</c:v>
                </c:pt>
                <c:pt idx="1183">
                  <c:v>4.3362046056062392E-2</c:v>
                </c:pt>
                <c:pt idx="1184">
                  <c:v>4.3362046056062392E-2</c:v>
                </c:pt>
                <c:pt idx="1185">
                  <c:v>4.3362046056062392E-2</c:v>
                </c:pt>
                <c:pt idx="1186">
                  <c:v>4.3362046056062392E-2</c:v>
                </c:pt>
                <c:pt idx="1187">
                  <c:v>4.3362046056062392E-2</c:v>
                </c:pt>
                <c:pt idx="1188">
                  <c:v>4.3362046056062392E-2</c:v>
                </c:pt>
                <c:pt idx="1189">
                  <c:v>4.3362046056062392E-2</c:v>
                </c:pt>
                <c:pt idx="1190">
                  <c:v>4.3362046056062392E-2</c:v>
                </c:pt>
                <c:pt idx="1191">
                  <c:v>4.3362046056062392E-2</c:v>
                </c:pt>
                <c:pt idx="1192">
                  <c:v>4.3362046056062392E-2</c:v>
                </c:pt>
                <c:pt idx="1193">
                  <c:v>4.3362046056062392E-2</c:v>
                </c:pt>
                <c:pt idx="1194">
                  <c:v>4.3362046056062392E-2</c:v>
                </c:pt>
                <c:pt idx="1195">
                  <c:v>4.3362046056062392E-2</c:v>
                </c:pt>
                <c:pt idx="1196">
                  <c:v>4.3362046056062392E-2</c:v>
                </c:pt>
                <c:pt idx="1197">
                  <c:v>4.3362046056062392E-2</c:v>
                </c:pt>
                <c:pt idx="1198">
                  <c:v>4.3362046056062392E-2</c:v>
                </c:pt>
                <c:pt idx="1199">
                  <c:v>4.3362046056062392E-2</c:v>
                </c:pt>
                <c:pt idx="1200">
                  <c:v>4.3362046056062392E-2</c:v>
                </c:pt>
                <c:pt idx="1201">
                  <c:v>4.3362046056062392E-2</c:v>
                </c:pt>
                <c:pt idx="1202">
                  <c:v>4.3362046056062392E-2</c:v>
                </c:pt>
                <c:pt idx="1203">
                  <c:v>4.3362046056062392E-2</c:v>
                </c:pt>
                <c:pt idx="1204">
                  <c:v>4.3362046056062392E-2</c:v>
                </c:pt>
                <c:pt idx="1205">
                  <c:v>4.3362046056062392E-2</c:v>
                </c:pt>
                <c:pt idx="1206">
                  <c:v>4.3362046056062392E-2</c:v>
                </c:pt>
                <c:pt idx="1207">
                  <c:v>4.3362046056062392E-2</c:v>
                </c:pt>
                <c:pt idx="1208">
                  <c:v>4.3362046056062392E-2</c:v>
                </c:pt>
                <c:pt idx="1209">
                  <c:v>4.3362046056062392E-2</c:v>
                </c:pt>
                <c:pt idx="1210">
                  <c:v>4.3362046056062392E-2</c:v>
                </c:pt>
                <c:pt idx="1211">
                  <c:v>4.3362046056062392E-2</c:v>
                </c:pt>
                <c:pt idx="1212">
                  <c:v>4.3362046056062392E-2</c:v>
                </c:pt>
                <c:pt idx="1213">
                  <c:v>4.3362046056062392E-2</c:v>
                </c:pt>
                <c:pt idx="1214">
                  <c:v>4.3362046056062392E-2</c:v>
                </c:pt>
                <c:pt idx="1215">
                  <c:v>4.3362046056062392E-2</c:v>
                </c:pt>
                <c:pt idx="1216">
                  <c:v>4.3362046056062392E-2</c:v>
                </c:pt>
                <c:pt idx="1217">
                  <c:v>4.3362046056062392E-2</c:v>
                </c:pt>
                <c:pt idx="1218">
                  <c:v>4.3362046056062392E-2</c:v>
                </c:pt>
                <c:pt idx="1219">
                  <c:v>4.3362046056062392E-2</c:v>
                </c:pt>
                <c:pt idx="1220">
                  <c:v>4.3362046056062392E-2</c:v>
                </c:pt>
                <c:pt idx="1221">
                  <c:v>4.3362046056062392E-2</c:v>
                </c:pt>
                <c:pt idx="1222">
                  <c:v>4.3362046056062392E-2</c:v>
                </c:pt>
                <c:pt idx="1223">
                  <c:v>4.3362046056062392E-2</c:v>
                </c:pt>
                <c:pt idx="1224">
                  <c:v>4.3362046056062392E-2</c:v>
                </c:pt>
                <c:pt idx="1225">
                  <c:v>4.3362046056062392E-2</c:v>
                </c:pt>
                <c:pt idx="1226">
                  <c:v>4.3362046056062392E-2</c:v>
                </c:pt>
                <c:pt idx="1227">
                  <c:v>4.3362046056062392E-2</c:v>
                </c:pt>
                <c:pt idx="1228">
                  <c:v>4.3362046056062392E-2</c:v>
                </c:pt>
                <c:pt idx="1229">
                  <c:v>4.3362046056062392E-2</c:v>
                </c:pt>
                <c:pt idx="1230">
                  <c:v>4.3362046056062392E-2</c:v>
                </c:pt>
                <c:pt idx="1231">
                  <c:v>4.3989984930821201E-2</c:v>
                </c:pt>
                <c:pt idx="1232">
                  <c:v>4.3989984930821201E-2</c:v>
                </c:pt>
                <c:pt idx="1233">
                  <c:v>4.3989984930821201E-2</c:v>
                </c:pt>
                <c:pt idx="1234">
                  <c:v>4.3989984930821201E-2</c:v>
                </c:pt>
                <c:pt idx="1235">
                  <c:v>4.3989984930821201E-2</c:v>
                </c:pt>
                <c:pt idx="1236">
                  <c:v>4.3989984930821201E-2</c:v>
                </c:pt>
                <c:pt idx="1237">
                  <c:v>4.3989984930821201E-2</c:v>
                </c:pt>
                <c:pt idx="1238">
                  <c:v>4.3989984930821201E-2</c:v>
                </c:pt>
                <c:pt idx="1239">
                  <c:v>4.3989984930821201E-2</c:v>
                </c:pt>
                <c:pt idx="1240">
                  <c:v>4.3989984930821201E-2</c:v>
                </c:pt>
                <c:pt idx="1241">
                  <c:v>4.3989984930821201E-2</c:v>
                </c:pt>
                <c:pt idx="1242">
                  <c:v>4.3989984930821201E-2</c:v>
                </c:pt>
                <c:pt idx="1243">
                  <c:v>4.3989984930821201E-2</c:v>
                </c:pt>
                <c:pt idx="1244">
                  <c:v>4.3989984930821201E-2</c:v>
                </c:pt>
                <c:pt idx="1245">
                  <c:v>4.3989984930821201E-2</c:v>
                </c:pt>
                <c:pt idx="1246">
                  <c:v>4.3989984930821201E-2</c:v>
                </c:pt>
                <c:pt idx="1247">
                  <c:v>4.3989984930821201E-2</c:v>
                </c:pt>
                <c:pt idx="1248">
                  <c:v>4.3989984930821201E-2</c:v>
                </c:pt>
                <c:pt idx="1249">
                  <c:v>4.3989984930821201E-2</c:v>
                </c:pt>
                <c:pt idx="1250">
                  <c:v>4.3989984930821201E-2</c:v>
                </c:pt>
                <c:pt idx="1251">
                  <c:v>4.3989984930821201E-2</c:v>
                </c:pt>
                <c:pt idx="1252">
                  <c:v>4.3989984930821201E-2</c:v>
                </c:pt>
                <c:pt idx="1253">
                  <c:v>4.3989984930821201E-2</c:v>
                </c:pt>
                <c:pt idx="1254">
                  <c:v>4.3989984930821201E-2</c:v>
                </c:pt>
                <c:pt idx="1255">
                  <c:v>4.3989984930821201E-2</c:v>
                </c:pt>
                <c:pt idx="1256">
                  <c:v>4.3989984930821201E-2</c:v>
                </c:pt>
                <c:pt idx="1257">
                  <c:v>4.3989984930821201E-2</c:v>
                </c:pt>
                <c:pt idx="1258">
                  <c:v>4.3989984930821201E-2</c:v>
                </c:pt>
                <c:pt idx="1259">
                  <c:v>4.3989984930821201E-2</c:v>
                </c:pt>
                <c:pt idx="1260">
                  <c:v>4.3989984930821201E-2</c:v>
                </c:pt>
                <c:pt idx="1261">
                  <c:v>4.3989984930821201E-2</c:v>
                </c:pt>
                <c:pt idx="1262">
                  <c:v>4.3989984930821201E-2</c:v>
                </c:pt>
                <c:pt idx="1263">
                  <c:v>4.3989984930821201E-2</c:v>
                </c:pt>
                <c:pt idx="1264">
                  <c:v>4.3989984930821201E-2</c:v>
                </c:pt>
                <c:pt idx="1265">
                  <c:v>4.3989984930821201E-2</c:v>
                </c:pt>
                <c:pt idx="1266">
                  <c:v>4.3989984930821201E-2</c:v>
                </c:pt>
                <c:pt idx="1267">
                  <c:v>4.3989984930821201E-2</c:v>
                </c:pt>
                <c:pt idx="1268">
                  <c:v>4.3989984930821201E-2</c:v>
                </c:pt>
                <c:pt idx="1269">
                  <c:v>4.3989984930821201E-2</c:v>
                </c:pt>
                <c:pt idx="1270">
                  <c:v>4.3989984930821201E-2</c:v>
                </c:pt>
                <c:pt idx="1271">
                  <c:v>4.3989984930821201E-2</c:v>
                </c:pt>
                <c:pt idx="1272">
                  <c:v>4.3989984930821201E-2</c:v>
                </c:pt>
                <c:pt idx="1273">
                  <c:v>4.3989984930821201E-2</c:v>
                </c:pt>
                <c:pt idx="1274">
                  <c:v>4.3989984930821201E-2</c:v>
                </c:pt>
                <c:pt idx="1275">
                  <c:v>4.3989984930821201E-2</c:v>
                </c:pt>
                <c:pt idx="1276">
                  <c:v>4.3989984930821201E-2</c:v>
                </c:pt>
                <c:pt idx="1277">
                  <c:v>4.3989984930821201E-2</c:v>
                </c:pt>
                <c:pt idx="1278">
                  <c:v>4.3989984930821201E-2</c:v>
                </c:pt>
                <c:pt idx="1279">
                  <c:v>4.3989984930821201E-2</c:v>
                </c:pt>
                <c:pt idx="1280">
                  <c:v>4.3989984930821201E-2</c:v>
                </c:pt>
                <c:pt idx="1281">
                  <c:v>4.3989984930821201E-2</c:v>
                </c:pt>
                <c:pt idx="1282">
                  <c:v>4.3989984930821201E-2</c:v>
                </c:pt>
                <c:pt idx="1283">
                  <c:v>4.3989984930821201E-2</c:v>
                </c:pt>
                <c:pt idx="1284">
                  <c:v>4.3989984930821201E-2</c:v>
                </c:pt>
                <c:pt idx="1285">
                  <c:v>4.3989984930821201E-2</c:v>
                </c:pt>
                <c:pt idx="1286">
                  <c:v>4.3989984930821201E-2</c:v>
                </c:pt>
                <c:pt idx="1287">
                  <c:v>4.3989984930821201E-2</c:v>
                </c:pt>
                <c:pt idx="1288">
                  <c:v>4.3989984930821201E-2</c:v>
                </c:pt>
                <c:pt idx="1289">
                  <c:v>4.3989984930821201E-2</c:v>
                </c:pt>
                <c:pt idx="1290">
                  <c:v>4.3989984930821201E-2</c:v>
                </c:pt>
                <c:pt idx="1291">
                  <c:v>4.3989984930821201E-2</c:v>
                </c:pt>
                <c:pt idx="1292">
                  <c:v>4.3989984930821201E-2</c:v>
                </c:pt>
                <c:pt idx="1293">
                  <c:v>4.3989984930821201E-2</c:v>
                </c:pt>
                <c:pt idx="1294">
                  <c:v>4.3989984930821201E-2</c:v>
                </c:pt>
                <c:pt idx="1295">
                  <c:v>4.3989984930821201E-2</c:v>
                </c:pt>
                <c:pt idx="1296">
                  <c:v>4.3989984930821201E-2</c:v>
                </c:pt>
                <c:pt idx="1297">
                  <c:v>4.3989984930821201E-2</c:v>
                </c:pt>
                <c:pt idx="1298">
                  <c:v>4.3989984930821201E-2</c:v>
                </c:pt>
                <c:pt idx="1299">
                  <c:v>4.3989984930821201E-2</c:v>
                </c:pt>
                <c:pt idx="1300">
                  <c:v>4.3989984930821201E-2</c:v>
                </c:pt>
                <c:pt idx="1301">
                  <c:v>4.3989984930821201E-2</c:v>
                </c:pt>
                <c:pt idx="1302">
                  <c:v>4.3989984930821201E-2</c:v>
                </c:pt>
                <c:pt idx="1303">
                  <c:v>4.3989984930821201E-2</c:v>
                </c:pt>
                <c:pt idx="1304">
                  <c:v>4.3989984930821201E-2</c:v>
                </c:pt>
                <c:pt idx="1305">
                  <c:v>4.3989984930821201E-2</c:v>
                </c:pt>
                <c:pt idx="1306">
                  <c:v>4.3989984930821201E-2</c:v>
                </c:pt>
                <c:pt idx="1307">
                  <c:v>4.3989984930821201E-2</c:v>
                </c:pt>
                <c:pt idx="1308">
                  <c:v>4.3989984930821201E-2</c:v>
                </c:pt>
                <c:pt idx="1309">
                  <c:v>4.3989984930821201E-2</c:v>
                </c:pt>
                <c:pt idx="1310">
                  <c:v>4.3989984930821201E-2</c:v>
                </c:pt>
                <c:pt idx="1311">
                  <c:v>4.3989984930821201E-2</c:v>
                </c:pt>
                <c:pt idx="1312">
                  <c:v>4.3989984930821201E-2</c:v>
                </c:pt>
                <c:pt idx="1313">
                  <c:v>4.3989984930821201E-2</c:v>
                </c:pt>
                <c:pt idx="1314">
                  <c:v>4.3989984930821201E-2</c:v>
                </c:pt>
                <c:pt idx="1315">
                  <c:v>4.3989984930821201E-2</c:v>
                </c:pt>
                <c:pt idx="1316">
                  <c:v>4.3989984930821201E-2</c:v>
                </c:pt>
                <c:pt idx="1317">
                  <c:v>4.3989984930821201E-2</c:v>
                </c:pt>
                <c:pt idx="1318">
                  <c:v>4.3989984930821201E-2</c:v>
                </c:pt>
                <c:pt idx="1319">
                  <c:v>4.3989984930821201E-2</c:v>
                </c:pt>
                <c:pt idx="1320">
                  <c:v>4.3989984930821201E-2</c:v>
                </c:pt>
                <c:pt idx="1321">
                  <c:v>4.3989984930821201E-2</c:v>
                </c:pt>
                <c:pt idx="1322">
                  <c:v>4.3989984930821201E-2</c:v>
                </c:pt>
                <c:pt idx="1323">
                  <c:v>4.3989984930821201E-2</c:v>
                </c:pt>
                <c:pt idx="1324">
                  <c:v>4.3989984930821201E-2</c:v>
                </c:pt>
                <c:pt idx="1325">
                  <c:v>4.3989984930821201E-2</c:v>
                </c:pt>
                <c:pt idx="1326">
                  <c:v>4.3989984930821201E-2</c:v>
                </c:pt>
                <c:pt idx="1327">
                  <c:v>4.3989984930821201E-2</c:v>
                </c:pt>
                <c:pt idx="1328">
                  <c:v>4.3989984930821201E-2</c:v>
                </c:pt>
                <c:pt idx="1329">
                  <c:v>4.3989984930821201E-2</c:v>
                </c:pt>
                <c:pt idx="1330">
                  <c:v>4.3989984930821201E-2</c:v>
                </c:pt>
                <c:pt idx="1331">
                  <c:v>4.3989984930821201E-2</c:v>
                </c:pt>
                <c:pt idx="1332">
                  <c:v>4.3989984930821201E-2</c:v>
                </c:pt>
                <c:pt idx="1333">
                  <c:v>4.3989984930821201E-2</c:v>
                </c:pt>
                <c:pt idx="1334">
                  <c:v>4.3989984930821201E-2</c:v>
                </c:pt>
                <c:pt idx="1335">
                  <c:v>4.3989984930821201E-2</c:v>
                </c:pt>
                <c:pt idx="1336">
                  <c:v>4.3989984930821201E-2</c:v>
                </c:pt>
                <c:pt idx="1337">
                  <c:v>4.3989984930821201E-2</c:v>
                </c:pt>
                <c:pt idx="1338">
                  <c:v>4.3989984930821201E-2</c:v>
                </c:pt>
                <c:pt idx="1339">
                  <c:v>4.3989984930821201E-2</c:v>
                </c:pt>
                <c:pt idx="1340">
                  <c:v>4.3989984930821201E-2</c:v>
                </c:pt>
                <c:pt idx="1341">
                  <c:v>4.3989984930821201E-2</c:v>
                </c:pt>
                <c:pt idx="1342">
                  <c:v>4.3989984930821201E-2</c:v>
                </c:pt>
                <c:pt idx="1343">
                  <c:v>4.3989984930821201E-2</c:v>
                </c:pt>
                <c:pt idx="1344">
                  <c:v>4.3989984930821201E-2</c:v>
                </c:pt>
                <c:pt idx="1345">
                  <c:v>4.3989984930821201E-2</c:v>
                </c:pt>
                <c:pt idx="1346">
                  <c:v>4.3989984930821201E-2</c:v>
                </c:pt>
                <c:pt idx="1347">
                  <c:v>4.3989984930821201E-2</c:v>
                </c:pt>
                <c:pt idx="1348">
                  <c:v>4.3989984930821201E-2</c:v>
                </c:pt>
                <c:pt idx="1349">
                  <c:v>4.3989984930821201E-2</c:v>
                </c:pt>
                <c:pt idx="1350">
                  <c:v>4.3989984930821201E-2</c:v>
                </c:pt>
                <c:pt idx="1351">
                  <c:v>4.3989984930821201E-2</c:v>
                </c:pt>
                <c:pt idx="1352">
                  <c:v>4.3989984930821201E-2</c:v>
                </c:pt>
                <c:pt idx="1353">
                  <c:v>4.3989984930821201E-2</c:v>
                </c:pt>
                <c:pt idx="1354">
                  <c:v>4.3989984930821201E-2</c:v>
                </c:pt>
                <c:pt idx="1355">
                  <c:v>4.3989984930821201E-2</c:v>
                </c:pt>
                <c:pt idx="1356">
                  <c:v>4.3989984930821201E-2</c:v>
                </c:pt>
                <c:pt idx="1357">
                  <c:v>4.3989984930821201E-2</c:v>
                </c:pt>
                <c:pt idx="1358">
                  <c:v>4.3989984930821201E-2</c:v>
                </c:pt>
                <c:pt idx="1359">
                  <c:v>4.3989984930821201E-2</c:v>
                </c:pt>
                <c:pt idx="1360">
                  <c:v>4.3989984930821201E-2</c:v>
                </c:pt>
                <c:pt idx="1361">
                  <c:v>4.3989984930821201E-2</c:v>
                </c:pt>
                <c:pt idx="1362">
                  <c:v>4.3989984930821201E-2</c:v>
                </c:pt>
                <c:pt idx="1363">
                  <c:v>4.3989984930821201E-2</c:v>
                </c:pt>
                <c:pt idx="1364">
                  <c:v>4.3989984930821201E-2</c:v>
                </c:pt>
                <c:pt idx="1365">
                  <c:v>4.3989984930821201E-2</c:v>
                </c:pt>
                <c:pt idx="1366">
                  <c:v>4.3989984930821201E-2</c:v>
                </c:pt>
                <c:pt idx="1367">
                  <c:v>4.3989984930821201E-2</c:v>
                </c:pt>
                <c:pt idx="1368">
                  <c:v>4.3989984930821201E-2</c:v>
                </c:pt>
                <c:pt idx="1369">
                  <c:v>4.3989984930821201E-2</c:v>
                </c:pt>
                <c:pt idx="1370">
                  <c:v>4.3989984930821201E-2</c:v>
                </c:pt>
                <c:pt idx="1371">
                  <c:v>4.3989984930821201E-2</c:v>
                </c:pt>
                <c:pt idx="1372">
                  <c:v>4.3989984930821201E-2</c:v>
                </c:pt>
                <c:pt idx="1373">
                  <c:v>4.3989984930821201E-2</c:v>
                </c:pt>
                <c:pt idx="1374">
                  <c:v>4.3989984930821201E-2</c:v>
                </c:pt>
                <c:pt idx="1375">
                  <c:v>4.3989984930821201E-2</c:v>
                </c:pt>
                <c:pt idx="1376">
                  <c:v>4.3989984930821201E-2</c:v>
                </c:pt>
                <c:pt idx="1377">
                  <c:v>4.3989984930821201E-2</c:v>
                </c:pt>
                <c:pt idx="1378">
                  <c:v>4.3989984930821201E-2</c:v>
                </c:pt>
                <c:pt idx="1379">
                  <c:v>4.3989984930821201E-2</c:v>
                </c:pt>
                <c:pt idx="1380">
                  <c:v>4.3989984930821201E-2</c:v>
                </c:pt>
                <c:pt idx="1381">
                  <c:v>4.3989984930821201E-2</c:v>
                </c:pt>
                <c:pt idx="1382">
                  <c:v>4.3989984930821201E-2</c:v>
                </c:pt>
                <c:pt idx="1383">
                  <c:v>4.3989984930821201E-2</c:v>
                </c:pt>
                <c:pt idx="1384">
                  <c:v>4.3989984930821201E-2</c:v>
                </c:pt>
                <c:pt idx="1385">
                  <c:v>4.3989984930821201E-2</c:v>
                </c:pt>
                <c:pt idx="1386">
                  <c:v>4.3989984930821201E-2</c:v>
                </c:pt>
                <c:pt idx="1387">
                  <c:v>4.3989984930821201E-2</c:v>
                </c:pt>
                <c:pt idx="1388">
                  <c:v>4.3989984930821201E-2</c:v>
                </c:pt>
                <c:pt idx="1389">
                  <c:v>4.3989984930821201E-2</c:v>
                </c:pt>
                <c:pt idx="1390">
                  <c:v>4.3989984930821201E-2</c:v>
                </c:pt>
                <c:pt idx="1391">
                  <c:v>4.3989984930821201E-2</c:v>
                </c:pt>
                <c:pt idx="1392">
                  <c:v>4.3989984930821201E-2</c:v>
                </c:pt>
                <c:pt idx="1393">
                  <c:v>4.3989984930821201E-2</c:v>
                </c:pt>
                <c:pt idx="1394">
                  <c:v>4.3989984930821201E-2</c:v>
                </c:pt>
                <c:pt idx="1395">
                  <c:v>4.3989984930821201E-2</c:v>
                </c:pt>
                <c:pt idx="1396">
                  <c:v>4.3989984930821201E-2</c:v>
                </c:pt>
                <c:pt idx="1397">
                  <c:v>4.3989984930821201E-2</c:v>
                </c:pt>
                <c:pt idx="1398">
                  <c:v>4.3989984930821201E-2</c:v>
                </c:pt>
                <c:pt idx="1399">
                  <c:v>4.3989984930821201E-2</c:v>
                </c:pt>
                <c:pt idx="1400">
                  <c:v>4.3989984930821201E-2</c:v>
                </c:pt>
                <c:pt idx="1401">
                  <c:v>4.3989984930821201E-2</c:v>
                </c:pt>
                <c:pt idx="1402">
                  <c:v>4.3989984930821201E-2</c:v>
                </c:pt>
                <c:pt idx="1403">
                  <c:v>4.3989984930821201E-2</c:v>
                </c:pt>
                <c:pt idx="1404">
                  <c:v>4.3989984930821201E-2</c:v>
                </c:pt>
                <c:pt idx="1405">
                  <c:v>4.3989984930821201E-2</c:v>
                </c:pt>
                <c:pt idx="1406">
                  <c:v>4.3989984930821201E-2</c:v>
                </c:pt>
                <c:pt idx="1407">
                  <c:v>4.3989984930821201E-2</c:v>
                </c:pt>
                <c:pt idx="1408">
                  <c:v>4.3989984930821201E-2</c:v>
                </c:pt>
                <c:pt idx="1409">
                  <c:v>4.3989984930821201E-2</c:v>
                </c:pt>
                <c:pt idx="1410">
                  <c:v>4.3989984930821201E-2</c:v>
                </c:pt>
                <c:pt idx="1411">
                  <c:v>4.3989984930821201E-2</c:v>
                </c:pt>
                <c:pt idx="1412">
                  <c:v>4.3989984930821201E-2</c:v>
                </c:pt>
                <c:pt idx="1413">
                  <c:v>4.3989984930821201E-2</c:v>
                </c:pt>
                <c:pt idx="1414">
                  <c:v>4.3989984930821201E-2</c:v>
                </c:pt>
                <c:pt idx="1415">
                  <c:v>4.3989984930821201E-2</c:v>
                </c:pt>
                <c:pt idx="1416">
                  <c:v>4.3989984930821201E-2</c:v>
                </c:pt>
                <c:pt idx="1417">
                  <c:v>4.3989984930821201E-2</c:v>
                </c:pt>
                <c:pt idx="1418">
                  <c:v>4.3989984930821201E-2</c:v>
                </c:pt>
                <c:pt idx="1419">
                  <c:v>4.3989984930821201E-2</c:v>
                </c:pt>
                <c:pt idx="1420">
                  <c:v>4.3989984930821201E-2</c:v>
                </c:pt>
                <c:pt idx="1421">
                  <c:v>4.3989984930821201E-2</c:v>
                </c:pt>
                <c:pt idx="1422">
                  <c:v>4.3989984930821201E-2</c:v>
                </c:pt>
                <c:pt idx="1423">
                  <c:v>4.3989984930821201E-2</c:v>
                </c:pt>
                <c:pt idx="1424">
                  <c:v>4.3989984930821201E-2</c:v>
                </c:pt>
                <c:pt idx="1425">
                  <c:v>4.3989984930821201E-2</c:v>
                </c:pt>
                <c:pt idx="1426">
                  <c:v>4.3989984930821201E-2</c:v>
                </c:pt>
                <c:pt idx="1427">
                  <c:v>4.3989984930821201E-2</c:v>
                </c:pt>
                <c:pt idx="1428">
                  <c:v>4.3989984930821201E-2</c:v>
                </c:pt>
                <c:pt idx="1429">
                  <c:v>4.3989984930821201E-2</c:v>
                </c:pt>
                <c:pt idx="1430">
                  <c:v>4.3989984930821201E-2</c:v>
                </c:pt>
                <c:pt idx="1431">
                  <c:v>4.3989984930821201E-2</c:v>
                </c:pt>
                <c:pt idx="1432">
                  <c:v>4.3989984930821201E-2</c:v>
                </c:pt>
                <c:pt idx="1433">
                  <c:v>4.3989984930821201E-2</c:v>
                </c:pt>
                <c:pt idx="1434">
                  <c:v>4.3989984930821201E-2</c:v>
                </c:pt>
                <c:pt idx="1435">
                  <c:v>4.3989984930821201E-2</c:v>
                </c:pt>
                <c:pt idx="1436">
                  <c:v>4.3989984930821201E-2</c:v>
                </c:pt>
                <c:pt idx="1437">
                  <c:v>4.3989984930821201E-2</c:v>
                </c:pt>
                <c:pt idx="1438">
                  <c:v>4.3989984930821201E-2</c:v>
                </c:pt>
                <c:pt idx="1439">
                  <c:v>4.3989984930821201E-2</c:v>
                </c:pt>
                <c:pt idx="1440">
                  <c:v>4.3989984930821201E-2</c:v>
                </c:pt>
                <c:pt idx="1441">
                  <c:v>4.3989984930821201E-2</c:v>
                </c:pt>
                <c:pt idx="1442">
                  <c:v>4.3989984930821201E-2</c:v>
                </c:pt>
                <c:pt idx="1443">
                  <c:v>4.3989984930821201E-2</c:v>
                </c:pt>
                <c:pt idx="1444">
                  <c:v>4.3989984930821201E-2</c:v>
                </c:pt>
                <c:pt idx="1445">
                  <c:v>4.3989984930821201E-2</c:v>
                </c:pt>
                <c:pt idx="1446">
                  <c:v>4.3989984930821201E-2</c:v>
                </c:pt>
                <c:pt idx="1447">
                  <c:v>4.3989984930821201E-2</c:v>
                </c:pt>
                <c:pt idx="1448">
                  <c:v>4.3989984930821201E-2</c:v>
                </c:pt>
                <c:pt idx="1449">
                  <c:v>4.3989984930821201E-2</c:v>
                </c:pt>
                <c:pt idx="1450">
                  <c:v>4.3989984930821201E-2</c:v>
                </c:pt>
                <c:pt idx="1451">
                  <c:v>4.3989984930821201E-2</c:v>
                </c:pt>
                <c:pt idx="1452">
                  <c:v>4.3989984930821201E-2</c:v>
                </c:pt>
                <c:pt idx="1453">
                  <c:v>4.3989984930821201E-2</c:v>
                </c:pt>
                <c:pt idx="1454">
                  <c:v>4.3989984930821201E-2</c:v>
                </c:pt>
                <c:pt idx="1455">
                  <c:v>4.3989984930821201E-2</c:v>
                </c:pt>
                <c:pt idx="1456">
                  <c:v>4.3989984930821201E-2</c:v>
                </c:pt>
                <c:pt idx="1457">
                  <c:v>4.3989984930821201E-2</c:v>
                </c:pt>
                <c:pt idx="1458">
                  <c:v>4.3989984930821201E-2</c:v>
                </c:pt>
                <c:pt idx="1459">
                  <c:v>4.3989984930821201E-2</c:v>
                </c:pt>
                <c:pt idx="1460">
                  <c:v>4.3989984930821201E-2</c:v>
                </c:pt>
                <c:pt idx="1461">
                  <c:v>4.3989984930821201E-2</c:v>
                </c:pt>
                <c:pt idx="1462">
                  <c:v>4.3989984930821201E-2</c:v>
                </c:pt>
                <c:pt idx="1463">
                  <c:v>4.3989984930821201E-2</c:v>
                </c:pt>
                <c:pt idx="1464">
                  <c:v>4.3989984930821201E-2</c:v>
                </c:pt>
                <c:pt idx="1465">
                  <c:v>4.4084693149242044E-2</c:v>
                </c:pt>
                <c:pt idx="1466">
                  <c:v>4.4084693149242044E-2</c:v>
                </c:pt>
                <c:pt idx="1467">
                  <c:v>4.4084693149242044E-2</c:v>
                </c:pt>
                <c:pt idx="1468">
                  <c:v>4.4084693149242044E-2</c:v>
                </c:pt>
                <c:pt idx="1469">
                  <c:v>4.4084693149242044E-2</c:v>
                </c:pt>
                <c:pt idx="1470">
                  <c:v>4.4084693149242044E-2</c:v>
                </c:pt>
                <c:pt idx="1471">
                  <c:v>4.4084693149242044E-2</c:v>
                </c:pt>
                <c:pt idx="1472">
                  <c:v>4.4084693149242044E-2</c:v>
                </c:pt>
                <c:pt idx="1473">
                  <c:v>4.4084693149242044E-2</c:v>
                </c:pt>
                <c:pt idx="1474">
                  <c:v>4.4084693149242044E-2</c:v>
                </c:pt>
                <c:pt idx="1475">
                  <c:v>4.4084693149242044E-2</c:v>
                </c:pt>
                <c:pt idx="1476">
                  <c:v>4.4084693149242044E-2</c:v>
                </c:pt>
                <c:pt idx="1477">
                  <c:v>4.4084693149242044E-2</c:v>
                </c:pt>
                <c:pt idx="1478">
                  <c:v>4.4084693149242044E-2</c:v>
                </c:pt>
                <c:pt idx="1479">
                  <c:v>4.4084693149242044E-2</c:v>
                </c:pt>
                <c:pt idx="1480">
                  <c:v>4.4084693149242044E-2</c:v>
                </c:pt>
                <c:pt idx="1481">
                  <c:v>4.4084693149242044E-2</c:v>
                </c:pt>
                <c:pt idx="1482">
                  <c:v>4.4084693149242044E-2</c:v>
                </c:pt>
                <c:pt idx="1483">
                  <c:v>4.4084693149242044E-2</c:v>
                </c:pt>
                <c:pt idx="1484">
                  <c:v>4.4084693149242044E-2</c:v>
                </c:pt>
                <c:pt idx="1485">
                  <c:v>4.4084693149242044E-2</c:v>
                </c:pt>
                <c:pt idx="1486">
                  <c:v>4.4084693149242044E-2</c:v>
                </c:pt>
                <c:pt idx="1487">
                  <c:v>4.4084693149242044E-2</c:v>
                </c:pt>
                <c:pt idx="1488">
                  <c:v>4.4084693149242044E-2</c:v>
                </c:pt>
                <c:pt idx="1489">
                  <c:v>4.4084693149242044E-2</c:v>
                </c:pt>
                <c:pt idx="1490">
                  <c:v>4.4084693149242044E-2</c:v>
                </c:pt>
                <c:pt idx="1491">
                  <c:v>4.4084693149242044E-2</c:v>
                </c:pt>
                <c:pt idx="1492">
                  <c:v>4.4084693149242044E-2</c:v>
                </c:pt>
                <c:pt idx="1493">
                  <c:v>4.4084693149242044E-2</c:v>
                </c:pt>
                <c:pt idx="1494">
                  <c:v>4.4084693149242044E-2</c:v>
                </c:pt>
                <c:pt idx="1495">
                  <c:v>4.4084693149242044E-2</c:v>
                </c:pt>
                <c:pt idx="1496">
                  <c:v>4.4084693149242044E-2</c:v>
                </c:pt>
                <c:pt idx="1497">
                  <c:v>4.4084693149242044E-2</c:v>
                </c:pt>
                <c:pt idx="1498">
                  <c:v>4.4084693149242044E-2</c:v>
                </c:pt>
                <c:pt idx="1499">
                  <c:v>4.4084693149242044E-2</c:v>
                </c:pt>
                <c:pt idx="1500">
                  <c:v>4.4084693149242044E-2</c:v>
                </c:pt>
                <c:pt idx="1501">
                  <c:v>4.4084693149242044E-2</c:v>
                </c:pt>
                <c:pt idx="1502">
                  <c:v>4.4084693149242044E-2</c:v>
                </c:pt>
                <c:pt idx="1503">
                  <c:v>4.4084693149242044E-2</c:v>
                </c:pt>
                <c:pt idx="1504">
                  <c:v>4.4084693149242044E-2</c:v>
                </c:pt>
                <c:pt idx="1505">
                  <c:v>4.4084693149242044E-2</c:v>
                </c:pt>
                <c:pt idx="1506">
                  <c:v>4.4084693149242044E-2</c:v>
                </c:pt>
                <c:pt idx="1507">
                  <c:v>4.4084693149242044E-2</c:v>
                </c:pt>
                <c:pt idx="1508">
                  <c:v>4.4084693149242044E-2</c:v>
                </c:pt>
                <c:pt idx="1509">
                  <c:v>4.4084693149242044E-2</c:v>
                </c:pt>
                <c:pt idx="1510">
                  <c:v>4.4084693149242044E-2</c:v>
                </c:pt>
                <c:pt idx="1511">
                  <c:v>4.4084693149242044E-2</c:v>
                </c:pt>
                <c:pt idx="1512">
                  <c:v>4.4084693149242044E-2</c:v>
                </c:pt>
                <c:pt idx="1513">
                  <c:v>4.4084693149242044E-2</c:v>
                </c:pt>
                <c:pt idx="1514">
                  <c:v>4.4084693149242044E-2</c:v>
                </c:pt>
                <c:pt idx="1515">
                  <c:v>4.4084693149242044E-2</c:v>
                </c:pt>
                <c:pt idx="1516">
                  <c:v>4.4084693149242044E-2</c:v>
                </c:pt>
                <c:pt idx="1517">
                  <c:v>4.4084693149242044E-2</c:v>
                </c:pt>
                <c:pt idx="1518">
                  <c:v>4.4084693149242044E-2</c:v>
                </c:pt>
                <c:pt idx="1519">
                  <c:v>4.4084693149242044E-2</c:v>
                </c:pt>
                <c:pt idx="1520">
                  <c:v>4.4084693149242044E-2</c:v>
                </c:pt>
                <c:pt idx="1521">
                  <c:v>4.4084693149242044E-2</c:v>
                </c:pt>
                <c:pt idx="1522">
                  <c:v>4.4084693149242044E-2</c:v>
                </c:pt>
                <c:pt idx="1523">
                  <c:v>4.4084693149242044E-2</c:v>
                </c:pt>
                <c:pt idx="1524">
                  <c:v>4.4084693149242044E-2</c:v>
                </c:pt>
                <c:pt idx="1525">
                  <c:v>4.4084693149242044E-2</c:v>
                </c:pt>
                <c:pt idx="1526">
                  <c:v>4.4084693149242044E-2</c:v>
                </c:pt>
                <c:pt idx="1527">
                  <c:v>4.4084693149242044E-2</c:v>
                </c:pt>
                <c:pt idx="1528">
                  <c:v>4.4084693149242044E-2</c:v>
                </c:pt>
                <c:pt idx="1529">
                  <c:v>4.4084693149242044E-2</c:v>
                </c:pt>
                <c:pt idx="1530">
                  <c:v>4.4084693149242044E-2</c:v>
                </c:pt>
                <c:pt idx="1531">
                  <c:v>4.4084693149242044E-2</c:v>
                </c:pt>
                <c:pt idx="1532">
                  <c:v>4.4084693149242044E-2</c:v>
                </c:pt>
                <c:pt idx="1533">
                  <c:v>4.4084693149242044E-2</c:v>
                </c:pt>
                <c:pt idx="1534">
                  <c:v>4.4084693149242044E-2</c:v>
                </c:pt>
                <c:pt idx="1535">
                  <c:v>4.4084693149242044E-2</c:v>
                </c:pt>
                <c:pt idx="1536">
                  <c:v>4.4084693149242044E-2</c:v>
                </c:pt>
                <c:pt idx="1537">
                  <c:v>4.4084693149242044E-2</c:v>
                </c:pt>
                <c:pt idx="1538">
                  <c:v>4.4084693149242044E-2</c:v>
                </c:pt>
                <c:pt idx="1539">
                  <c:v>4.4084693149242044E-2</c:v>
                </c:pt>
                <c:pt idx="1540">
                  <c:v>4.4084693149242044E-2</c:v>
                </c:pt>
                <c:pt idx="1541">
                  <c:v>4.4084693149242044E-2</c:v>
                </c:pt>
                <c:pt idx="1542">
                  <c:v>4.4084693149242044E-2</c:v>
                </c:pt>
                <c:pt idx="1543">
                  <c:v>4.4084693149242044E-2</c:v>
                </c:pt>
                <c:pt idx="1544">
                  <c:v>4.4084693149242044E-2</c:v>
                </c:pt>
                <c:pt idx="1545">
                  <c:v>4.4084693149242044E-2</c:v>
                </c:pt>
                <c:pt idx="1546">
                  <c:v>4.4084693149242044E-2</c:v>
                </c:pt>
                <c:pt idx="1547">
                  <c:v>4.4084693149242044E-2</c:v>
                </c:pt>
                <c:pt idx="1548">
                  <c:v>4.4084693149242044E-2</c:v>
                </c:pt>
                <c:pt idx="1549">
                  <c:v>4.4084693149242044E-2</c:v>
                </c:pt>
                <c:pt idx="1550">
                  <c:v>4.4084693149242044E-2</c:v>
                </c:pt>
                <c:pt idx="1551">
                  <c:v>4.4084693149242044E-2</c:v>
                </c:pt>
                <c:pt idx="1552">
                  <c:v>4.4084693149242044E-2</c:v>
                </c:pt>
                <c:pt idx="1553">
                  <c:v>4.4084693149242044E-2</c:v>
                </c:pt>
                <c:pt idx="1554">
                  <c:v>4.4084693149242044E-2</c:v>
                </c:pt>
                <c:pt idx="1555">
                  <c:v>4.4084693149242044E-2</c:v>
                </c:pt>
                <c:pt idx="1556">
                  <c:v>4.4084693149242044E-2</c:v>
                </c:pt>
                <c:pt idx="1557">
                  <c:v>4.4084693149242044E-2</c:v>
                </c:pt>
                <c:pt idx="1558">
                  <c:v>4.4084693149242044E-2</c:v>
                </c:pt>
                <c:pt idx="1559">
                  <c:v>4.4084693149242044E-2</c:v>
                </c:pt>
                <c:pt idx="1560">
                  <c:v>4.4084693149242044E-2</c:v>
                </c:pt>
                <c:pt idx="1561">
                  <c:v>4.4084693149242044E-2</c:v>
                </c:pt>
                <c:pt idx="1562">
                  <c:v>4.4084693149242044E-2</c:v>
                </c:pt>
                <c:pt idx="1563">
                  <c:v>4.4084693149242044E-2</c:v>
                </c:pt>
                <c:pt idx="1564">
                  <c:v>4.4084693149242044E-2</c:v>
                </c:pt>
                <c:pt idx="1565">
                  <c:v>4.4084693149242044E-2</c:v>
                </c:pt>
                <c:pt idx="1566">
                  <c:v>4.4084693149242044E-2</c:v>
                </c:pt>
                <c:pt idx="1567">
                  <c:v>4.4084693149242044E-2</c:v>
                </c:pt>
                <c:pt idx="1568">
                  <c:v>4.4084693149242044E-2</c:v>
                </c:pt>
                <c:pt idx="1569">
                  <c:v>4.4084693149242044E-2</c:v>
                </c:pt>
                <c:pt idx="1570">
                  <c:v>4.4084693149242044E-2</c:v>
                </c:pt>
                <c:pt idx="1571">
                  <c:v>4.4084693149242044E-2</c:v>
                </c:pt>
                <c:pt idx="1572">
                  <c:v>4.4084693149242044E-2</c:v>
                </c:pt>
                <c:pt idx="1573">
                  <c:v>4.4084693149242044E-2</c:v>
                </c:pt>
                <c:pt idx="1574">
                  <c:v>4.4084693149242044E-2</c:v>
                </c:pt>
                <c:pt idx="1575">
                  <c:v>4.4084693149242044E-2</c:v>
                </c:pt>
                <c:pt idx="1576">
                  <c:v>4.4084693149242044E-2</c:v>
                </c:pt>
                <c:pt idx="1577">
                  <c:v>4.4084693149242044E-2</c:v>
                </c:pt>
                <c:pt idx="1578">
                  <c:v>4.4084693149242044E-2</c:v>
                </c:pt>
                <c:pt idx="1579">
                  <c:v>4.4084693149242044E-2</c:v>
                </c:pt>
                <c:pt idx="1580">
                  <c:v>4.4084693149242044E-2</c:v>
                </c:pt>
                <c:pt idx="1581">
                  <c:v>4.4084693149242044E-2</c:v>
                </c:pt>
                <c:pt idx="1582">
                  <c:v>4.4084693149242044E-2</c:v>
                </c:pt>
                <c:pt idx="1583">
                  <c:v>4.4084693149242044E-2</c:v>
                </c:pt>
                <c:pt idx="1584">
                  <c:v>4.4084693149242044E-2</c:v>
                </c:pt>
                <c:pt idx="1585">
                  <c:v>4.4084693149242044E-2</c:v>
                </c:pt>
                <c:pt idx="1586">
                  <c:v>4.4084693149242044E-2</c:v>
                </c:pt>
                <c:pt idx="1587">
                  <c:v>4.4084693149242044E-2</c:v>
                </c:pt>
                <c:pt idx="1588">
                  <c:v>4.4084693149242044E-2</c:v>
                </c:pt>
                <c:pt idx="1589">
                  <c:v>4.4084693149242044E-2</c:v>
                </c:pt>
                <c:pt idx="1590">
                  <c:v>4.4084693149242044E-2</c:v>
                </c:pt>
                <c:pt idx="1591">
                  <c:v>4.4084693149242044E-2</c:v>
                </c:pt>
                <c:pt idx="1592">
                  <c:v>4.4084693149242044E-2</c:v>
                </c:pt>
                <c:pt idx="1593">
                  <c:v>4.4084693149242044E-2</c:v>
                </c:pt>
                <c:pt idx="1594">
                  <c:v>4.4084693149242044E-2</c:v>
                </c:pt>
                <c:pt idx="1595">
                  <c:v>4.4084693149242044E-2</c:v>
                </c:pt>
                <c:pt idx="1596">
                  <c:v>4.4084693149242044E-2</c:v>
                </c:pt>
                <c:pt idx="1597">
                  <c:v>4.4084693149242044E-2</c:v>
                </c:pt>
                <c:pt idx="1598">
                  <c:v>4.4084693149242044E-2</c:v>
                </c:pt>
                <c:pt idx="1599">
                  <c:v>4.4084693149242044E-2</c:v>
                </c:pt>
                <c:pt idx="1600">
                  <c:v>4.4084693149242044E-2</c:v>
                </c:pt>
                <c:pt idx="1601">
                  <c:v>4.4084693149242044E-2</c:v>
                </c:pt>
                <c:pt idx="1602">
                  <c:v>4.4084693149242044E-2</c:v>
                </c:pt>
                <c:pt idx="1603">
                  <c:v>4.4084693149242044E-2</c:v>
                </c:pt>
                <c:pt idx="1604">
                  <c:v>4.4084693149242044E-2</c:v>
                </c:pt>
                <c:pt idx="1605">
                  <c:v>4.4084693149242044E-2</c:v>
                </c:pt>
                <c:pt idx="1606">
                  <c:v>4.4084693149242044E-2</c:v>
                </c:pt>
                <c:pt idx="1607">
                  <c:v>4.4084693149242044E-2</c:v>
                </c:pt>
                <c:pt idx="1608">
                  <c:v>4.4084693149242044E-2</c:v>
                </c:pt>
                <c:pt idx="1609">
                  <c:v>4.4084693149242044E-2</c:v>
                </c:pt>
                <c:pt idx="1610">
                  <c:v>4.4084693149242044E-2</c:v>
                </c:pt>
                <c:pt idx="1611">
                  <c:v>4.4084693149242044E-2</c:v>
                </c:pt>
                <c:pt idx="1612">
                  <c:v>4.4084693149242044E-2</c:v>
                </c:pt>
                <c:pt idx="1613">
                  <c:v>4.4084693149242044E-2</c:v>
                </c:pt>
                <c:pt idx="1614">
                  <c:v>4.4084693149242044E-2</c:v>
                </c:pt>
                <c:pt idx="1615">
                  <c:v>4.4084693149242044E-2</c:v>
                </c:pt>
                <c:pt idx="1616">
                  <c:v>4.4084693149242044E-2</c:v>
                </c:pt>
                <c:pt idx="1617">
                  <c:v>4.4084693149242044E-2</c:v>
                </c:pt>
                <c:pt idx="1618">
                  <c:v>4.4084693149242044E-2</c:v>
                </c:pt>
                <c:pt idx="1619">
                  <c:v>4.4084693149242044E-2</c:v>
                </c:pt>
                <c:pt idx="1620">
                  <c:v>4.4084693149242044E-2</c:v>
                </c:pt>
                <c:pt idx="1621">
                  <c:v>4.4084693149242044E-2</c:v>
                </c:pt>
                <c:pt idx="1622">
                  <c:v>4.4084693149242044E-2</c:v>
                </c:pt>
                <c:pt idx="1623">
                  <c:v>4.4084693149242044E-2</c:v>
                </c:pt>
                <c:pt idx="1624">
                  <c:v>4.4084693149242044E-2</c:v>
                </c:pt>
                <c:pt idx="1625">
                  <c:v>4.4084693149242044E-2</c:v>
                </c:pt>
                <c:pt idx="1626">
                  <c:v>4.4084693149242044E-2</c:v>
                </c:pt>
                <c:pt idx="1627">
                  <c:v>4.4084693149242044E-2</c:v>
                </c:pt>
                <c:pt idx="1628">
                  <c:v>4.4084693149242044E-2</c:v>
                </c:pt>
                <c:pt idx="1629">
                  <c:v>4.4084693149242044E-2</c:v>
                </c:pt>
                <c:pt idx="1630">
                  <c:v>4.4084693149242044E-2</c:v>
                </c:pt>
                <c:pt idx="1631">
                  <c:v>4.4084693149242044E-2</c:v>
                </c:pt>
                <c:pt idx="1632">
                  <c:v>4.4084693149242044E-2</c:v>
                </c:pt>
                <c:pt idx="1633">
                  <c:v>4.4084693149242044E-2</c:v>
                </c:pt>
                <c:pt idx="1634">
                  <c:v>4.4084693149242044E-2</c:v>
                </c:pt>
                <c:pt idx="1635">
                  <c:v>4.3642718356087309E-2</c:v>
                </c:pt>
                <c:pt idx="1636">
                  <c:v>4.3642718356087309E-2</c:v>
                </c:pt>
                <c:pt idx="1637">
                  <c:v>4.3642718356087309E-2</c:v>
                </c:pt>
                <c:pt idx="1638">
                  <c:v>4.3642718356087309E-2</c:v>
                </c:pt>
                <c:pt idx="1639">
                  <c:v>4.3642718356087309E-2</c:v>
                </c:pt>
                <c:pt idx="1640">
                  <c:v>4.3642718356087309E-2</c:v>
                </c:pt>
                <c:pt idx="1641">
                  <c:v>4.3642718356087309E-2</c:v>
                </c:pt>
                <c:pt idx="1642">
                  <c:v>4.3642718356087309E-2</c:v>
                </c:pt>
                <c:pt idx="1643">
                  <c:v>4.3642718356087309E-2</c:v>
                </c:pt>
                <c:pt idx="1644">
                  <c:v>4.3642718356087309E-2</c:v>
                </c:pt>
                <c:pt idx="1645">
                  <c:v>4.3642718356087309E-2</c:v>
                </c:pt>
                <c:pt idx="1646">
                  <c:v>4.3642718356087309E-2</c:v>
                </c:pt>
                <c:pt idx="1647">
                  <c:v>4.3642718356087309E-2</c:v>
                </c:pt>
                <c:pt idx="1648">
                  <c:v>4.3642718356087309E-2</c:v>
                </c:pt>
                <c:pt idx="1649">
                  <c:v>4.3642718356087309E-2</c:v>
                </c:pt>
                <c:pt idx="1650">
                  <c:v>4.3642718356087309E-2</c:v>
                </c:pt>
                <c:pt idx="1651">
                  <c:v>4.3642718356087309E-2</c:v>
                </c:pt>
                <c:pt idx="1652">
                  <c:v>4.3642718356087309E-2</c:v>
                </c:pt>
                <c:pt idx="1653">
                  <c:v>4.3642718356087309E-2</c:v>
                </c:pt>
                <c:pt idx="1654">
                  <c:v>4.3642718356087309E-2</c:v>
                </c:pt>
                <c:pt idx="1655">
                  <c:v>4.3642718356087309E-2</c:v>
                </c:pt>
                <c:pt idx="1656">
                  <c:v>4.3642718356087309E-2</c:v>
                </c:pt>
                <c:pt idx="1657">
                  <c:v>4.3642718356087309E-2</c:v>
                </c:pt>
                <c:pt idx="1658">
                  <c:v>4.3642718356087309E-2</c:v>
                </c:pt>
                <c:pt idx="1659">
                  <c:v>4.3642718356087309E-2</c:v>
                </c:pt>
                <c:pt idx="1660">
                  <c:v>4.3642718356087309E-2</c:v>
                </c:pt>
                <c:pt idx="1661">
                  <c:v>4.3642718356087309E-2</c:v>
                </c:pt>
                <c:pt idx="1662">
                  <c:v>4.3642718356087309E-2</c:v>
                </c:pt>
                <c:pt idx="1663">
                  <c:v>4.3642718356087309E-2</c:v>
                </c:pt>
                <c:pt idx="1664">
                  <c:v>4.3642718356087309E-2</c:v>
                </c:pt>
                <c:pt idx="1665">
                  <c:v>4.3642718356087309E-2</c:v>
                </c:pt>
                <c:pt idx="1666">
                  <c:v>4.3642718356087309E-2</c:v>
                </c:pt>
                <c:pt idx="1667">
                  <c:v>4.3642718356087309E-2</c:v>
                </c:pt>
                <c:pt idx="1668">
                  <c:v>4.3642718356087309E-2</c:v>
                </c:pt>
                <c:pt idx="1669">
                  <c:v>4.3642718356087309E-2</c:v>
                </c:pt>
                <c:pt idx="1670">
                  <c:v>4.3642718356087309E-2</c:v>
                </c:pt>
                <c:pt idx="1671">
                  <c:v>4.3642718356087309E-2</c:v>
                </c:pt>
                <c:pt idx="1672">
                  <c:v>4.3642718356087309E-2</c:v>
                </c:pt>
                <c:pt idx="1673">
                  <c:v>4.3642718356087309E-2</c:v>
                </c:pt>
                <c:pt idx="1674">
                  <c:v>4.3642718356087309E-2</c:v>
                </c:pt>
                <c:pt idx="1675">
                  <c:v>4.3642718356087309E-2</c:v>
                </c:pt>
                <c:pt idx="1676">
                  <c:v>4.3642718356087309E-2</c:v>
                </c:pt>
                <c:pt idx="1677">
                  <c:v>4.3642718356087309E-2</c:v>
                </c:pt>
                <c:pt idx="1678">
                  <c:v>4.3642718356087309E-2</c:v>
                </c:pt>
                <c:pt idx="1679">
                  <c:v>4.3642718356087309E-2</c:v>
                </c:pt>
                <c:pt idx="1680">
                  <c:v>4.3642718356087309E-2</c:v>
                </c:pt>
                <c:pt idx="1681">
                  <c:v>4.3642718356087309E-2</c:v>
                </c:pt>
                <c:pt idx="1682">
                  <c:v>4.3642718356087309E-2</c:v>
                </c:pt>
                <c:pt idx="1683">
                  <c:v>4.3642718356087309E-2</c:v>
                </c:pt>
                <c:pt idx="1684">
                  <c:v>4.3642718356087309E-2</c:v>
                </c:pt>
                <c:pt idx="1685">
                  <c:v>4.3642718356087309E-2</c:v>
                </c:pt>
                <c:pt idx="1686">
                  <c:v>4.3642718356087309E-2</c:v>
                </c:pt>
                <c:pt idx="1687">
                  <c:v>4.3642718356087309E-2</c:v>
                </c:pt>
                <c:pt idx="1688">
                  <c:v>4.3642718356087309E-2</c:v>
                </c:pt>
                <c:pt idx="1689">
                  <c:v>4.3642718356087309E-2</c:v>
                </c:pt>
                <c:pt idx="1690">
                  <c:v>4.3642718356087309E-2</c:v>
                </c:pt>
                <c:pt idx="1691">
                  <c:v>4.3642718356087309E-2</c:v>
                </c:pt>
                <c:pt idx="1692">
                  <c:v>4.3642718356087309E-2</c:v>
                </c:pt>
                <c:pt idx="1693">
                  <c:v>4.3642718356087309E-2</c:v>
                </c:pt>
                <c:pt idx="1694">
                  <c:v>4.3642718356087309E-2</c:v>
                </c:pt>
                <c:pt idx="1695">
                  <c:v>4.3642718356087309E-2</c:v>
                </c:pt>
                <c:pt idx="1696">
                  <c:v>4.3642718356087309E-2</c:v>
                </c:pt>
                <c:pt idx="1697">
                  <c:v>4.3642718356087309E-2</c:v>
                </c:pt>
                <c:pt idx="1698">
                  <c:v>4.3642718356087309E-2</c:v>
                </c:pt>
                <c:pt idx="1699">
                  <c:v>4.3642718356087309E-2</c:v>
                </c:pt>
                <c:pt idx="1700">
                  <c:v>4.3642718356087309E-2</c:v>
                </c:pt>
                <c:pt idx="1701">
                  <c:v>4.3642718356087309E-2</c:v>
                </c:pt>
                <c:pt idx="1702">
                  <c:v>4.3642718356087309E-2</c:v>
                </c:pt>
                <c:pt idx="1703">
                  <c:v>4.3642718356087309E-2</c:v>
                </c:pt>
                <c:pt idx="1704">
                  <c:v>4.3642718356087309E-2</c:v>
                </c:pt>
                <c:pt idx="1705">
                  <c:v>4.3642718356087309E-2</c:v>
                </c:pt>
                <c:pt idx="1706">
                  <c:v>4.3642718356087309E-2</c:v>
                </c:pt>
                <c:pt idx="1707">
                  <c:v>4.3642718356087309E-2</c:v>
                </c:pt>
                <c:pt idx="1708">
                  <c:v>4.3642718356087309E-2</c:v>
                </c:pt>
                <c:pt idx="1709">
                  <c:v>4.3642718356087309E-2</c:v>
                </c:pt>
                <c:pt idx="1710">
                  <c:v>4.3642718356087309E-2</c:v>
                </c:pt>
                <c:pt idx="1711">
                  <c:v>4.3642718356087309E-2</c:v>
                </c:pt>
                <c:pt idx="1712">
                  <c:v>4.3642718356087309E-2</c:v>
                </c:pt>
                <c:pt idx="1713">
                  <c:v>4.3642718356087309E-2</c:v>
                </c:pt>
                <c:pt idx="1714">
                  <c:v>4.3642718356087309E-2</c:v>
                </c:pt>
                <c:pt idx="1715">
                  <c:v>4.3642718356087309E-2</c:v>
                </c:pt>
                <c:pt idx="1716">
                  <c:v>4.3642718356087309E-2</c:v>
                </c:pt>
                <c:pt idx="1717">
                  <c:v>4.3642718356087309E-2</c:v>
                </c:pt>
                <c:pt idx="1718">
                  <c:v>4.3642718356087309E-2</c:v>
                </c:pt>
                <c:pt idx="1719">
                  <c:v>4.3642718356087309E-2</c:v>
                </c:pt>
                <c:pt idx="1720">
                  <c:v>4.3642718356087309E-2</c:v>
                </c:pt>
                <c:pt idx="1721">
                  <c:v>4.3642718356087309E-2</c:v>
                </c:pt>
                <c:pt idx="1722">
                  <c:v>4.3642718356087309E-2</c:v>
                </c:pt>
                <c:pt idx="1723">
                  <c:v>4.3642718356087309E-2</c:v>
                </c:pt>
                <c:pt idx="1724">
                  <c:v>4.3642718356087309E-2</c:v>
                </c:pt>
                <c:pt idx="1725">
                  <c:v>4.3642718356087309E-2</c:v>
                </c:pt>
                <c:pt idx="1726">
                  <c:v>4.3642718356087309E-2</c:v>
                </c:pt>
                <c:pt idx="1727">
                  <c:v>4.3642718356087309E-2</c:v>
                </c:pt>
                <c:pt idx="1728">
                  <c:v>4.3642718356087309E-2</c:v>
                </c:pt>
                <c:pt idx="1729">
                  <c:v>4.3642718356087309E-2</c:v>
                </c:pt>
                <c:pt idx="1730">
                  <c:v>4.3642718356087309E-2</c:v>
                </c:pt>
                <c:pt idx="1731">
                  <c:v>4.3642718356087309E-2</c:v>
                </c:pt>
                <c:pt idx="1732">
                  <c:v>4.3642718356087309E-2</c:v>
                </c:pt>
                <c:pt idx="1733">
                  <c:v>4.3642718356087309E-2</c:v>
                </c:pt>
                <c:pt idx="1734">
                  <c:v>4.3642718356087309E-2</c:v>
                </c:pt>
                <c:pt idx="1735">
                  <c:v>4.3642718356087309E-2</c:v>
                </c:pt>
                <c:pt idx="1736">
                  <c:v>4.3642718356087309E-2</c:v>
                </c:pt>
                <c:pt idx="1737">
                  <c:v>4.3642718356087309E-2</c:v>
                </c:pt>
                <c:pt idx="1738">
                  <c:v>4.3642718356087309E-2</c:v>
                </c:pt>
                <c:pt idx="1739">
                  <c:v>4.3642718356087309E-2</c:v>
                </c:pt>
                <c:pt idx="1740">
                  <c:v>4.3642718356087309E-2</c:v>
                </c:pt>
                <c:pt idx="1741">
                  <c:v>4.3642718356087309E-2</c:v>
                </c:pt>
                <c:pt idx="1742">
                  <c:v>4.3642718356087309E-2</c:v>
                </c:pt>
                <c:pt idx="1743">
                  <c:v>4.3642718356087309E-2</c:v>
                </c:pt>
                <c:pt idx="1744">
                  <c:v>4.3642718356087309E-2</c:v>
                </c:pt>
                <c:pt idx="1745">
                  <c:v>4.3642718356087309E-2</c:v>
                </c:pt>
                <c:pt idx="1746">
                  <c:v>4.3642718356087309E-2</c:v>
                </c:pt>
                <c:pt idx="1747">
                  <c:v>4.3642718356087309E-2</c:v>
                </c:pt>
                <c:pt idx="1748">
                  <c:v>4.3642718356087309E-2</c:v>
                </c:pt>
                <c:pt idx="1749">
                  <c:v>4.3642718356087309E-2</c:v>
                </c:pt>
                <c:pt idx="1750">
                  <c:v>4.3642718356087309E-2</c:v>
                </c:pt>
                <c:pt idx="1751">
                  <c:v>4.3642718356087309E-2</c:v>
                </c:pt>
                <c:pt idx="1752">
                  <c:v>4.3642718356087309E-2</c:v>
                </c:pt>
                <c:pt idx="1753">
                  <c:v>4.3642718356087309E-2</c:v>
                </c:pt>
                <c:pt idx="1754">
                  <c:v>4.3642718356087309E-2</c:v>
                </c:pt>
                <c:pt idx="1755">
                  <c:v>4.3642718356087309E-2</c:v>
                </c:pt>
                <c:pt idx="1756">
                  <c:v>4.3642718356087309E-2</c:v>
                </c:pt>
                <c:pt idx="1757">
                  <c:v>4.3642718356087309E-2</c:v>
                </c:pt>
                <c:pt idx="1758">
                  <c:v>4.3642718356087309E-2</c:v>
                </c:pt>
                <c:pt idx="1759">
                  <c:v>4.3642718356087309E-2</c:v>
                </c:pt>
                <c:pt idx="1760">
                  <c:v>4.3642718356087309E-2</c:v>
                </c:pt>
                <c:pt idx="1761">
                  <c:v>4.3642718356087309E-2</c:v>
                </c:pt>
                <c:pt idx="1762">
                  <c:v>4.3642718356087309E-2</c:v>
                </c:pt>
                <c:pt idx="1763">
                  <c:v>4.3642718356087309E-2</c:v>
                </c:pt>
                <c:pt idx="1764">
                  <c:v>4.3642718356087309E-2</c:v>
                </c:pt>
                <c:pt idx="1765">
                  <c:v>4.3642718356087309E-2</c:v>
                </c:pt>
                <c:pt idx="1766">
                  <c:v>4.3642718356087309E-2</c:v>
                </c:pt>
                <c:pt idx="1767">
                  <c:v>4.3642718356087309E-2</c:v>
                </c:pt>
                <c:pt idx="1768">
                  <c:v>4.3642718356087309E-2</c:v>
                </c:pt>
                <c:pt idx="1769">
                  <c:v>4.3642718356087309E-2</c:v>
                </c:pt>
                <c:pt idx="1770">
                  <c:v>4.3642718356087309E-2</c:v>
                </c:pt>
                <c:pt idx="1771">
                  <c:v>4.3642718356087309E-2</c:v>
                </c:pt>
                <c:pt idx="1772">
                  <c:v>4.3642718356087309E-2</c:v>
                </c:pt>
                <c:pt idx="1773">
                  <c:v>4.3642718356087309E-2</c:v>
                </c:pt>
                <c:pt idx="1774">
                  <c:v>4.3642718356087309E-2</c:v>
                </c:pt>
                <c:pt idx="1775">
                  <c:v>4.3642718356087309E-2</c:v>
                </c:pt>
                <c:pt idx="1776">
                  <c:v>4.3642718356087309E-2</c:v>
                </c:pt>
                <c:pt idx="1777">
                  <c:v>4.3642718356087309E-2</c:v>
                </c:pt>
                <c:pt idx="1778">
                  <c:v>4.3642718356087309E-2</c:v>
                </c:pt>
                <c:pt idx="1779">
                  <c:v>4.3642718356087309E-2</c:v>
                </c:pt>
                <c:pt idx="1780">
                  <c:v>4.3642718356087309E-2</c:v>
                </c:pt>
                <c:pt idx="1781">
                  <c:v>4.3642718356087309E-2</c:v>
                </c:pt>
                <c:pt idx="1782">
                  <c:v>4.3642718356087309E-2</c:v>
                </c:pt>
                <c:pt idx="1783">
                  <c:v>4.3642718356087309E-2</c:v>
                </c:pt>
                <c:pt idx="1784">
                  <c:v>4.3642718356087309E-2</c:v>
                </c:pt>
                <c:pt idx="1785">
                  <c:v>4.3642718356087309E-2</c:v>
                </c:pt>
                <c:pt idx="1786">
                  <c:v>4.3642718356087309E-2</c:v>
                </c:pt>
                <c:pt idx="1787">
                  <c:v>4.2680129346644294E-2</c:v>
                </c:pt>
                <c:pt idx="1788">
                  <c:v>4.2680129346644294E-2</c:v>
                </c:pt>
                <c:pt idx="1789">
                  <c:v>4.2680129346644294E-2</c:v>
                </c:pt>
                <c:pt idx="1790">
                  <c:v>4.2680129346644294E-2</c:v>
                </c:pt>
                <c:pt idx="1791">
                  <c:v>4.2680129346644294E-2</c:v>
                </c:pt>
                <c:pt idx="1792">
                  <c:v>4.2680129346644294E-2</c:v>
                </c:pt>
                <c:pt idx="1793">
                  <c:v>4.2680129346644294E-2</c:v>
                </c:pt>
                <c:pt idx="1794">
                  <c:v>4.2680129346644294E-2</c:v>
                </c:pt>
                <c:pt idx="1795">
                  <c:v>4.2680129346644294E-2</c:v>
                </c:pt>
                <c:pt idx="1796">
                  <c:v>4.2680129346644294E-2</c:v>
                </c:pt>
                <c:pt idx="1797">
                  <c:v>4.2680129346644294E-2</c:v>
                </c:pt>
                <c:pt idx="1798">
                  <c:v>4.2680129346644294E-2</c:v>
                </c:pt>
                <c:pt idx="1799">
                  <c:v>4.2680129346644294E-2</c:v>
                </c:pt>
                <c:pt idx="1800">
                  <c:v>4.2680129346644294E-2</c:v>
                </c:pt>
                <c:pt idx="1801">
                  <c:v>4.2680129346644294E-2</c:v>
                </c:pt>
                <c:pt idx="1802">
                  <c:v>4.2680129346644294E-2</c:v>
                </c:pt>
                <c:pt idx="1803">
                  <c:v>4.2680129346644294E-2</c:v>
                </c:pt>
                <c:pt idx="1804">
                  <c:v>4.2680129346644294E-2</c:v>
                </c:pt>
                <c:pt idx="1805">
                  <c:v>4.2680129346644294E-2</c:v>
                </c:pt>
                <c:pt idx="1806">
                  <c:v>4.2680129346644294E-2</c:v>
                </c:pt>
                <c:pt idx="1807">
                  <c:v>4.2680129346644294E-2</c:v>
                </c:pt>
                <c:pt idx="1808">
                  <c:v>4.2680129346644294E-2</c:v>
                </c:pt>
                <c:pt idx="1809">
                  <c:v>4.2680129346644294E-2</c:v>
                </c:pt>
                <c:pt idx="1810">
                  <c:v>4.2680129346644294E-2</c:v>
                </c:pt>
                <c:pt idx="1811">
                  <c:v>4.2680129346644294E-2</c:v>
                </c:pt>
                <c:pt idx="1812">
                  <c:v>4.2680129346644294E-2</c:v>
                </c:pt>
                <c:pt idx="1813">
                  <c:v>4.2680129346644294E-2</c:v>
                </c:pt>
                <c:pt idx="1814">
                  <c:v>4.2680129346644294E-2</c:v>
                </c:pt>
                <c:pt idx="1815">
                  <c:v>4.2680129346644294E-2</c:v>
                </c:pt>
                <c:pt idx="1816">
                  <c:v>4.2680129346644294E-2</c:v>
                </c:pt>
                <c:pt idx="1817">
                  <c:v>4.2680129346644294E-2</c:v>
                </c:pt>
                <c:pt idx="1818">
                  <c:v>4.2680129346644294E-2</c:v>
                </c:pt>
                <c:pt idx="1819">
                  <c:v>4.2680129346644294E-2</c:v>
                </c:pt>
                <c:pt idx="1820">
                  <c:v>4.2680129346644294E-2</c:v>
                </c:pt>
                <c:pt idx="1821">
                  <c:v>4.2680129346644294E-2</c:v>
                </c:pt>
                <c:pt idx="1822">
                  <c:v>4.2680129346644294E-2</c:v>
                </c:pt>
                <c:pt idx="1823">
                  <c:v>4.2680129346644294E-2</c:v>
                </c:pt>
                <c:pt idx="1824">
                  <c:v>4.2680129346644294E-2</c:v>
                </c:pt>
                <c:pt idx="1825">
                  <c:v>4.2680129346644294E-2</c:v>
                </c:pt>
                <c:pt idx="1826">
                  <c:v>4.2680129346644294E-2</c:v>
                </c:pt>
                <c:pt idx="1827">
                  <c:v>4.2680129346644294E-2</c:v>
                </c:pt>
                <c:pt idx="1828">
                  <c:v>4.2680129346644294E-2</c:v>
                </c:pt>
                <c:pt idx="1829">
                  <c:v>4.2680129346644294E-2</c:v>
                </c:pt>
                <c:pt idx="1830">
                  <c:v>4.2680129346644294E-2</c:v>
                </c:pt>
                <c:pt idx="1831">
                  <c:v>4.2680129346644294E-2</c:v>
                </c:pt>
                <c:pt idx="1832">
                  <c:v>4.2680129346644294E-2</c:v>
                </c:pt>
                <c:pt idx="1833">
                  <c:v>4.2680129346644294E-2</c:v>
                </c:pt>
                <c:pt idx="1834">
                  <c:v>4.2680129346644294E-2</c:v>
                </c:pt>
                <c:pt idx="1835">
                  <c:v>4.2680129346644294E-2</c:v>
                </c:pt>
                <c:pt idx="1836">
                  <c:v>4.2680129346644294E-2</c:v>
                </c:pt>
                <c:pt idx="1837">
                  <c:v>4.2680129346644294E-2</c:v>
                </c:pt>
                <c:pt idx="1838">
                  <c:v>4.2680129346644294E-2</c:v>
                </c:pt>
                <c:pt idx="1839">
                  <c:v>4.2680129346644294E-2</c:v>
                </c:pt>
                <c:pt idx="1840">
                  <c:v>4.2680129346644294E-2</c:v>
                </c:pt>
                <c:pt idx="1841">
                  <c:v>4.2680129346644294E-2</c:v>
                </c:pt>
                <c:pt idx="1842">
                  <c:v>4.2680129346644294E-2</c:v>
                </c:pt>
                <c:pt idx="1843">
                  <c:v>4.2680129346644294E-2</c:v>
                </c:pt>
                <c:pt idx="1844">
                  <c:v>4.2680129346644294E-2</c:v>
                </c:pt>
                <c:pt idx="1845">
                  <c:v>4.2680129346644294E-2</c:v>
                </c:pt>
                <c:pt idx="1846">
                  <c:v>4.2680129346644294E-2</c:v>
                </c:pt>
                <c:pt idx="1847">
                  <c:v>4.2680129346644294E-2</c:v>
                </c:pt>
                <c:pt idx="1848">
                  <c:v>4.2680129346644294E-2</c:v>
                </c:pt>
                <c:pt idx="1849">
                  <c:v>4.2680129346644294E-2</c:v>
                </c:pt>
                <c:pt idx="1850">
                  <c:v>4.2680129346644294E-2</c:v>
                </c:pt>
                <c:pt idx="1851">
                  <c:v>4.2680129346644294E-2</c:v>
                </c:pt>
                <c:pt idx="1852">
                  <c:v>4.2680129346644294E-2</c:v>
                </c:pt>
                <c:pt idx="1853">
                  <c:v>4.2680129346644294E-2</c:v>
                </c:pt>
                <c:pt idx="1854">
                  <c:v>4.2680129346644294E-2</c:v>
                </c:pt>
                <c:pt idx="1855">
                  <c:v>4.2680129346644294E-2</c:v>
                </c:pt>
                <c:pt idx="1856">
                  <c:v>4.2680129346644294E-2</c:v>
                </c:pt>
                <c:pt idx="1857">
                  <c:v>4.2680129346644294E-2</c:v>
                </c:pt>
                <c:pt idx="1858">
                  <c:v>4.2680129346644294E-2</c:v>
                </c:pt>
                <c:pt idx="1859">
                  <c:v>4.2680129346644294E-2</c:v>
                </c:pt>
                <c:pt idx="1860">
                  <c:v>4.2680129346644294E-2</c:v>
                </c:pt>
                <c:pt idx="1861">
                  <c:v>4.2680129346644294E-2</c:v>
                </c:pt>
                <c:pt idx="1862">
                  <c:v>4.2680129346644294E-2</c:v>
                </c:pt>
                <c:pt idx="1863">
                  <c:v>4.2680129346644294E-2</c:v>
                </c:pt>
                <c:pt idx="1864">
                  <c:v>4.2680129346644294E-2</c:v>
                </c:pt>
                <c:pt idx="1865">
                  <c:v>4.2680129346644294E-2</c:v>
                </c:pt>
                <c:pt idx="1866">
                  <c:v>4.2680129346644294E-2</c:v>
                </c:pt>
                <c:pt idx="1867">
                  <c:v>4.2680129346644294E-2</c:v>
                </c:pt>
                <c:pt idx="1868">
                  <c:v>4.2680129346644294E-2</c:v>
                </c:pt>
                <c:pt idx="1869">
                  <c:v>4.2680129346644294E-2</c:v>
                </c:pt>
                <c:pt idx="1870">
                  <c:v>4.2680129346644294E-2</c:v>
                </c:pt>
                <c:pt idx="1871">
                  <c:v>4.2680129346644294E-2</c:v>
                </c:pt>
                <c:pt idx="1872">
                  <c:v>4.2680129346644294E-2</c:v>
                </c:pt>
                <c:pt idx="1873">
                  <c:v>4.2680129346644294E-2</c:v>
                </c:pt>
                <c:pt idx="1874">
                  <c:v>4.2680129346644294E-2</c:v>
                </c:pt>
                <c:pt idx="1875">
                  <c:v>4.2680129346644294E-2</c:v>
                </c:pt>
                <c:pt idx="1876">
                  <c:v>4.2680129346644294E-2</c:v>
                </c:pt>
                <c:pt idx="1877">
                  <c:v>4.2680129346644294E-2</c:v>
                </c:pt>
                <c:pt idx="1878">
                  <c:v>4.2680129346644294E-2</c:v>
                </c:pt>
                <c:pt idx="1879">
                  <c:v>4.2680129346644294E-2</c:v>
                </c:pt>
                <c:pt idx="1880">
                  <c:v>4.2680129346644294E-2</c:v>
                </c:pt>
                <c:pt idx="1881">
                  <c:v>4.2680129346644294E-2</c:v>
                </c:pt>
                <c:pt idx="1882">
                  <c:v>4.2680129346644294E-2</c:v>
                </c:pt>
                <c:pt idx="1883">
                  <c:v>4.2680129346644294E-2</c:v>
                </c:pt>
                <c:pt idx="1884">
                  <c:v>4.2680129346644294E-2</c:v>
                </c:pt>
                <c:pt idx="1885">
                  <c:v>4.2680129346644294E-2</c:v>
                </c:pt>
                <c:pt idx="1886">
                  <c:v>4.2680129346644294E-2</c:v>
                </c:pt>
                <c:pt idx="1887">
                  <c:v>4.2680129346644294E-2</c:v>
                </c:pt>
                <c:pt idx="1888">
                  <c:v>4.2680129346644294E-2</c:v>
                </c:pt>
                <c:pt idx="1889">
                  <c:v>4.2680129346644294E-2</c:v>
                </c:pt>
                <c:pt idx="1890">
                  <c:v>4.2680129346644294E-2</c:v>
                </c:pt>
                <c:pt idx="1891">
                  <c:v>4.2680129346644294E-2</c:v>
                </c:pt>
                <c:pt idx="1892">
                  <c:v>4.2680129346644294E-2</c:v>
                </c:pt>
                <c:pt idx="1893">
                  <c:v>4.2680129346644294E-2</c:v>
                </c:pt>
                <c:pt idx="1894">
                  <c:v>4.2680129346644294E-2</c:v>
                </c:pt>
                <c:pt idx="1895">
                  <c:v>4.2680129346644294E-2</c:v>
                </c:pt>
                <c:pt idx="1896">
                  <c:v>4.2680129346644294E-2</c:v>
                </c:pt>
                <c:pt idx="1897">
                  <c:v>4.2680129346644294E-2</c:v>
                </c:pt>
                <c:pt idx="1898">
                  <c:v>4.1231546319325095E-2</c:v>
                </c:pt>
                <c:pt idx="1899">
                  <c:v>4.1231546319325095E-2</c:v>
                </c:pt>
                <c:pt idx="1900">
                  <c:v>4.1231546319325095E-2</c:v>
                </c:pt>
                <c:pt idx="1901">
                  <c:v>4.1231546319325095E-2</c:v>
                </c:pt>
                <c:pt idx="1902">
                  <c:v>4.1231546319325095E-2</c:v>
                </c:pt>
                <c:pt idx="1903">
                  <c:v>4.1231546319325095E-2</c:v>
                </c:pt>
                <c:pt idx="1904">
                  <c:v>4.1231546319325095E-2</c:v>
                </c:pt>
                <c:pt idx="1905">
                  <c:v>4.1231546319325095E-2</c:v>
                </c:pt>
                <c:pt idx="1906">
                  <c:v>4.1231546319325095E-2</c:v>
                </c:pt>
                <c:pt idx="1907">
                  <c:v>4.1231546319325095E-2</c:v>
                </c:pt>
                <c:pt idx="1908">
                  <c:v>4.1231546319325095E-2</c:v>
                </c:pt>
                <c:pt idx="1909">
                  <c:v>4.1231546319325095E-2</c:v>
                </c:pt>
                <c:pt idx="1910">
                  <c:v>4.1231546319325095E-2</c:v>
                </c:pt>
                <c:pt idx="1911">
                  <c:v>4.1231546319325095E-2</c:v>
                </c:pt>
                <c:pt idx="1912">
                  <c:v>4.1231546319325095E-2</c:v>
                </c:pt>
                <c:pt idx="1913">
                  <c:v>4.1231546319325095E-2</c:v>
                </c:pt>
                <c:pt idx="1914">
                  <c:v>4.1231546319325095E-2</c:v>
                </c:pt>
                <c:pt idx="1915">
                  <c:v>4.1231546319325095E-2</c:v>
                </c:pt>
                <c:pt idx="1916">
                  <c:v>4.1231546319325095E-2</c:v>
                </c:pt>
                <c:pt idx="1917">
                  <c:v>4.1231546319325095E-2</c:v>
                </c:pt>
                <c:pt idx="1918">
                  <c:v>4.1231546319325095E-2</c:v>
                </c:pt>
                <c:pt idx="1919">
                  <c:v>4.1231546319325095E-2</c:v>
                </c:pt>
                <c:pt idx="1920">
                  <c:v>4.1231546319325095E-2</c:v>
                </c:pt>
                <c:pt idx="1921">
                  <c:v>4.1231546319325095E-2</c:v>
                </c:pt>
                <c:pt idx="1922">
                  <c:v>4.1231546319325095E-2</c:v>
                </c:pt>
                <c:pt idx="1923">
                  <c:v>4.1231546319325095E-2</c:v>
                </c:pt>
                <c:pt idx="1924">
                  <c:v>4.1231546319325095E-2</c:v>
                </c:pt>
                <c:pt idx="1925">
                  <c:v>4.1231546319325095E-2</c:v>
                </c:pt>
                <c:pt idx="1926">
                  <c:v>4.1231546319325095E-2</c:v>
                </c:pt>
                <c:pt idx="1927">
                  <c:v>4.1231546319325095E-2</c:v>
                </c:pt>
                <c:pt idx="1928">
                  <c:v>4.1231546319325095E-2</c:v>
                </c:pt>
                <c:pt idx="1929">
                  <c:v>4.1231546319325095E-2</c:v>
                </c:pt>
                <c:pt idx="1930">
                  <c:v>4.1231546319325095E-2</c:v>
                </c:pt>
                <c:pt idx="1931">
                  <c:v>4.1231546319325095E-2</c:v>
                </c:pt>
                <c:pt idx="1932">
                  <c:v>4.1231546319325095E-2</c:v>
                </c:pt>
                <c:pt idx="1933">
                  <c:v>4.1231546319325095E-2</c:v>
                </c:pt>
                <c:pt idx="1934">
                  <c:v>4.1231546319325095E-2</c:v>
                </c:pt>
                <c:pt idx="1935">
                  <c:v>4.1231546319325095E-2</c:v>
                </c:pt>
                <c:pt idx="1936">
                  <c:v>4.1231546319325095E-2</c:v>
                </c:pt>
                <c:pt idx="1937">
                  <c:v>4.1231546319325095E-2</c:v>
                </c:pt>
                <c:pt idx="1938">
                  <c:v>4.1231546319325095E-2</c:v>
                </c:pt>
                <c:pt idx="1939">
                  <c:v>4.1231546319325095E-2</c:v>
                </c:pt>
                <c:pt idx="1940">
                  <c:v>4.1231546319325095E-2</c:v>
                </c:pt>
                <c:pt idx="1941">
                  <c:v>4.1231546319325095E-2</c:v>
                </c:pt>
                <c:pt idx="1942">
                  <c:v>4.1231546319325095E-2</c:v>
                </c:pt>
                <c:pt idx="1943">
                  <c:v>4.1231546319325095E-2</c:v>
                </c:pt>
                <c:pt idx="1944">
                  <c:v>4.1231546319325095E-2</c:v>
                </c:pt>
                <c:pt idx="1945">
                  <c:v>4.1231546319325095E-2</c:v>
                </c:pt>
                <c:pt idx="1946">
                  <c:v>4.1231546319325095E-2</c:v>
                </c:pt>
                <c:pt idx="1947">
                  <c:v>4.1231546319325095E-2</c:v>
                </c:pt>
                <c:pt idx="1948">
                  <c:v>3.9348074088356236E-2</c:v>
                </c:pt>
                <c:pt idx="1949">
                  <c:v>3.9348074088356236E-2</c:v>
                </c:pt>
                <c:pt idx="1950">
                  <c:v>3.9348074088356236E-2</c:v>
                </c:pt>
                <c:pt idx="1951">
                  <c:v>3.9348074088356236E-2</c:v>
                </c:pt>
                <c:pt idx="1952">
                  <c:v>3.9348074088356236E-2</c:v>
                </c:pt>
                <c:pt idx="1953">
                  <c:v>3.9348074088356236E-2</c:v>
                </c:pt>
                <c:pt idx="1954">
                  <c:v>3.9348074088356236E-2</c:v>
                </c:pt>
                <c:pt idx="1955">
                  <c:v>3.7094310293993765E-2</c:v>
                </c:pt>
                <c:pt idx="1956">
                  <c:v>3.7094310293993765E-2</c:v>
                </c:pt>
                <c:pt idx="1957">
                  <c:v>3.7094310293993765E-2</c:v>
                </c:pt>
                <c:pt idx="1958">
                  <c:v>3.7094310293993765E-2</c:v>
                </c:pt>
                <c:pt idx="1959">
                  <c:v>3.7094310293993765E-2</c:v>
                </c:pt>
                <c:pt idx="1960">
                  <c:v>3.454467274483277E-2</c:v>
                </c:pt>
                <c:pt idx="1961">
                  <c:v>3.454467274483277E-2</c:v>
                </c:pt>
                <c:pt idx="1962">
                  <c:v>3.454467274483277E-2</c:v>
                </c:pt>
                <c:pt idx="1963">
                  <c:v>3.454467274483277E-2</c:v>
                </c:pt>
                <c:pt idx="1964">
                  <c:v>3.454467274483277E-2</c:v>
                </c:pt>
                <c:pt idx="1965">
                  <c:v>3.454467274483277E-2</c:v>
                </c:pt>
                <c:pt idx="1966">
                  <c:v>3.1779336622083057E-2</c:v>
                </c:pt>
                <c:pt idx="1967">
                  <c:v>3.1779336622083057E-2</c:v>
                </c:pt>
                <c:pt idx="1968">
                  <c:v>3.1779336622083057E-2</c:v>
                </c:pt>
                <c:pt idx="1969">
                  <c:v>3.1779336622083057E-2</c:v>
                </c:pt>
                <c:pt idx="1970">
                  <c:v>3.1779336622083057E-2</c:v>
                </c:pt>
                <c:pt idx="1971">
                  <c:v>3.1779336622083057E-2</c:v>
                </c:pt>
                <c:pt idx="1972">
                  <c:v>2.8880089446076652E-2</c:v>
                </c:pt>
                <c:pt idx="1973">
                  <c:v>2.8880089446076652E-2</c:v>
                </c:pt>
                <c:pt idx="1974">
                  <c:v>2.8880089446076652E-2</c:v>
                </c:pt>
                <c:pt idx="1975">
                  <c:v>2.8880089446076652E-2</c:v>
                </c:pt>
                <c:pt idx="1976">
                  <c:v>2.8880089446076652E-2</c:v>
                </c:pt>
                <c:pt idx="1977">
                  <c:v>2.8880089446076652E-2</c:v>
                </c:pt>
                <c:pt idx="1978">
                  <c:v>2.8880089446076652E-2</c:v>
                </c:pt>
                <c:pt idx="1979">
                  <c:v>2.8880089446076652E-2</c:v>
                </c:pt>
                <c:pt idx="1980">
                  <c:v>2.5926399146862966E-2</c:v>
                </c:pt>
                <c:pt idx="1981">
                  <c:v>2.5926399146862966E-2</c:v>
                </c:pt>
                <c:pt idx="1982">
                  <c:v>2.5926399146862966E-2</c:v>
                </c:pt>
                <c:pt idx="1983">
                  <c:v>2.5926399146862966E-2</c:v>
                </c:pt>
                <c:pt idx="1984">
                  <c:v>2.5926399146862966E-2</c:v>
                </c:pt>
                <c:pt idx="1985">
                  <c:v>2.5926399146862966E-2</c:v>
                </c:pt>
                <c:pt idx="1986">
                  <c:v>2.5926399146862966E-2</c:v>
                </c:pt>
                <c:pt idx="1987">
                  <c:v>2.5926399146862966E-2</c:v>
                </c:pt>
                <c:pt idx="1988">
                  <c:v>2.2991951463379623E-2</c:v>
                </c:pt>
                <c:pt idx="1989">
                  <c:v>2.2991951463379623E-2</c:v>
                </c:pt>
                <c:pt idx="1990">
                  <c:v>2.2991951463379623E-2</c:v>
                </c:pt>
                <c:pt idx="1991">
                  <c:v>2.2991951463379623E-2</c:v>
                </c:pt>
                <c:pt idx="1992">
                  <c:v>2.2991951463379623E-2</c:v>
                </c:pt>
                <c:pt idx="1993">
                  <c:v>2.0141853242981605E-2</c:v>
                </c:pt>
                <c:pt idx="1994">
                  <c:v>2.0141853242981605E-2</c:v>
                </c:pt>
                <c:pt idx="1995">
                  <c:v>2.0141853242981605E-2</c:v>
                </c:pt>
                <c:pt idx="1996">
                  <c:v>2.0141853242981605E-2</c:v>
                </c:pt>
                <c:pt idx="1997">
                  <c:v>2.0141853242981605E-2</c:v>
                </c:pt>
                <c:pt idx="1998">
                  <c:v>2.0141853242981605E-2</c:v>
                </c:pt>
                <c:pt idx="1999">
                  <c:v>2.0141853242981605E-2</c:v>
                </c:pt>
                <c:pt idx="2000">
                  <c:v>1.7430625930398881E-2</c:v>
                </c:pt>
                <c:pt idx="2001">
                  <c:v>1.7430625930398881E-2</c:v>
                </c:pt>
                <c:pt idx="2002">
                  <c:v>1.7430625930398881E-2</c:v>
                </c:pt>
                <c:pt idx="2003">
                  <c:v>1.4901037255941956E-2</c:v>
                </c:pt>
                <c:pt idx="2004">
                  <c:v>1.4901037255941956E-2</c:v>
                </c:pt>
                <c:pt idx="2005">
                  <c:v>1.4901037255941956E-2</c:v>
                </c:pt>
                <c:pt idx="2006">
                  <c:v>1.4901037255941956E-2</c:v>
                </c:pt>
                <c:pt idx="2007">
                  <c:v>1.4901037255941956E-2</c:v>
                </c:pt>
                <c:pt idx="2008">
                  <c:v>1.258374706966439E-2</c:v>
                </c:pt>
                <c:pt idx="2009">
                  <c:v>1.258374706966439E-2</c:v>
                </c:pt>
                <c:pt idx="2010">
                  <c:v>1.258374706966439E-2</c:v>
                </c:pt>
                <c:pt idx="2011">
                  <c:v>1.0497682237421797E-2</c:v>
                </c:pt>
                <c:pt idx="2012">
                  <c:v>1.0497682237421797E-2</c:v>
                </c:pt>
                <c:pt idx="2013">
                  <c:v>8.6510102579285004E-3</c:v>
                </c:pt>
                <c:pt idx="2014">
                  <c:v>7.0425541271687524E-3</c:v>
                </c:pt>
                <c:pt idx="2015">
                  <c:v>7.0425541271687524E-3</c:v>
                </c:pt>
                <c:pt idx="2016">
                  <c:v>7.0425541271687524E-3</c:v>
                </c:pt>
                <c:pt idx="2017">
                  <c:v>7.0425541271687524E-3</c:v>
                </c:pt>
                <c:pt idx="2018">
                  <c:v>5.6634819707533273E-3</c:v>
                </c:pt>
                <c:pt idx="2019">
                  <c:v>5.6634819707533273E-3</c:v>
                </c:pt>
                <c:pt idx="2020">
                  <c:v>4.4991120905358128E-3</c:v>
                </c:pt>
                <c:pt idx="2021">
                  <c:v>4.4991120905358128E-3</c:v>
                </c:pt>
                <c:pt idx="2022">
                  <c:v>3.5306938936925185E-3</c:v>
                </c:pt>
                <c:pt idx="2023">
                  <c:v>3.5306938936925185E-3</c:v>
                </c:pt>
                <c:pt idx="2024">
                  <c:v>3.5306938936925185E-3</c:v>
                </c:pt>
                <c:pt idx="2025">
                  <c:v>2.7370534709413572E-3</c:v>
                </c:pt>
                <c:pt idx="2026">
                  <c:v>2.0960250054240345E-3</c:v>
                </c:pt>
                <c:pt idx="2027">
                  <c:v>1.58562176766976E-3</c:v>
                </c:pt>
                <c:pt idx="2028">
                  <c:v>1.58562176766976E-3</c:v>
                </c:pt>
                <c:pt idx="2029">
                  <c:v>1.58562176766976E-3</c:v>
                </c:pt>
                <c:pt idx="2030">
                  <c:v>1.1849300169004726E-3</c:v>
                </c:pt>
                <c:pt idx="2031">
                  <c:v>6.3789440345330306E-4</c:v>
                </c:pt>
                <c:pt idx="2032">
                  <c:v>6.3789440345330306E-4</c:v>
                </c:pt>
                <c:pt idx="2033">
                  <c:v>6.3789440345330306E-4</c:v>
                </c:pt>
                <c:pt idx="2034">
                  <c:v>4.5952779000109307E-4</c:v>
                </c:pt>
                <c:pt idx="2035">
                  <c:v>4.5952779000109307E-4</c:v>
                </c:pt>
                <c:pt idx="2036">
                  <c:v>4.5952779000109307E-4</c:v>
                </c:pt>
                <c:pt idx="2037">
                  <c:v>4.5952779000109307E-4</c:v>
                </c:pt>
                <c:pt idx="2038">
                  <c:v>4.5952779000109307E-4</c:v>
                </c:pt>
                <c:pt idx="2039">
                  <c:v>3.2701278428934219E-4</c:v>
                </c:pt>
                <c:pt idx="2040">
                  <c:v>3.2701278428934219E-4</c:v>
                </c:pt>
                <c:pt idx="2041">
                  <c:v>2.2988341727972773E-4</c:v>
                </c:pt>
                <c:pt idx="2042">
                  <c:v>2.2988341727972773E-4</c:v>
                </c:pt>
                <c:pt idx="2043">
                  <c:v>2.2988341727972773E-4</c:v>
                </c:pt>
                <c:pt idx="2044">
                  <c:v>1.5963955910390737E-4</c:v>
                </c:pt>
                <c:pt idx="2045">
                  <c:v>1.5963955910390737E-4</c:v>
                </c:pt>
                <c:pt idx="2046">
                  <c:v>1.0951241522028164E-4</c:v>
                </c:pt>
                <c:pt idx="2047">
                  <c:v>1.0951241522028164E-4</c:v>
                </c:pt>
                <c:pt idx="2048">
                  <c:v>7.4212345330149757E-5</c:v>
                </c:pt>
                <c:pt idx="2049">
                  <c:v>7.4212345330149757E-5</c:v>
                </c:pt>
                <c:pt idx="2050">
                  <c:v>7.4212345330149757E-5</c:v>
                </c:pt>
                <c:pt idx="2051">
                  <c:v>4.967969474547441E-5</c:v>
                </c:pt>
                <c:pt idx="2052">
                  <c:v>4.967969474547441E-5</c:v>
                </c:pt>
                <c:pt idx="2053">
                  <c:v>3.2852743488403618E-5</c:v>
                </c:pt>
                <c:pt idx="2054">
                  <c:v>2.1461216170201131E-5</c:v>
                </c:pt>
                <c:pt idx="2055">
                  <c:v>2.1461216170201131E-5</c:v>
                </c:pt>
                <c:pt idx="2056">
                  <c:v>2.1461216170201131E-5</c:v>
                </c:pt>
                <c:pt idx="2057">
                  <c:v>2.1461216170201131E-5</c:v>
                </c:pt>
                <c:pt idx="2058">
                  <c:v>8.8285542139106793E-6</c:v>
                </c:pt>
                <c:pt idx="2059">
                  <c:v>5.5595822689027657E-6</c:v>
                </c:pt>
                <c:pt idx="2060">
                  <c:v>3.4584754428226342E-6</c:v>
                </c:pt>
                <c:pt idx="2061">
                  <c:v>2.1252850811158493E-6</c:v>
                </c:pt>
                <c:pt idx="2062">
                  <c:v>2.1252850811158493E-6</c:v>
                </c:pt>
                <c:pt idx="2063">
                  <c:v>1.2901483555010256E-6</c:v>
                </c:pt>
                <c:pt idx="2064">
                  <c:v>1.2901483555010256E-6</c:v>
                </c:pt>
                <c:pt idx="2065">
                  <c:v>7.7366344076543556E-7</c:v>
                </c:pt>
                <c:pt idx="2066">
                  <c:v>2.6819260890031762E-7</c:v>
                </c:pt>
                <c:pt idx="2067">
                  <c:v>1.5503477144639041E-7</c:v>
                </c:pt>
                <c:pt idx="2068">
                  <c:v>8.8532225986864558E-8</c:v>
                </c:pt>
                <c:pt idx="2069">
                  <c:v>8.8532225986864558E-8</c:v>
                </c:pt>
                <c:pt idx="2070">
                  <c:v>2.7830166954202026E-8</c:v>
                </c:pt>
                <c:pt idx="2071">
                  <c:v>2.7830166954202026E-8</c:v>
                </c:pt>
                <c:pt idx="2072">
                  <c:v>2.7830166954202026E-8</c:v>
                </c:pt>
                <c:pt idx="2073">
                  <c:v>1.5319971906072922E-8</c:v>
                </c:pt>
                <c:pt idx="2074">
                  <c:v>1.5319971906072922E-8</c:v>
                </c:pt>
                <c:pt idx="2075">
                  <c:v>4.4751971236349675E-9</c:v>
                </c:pt>
                <c:pt idx="2076">
                  <c:v>2.3747845439810184E-9</c:v>
                </c:pt>
                <c:pt idx="2077">
                  <c:v>6.4464139218297477E-10</c:v>
                </c:pt>
                <c:pt idx="2078">
                  <c:v>3.2976162791369383E-10</c:v>
                </c:pt>
                <c:pt idx="2079">
                  <c:v>3.2976162791369383E-10</c:v>
                </c:pt>
                <c:pt idx="2080">
                  <c:v>8.3182863381777129E-11</c:v>
                </c:pt>
                <c:pt idx="2081">
                  <c:v>8.3182863381777129E-11</c:v>
                </c:pt>
                <c:pt idx="2082">
                  <c:v>4.1019058032793598E-11</c:v>
                </c:pt>
                <c:pt idx="2083">
                  <c:v>9.6152195167565446E-12</c:v>
                </c:pt>
                <c:pt idx="2084">
                  <c:v>2.146310613985311E-12</c:v>
                </c:pt>
                <c:pt idx="2085">
                  <c:v>4.5623205078131726E-13</c:v>
                </c:pt>
                <c:pt idx="2086">
                  <c:v>2.0652248598589613E-13</c:v>
                </c:pt>
                <c:pt idx="2087">
                  <c:v>4.0794379884954099E-14</c:v>
                </c:pt>
                <c:pt idx="2088">
                  <c:v>4.0794379884954099E-14</c:v>
                </c:pt>
                <c:pt idx="2089">
                  <c:v>7.6734943252264394E-15</c:v>
                </c:pt>
                <c:pt idx="2090">
                  <c:v>5.711591696418495E-16</c:v>
                </c:pt>
                <c:pt idx="2091">
                  <c:v>5.711591696418495E-16</c:v>
                </c:pt>
                <c:pt idx="2092">
                  <c:v>9.5071340195389755E-17</c:v>
                </c:pt>
                <c:pt idx="2093">
                  <c:v>9.5071340195389755E-17</c:v>
                </c:pt>
                <c:pt idx="2094">
                  <c:v>3.8082968250263343E-17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6-4AC2-BEFE-413B368DC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77896"/>
        <c:axId val="848067568"/>
      </c:scatterChart>
      <c:valAx>
        <c:axId val="810277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067568"/>
        <c:crosses val="autoZero"/>
        <c:crossBetween val="midCat"/>
      </c:valAx>
      <c:valAx>
        <c:axId val="84806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27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Random</a:t>
            </a:r>
            <a:r>
              <a:rPr lang="en-GB" baseline="0"/>
              <a:t> vs Good dad wins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'Gooddad80-20(PickWin) vs Random'!$F$4:$F$5</c:f>
              <c:strCache>
                <c:ptCount val="2"/>
                <c:pt idx="0">
                  <c:v>Random wins</c:v>
                </c:pt>
                <c:pt idx="1">
                  <c:v>Good dad wins</c:v>
                </c:pt>
              </c:strCache>
            </c:strRef>
          </c:cat>
          <c:val>
            <c:numRef>
              <c:f>'Gooddad80-20(PickWin) vs Random'!$G$4:$G$5</c:f>
              <c:numCache>
                <c:formatCode>General</c:formatCode>
                <c:ptCount val="2"/>
                <c:pt idx="0">
                  <c:v>17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0-401A-9A99-3A5157ABE18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89647</xdr:colOff>
      <xdr:row>19</xdr:row>
      <xdr:rowOff>101973</xdr:rowOff>
    </xdr:from>
    <xdr:to>
      <xdr:col>23</xdr:col>
      <xdr:colOff>425823</xdr:colOff>
      <xdr:row>33</xdr:row>
      <xdr:rowOff>178173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11205</xdr:colOff>
      <xdr:row>3</xdr:row>
      <xdr:rowOff>67236</xdr:rowOff>
    </xdr:from>
    <xdr:to>
      <xdr:col>23</xdr:col>
      <xdr:colOff>347381</xdr:colOff>
      <xdr:row>17</xdr:row>
      <xdr:rowOff>143436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</xdr:row>
      <xdr:rowOff>100012</xdr:rowOff>
    </xdr:from>
    <xdr:to>
      <xdr:col>11</xdr:col>
      <xdr:colOff>285750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204787</xdr:colOff>
      <xdr:row>7</xdr:row>
      <xdr:rowOff>176212</xdr:rowOff>
    </xdr:from>
    <xdr:to>
      <xdr:col>11</xdr:col>
      <xdr:colOff>509587</xdr:colOff>
      <xdr:row>22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D7C00-36DB-434D-8176-CEAA88EA2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347</xdr:col>
      <xdr:colOff>490537</xdr:colOff>
      <xdr:row>37</xdr:row>
      <xdr:rowOff>100012</xdr:rowOff>
    </xdr:from>
    <xdr:to>
      <xdr:col>354</xdr:col>
      <xdr:colOff>547687</xdr:colOff>
      <xdr:row>51</xdr:row>
      <xdr:rowOff>176212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65FB23-A91D-4CB9-A9B5-8B6234370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361</xdr:col>
      <xdr:colOff>171450</xdr:colOff>
      <xdr:row>37</xdr:row>
      <xdr:rowOff>147637</xdr:rowOff>
    </xdr:from>
    <xdr:to>
      <xdr:col>367</xdr:col>
      <xdr:colOff>523875</xdr:colOff>
      <xdr:row>52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483405-125A-46E8-9B5F-5DC60E121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355</xdr:col>
      <xdr:colOff>61912</xdr:colOff>
      <xdr:row>37</xdr:row>
      <xdr:rowOff>138112</xdr:rowOff>
    </xdr:from>
    <xdr:to>
      <xdr:col>360</xdr:col>
      <xdr:colOff>862012</xdr:colOff>
      <xdr:row>52</xdr:row>
      <xdr:rowOff>23812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54D6E03-C7B8-4E26-8DB2-CC793C5D6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3</xdr:row>
      <xdr:rowOff>66675</xdr:rowOff>
    </xdr:from>
    <xdr:to>
      <xdr:col>10</xdr:col>
      <xdr:colOff>595312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88AF4C-7347-4AFF-A5D0-43C0805A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2078</xdr:row>
      <xdr:rowOff>176212</xdr:rowOff>
    </xdr:from>
    <xdr:to>
      <xdr:col>15</xdr:col>
      <xdr:colOff>371475</xdr:colOff>
      <xdr:row>2093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0F5F64-D56B-42F5-A092-1F7B13222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1957</xdr:row>
      <xdr:rowOff>147637</xdr:rowOff>
    </xdr:from>
    <xdr:to>
      <xdr:col>14</xdr:col>
      <xdr:colOff>447675</xdr:colOff>
      <xdr:row>1972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CE4E637-7F30-466E-A862-B304B4165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5</xdr:row>
      <xdr:rowOff>133350</xdr:rowOff>
    </xdr:from>
    <xdr:to>
      <xdr:col>10</xdr:col>
      <xdr:colOff>328612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D2D36-DA5D-4522-BFF3-34C4D3701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C739E52-908F-4B2F-90C3-400F7B4C2FC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1A32E632-4A7E-49DC-8675-115186F81969}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2" name="PlayerOne" tableColumnId="2"/>
      <queryTableField id="3" name="PlayerTwo" tableColumnId="3"/>
      <queryTableField id="4" name="Winner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  <queryTableDeletedFields count="1">
      <deletedField name="GameNo"/>
    </queryTableDeleted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010094F-576C-49E2-A339-06480F3D7360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DC66D82B-734C-414B-943E-CD2144E93F23}" autoFormatId="16" applyNumberFormats="0" applyBorderFormats="0" applyFontFormats="0" applyPatternFormats="0" applyAlignmentFormats="0" applyWidthHeightFormats="0">
  <queryTableRefresh nextId="5">
    <queryTableFields count="2">
      <queryTableField id="2" name="Owner" tableColumnId="2"/>
      <queryTableField id="3" name="Reward" tableColumnId="3"/>
    </queryTableFields>
    <queryTableDeletedFields count="2">
      <deletedField name="id"/>
      <deletedField name="Place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C282E368-8D12-4262-9CE7-197C4BBF866B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B443BD0-D39B-497B-BE77-EE19B5EC36C8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FFC0BB-9566-41F3-8C98-B81945A8D9B4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32FE1C3-DEAB-4B52-9BC2-81C9B60DA6D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Good_dad_80_20_vs_random" displayName="Good_dad_80_20_vs_random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Good_dad_80_20_vs_MCTS" displayName="Good_dad_80_20_vs_MCTS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Good_dad_80_20_vs_MineField" displayName="Good_dad_80_20_vs_MineField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E9554C-CB98-47D5-BD90-DD94571B8DB7}" name="Good_dad_v2_vs_Random" displayName="Good_dad_v2_vs_Random" ref="A1:C51" tableType="queryTable" totalsRowShown="0">
  <autoFilter ref="A1:C51" xr:uid="{85D3DF4B-EAAC-4CF9-9E24-89D1B5245B4B}"/>
  <tableColumns count="3">
    <tableColumn id="1" xr3:uid="{01DC9441-5DF9-4B7E-8514-90C29C8FA93A}" uniqueName="1" name="PlayerOne" queryTableFieldId="1"/>
    <tableColumn id="2" xr3:uid="{E263A0CA-C3DF-4DFD-B723-4780A25052B2}" uniqueName="2" name="PlayerTwo" queryTableFieldId="2"/>
    <tableColumn id="3" xr3:uid="{E10D6FCA-E48B-4442-8724-63F6BC77A68B}" uniqueName="3" name="Winner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3F92E7-5CA8-49DA-A02C-CDE091358139}" name="Query2" displayName="Query2" ref="A1:G25" tableType="queryTable" totalsRowShown="0">
  <autoFilter ref="A1:G25" xr:uid="{AA4FA310-FF64-4030-B548-6870BDFA6E6C}"/>
  <tableColumns count="7">
    <tableColumn id="2" xr3:uid="{13CE2731-87E2-46EF-8190-45B43DB7C0BB}" uniqueName="2" name="PlayerOne" queryTableFieldId="2"/>
    <tableColumn id="3" xr3:uid="{9A6AC3CB-8C44-4897-8666-4624A264E93D}" uniqueName="3" name="PlayerTwo" queryTableFieldId="3"/>
    <tableColumn id="4" xr3:uid="{C5E7C1DB-ED70-4A71-9A34-131DCD76E1F9}" uniqueName="4" name="Winner" queryTableFieldId="4"/>
    <tableColumn id="5" xr3:uid="{FC88EABB-62E5-419D-AF37-A21BE99DEB5C}" uniqueName="5" name="How enjoyable was the game?" queryTableFieldId="5"/>
    <tableColumn id="6" xr3:uid="{7D8AA674-8909-4F65-A723-84EB8316B772}" uniqueName="6" name="How difficult did you find the opponent?" queryTableFieldId="6"/>
    <tableColumn id="7" xr3:uid="{5A3159EC-335D-4310-B64F-C1F502DA4AF7}" uniqueName="7" name="Do you have any comments on the opponents performance" queryTableFieldId="7"/>
    <tableColumn id="8" xr3:uid="{ADF8CB1D-638A-432E-92C7-96BC46E2A50B}" uniqueName="8" name="How do you feel you performed during the gam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47BB66-5E80-4EAC-8C4A-D741E5B27AD2}" name="Good_dad_v2_vs_MCTS" displayName="Good_dad_v2_vs_MCTS" ref="A1:C51" tableType="queryTable" totalsRowShown="0">
  <autoFilter ref="A1:C51" xr:uid="{184B78A5-C14D-466B-AA12-BB3F89BC3130}"/>
  <tableColumns count="3">
    <tableColumn id="1" xr3:uid="{90C47C2C-CAFA-4709-9E16-BA6425493198}" uniqueName="1" name="PlayerOne" queryTableFieldId="1"/>
    <tableColumn id="2" xr3:uid="{13394A09-F7DE-4F2D-B6D1-860A2F5880FA}" uniqueName="2" name="PlayerTwo" queryTableFieldId="2"/>
    <tableColumn id="3" xr3:uid="{C4990C00-81AB-45BE-8829-FA62CABB674D}" uniqueName="3" name="Winner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C4DD37-5253-47BD-B986-E667928931F4}" name="Query1" displayName="Query1" ref="A1:B2096" tableType="queryTable" totalsRowShown="0">
  <autoFilter ref="A1:B2096" xr:uid="{9B7CE122-B5D3-413E-AAD2-E9FB776AC683}"/>
  <tableColumns count="2">
    <tableColumn id="2" xr3:uid="{9AB16001-D9B6-4044-B4B6-5CE8AD6E7F06}" uniqueName="2" name="Owner" queryTableFieldId="2"/>
    <tableColumn id="3" xr3:uid="{FA2682FA-254F-43A1-8316-385E5AC3972A}" uniqueName="3" name="Reward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B8B44-DE89-4E17-9F18-40200B590F8A}" name="Goood_dad_v2_vs_MineField" displayName="Goood_dad_v2_vs_MineField" ref="A1:C51" tableType="queryTable" totalsRowShown="0">
  <autoFilter ref="A1:C51" xr:uid="{31CDABB7-BC31-47BF-9BB7-7FD1A74829B2}"/>
  <tableColumns count="3">
    <tableColumn id="1" xr3:uid="{194894CC-4083-4413-ACCE-CDA915043CCE}" uniqueName="1" name="PlayerOne" queryTableFieldId="1"/>
    <tableColumn id="2" xr3:uid="{0D1D502A-B539-445A-8BB2-29EEC1A18E0A}" uniqueName="2" name="PlayerTwo" queryTableFieldId="2"/>
    <tableColumn id="3" xr3:uid="{2FF7CB57-0FA4-477E-8A3C-CC6FFC625023}" uniqueName="3" name="Winner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D3643-25F3-49A2-84E5-41114B45169C}" name="Good_dad_80_20_Picks_Win__vs_Random" displayName="Good_dad_80_20_Picks_Win__vs_Random" ref="A1:C51" tableType="queryTable" totalsRowShown="0">
  <autoFilter ref="A1:C51" xr:uid="{F109CDEA-0B86-4868-B220-EFE8FBE9634F}"/>
  <tableColumns count="3">
    <tableColumn id="1" xr3:uid="{E46B9142-3F7C-4A1F-B385-F5B1857A5870}" uniqueName="1" name="PlayerOne" queryTableFieldId="1"/>
    <tableColumn id="2" xr3:uid="{94B51C1E-039C-481E-8341-6BB0E7EF1F47}" uniqueName="2" name="PlayerTwo" queryTableFieldId="2"/>
    <tableColumn id="3" xr3:uid="{A9C8BD2B-CF6A-41C4-A7FE-15F34E11A92F}" uniqueName="3" name="Winner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B79A6-56BA-48A7-BFCC-E399652ED8D5}" name="Good_dad_80_20_PickWin__vs_MCTS" displayName="Good_dad_80_20_PickWin__vs_MCTS" ref="A1:C51" tableType="queryTable" totalsRowShown="0">
  <autoFilter ref="A1:C51" xr:uid="{6A350A9C-459E-4F52-AC13-5FAA61130B73}"/>
  <tableColumns count="3">
    <tableColumn id="1" xr3:uid="{A1FE44FB-8152-4462-9592-D571C2F43DAA}" uniqueName="1" name="PlayerOne" queryTableFieldId="1"/>
    <tableColumn id="2" xr3:uid="{EF77675F-9663-45EA-A8A6-F154F2E3548E}" uniqueName="2" name="PlayerTwo" queryTableFieldId="2"/>
    <tableColumn id="3" xr3:uid="{66194F9E-F9B6-4DC8-907F-A91F4806F55A}" uniqueName="3" name="Winner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B30B15-0946-4D70-A657-2A5A95DB5E99}" name="Good_dad_80_20_PickWin__vs_MineField" displayName="Good_dad_80_20_PickWin__vs_MineField" ref="A1:C51" tableType="queryTable" totalsRowShown="0">
  <autoFilter ref="A1:C51" xr:uid="{2C42885A-5DF2-4D35-9F51-84545BB7792E}"/>
  <tableColumns count="3">
    <tableColumn id="1" xr3:uid="{A96357BD-14D6-4B95-86C2-90F5C4F898E8}" uniqueName="1" name="PlayerOne" queryTableFieldId="1"/>
    <tableColumn id="2" xr3:uid="{3E61B51D-676A-4AB5-B9EF-591D415AD8E2}" uniqueName="2" name="PlayerTwo" queryTableFieldId="2"/>
    <tableColumn id="3" xr3:uid="{ACC1B6C4-569A-48C8-A878-AC75C32178EF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201" Type="http://schemas.openxmlformats.org/officeDocument/2006/relationships/printerSettings" Target="../printerSettings/printerSettings1.bin"/><Relationship Id="rId12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2" Type="http://schemas.openxmlformats.org/officeDocument/2006/relationships/drawing" Target="../drawings/drawing4.xml"/><Relationship Id="rId13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="85" zoomScaleNormal="85" workbookViewId="0">
      <selection activeCell="Q1" sqref="Q1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T34"/>
  <sheetViews>
    <sheetView workbookViewId="0">
      <selection activeCell="P35" sqref="P35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</row>
    <row r="3" spans="1:150" x14ac:dyDescent="0.25"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</row>
    <row r="4" spans="1:150" x14ac:dyDescent="0.25"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</row>
    <row r="5" spans="1:150" x14ac:dyDescent="0.25"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</row>
    <row r="6" spans="1:150" x14ac:dyDescent="0.25"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</row>
    <row r="7" spans="1:150" x14ac:dyDescent="0.25"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</row>
    <row r="8" spans="1:150" x14ac:dyDescent="0.25"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</row>
    <row r="9" spans="1:150" x14ac:dyDescent="0.25"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</row>
    <row r="10" spans="1:150" x14ac:dyDescent="0.25"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</row>
    <row r="11" spans="1:150" x14ac:dyDescent="0.25"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</row>
    <row r="12" spans="1:150" x14ac:dyDescent="0.25"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</row>
    <row r="13" spans="1:150" x14ac:dyDescent="0.25"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</row>
    <row r="14" spans="1:150" x14ac:dyDescent="0.25"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</row>
    <row r="15" spans="1:150" x14ac:dyDescent="0.25"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</row>
    <row r="16" spans="1:150" x14ac:dyDescent="0.25"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</row>
    <row r="17" spans="2:150" x14ac:dyDescent="0.25"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</row>
    <row r="18" spans="2:150" x14ac:dyDescent="0.25"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</row>
    <row r="19" spans="2:150" x14ac:dyDescent="0.25"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</row>
    <row r="20" spans="2:150" x14ac:dyDescent="0.25"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</row>
    <row r="21" spans="2:150" x14ac:dyDescent="0.25"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</row>
    <row r="22" spans="2:150" x14ac:dyDescent="0.25"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</row>
    <row r="23" spans="2:150" x14ac:dyDescent="0.25"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</row>
    <row r="24" spans="2:150" x14ac:dyDescent="0.25"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</row>
    <row r="25" spans="2:150" x14ac:dyDescent="0.25"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</row>
    <row r="26" spans="2:150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</row>
    <row r="27" spans="2:150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</row>
    <row r="28" spans="2:150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</row>
    <row r="29" spans="2:150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2:150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2:150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2:150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68:69" x14ac:dyDescent="0.25">
      <c r="BP33">
        <v>0.83133333333333304</v>
      </c>
      <c r="BQ33">
        <v>-0.26933333333333298</v>
      </c>
    </row>
    <row r="34" spans="68:69" x14ac:dyDescent="0.25">
      <c r="BP3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</row>
    <row r="3" spans="1:150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</row>
    <row r="4" spans="1:150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</row>
    <row r="5" spans="1:150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</row>
    <row r="6" spans="1:150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</row>
    <row r="7" spans="1:150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</row>
    <row r="8" spans="1:150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</row>
    <row r="9" spans="1:150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</row>
    <row r="10" spans="1:150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</row>
    <row r="11" spans="1:150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</row>
    <row r="12" spans="1:150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</row>
    <row r="13" spans="1:150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</row>
    <row r="14" spans="1:150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</row>
    <row r="15" spans="1:150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</row>
    <row r="16" spans="1:150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</row>
    <row r="17" spans="2:150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</row>
    <row r="18" spans="2:150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</row>
    <row r="19" spans="2:150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</row>
    <row r="20" spans="2:150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</row>
    <row r="21" spans="2:150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</row>
    <row r="22" spans="2:150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</row>
    <row r="23" spans="2:150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</row>
    <row r="24" spans="2:150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</row>
    <row r="25" spans="2:150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</row>
    <row r="26" spans="2:150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</row>
    <row r="27" spans="2:150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</row>
    <row r="28" spans="2:150" x14ac:dyDescent="0.25">
      <c r="H28">
        <v>1</v>
      </c>
      <c r="AF28">
        <v>1</v>
      </c>
    </row>
    <row r="35" spans="1:27" x14ac:dyDescent="0.25">
      <c r="B35" t="s">
        <v>4</v>
      </c>
      <c r="C35">
        <v>0.24324324324324301</v>
      </c>
      <c r="D35">
        <v>4.2666666666666603E-2</v>
      </c>
      <c r="E35">
        <v>5.7057057057056999E-2</v>
      </c>
      <c r="F35">
        <v>4.5045045045045001E-2</v>
      </c>
      <c r="G35">
        <v>2.9940119760479E-2</v>
      </c>
      <c r="H35">
        <v>2.8037383177569999E-2</v>
      </c>
      <c r="I35">
        <v>1.8666666666666599E-2</v>
      </c>
      <c r="J35">
        <v>2.6666666666666599E-2</v>
      </c>
      <c r="K35">
        <v>2.8000000000000001E-2</v>
      </c>
      <c r="L35">
        <v>6.6666666666666596E-2</v>
      </c>
      <c r="M35">
        <v>0.04</v>
      </c>
      <c r="N35">
        <v>7.69230769230769E-2</v>
      </c>
      <c r="O35">
        <v>0.103333333333333</v>
      </c>
      <c r="P35">
        <v>7.5757575757575704E-2</v>
      </c>
      <c r="Q35">
        <v>7.1428571428571397E-2</v>
      </c>
      <c r="R35">
        <v>0.114219114219114</v>
      </c>
      <c r="S35">
        <v>4.8951048951048903E-2</v>
      </c>
      <c r="T35">
        <v>4.8333333333333298E-2</v>
      </c>
      <c r="U35">
        <v>3.3333333333333298E-2</v>
      </c>
      <c r="V35">
        <v>3.3333333333333298E-2</v>
      </c>
      <c r="W35">
        <v>4.1958041958041897E-2</v>
      </c>
      <c r="X35">
        <v>0.30399999999999999</v>
      </c>
      <c r="Y35">
        <v>0.18518518518518501</v>
      </c>
      <c r="Z35">
        <v>0.73866666666666603</v>
      </c>
    </row>
    <row r="36" spans="1:27" x14ac:dyDescent="0.25">
      <c r="B36" t="s">
        <v>7</v>
      </c>
      <c r="C36">
        <v>-1.5015015015014999E-2</v>
      </c>
      <c r="D36">
        <v>-5.7057057057056999E-2</v>
      </c>
      <c r="E36">
        <v>0.14371257485029901</v>
      </c>
      <c r="F36">
        <v>2.69461077844311E-2</v>
      </c>
      <c r="G36">
        <v>3.7333333333333302E-2</v>
      </c>
      <c r="H36">
        <v>3.0030030030029999E-2</v>
      </c>
      <c r="I36">
        <v>2.10280373831775E-2</v>
      </c>
      <c r="J36">
        <v>6.2937062937062901E-2</v>
      </c>
      <c r="K36">
        <v>-5.6000000000000001E-2</v>
      </c>
      <c r="L36">
        <v>-0.13400000000000001</v>
      </c>
      <c r="M36">
        <v>3.9719626168224297E-2</v>
      </c>
      <c r="N36">
        <v>-0.15466666666666601</v>
      </c>
      <c r="O36">
        <v>1.6949152542372801E-2</v>
      </c>
      <c r="P36">
        <v>2.5641025641025599E-2</v>
      </c>
      <c r="Q36">
        <v>0.13800000000000001</v>
      </c>
      <c r="R36">
        <v>0.08</v>
      </c>
      <c r="S36">
        <v>-0.222</v>
      </c>
      <c r="T36">
        <v>-0.14432989690721601</v>
      </c>
      <c r="U36">
        <v>-2.5000000000000001E-2</v>
      </c>
      <c r="V36">
        <v>-4.0000000000000001E-3</v>
      </c>
      <c r="W36">
        <v>-1.6949152542372801E-2</v>
      </c>
      <c r="X36">
        <v>0.628</v>
      </c>
      <c r="Y36">
        <v>0.91330645161290303</v>
      </c>
      <c r="Z36">
        <v>1</v>
      </c>
    </row>
    <row r="37" spans="1:27" x14ac:dyDescent="0.25">
      <c r="A37" t="str">
        <f>"Game" &amp; (ROW(A37) - 1)/3  + 1</f>
        <v>Game13</v>
      </c>
    </row>
    <row r="38" spans="1:27" x14ac:dyDescent="0.25">
      <c r="B38" t="s">
        <v>7</v>
      </c>
      <c r="C38">
        <v>-0.108108108108108</v>
      </c>
      <c r="D38">
        <v>7.2072072072072002E-2</v>
      </c>
      <c r="E38">
        <v>3.59281437125748E-2</v>
      </c>
      <c r="F38">
        <v>8.7087087087086998E-2</v>
      </c>
      <c r="G38">
        <v>-6.4000000000000001E-2</v>
      </c>
      <c r="H38">
        <v>7.3999999999999996E-2</v>
      </c>
      <c r="I38">
        <v>0.12266666666666599</v>
      </c>
      <c r="J38">
        <v>0.15466666666666601</v>
      </c>
      <c r="K38">
        <v>7.9439252336448593E-2</v>
      </c>
      <c r="L38">
        <v>0.17948717948717899</v>
      </c>
      <c r="M38">
        <v>0.123543123543123</v>
      </c>
      <c r="N38">
        <v>0.41</v>
      </c>
      <c r="O38">
        <v>0.50833333333333297</v>
      </c>
      <c r="P38">
        <v>0.54794520547945202</v>
      </c>
      <c r="Q38">
        <v>0.31818181818181801</v>
      </c>
      <c r="R38">
        <v>-0.188811188811188</v>
      </c>
      <c r="S38">
        <v>-0.132867132867132</v>
      </c>
      <c r="T38">
        <v>-8.2000000000000003E-2</v>
      </c>
      <c r="U38">
        <v>-7.69230769230769E-2</v>
      </c>
      <c r="V38">
        <v>1</v>
      </c>
    </row>
    <row r="39" spans="1:27" x14ac:dyDescent="0.25">
      <c r="B39" t="s">
        <v>4</v>
      </c>
      <c r="C39">
        <v>5.3333333333333297E-3</v>
      </c>
      <c r="D39">
        <v>2.09790209790209E-2</v>
      </c>
      <c r="E39">
        <v>2.1333333333333301E-2</v>
      </c>
      <c r="F39">
        <v>4.8048048048047999E-2</v>
      </c>
      <c r="G39">
        <v>9.0090090090090003E-3</v>
      </c>
      <c r="H39">
        <v>2.4024024024024E-2</v>
      </c>
      <c r="I39">
        <v>-4.5045045045045001E-2</v>
      </c>
      <c r="J39">
        <v>-1.6E-2</v>
      </c>
      <c r="K39">
        <v>-5.3333333333333302E-2</v>
      </c>
      <c r="L39">
        <v>-9.3240093240093205E-2</v>
      </c>
      <c r="M39">
        <v>-0.13400000000000001</v>
      </c>
      <c r="N39">
        <v>-0.36799999999999999</v>
      </c>
      <c r="O39">
        <v>-0.45045045045045001</v>
      </c>
      <c r="P39">
        <v>-0.16666666666666599</v>
      </c>
      <c r="Q39">
        <v>0.15384615384615299</v>
      </c>
      <c r="R39">
        <v>0.112</v>
      </c>
      <c r="S39">
        <v>4.67289719626168E-2</v>
      </c>
      <c r="T39">
        <v>3.7037037037037E-2</v>
      </c>
      <c r="U39">
        <v>4.3478260869565202E-2</v>
      </c>
    </row>
    <row r="40" spans="1:27" x14ac:dyDescent="0.25">
      <c r="A40" t="str">
        <f>"Game" &amp; (ROW(A40) - 1)/3  + 1</f>
        <v>Game14</v>
      </c>
    </row>
    <row r="41" spans="1:27" x14ac:dyDescent="0.25">
      <c r="B41" t="s">
        <v>4</v>
      </c>
      <c r="C41">
        <v>0.27027027027027001</v>
      </c>
      <c r="D41">
        <v>6.9333333333333302E-2</v>
      </c>
      <c r="E41">
        <v>4.1916167664670601E-2</v>
      </c>
      <c r="F41">
        <v>6.4000000000000001E-2</v>
      </c>
      <c r="G41">
        <v>4.8000000000000001E-2</v>
      </c>
      <c r="H41">
        <v>6.3063063063063002E-2</v>
      </c>
      <c r="I41">
        <v>4.8000000000000001E-2</v>
      </c>
      <c r="J41">
        <v>6.2874251497005901E-2</v>
      </c>
      <c r="K41">
        <v>-2.6666666666666599E-2</v>
      </c>
      <c r="L41">
        <v>2.5641025641025599E-2</v>
      </c>
      <c r="M41">
        <v>3.7333333333333302E-2</v>
      </c>
      <c r="N41">
        <v>3.2710280373831703E-2</v>
      </c>
      <c r="O41">
        <v>6.07476635514018E-2</v>
      </c>
      <c r="P41">
        <v>5.3333333333333297E-3</v>
      </c>
      <c r="Q41">
        <v>4.2056074766355103E-2</v>
      </c>
      <c r="R41">
        <v>0.08</v>
      </c>
      <c r="S41">
        <v>2.2900763358778602E-2</v>
      </c>
      <c r="T41">
        <v>-7.2261072261072201E-2</v>
      </c>
    </row>
    <row r="42" spans="1:27" x14ac:dyDescent="0.25">
      <c r="B42" t="s">
        <v>7</v>
      </c>
      <c r="C42">
        <v>-1.79640718562874E-2</v>
      </c>
      <c r="D42">
        <v>-9.3093093093092993E-2</v>
      </c>
      <c r="E42">
        <v>-6.5420560747663503E-2</v>
      </c>
      <c r="F42">
        <v>-0.101796407185628</v>
      </c>
      <c r="G42">
        <v>-6.3063063063063002E-2</v>
      </c>
      <c r="H42">
        <v>-7.8078078078077998E-2</v>
      </c>
      <c r="I42">
        <v>-6.6666666666666596E-2</v>
      </c>
      <c r="J42">
        <v>0.11448598130841101</v>
      </c>
      <c r="K42">
        <v>0.170560747663551</v>
      </c>
      <c r="L42">
        <v>0.128</v>
      </c>
      <c r="M42">
        <v>-2.4E-2</v>
      </c>
      <c r="N42">
        <v>-5.8275058275058203E-2</v>
      </c>
      <c r="O42">
        <v>0</v>
      </c>
      <c r="P42">
        <v>-7.1999999999999995E-2</v>
      </c>
      <c r="Q42">
        <v>-0.16</v>
      </c>
      <c r="R42">
        <v>-0.21333333333333299</v>
      </c>
      <c r="S42">
        <v>0.27007299270072899</v>
      </c>
      <c r="T42">
        <v>1</v>
      </c>
    </row>
    <row r="43" spans="1:27" x14ac:dyDescent="0.25">
      <c r="A43" t="str">
        <f>"Game" &amp; (ROW(A43) - 1)/3  + 1</f>
        <v>Game15</v>
      </c>
    </row>
    <row r="44" spans="1:27" x14ac:dyDescent="0.25">
      <c r="B44" t="s">
        <v>7</v>
      </c>
      <c r="C44">
        <v>-2.7027027027027001E-2</v>
      </c>
      <c r="D44">
        <v>-2.6666666666666601E-3</v>
      </c>
      <c r="E44">
        <v>3.3033033033033003E-2</v>
      </c>
      <c r="F44">
        <v>-2.1021021021020998E-2</v>
      </c>
      <c r="G44">
        <v>2.9333333333333302E-2</v>
      </c>
      <c r="H44">
        <v>4.7904191616766401E-2</v>
      </c>
      <c r="I44">
        <v>1.6E-2</v>
      </c>
      <c r="J44">
        <v>6.6666666666666596E-2</v>
      </c>
      <c r="K44">
        <v>2.7972027972027899E-2</v>
      </c>
      <c r="L44">
        <v>-4.8000000000000001E-2</v>
      </c>
      <c r="M44">
        <v>2.6666666666666601E-3</v>
      </c>
      <c r="N44">
        <v>-7.1999999999999995E-2</v>
      </c>
      <c r="O44">
        <v>-9.3240093240093205E-3</v>
      </c>
      <c r="P44">
        <v>0.271666666666666</v>
      </c>
      <c r="Q44">
        <v>-0.182</v>
      </c>
      <c r="R44">
        <v>-0.05</v>
      </c>
      <c r="S44">
        <v>-0.31833333333333302</v>
      </c>
      <c r="T44">
        <v>8.0213903743315496E-2</v>
      </c>
      <c r="U44">
        <v>7.4666666666666603E-2</v>
      </c>
      <c r="V44">
        <v>1</v>
      </c>
    </row>
    <row r="45" spans="1:27" x14ac:dyDescent="0.25">
      <c r="B45" t="s">
        <v>4</v>
      </c>
      <c r="C45">
        <v>6.0060060060059999E-3</v>
      </c>
      <c r="D45">
        <v>2.1021021021020998E-2</v>
      </c>
      <c r="E45">
        <v>-4.6728971962616802E-3</v>
      </c>
      <c r="F45">
        <v>5.4054054054054002E-2</v>
      </c>
      <c r="G45">
        <v>8.7087087087086998E-2</v>
      </c>
      <c r="H45">
        <v>4.2042042042041997E-2</v>
      </c>
      <c r="I45">
        <v>4.2666666666666603E-2</v>
      </c>
      <c r="J45">
        <v>6.9333333333333302E-2</v>
      </c>
      <c r="K45">
        <v>0</v>
      </c>
      <c r="L45">
        <v>5.5944055944055902E-2</v>
      </c>
      <c r="M45">
        <v>8.2000000000000003E-2</v>
      </c>
      <c r="N45">
        <v>5.3333333333333302E-2</v>
      </c>
      <c r="O45">
        <v>7.7102803738317696E-2</v>
      </c>
      <c r="P45">
        <v>0.28799999999999998</v>
      </c>
      <c r="Q45">
        <v>3.4782608695652098E-2</v>
      </c>
      <c r="R45">
        <v>6.4000000000000001E-2</v>
      </c>
      <c r="S45">
        <v>2.94117647058823E-2</v>
      </c>
      <c r="T45">
        <v>0.125</v>
      </c>
      <c r="U45">
        <v>0.37066666666666598</v>
      </c>
    </row>
    <row r="46" spans="1:27" x14ac:dyDescent="0.25">
      <c r="A46" t="str">
        <f>"Game" &amp; (ROW(A46) - 1)/3  + 1</f>
        <v>Game16</v>
      </c>
    </row>
    <row r="47" spans="1:27" x14ac:dyDescent="0.25">
      <c r="B47" t="s">
        <v>4</v>
      </c>
      <c r="C47">
        <v>0.27027027027027001</v>
      </c>
      <c r="D47">
        <v>5.3892215568862201E-2</v>
      </c>
      <c r="E47">
        <v>7.7333333333333296E-2</v>
      </c>
      <c r="F47">
        <v>6.3063063063063002E-2</v>
      </c>
      <c r="G47">
        <v>7.2072072072072002E-2</v>
      </c>
      <c r="H47">
        <v>6.6000000000000003E-2</v>
      </c>
      <c r="I47">
        <v>5.9880239520958001E-2</v>
      </c>
      <c r="J47">
        <v>7.4666666666666603E-2</v>
      </c>
      <c r="K47">
        <v>5.1282051282051197E-2</v>
      </c>
      <c r="L47">
        <v>-1.06666666666666E-2</v>
      </c>
      <c r="M47">
        <v>1.8666666666666599E-2</v>
      </c>
      <c r="N47">
        <v>-4.8951048951048903E-2</v>
      </c>
      <c r="O47">
        <v>-8.2666666666666597E-2</v>
      </c>
      <c r="P47">
        <v>-0.107476635514018</v>
      </c>
      <c r="Q47">
        <v>1.6666666666666601E-2</v>
      </c>
      <c r="R47">
        <v>6.9444444444444406E-2</v>
      </c>
      <c r="S47">
        <v>7.3999999999999996E-2</v>
      </c>
      <c r="T47">
        <v>6.3291139240506306E-2</v>
      </c>
      <c r="U47">
        <v>-2.5000000000000001E-2</v>
      </c>
      <c r="V47">
        <v>0.05</v>
      </c>
      <c r="W47">
        <v>0.113924050632911</v>
      </c>
      <c r="X47">
        <v>5.1999999999999998E-2</v>
      </c>
      <c r="Y47">
        <v>-0.184</v>
      </c>
      <c r="Z47">
        <v>6.3333333333333297E-2</v>
      </c>
      <c r="AA47">
        <v>0.31002331002331002</v>
      </c>
    </row>
    <row r="48" spans="1:27" x14ac:dyDescent="0.25">
      <c r="B48" t="s">
        <v>7</v>
      </c>
      <c r="C48">
        <v>-4.5045045045045001E-2</v>
      </c>
      <c r="D48">
        <v>-1.8018018018018001E-2</v>
      </c>
      <c r="E48">
        <v>-5.3333333333333297E-3</v>
      </c>
      <c r="F48">
        <v>2.1021021021020998E-2</v>
      </c>
      <c r="G48">
        <v>9.3457943925233603E-3</v>
      </c>
      <c r="H48">
        <v>-6.0060060060059999E-3</v>
      </c>
      <c r="I48">
        <v>8.0000000000000002E-3</v>
      </c>
      <c r="J48">
        <v>5.0000000000000001E-3</v>
      </c>
      <c r="K48">
        <v>2.4E-2</v>
      </c>
      <c r="L48">
        <v>0.08</v>
      </c>
      <c r="M48">
        <v>0.123543123543123</v>
      </c>
      <c r="N48">
        <v>0.16800000000000001</v>
      </c>
      <c r="O48">
        <v>0.26600000000000001</v>
      </c>
      <c r="P48">
        <v>0.14918414918414899</v>
      </c>
      <c r="Q48">
        <v>2.3310023310023301E-3</v>
      </c>
      <c r="R48">
        <v>8.0000000000000002E-3</v>
      </c>
      <c r="S48">
        <v>-3.3333333333333298E-2</v>
      </c>
      <c r="T48">
        <v>0.14199999999999999</v>
      </c>
      <c r="U48">
        <v>0.08</v>
      </c>
      <c r="V48">
        <v>0.216</v>
      </c>
      <c r="W48">
        <v>4.0000000000000001E-3</v>
      </c>
      <c r="X48">
        <v>0.376</v>
      </c>
      <c r="Y48">
        <v>2.5641025641025599E-2</v>
      </c>
      <c r="Z48">
        <v>0.38666666666666599</v>
      </c>
      <c r="AA48">
        <v>1</v>
      </c>
    </row>
    <row r="49" spans="1:23" x14ac:dyDescent="0.25">
      <c r="A49" t="str">
        <f>"Game" &amp; (ROW(A49) - 1)/3  + 1</f>
        <v>Game17</v>
      </c>
    </row>
    <row r="50" spans="1:23" x14ac:dyDescent="0.25">
      <c r="B50" t="s">
        <v>7</v>
      </c>
      <c r="C50">
        <v>-8.1081081081081002E-2</v>
      </c>
      <c r="D50">
        <v>1.49700598802395E-2</v>
      </c>
      <c r="E50">
        <v>4.1916167664670601E-2</v>
      </c>
      <c r="F50">
        <v>0.12533333333333299</v>
      </c>
      <c r="G50">
        <v>6.6666666666666596E-2</v>
      </c>
      <c r="H50">
        <v>7.7333333333333296E-2</v>
      </c>
      <c r="I50">
        <v>-3.03030303030303E-2</v>
      </c>
      <c r="J50">
        <v>-5.3333333333333297E-3</v>
      </c>
      <c r="K50">
        <v>2.5641025641025599E-2</v>
      </c>
      <c r="L50">
        <v>6.9333333333333302E-2</v>
      </c>
      <c r="M50">
        <v>-5.0666666666666603E-2</v>
      </c>
      <c r="N50">
        <v>-3.2634032634032598E-2</v>
      </c>
      <c r="O50">
        <v>-0.11600000000000001</v>
      </c>
      <c r="P50">
        <v>-5.3333333333333302E-2</v>
      </c>
      <c r="Q50">
        <v>-0.16800000000000001</v>
      </c>
      <c r="R50">
        <v>-0.18518518518518501</v>
      </c>
      <c r="S50">
        <v>0.19800000000000001</v>
      </c>
      <c r="T50">
        <v>7.69230769230769E-2</v>
      </c>
      <c r="U50">
        <v>1</v>
      </c>
    </row>
    <row r="51" spans="1:23" x14ac:dyDescent="0.25">
      <c r="B51" t="s">
        <v>4</v>
      </c>
      <c r="C51">
        <v>1.8666666666666599E-2</v>
      </c>
      <c r="D51">
        <v>5.4054054054054002E-2</v>
      </c>
      <c r="E51">
        <v>-1.49700598802395E-2</v>
      </c>
      <c r="F51">
        <v>7.2072072072072002E-2</v>
      </c>
      <c r="G51">
        <v>6.2874251497005901E-2</v>
      </c>
      <c r="H51">
        <v>8.0000000000000002E-3</v>
      </c>
      <c r="I51">
        <v>5.4054054054054002E-2</v>
      </c>
      <c r="J51">
        <v>4.4289044289044198E-2</v>
      </c>
      <c r="K51">
        <v>9.90990990990991E-2</v>
      </c>
      <c r="L51">
        <v>5.1401869158878503E-2</v>
      </c>
      <c r="M51">
        <v>2.1999999999999999E-2</v>
      </c>
      <c r="N51">
        <v>3.2710280373831703E-2</v>
      </c>
      <c r="O51">
        <v>4.2000000000000003E-2</v>
      </c>
      <c r="P51">
        <v>0.11333333333333299</v>
      </c>
      <c r="Q51">
        <v>7.4999999999999997E-2</v>
      </c>
      <c r="R51">
        <v>0.03</v>
      </c>
      <c r="S51">
        <v>3.03738317757009E-2</v>
      </c>
      <c r="T51">
        <v>2.33644859813084E-2</v>
      </c>
    </row>
    <row r="52" spans="1:23" x14ac:dyDescent="0.25">
      <c r="A52" t="str">
        <f>"Game" &amp; (ROW(A52) - 1)/3  + 1</f>
        <v>Game18</v>
      </c>
    </row>
    <row r="53" spans="1:23" x14ac:dyDescent="0.25">
      <c r="B53" t="s">
        <v>4</v>
      </c>
      <c r="C53">
        <v>0.27027027027027001</v>
      </c>
      <c r="D53">
        <v>5.4054054054054002E-2</v>
      </c>
      <c r="E53">
        <v>7.2072072072072002E-2</v>
      </c>
      <c r="F53">
        <v>7.2261072261072201E-2</v>
      </c>
      <c r="G53">
        <v>3.6036036036036001E-2</v>
      </c>
      <c r="H53">
        <v>5.0666666666666603E-2</v>
      </c>
      <c r="I53">
        <v>8.8785046728971903E-2</v>
      </c>
      <c r="J53">
        <v>5.83333333333333E-2</v>
      </c>
      <c r="K53">
        <v>5.8666666666666603E-2</v>
      </c>
      <c r="L53">
        <v>5.8666666666666603E-2</v>
      </c>
      <c r="M53">
        <v>8.8578088578088507E-2</v>
      </c>
      <c r="N53">
        <v>6.25E-2</v>
      </c>
      <c r="O53">
        <v>5.46666666666666E-2</v>
      </c>
      <c r="P53">
        <v>8.5714285714285701E-2</v>
      </c>
      <c r="Q53">
        <v>3.7333333333333302E-2</v>
      </c>
      <c r="R53">
        <v>0.11111111111111099</v>
      </c>
    </row>
    <row r="54" spans="1:23" x14ac:dyDescent="0.25">
      <c r="B54" t="s">
        <v>7</v>
      </c>
      <c r="C54">
        <v>-9.3093093093092993E-2</v>
      </c>
      <c r="D54">
        <v>-8.9820359281437098E-2</v>
      </c>
      <c r="E54">
        <v>-0.14933333333333301</v>
      </c>
      <c r="F54">
        <v>-0.108108108108108</v>
      </c>
      <c r="G54">
        <v>-7.5999999999999998E-2</v>
      </c>
      <c r="H54">
        <v>3.6036036036036001E-2</v>
      </c>
      <c r="I54">
        <v>-0.108108108108108</v>
      </c>
      <c r="J54">
        <v>-2.1333333333333301E-2</v>
      </c>
      <c r="K54">
        <v>-2.57009345794392E-2</v>
      </c>
      <c r="L54">
        <v>-0.12</v>
      </c>
      <c r="M54">
        <v>-3.5714285714285698E-2</v>
      </c>
      <c r="N54">
        <v>-0.104</v>
      </c>
      <c r="O54">
        <v>7.8E-2</v>
      </c>
      <c r="P54">
        <v>-0.12345679012345601</v>
      </c>
      <c r="Q54">
        <v>0.18446601941747501</v>
      </c>
      <c r="R54">
        <v>1</v>
      </c>
    </row>
    <row r="55" spans="1:23" x14ac:dyDescent="0.25">
      <c r="A55" t="str">
        <f>"Game" &amp; (ROW(A55) - 1)/3  + 1</f>
        <v>Game19</v>
      </c>
    </row>
    <row r="56" spans="1:23" x14ac:dyDescent="0.25">
      <c r="B56" t="s">
        <v>7</v>
      </c>
      <c r="C56">
        <v>-0.135135135135135</v>
      </c>
      <c r="D56">
        <v>4.2666666666666603E-2</v>
      </c>
      <c r="E56">
        <v>7.8078078078077998E-2</v>
      </c>
      <c r="F56">
        <v>5.3333333333333302E-2</v>
      </c>
      <c r="G56">
        <v>5.1401869158878503E-2</v>
      </c>
      <c r="H56">
        <v>6.0060060060059997E-2</v>
      </c>
      <c r="I56">
        <v>7.8078078078077998E-2</v>
      </c>
      <c r="J56">
        <v>8.2666666666666597E-2</v>
      </c>
      <c r="K56">
        <v>0.101333333333333</v>
      </c>
      <c r="L56">
        <v>6.2937062937062901E-2</v>
      </c>
      <c r="M56">
        <v>3.7333333333333302E-2</v>
      </c>
      <c r="N56">
        <v>0.162162162162162</v>
      </c>
      <c r="O56">
        <v>0.31166666666666598</v>
      </c>
      <c r="P56">
        <v>0.338028169014084</v>
      </c>
      <c r="Q56">
        <v>0.61538461538461497</v>
      </c>
      <c r="R56">
        <v>0.40799999999999997</v>
      </c>
      <c r="S56">
        <v>9.11214953271028E-2</v>
      </c>
      <c r="T56">
        <v>1</v>
      </c>
    </row>
    <row r="57" spans="1:23" x14ac:dyDescent="0.25">
      <c r="B57" t="s">
        <v>4</v>
      </c>
      <c r="C57">
        <v>2.4024024024024E-2</v>
      </c>
      <c r="D57">
        <v>5.7057057057056999E-2</v>
      </c>
      <c r="E57">
        <v>5.3333333333333297E-3</v>
      </c>
      <c r="F57">
        <v>4.5045045045045001E-2</v>
      </c>
      <c r="G57">
        <v>3.4000000000000002E-2</v>
      </c>
      <c r="H57">
        <v>-7.0093457943925198E-3</v>
      </c>
      <c r="I57">
        <v>5.1401869158878503E-2</v>
      </c>
      <c r="J57">
        <v>8.0000000000000002E-3</v>
      </c>
      <c r="K57">
        <v>6.8000000000000005E-2</v>
      </c>
      <c r="L57">
        <v>-6.0060060060059999E-3</v>
      </c>
      <c r="M57">
        <v>-4.6666666666666599E-2</v>
      </c>
      <c r="N57">
        <v>-5.7333333333333299E-2</v>
      </c>
      <c r="O57">
        <v>-0.21678321678321599</v>
      </c>
      <c r="P57">
        <v>-0.184</v>
      </c>
      <c r="Q57">
        <v>-0.23684210526315699</v>
      </c>
      <c r="R57">
        <v>8.8235294117646995E-2</v>
      </c>
      <c r="S57">
        <v>7.69230769230769E-2</v>
      </c>
    </row>
    <row r="58" spans="1:23" x14ac:dyDescent="0.25">
      <c r="A58" t="str">
        <f>"Game" &amp; (ROW(A58) - 1)/3  + 1</f>
        <v>Game20</v>
      </c>
    </row>
    <row r="59" spans="1:23" x14ac:dyDescent="0.25">
      <c r="B59" t="s">
        <v>4</v>
      </c>
      <c r="C59">
        <v>0.27027027027027001</v>
      </c>
      <c r="D59">
        <v>6.3063063063063002E-2</v>
      </c>
      <c r="E59">
        <v>6.5868263473053898E-2</v>
      </c>
      <c r="F59">
        <v>4.8048048048047999E-2</v>
      </c>
      <c r="G59">
        <v>7.2261072261072201E-2</v>
      </c>
      <c r="H59">
        <v>3.2000000000000001E-2</v>
      </c>
      <c r="I59">
        <v>8.5106382978723402E-2</v>
      </c>
      <c r="J59">
        <v>-3.2634032634032598E-2</v>
      </c>
      <c r="K59">
        <v>2.7972027972027899E-2</v>
      </c>
      <c r="L59">
        <v>4.7904191616766401E-2</v>
      </c>
      <c r="M59">
        <v>4.5999999999999999E-2</v>
      </c>
      <c r="N59">
        <v>4.5333333333333302E-2</v>
      </c>
      <c r="O59">
        <v>3.9039039039038999E-2</v>
      </c>
      <c r="P59">
        <v>4.3999999999999997E-2</v>
      </c>
      <c r="Q59">
        <v>0.12903225806451599</v>
      </c>
      <c r="R59">
        <v>7.0000000000000007E-2</v>
      </c>
      <c r="S59">
        <v>6.4000000000000001E-2</v>
      </c>
      <c r="T59">
        <v>5.83333333333333E-2</v>
      </c>
      <c r="U59">
        <v>4.8128342245989303E-2</v>
      </c>
      <c r="V59">
        <v>0</v>
      </c>
      <c r="W59">
        <v>0</v>
      </c>
    </row>
    <row r="60" spans="1:23" x14ac:dyDescent="0.25">
      <c r="B60" t="s">
        <v>7</v>
      </c>
      <c r="C60">
        <v>-2.39520958083832E-2</v>
      </c>
      <c r="D60">
        <v>-1.49700598802395E-2</v>
      </c>
      <c r="E60">
        <v>2.6666666666666601E-3</v>
      </c>
      <c r="F60">
        <v>2.1333333333333301E-2</v>
      </c>
      <c r="G60">
        <v>-1.6E-2</v>
      </c>
      <c r="H60">
        <v>0.1002331002331</v>
      </c>
      <c r="I60">
        <v>0.12266666666666599</v>
      </c>
      <c r="J60">
        <v>2.4E-2</v>
      </c>
      <c r="K60">
        <v>2.5641025641025599E-2</v>
      </c>
      <c r="L60">
        <v>7.3999999999999996E-2</v>
      </c>
      <c r="M60">
        <v>-2.94117647058823E-2</v>
      </c>
      <c r="N60">
        <v>-7.00934579439252E-2</v>
      </c>
      <c r="O60">
        <v>-3.4666666666666603E-2</v>
      </c>
      <c r="P60">
        <v>0.151898734177215</v>
      </c>
      <c r="Q60">
        <v>8.2474226804123696E-2</v>
      </c>
      <c r="R60">
        <v>-1.2E-2</v>
      </c>
      <c r="S60">
        <v>-8.8578088578088507E-2</v>
      </c>
      <c r="T60">
        <v>-5.6000000000000001E-2</v>
      </c>
      <c r="U60">
        <v>0.03</v>
      </c>
      <c r="V60">
        <v>0</v>
      </c>
    </row>
    <row r="61" spans="1:23" x14ac:dyDescent="0.25">
      <c r="A61" t="str">
        <f>"Game" &amp; (ROW(A61) - 1)/3  + 1</f>
        <v>Game21</v>
      </c>
    </row>
    <row r="62" spans="1:23" x14ac:dyDescent="0.25">
      <c r="B62" t="s">
        <v>7</v>
      </c>
      <c r="C62">
        <v>0.18918918918918901</v>
      </c>
      <c r="D62">
        <v>7.2072072072072002E-2</v>
      </c>
      <c r="E62">
        <v>2.7027027027027001E-2</v>
      </c>
      <c r="F62">
        <v>4.8048048048047999E-2</v>
      </c>
      <c r="G62">
        <v>0.10199999999999999</v>
      </c>
      <c r="H62">
        <v>6.4000000000000001E-2</v>
      </c>
      <c r="I62">
        <v>0.17523364485981299</v>
      </c>
      <c r="J62">
        <v>0.174174174174174</v>
      </c>
      <c r="K62">
        <v>0.188811188811188</v>
      </c>
      <c r="L62">
        <v>0.48076923076923</v>
      </c>
      <c r="M62">
        <v>0.56287425149700598</v>
      </c>
      <c r="N62">
        <v>0.53600000000000003</v>
      </c>
      <c r="O62">
        <v>0.52803738317756999</v>
      </c>
      <c r="P62">
        <v>0.76623376623376604</v>
      </c>
      <c r="Q62">
        <v>0.52336448598130803</v>
      </c>
      <c r="R62">
        <v>0.38144329896907198</v>
      </c>
      <c r="S62">
        <v>1</v>
      </c>
    </row>
    <row r="63" spans="1:23" x14ac:dyDescent="0.25">
      <c r="B63" t="s">
        <v>4</v>
      </c>
      <c r="C63">
        <v>6.0060060060059999E-3</v>
      </c>
      <c r="D63">
        <v>4.8000000000000001E-2</v>
      </c>
      <c r="E63">
        <v>5.3738317757009303E-2</v>
      </c>
      <c r="F63">
        <v>6.0060060060059999E-3</v>
      </c>
      <c r="G63">
        <v>-5.9880239520958001E-3</v>
      </c>
      <c r="H63">
        <v>-1.06666666666666E-2</v>
      </c>
      <c r="I63">
        <v>-0.12</v>
      </c>
      <c r="J63">
        <v>-9.6000000000000002E-2</v>
      </c>
      <c r="K63">
        <v>-0.08</v>
      </c>
      <c r="L63">
        <v>-0.51733333333333298</v>
      </c>
      <c r="M63">
        <v>-0.477855477855477</v>
      </c>
      <c r="N63">
        <v>-0.45967741935483802</v>
      </c>
      <c r="O63">
        <v>-0.49</v>
      </c>
      <c r="P63">
        <v>-0.496</v>
      </c>
      <c r="Q63">
        <v>-0.29166666666666602</v>
      </c>
      <c r="R63">
        <v>0.2</v>
      </c>
    </row>
    <row r="64" spans="1:23" x14ac:dyDescent="0.25">
      <c r="A64" t="str">
        <f>"Game" &amp; (ROW(A64) - 1)/3  + 1</f>
        <v>Game22</v>
      </c>
    </row>
    <row r="65" spans="1:27" x14ac:dyDescent="0.25">
      <c r="B65" t="s">
        <v>4</v>
      </c>
      <c r="C65">
        <v>0.29729729729729698</v>
      </c>
      <c r="D65">
        <v>5.6886227544910101E-2</v>
      </c>
      <c r="E65">
        <v>6.9333333333333302E-2</v>
      </c>
      <c r="F65">
        <v>4.5333333333333302E-2</v>
      </c>
      <c r="G65">
        <v>6.5868263473053898E-2</v>
      </c>
      <c r="H65">
        <v>6.9333333333333302E-2</v>
      </c>
      <c r="I65">
        <v>4.8048048048047999E-2</v>
      </c>
      <c r="J65">
        <v>6.4000000000000001E-2</v>
      </c>
      <c r="K65">
        <v>6.4000000000000001E-2</v>
      </c>
      <c r="L65">
        <v>7.2261072261072201E-2</v>
      </c>
      <c r="M65">
        <v>5.6000000000000001E-2</v>
      </c>
      <c r="N65">
        <v>4.3999999999999997E-2</v>
      </c>
      <c r="O65">
        <v>6.9930069930069894E-2</v>
      </c>
      <c r="P65">
        <v>2.4E-2</v>
      </c>
      <c r="Q65">
        <v>-3.73831775700934E-2</v>
      </c>
      <c r="R65">
        <v>6.5000000000000002E-2</v>
      </c>
      <c r="S65">
        <v>8.5714285714285701E-2</v>
      </c>
      <c r="T65">
        <v>-7.2429906542056E-2</v>
      </c>
      <c r="U65">
        <v>-0.31166666666666598</v>
      </c>
      <c r="V65">
        <v>-6.6666666666666596E-2</v>
      </c>
      <c r="W65">
        <v>9.8666666666666597E-2</v>
      </c>
    </row>
    <row r="66" spans="1:27" x14ac:dyDescent="0.25">
      <c r="B66" t="s">
        <v>7</v>
      </c>
      <c r="C66">
        <v>-5.3892215568862201E-2</v>
      </c>
      <c r="D66">
        <v>-6.0060060060059999E-3</v>
      </c>
      <c r="E66">
        <v>-0.116766467065868</v>
      </c>
      <c r="F66">
        <v>-2.10280373831775E-2</v>
      </c>
      <c r="G66">
        <v>0</v>
      </c>
      <c r="H66">
        <v>-0.123543123543123</v>
      </c>
      <c r="I66">
        <v>-6.6666666666666596E-2</v>
      </c>
      <c r="J66">
        <v>-6.9930069930069894E-2</v>
      </c>
      <c r="K66">
        <v>-3.9039039039038999E-2</v>
      </c>
      <c r="L66">
        <v>-3.9719626168224297E-2</v>
      </c>
      <c r="M66">
        <v>2.6666666666666599E-2</v>
      </c>
      <c r="N66">
        <v>0</v>
      </c>
      <c r="O66">
        <v>7.5999999999999998E-2</v>
      </c>
      <c r="P66">
        <v>0.15</v>
      </c>
      <c r="Q66">
        <v>4.8000000000000001E-2</v>
      </c>
      <c r="R66">
        <v>9.5571095571095499E-2</v>
      </c>
      <c r="S66">
        <v>0.11111111111111099</v>
      </c>
      <c r="T66">
        <v>0.52800000000000002</v>
      </c>
      <c r="U66">
        <v>0.46833333333333299</v>
      </c>
      <c r="V66">
        <v>0.33566433566433501</v>
      </c>
      <c r="W66">
        <v>1</v>
      </c>
    </row>
    <row r="67" spans="1:27" x14ac:dyDescent="0.25">
      <c r="A67" t="str">
        <f>"Game" &amp; (ROW(A67) - 1)/3  + 1</f>
        <v>Game23</v>
      </c>
    </row>
    <row r="68" spans="1:27" x14ac:dyDescent="0.25">
      <c r="B68" t="s">
        <v>7</v>
      </c>
      <c r="C68">
        <v>0.162162162162162</v>
      </c>
      <c r="D68">
        <v>-2.9940119760479E-3</v>
      </c>
      <c r="E68">
        <v>-6.9069069069068997E-2</v>
      </c>
      <c r="F68">
        <v>-3.3033033033033003E-2</v>
      </c>
      <c r="G68">
        <v>-8.0000000000000002E-3</v>
      </c>
      <c r="H68">
        <v>-7.8078078078077998E-2</v>
      </c>
      <c r="I68">
        <v>-2.1333333333333301E-2</v>
      </c>
      <c r="J68">
        <v>-2.9333333333333302E-2</v>
      </c>
      <c r="K68">
        <v>-5.8411214953271E-2</v>
      </c>
      <c r="L68">
        <v>5.6000000000000001E-2</v>
      </c>
      <c r="M68">
        <v>-4.5333333333333302E-2</v>
      </c>
      <c r="N68">
        <v>8.7999999999999995E-2</v>
      </c>
      <c r="O68">
        <v>7.7333333333333296E-2</v>
      </c>
      <c r="P68">
        <v>0.138333333333333</v>
      </c>
      <c r="Q68">
        <v>3.03738317757009E-2</v>
      </c>
      <c r="R68">
        <v>-3.7037037037037E-2</v>
      </c>
      <c r="S68">
        <v>-0.23831775700934499</v>
      </c>
      <c r="T68">
        <v>-7.5999999999999998E-2</v>
      </c>
      <c r="U68">
        <v>-0.03</v>
      </c>
      <c r="V68">
        <v>5.0847457627118599E-2</v>
      </c>
      <c r="W68">
        <v>1</v>
      </c>
    </row>
    <row r="69" spans="1:27" x14ac:dyDescent="0.25">
      <c r="B69" t="s">
        <v>4</v>
      </c>
      <c r="C69">
        <v>1.5015015015014999E-2</v>
      </c>
      <c r="D69">
        <v>4.5333333333333302E-2</v>
      </c>
      <c r="E69">
        <v>3.59281437125748E-2</v>
      </c>
      <c r="F69">
        <v>4.2666666666666603E-2</v>
      </c>
      <c r="G69">
        <v>4.7904191616766401E-2</v>
      </c>
      <c r="H69">
        <v>5.6886227544910101E-2</v>
      </c>
      <c r="I69">
        <v>7.2429906542056E-2</v>
      </c>
      <c r="J69">
        <v>6.9333333333333302E-2</v>
      </c>
      <c r="K69">
        <v>5.8411214953271E-2</v>
      </c>
      <c r="L69">
        <v>1.6317016317016299E-2</v>
      </c>
      <c r="M69">
        <v>5.8275058275058203E-2</v>
      </c>
      <c r="N69">
        <v>-4.8000000000000001E-2</v>
      </c>
      <c r="O69">
        <v>-0.08</v>
      </c>
      <c r="P69">
        <v>-7.3999999999999996E-2</v>
      </c>
      <c r="Q69">
        <v>7.5949367088607597E-2</v>
      </c>
      <c r="R69">
        <v>9.6666666666666595E-2</v>
      </c>
      <c r="S69">
        <v>0.03</v>
      </c>
      <c r="T69">
        <v>4.5999999999999999E-2</v>
      </c>
      <c r="U69">
        <v>0.115</v>
      </c>
      <c r="V69">
        <v>5.31914893617021E-2</v>
      </c>
    </row>
    <row r="70" spans="1:27" x14ac:dyDescent="0.25">
      <c r="A70" t="str">
        <f>"Game" &amp; (ROW(A70) - 1)/3  + 1</f>
        <v>Game24</v>
      </c>
    </row>
    <row r="71" spans="1:27" x14ac:dyDescent="0.25">
      <c r="B71" t="s">
        <v>4</v>
      </c>
      <c r="C71">
        <v>0.27027027027027001</v>
      </c>
      <c r="D71">
        <v>9.0090090090090003E-2</v>
      </c>
      <c r="E71">
        <v>6.4000000000000001E-2</v>
      </c>
      <c r="F71">
        <v>9.8802395209580798E-2</v>
      </c>
      <c r="G71">
        <v>7.7844311377245498E-2</v>
      </c>
      <c r="H71">
        <v>6.4000000000000001E-2</v>
      </c>
      <c r="I71">
        <v>6.8862275449101798E-2</v>
      </c>
      <c r="J71">
        <v>4.90654205607476E-2</v>
      </c>
      <c r="K71">
        <v>4.7904191616766401E-2</v>
      </c>
      <c r="L71">
        <v>3.4666666666666603E-2</v>
      </c>
      <c r="M71">
        <v>7.4666666666666603E-2</v>
      </c>
      <c r="N71">
        <v>6.5420560747663503E-2</v>
      </c>
      <c r="O71">
        <v>4.8000000000000001E-2</v>
      </c>
      <c r="P71">
        <v>0.1</v>
      </c>
      <c r="Q71">
        <v>-2.09790209790209E-2</v>
      </c>
      <c r="R71">
        <v>-7.2429906542056E-2</v>
      </c>
      <c r="S71">
        <v>3.4090909090908998E-2</v>
      </c>
      <c r="T71">
        <v>5.4054054054054002E-2</v>
      </c>
      <c r="U71">
        <v>6.4000000000000001E-2</v>
      </c>
      <c r="V71">
        <v>0.20886075949367</v>
      </c>
      <c r="W71">
        <v>7.0000000000000007E-2</v>
      </c>
    </row>
    <row r="72" spans="1:27" x14ac:dyDescent="0.25">
      <c r="B72" t="s">
        <v>7</v>
      </c>
      <c r="C72">
        <v>7.4850299401197598E-2</v>
      </c>
      <c r="D72">
        <v>5.9880239520958001E-3</v>
      </c>
      <c r="E72">
        <v>6.1333333333333302E-2</v>
      </c>
      <c r="F72">
        <v>5.0666666666666603E-2</v>
      </c>
      <c r="G72">
        <v>0</v>
      </c>
      <c r="H72">
        <v>-3.3033033033033003E-2</v>
      </c>
      <c r="I72">
        <v>-2.6666666666666601E-3</v>
      </c>
      <c r="J72">
        <v>8.7999999999999995E-2</v>
      </c>
      <c r="K72">
        <v>0.109557109557109</v>
      </c>
      <c r="L72">
        <v>3.2000000000000001E-2</v>
      </c>
      <c r="M72">
        <v>-1.3333333333333299E-2</v>
      </c>
      <c r="N72">
        <v>-4.90654205607476E-2</v>
      </c>
      <c r="O72">
        <v>4.8951048951048903E-2</v>
      </c>
      <c r="P72">
        <v>0.19</v>
      </c>
      <c r="Q72">
        <v>0.20799999999999999</v>
      </c>
      <c r="R72">
        <v>9.7902097902097904E-2</v>
      </c>
      <c r="S72">
        <v>-5.4945054945054903E-2</v>
      </c>
      <c r="T72">
        <v>-5.3333333333333302E-2</v>
      </c>
      <c r="U72">
        <v>0.35</v>
      </c>
      <c r="V72">
        <v>-0.117021276595744</v>
      </c>
      <c r="W72">
        <v>1</v>
      </c>
    </row>
    <row r="73" spans="1:27" x14ac:dyDescent="0.25">
      <c r="A73" t="str">
        <f>"Game" &amp; (ROW(A73) - 1)/3  + 1</f>
        <v>Game25</v>
      </c>
    </row>
    <row r="74" spans="1:27" x14ac:dyDescent="0.25">
      <c r="B74" t="s">
        <v>7</v>
      </c>
      <c r="C74">
        <v>-0.108108108108108</v>
      </c>
      <c r="D74">
        <v>-1.2012012012012E-2</v>
      </c>
      <c r="E74">
        <v>0.15466666666666601</v>
      </c>
      <c r="F74">
        <v>6.9333333333333302E-2</v>
      </c>
      <c r="G74">
        <v>-3.03030303030303E-2</v>
      </c>
      <c r="H74">
        <v>6.1333333333333302E-2</v>
      </c>
      <c r="I74">
        <v>3.29341317365269E-2</v>
      </c>
      <c r="J74">
        <v>-2.4E-2</v>
      </c>
      <c r="K74">
        <v>-3.0030030030029999E-2</v>
      </c>
      <c r="L74">
        <v>1.6317016317016299E-2</v>
      </c>
      <c r="M74">
        <v>-0.109333333333333</v>
      </c>
      <c r="N74">
        <v>-0.128504672897196</v>
      </c>
      <c r="O74">
        <v>-0.02</v>
      </c>
      <c r="P74">
        <v>-5.3613053613053602E-2</v>
      </c>
      <c r="Q74">
        <v>-4.8951048951048903E-2</v>
      </c>
      <c r="R74">
        <v>0</v>
      </c>
      <c r="S74">
        <v>1.4999999999999999E-2</v>
      </c>
      <c r="T74">
        <v>0.19587628865979301</v>
      </c>
      <c r="U74">
        <v>1</v>
      </c>
    </row>
    <row r="75" spans="1:27" x14ac:dyDescent="0.25">
      <c r="B75" t="s">
        <v>4</v>
      </c>
      <c r="C75">
        <v>3.9039039039038999E-2</v>
      </c>
      <c r="D75">
        <v>9.0090090090090003E-3</v>
      </c>
      <c r="E75">
        <v>3.9039039039038999E-2</v>
      </c>
      <c r="F75">
        <v>-1.4018691588785E-2</v>
      </c>
      <c r="G75">
        <v>5.7057057057056999E-2</v>
      </c>
      <c r="H75">
        <v>1.06666666666666E-2</v>
      </c>
      <c r="I75">
        <v>2.1333333333333301E-2</v>
      </c>
      <c r="J75">
        <v>0.06</v>
      </c>
      <c r="K75">
        <v>7.7333333333333296E-2</v>
      </c>
      <c r="L75">
        <v>6.7757009345794303E-2</v>
      </c>
      <c r="M75">
        <v>6.6666666666666596E-2</v>
      </c>
      <c r="N75">
        <v>6.8000000000000005E-2</v>
      </c>
      <c r="O75">
        <v>5.1401869158878503E-2</v>
      </c>
      <c r="P75">
        <v>7.8E-2</v>
      </c>
      <c r="Q75">
        <v>4.1666666666666602E-2</v>
      </c>
      <c r="R75">
        <v>9.4E-2</v>
      </c>
      <c r="S75">
        <v>8.5000000000000006E-2</v>
      </c>
      <c r="T75">
        <v>0.18</v>
      </c>
    </row>
    <row r="76" spans="1:27" x14ac:dyDescent="0.25">
      <c r="A76" t="str">
        <f>"Game" &amp; (ROW(A76) - 1)/3  + 1</f>
        <v>Game26</v>
      </c>
    </row>
    <row r="77" spans="1:27" x14ac:dyDescent="0.25">
      <c r="B77" t="s">
        <v>4</v>
      </c>
      <c r="C77">
        <v>0.27027027027027001</v>
      </c>
      <c r="D77">
        <v>7.1999999999999995E-2</v>
      </c>
      <c r="E77">
        <v>3.9719626168224297E-2</v>
      </c>
      <c r="F77">
        <v>6.9069069069068997E-2</v>
      </c>
      <c r="G77">
        <v>3.29341317365269E-2</v>
      </c>
      <c r="H77">
        <v>2.1333333333333301E-2</v>
      </c>
      <c r="I77">
        <v>1.19760479041916E-2</v>
      </c>
      <c r="J77">
        <v>1.8666666666666599E-2</v>
      </c>
      <c r="K77">
        <v>-1.06666666666666E-2</v>
      </c>
      <c r="L77">
        <v>8.0000000000000002E-3</v>
      </c>
      <c r="M77">
        <v>1.6666666666666601E-2</v>
      </c>
      <c r="N77">
        <v>-3.50467289719626E-2</v>
      </c>
      <c r="O77">
        <v>-5.8000000000000003E-2</v>
      </c>
      <c r="P77">
        <v>1.6E-2</v>
      </c>
      <c r="Q77">
        <v>-2.5641025641025599E-2</v>
      </c>
      <c r="R77">
        <v>2.3255813953488299E-2</v>
      </c>
      <c r="S77">
        <v>7.5999999999999998E-2</v>
      </c>
    </row>
    <row r="78" spans="1:27" x14ac:dyDescent="0.25">
      <c r="B78" t="s">
        <v>7</v>
      </c>
      <c r="C78">
        <v>1.2012012012012E-2</v>
      </c>
      <c r="D78">
        <v>-4.8048048048047999E-2</v>
      </c>
      <c r="E78">
        <v>-4.8048048048047999E-2</v>
      </c>
      <c r="F78">
        <v>8.0000000000000002E-3</v>
      </c>
      <c r="G78">
        <v>6.4000000000000001E-2</v>
      </c>
      <c r="H78">
        <v>0.11111111111111099</v>
      </c>
      <c r="I78">
        <v>9.11214953271028E-2</v>
      </c>
      <c r="J78">
        <v>7.4766355140186896E-2</v>
      </c>
      <c r="K78">
        <v>3.7296037296037199E-2</v>
      </c>
      <c r="L78">
        <v>0</v>
      </c>
      <c r="M78">
        <v>0.109333333333333</v>
      </c>
      <c r="N78">
        <v>5.3613053613053602E-2</v>
      </c>
      <c r="O78">
        <v>9.6000000000000002E-2</v>
      </c>
      <c r="P78">
        <v>0.18</v>
      </c>
      <c r="Q78">
        <v>0.15887850467289699</v>
      </c>
      <c r="R78">
        <v>3.9039039039038999E-2</v>
      </c>
      <c r="S78">
        <v>1</v>
      </c>
    </row>
    <row r="79" spans="1:27" x14ac:dyDescent="0.25">
      <c r="A79" t="str">
        <f>"Game" &amp; (ROW(A79) - 1)/3  + 1</f>
        <v>Game27</v>
      </c>
    </row>
    <row r="80" spans="1:27" x14ac:dyDescent="0.25">
      <c r="B80" t="s">
        <v>7</v>
      </c>
      <c r="C80">
        <v>-0.135135135135135</v>
      </c>
      <c r="D80">
        <v>6.9069069069068997E-2</v>
      </c>
      <c r="E80">
        <v>8.0838323353293398E-2</v>
      </c>
      <c r="F80">
        <v>0.109333333333333</v>
      </c>
      <c r="G80">
        <v>0.128504672897196</v>
      </c>
      <c r="H80">
        <v>0.15733333333333299</v>
      </c>
      <c r="I80">
        <v>9.8666666666666597E-2</v>
      </c>
      <c r="J80">
        <v>9.6000000000000002E-2</v>
      </c>
      <c r="K80">
        <v>4.8048048048047999E-2</v>
      </c>
      <c r="L80">
        <v>-2.4E-2</v>
      </c>
      <c r="M80">
        <v>0</v>
      </c>
      <c r="N80">
        <v>-4.8951048951048903E-2</v>
      </c>
      <c r="O80">
        <v>4.4392523364485903E-2</v>
      </c>
      <c r="P80">
        <v>0.156</v>
      </c>
      <c r="Q80">
        <v>6.8000000000000005E-2</v>
      </c>
      <c r="R80">
        <v>-0.16783216783216701</v>
      </c>
      <c r="S80">
        <v>0.222</v>
      </c>
      <c r="T80">
        <v>-0.106</v>
      </c>
      <c r="U80">
        <v>-0.188</v>
      </c>
      <c r="V80">
        <v>-0.29599999999999999</v>
      </c>
      <c r="W80">
        <v>-0.253164556962025</v>
      </c>
      <c r="X80">
        <v>-0.105333333333333</v>
      </c>
      <c r="Y80">
        <v>0.32</v>
      </c>
      <c r="Z80">
        <v>0.60333333333333306</v>
      </c>
      <c r="AA80">
        <v>1</v>
      </c>
    </row>
    <row r="81" spans="1:26" x14ac:dyDescent="0.25">
      <c r="B81" t="s">
        <v>4</v>
      </c>
      <c r="C81">
        <v>1.5015015015014999E-2</v>
      </c>
      <c r="D81">
        <v>3.59281437125748E-2</v>
      </c>
      <c r="E81">
        <v>1.3333333333333299E-2</v>
      </c>
      <c r="F81">
        <v>-1.06666666666666E-2</v>
      </c>
      <c r="G81">
        <v>-2.1021021021020998E-2</v>
      </c>
      <c r="H81">
        <v>-1.8018018018018001E-2</v>
      </c>
      <c r="I81">
        <v>-5.3333333333333297E-3</v>
      </c>
      <c r="J81">
        <v>-5.3999999999999999E-2</v>
      </c>
      <c r="K81">
        <v>5.4054054054054002E-2</v>
      </c>
      <c r="L81">
        <v>5.6666666666666601E-2</v>
      </c>
      <c r="M81">
        <v>4.8951048951048903E-2</v>
      </c>
      <c r="N81">
        <v>3.4666666666666603E-2</v>
      </c>
      <c r="O81">
        <v>-2.6666666666666601E-3</v>
      </c>
      <c r="P81">
        <v>0</v>
      </c>
      <c r="Q81">
        <v>0.15833333333333299</v>
      </c>
      <c r="R81">
        <v>4.3956043956043897E-2</v>
      </c>
      <c r="S81">
        <v>0.170560747663551</v>
      </c>
      <c r="T81">
        <v>2.7972027972027899E-2</v>
      </c>
      <c r="U81">
        <v>4.4117647058823498E-2</v>
      </c>
      <c r="V81">
        <v>4.4999999999999998E-2</v>
      </c>
      <c r="W81">
        <v>3.59281437125748E-2</v>
      </c>
      <c r="X81">
        <v>-3.1E-2</v>
      </c>
      <c r="Y81">
        <v>-1.7999999999999999E-2</v>
      </c>
      <c r="Z81">
        <v>0.56799999999999995</v>
      </c>
    </row>
    <row r="82" spans="1:26" x14ac:dyDescent="0.25">
      <c r="A82" t="str">
        <f>"Game" &amp; (ROW(A82) - 1)/3  + 1</f>
        <v>Game28</v>
      </c>
    </row>
    <row r="83" spans="1:26" x14ac:dyDescent="0.25">
      <c r="B83" t="s">
        <v>4</v>
      </c>
      <c r="C83">
        <v>0.27027027027027001</v>
      </c>
      <c r="D83">
        <v>5.9880239520958001E-2</v>
      </c>
      <c r="E83">
        <v>7.2072072072072002E-2</v>
      </c>
      <c r="F83">
        <v>5.3738317757009303E-2</v>
      </c>
      <c r="G83">
        <v>6.0060060060059997E-2</v>
      </c>
      <c r="H83">
        <v>6.1333333333333302E-2</v>
      </c>
      <c r="I83">
        <v>5.1282051282051197E-2</v>
      </c>
      <c r="J83">
        <v>5.83333333333333E-2</v>
      </c>
      <c r="K83">
        <v>6.9333333333333302E-2</v>
      </c>
      <c r="L83">
        <v>9.6000000000000002E-2</v>
      </c>
      <c r="M83">
        <v>5.8666666666666603E-2</v>
      </c>
      <c r="N83">
        <v>3.2634032634032598E-2</v>
      </c>
      <c r="O83">
        <v>8.5999999999999993E-2</v>
      </c>
      <c r="P83">
        <v>3.7999999999999999E-2</v>
      </c>
      <c r="Q83">
        <v>8.2000000000000003E-2</v>
      </c>
      <c r="R83">
        <v>7.6666666666666605E-2</v>
      </c>
      <c r="S83">
        <v>2.6666666666666599E-2</v>
      </c>
      <c r="T83">
        <v>0.101333333333333</v>
      </c>
      <c r="U83">
        <v>0.04</v>
      </c>
      <c r="V83">
        <v>0.53600000000000003</v>
      </c>
    </row>
    <row r="84" spans="1:26" x14ac:dyDescent="0.25">
      <c r="B84" t="s">
        <v>7</v>
      </c>
      <c r="C84">
        <v>-6.3063063063063002E-2</v>
      </c>
      <c r="D84">
        <v>-5.3333333333333297E-3</v>
      </c>
      <c r="E84">
        <v>2.9940119760479E-3</v>
      </c>
      <c r="F84">
        <v>-0.12</v>
      </c>
      <c r="G84">
        <v>-6.6066066066066007E-2</v>
      </c>
      <c r="H84">
        <v>-7.8078078078077998E-2</v>
      </c>
      <c r="I84">
        <v>-7.0000000000000007E-2</v>
      </c>
      <c r="J84">
        <v>-2.6666666666666601E-3</v>
      </c>
      <c r="K84">
        <v>-4.5045045045045001E-2</v>
      </c>
      <c r="L84">
        <v>-0.116550116550116</v>
      </c>
      <c r="M84">
        <v>-0.116822429906542</v>
      </c>
      <c r="N84">
        <v>1.06666666666666E-2</v>
      </c>
      <c r="O84">
        <v>-0.135514018691588</v>
      </c>
      <c r="P84">
        <v>-8.0000000000000002E-3</v>
      </c>
      <c r="Q84">
        <v>5.1999999999999998E-2</v>
      </c>
      <c r="R84">
        <v>-0.14953271028037299</v>
      </c>
      <c r="S84">
        <v>-0.29599999999999999</v>
      </c>
      <c r="T84">
        <v>-5.31914893617021E-2</v>
      </c>
      <c r="U84">
        <v>-7.3999999999999996E-2</v>
      </c>
      <c r="V84">
        <v>1</v>
      </c>
    </row>
    <row r="85" spans="1:26" x14ac:dyDescent="0.25">
      <c r="A85" t="str">
        <f>"Game" &amp; (ROW(A85) - 1)/3  + 1</f>
        <v>Game29</v>
      </c>
    </row>
    <row r="86" spans="1:26" x14ac:dyDescent="0.25">
      <c r="B86" t="s">
        <v>7</v>
      </c>
      <c r="C86">
        <v>2.7027027027027001E-2</v>
      </c>
      <c r="D86">
        <v>0.04</v>
      </c>
      <c r="E86">
        <v>5.3892215568862201E-2</v>
      </c>
      <c r="F86">
        <v>-2.4024024024024E-2</v>
      </c>
      <c r="G86">
        <v>8.0838323353293398E-2</v>
      </c>
      <c r="H86">
        <v>4.1916167664670601E-2</v>
      </c>
      <c r="I86">
        <v>1.4018691588785E-2</v>
      </c>
      <c r="J86">
        <v>-1.3986013986013899E-2</v>
      </c>
      <c r="K86">
        <v>5.8666666666666603E-2</v>
      </c>
      <c r="L86">
        <v>-1.5015015015014999E-2</v>
      </c>
      <c r="M86">
        <v>-8.4000000000000005E-2</v>
      </c>
      <c r="N86">
        <v>8.8578088578088507E-2</v>
      </c>
      <c r="O86">
        <v>-6.2E-2</v>
      </c>
      <c r="P86">
        <v>-4.5333333333333302E-2</v>
      </c>
      <c r="Q86">
        <v>4.4999999999999998E-2</v>
      </c>
      <c r="R86">
        <v>0.103333333333333</v>
      </c>
      <c r="S86">
        <v>0.133333333333333</v>
      </c>
      <c r="T86">
        <v>0.34285714285714203</v>
      </c>
      <c r="U86">
        <v>0.17333333333333301</v>
      </c>
      <c r="V86">
        <v>0.46</v>
      </c>
      <c r="W86">
        <v>0.53846153846153799</v>
      </c>
      <c r="X86">
        <v>1</v>
      </c>
    </row>
    <row r="87" spans="1:26" x14ac:dyDescent="0.25">
      <c r="B87" t="s">
        <v>4</v>
      </c>
      <c r="C87">
        <v>2.09580838323353E-2</v>
      </c>
      <c r="D87">
        <v>5.4054054054054002E-2</v>
      </c>
      <c r="E87">
        <v>1.06666666666666E-2</v>
      </c>
      <c r="F87">
        <v>3.7333333333333302E-2</v>
      </c>
      <c r="G87">
        <v>4.8048048048047999E-2</v>
      </c>
      <c r="H87">
        <v>5.3333333333333302E-2</v>
      </c>
      <c r="I87">
        <v>5.3333333333333302E-2</v>
      </c>
      <c r="J87">
        <v>4.2056074766355103E-2</v>
      </c>
      <c r="K87">
        <v>6.3084112149532703E-2</v>
      </c>
      <c r="L87">
        <v>3.7333333333333302E-2</v>
      </c>
      <c r="M87">
        <v>6.8000000000000005E-2</v>
      </c>
      <c r="N87">
        <v>3.2634032634032598E-2</v>
      </c>
      <c r="O87">
        <v>6.3333333333333297E-2</v>
      </c>
      <c r="P87">
        <v>5.8275058275058203E-2</v>
      </c>
      <c r="Q87">
        <v>7.0000000000000007E-2</v>
      </c>
      <c r="R87">
        <v>4.5999999999999999E-2</v>
      </c>
      <c r="S87">
        <v>0</v>
      </c>
      <c r="T87">
        <v>-2.8000000000000001E-2</v>
      </c>
      <c r="U87">
        <v>8.6021505376343996E-2</v>
      </c>
      <c r="V87">
        <v>-0.104</v>
      </c>
      <c r="W87">
        <v>-0.17016317016317001</v>
      </c>
    </row>
    <row r="88" spans="1:26" x14ac:dyDescent="0.25">
      <c r="A88" t="str">
        <f>"Game" &amp; (ROW(A88) - 1)/3  + 1</f>
        <v>Game30</v>
      </c>
    </row>
    <row r="89" spans="1:26" x14ac:dyDescent="0.25">
      <c r="B89" t="s">
        <v>4</v>
      </c>
      <c r="C89">
        <v>0.27027027027027001</v>
      </c>
      <c r="D89">
        <v>7.4850299401197598E-2</v>
      </c>
      <c r="E89">
        <v>6.4000000000000001E-2</v>
      </c>
      <c r="F89">
        <v>6.6066066066066007E-2</v>
      </c>
      <c r="G89">
        <v>5.7057057057056999E-2</v>
      </c>
      <c r="H89">
        <v>5.7057057057056999E-2</v>
      </c>
      <c r="I89">
        <v>3.7333333333333302E-2</v>
      </c>
      <c r="J89">
        <v>5.6074766355140103E-2</v>
      </c>
      <c r="K89">
        <v>5.7057057057056999E-2</v>
      </c>
      <c r="L89">
        <v>7.69230769230769E-2</v>
      </c>
      <c r="M89">
        <v>2.10280373831775E-2</v>
      </c>
      <c r="N89">
        <v>-1.4E-2</v>
      </c>
      <c r="O89">
        <v>7.1428571428571397E-2</v>
      </c>
      <c r="P89">
        <v>9.0666666666666604E-2</v>
      </c>
      <c r="Q89">
        <v>6.1333333333333302E-2</v>
      </c>
      <c r="R89">
        <v>0.121495327102803</v>
      </c>
      <c r="S89">
        <v>-4.6728971962616802E-3</v>
      </c>
      <c r="T89">
        <v>0.104</v>
      </c>
      <c r="U89">
        <v>3.6764705882352901E-2</v>
      </c>
      <c r="V89">
        <v>0</v>
      </c>
      <c r="W89">
        <v>5.3333333333333302E-2</v>
      </c>
      <c r="X89">
        <v>3.7037037037037E-2</v>
      </c>
    </row>
    <row r="90" spans="1:26" x14ac:dyDescent="0.25">
      <c r="B90" t="s">
        <v>7</v>
      </c>
      <c r="C90">
        <v>2.4024024024024E-2</v>
      </c>
      <c r="D90">
        <v>-7.4850299401197598E-2</v>
      </c>
      <c r="E90">
        <v>-3.0030030030029999E-2</v>
      </c>
      <c r="F90">
        <v>-4.2666666666666603E-2</v>
      </c>
      <c r="G90">
        <v>-9.8666666666666597E-2</v>
      </c>
      <c r="H90">
        <v>-0.15733333333333299</v>
      </c>
      <c r="I90">
        <v>-4.1958041958041897E-2</v>
      </c>
      <c r="J90">
        <v>3.4666666666666603E-2</v>
      </c>
      <c r="K90">
        <v>5.8000000000000003E-2</v>
      </c>
      <c r="L90">
        <v>0.13600000000000001</v>
      </c>
      <c r="M90">
        <v>0.21199999999999999</v>
      </c>
      <c r="N90">
        <v>-3.2258064516128997E-2</v>
      </c>
      <c r="O90">
        <v>2.1666666666666601E-2</v>
      </c>
      <c r="P90">
        <v>-3.03030303030303E-2</v>
      </c>
      <c r="Q90">
        <v>0.14606741573033699</v>
      </c>
      <c r="R90">
        <v>0.184579439252336</v>
      </c>
      <c r="S90">
        <v>0.20200000000000001</v>
      </c>
      <c r="T90">
        <v>-0.16600000000000001</v>
      </c>
      <c r="U90">
        <v>-0.20979020979020899</v>
      </c>
      <c r="V90">
        <v>0.31135531135531103</v>
      </c>
      <c r="W90">
        <v>0.51466666666666605</v>
      </c>
      <c r="X90">
        <v>1</v>
      </c>
    </row>
    <row r="91" spans="1:26" x14ac:dyDescent="0.25">
      <c r="A91" t="str">
        <f>"Game" &amp; (ROW(A91) - 1)/3  + 1</f>
        <v>Game31</v>
      </c>
    </row>
    <row r="92" spans="1:26" x14ac:dyDescent="0.25">
      <c r="B92" t="s">
        <v>7</v>
      </c>
      <c r="C92">
        <v>-2.7027027027027001E-2</v>
      </c>
      <c r="D92">
        <v>1.5015015015014999E-2</v>
      </c>
      <c r="E92">
        <v>1.2012012012012E-2</v>
      </c>
      <c r="F92">
        <v>9.6000000000000002E-2</v>
      </c>
      <c r="G92">
        <v>9.0090090090090003E-2</v>
      </c>
      <c r="H92">
        <v>-3.3033033033033003E-2</v>
      </c>
      <c r="I92">
        <v>-1.86915887850467E-2</v>
      </c>
      <c r="J92">
        <v>2.6666666666666599E-2</v>
      </c>
      <c r="K92">
        <v>-8.1585081585081501E-2</v>
      </c>
      <c r="L92">
        <v>0.02</v>
      </c>
      <c r="M92">
        <v>-7.2072072072072002E-2</v>
      </c>
      <c r="N92">
        <v>2.8000000000000001E-2</v>
      </c>
      <c r="O92">
        <v>-5.0898203592814301E-2</v>
      </c>
      <c r="P92">
        <v>-4.8000000000000001E-2</v>
      </c>
      <c r="Q92">
        <v>-6.2E-2</v>
      </c>
      <c r="R92">
        <v>-1.06666666666666E-2</v>
      </c>
      <c r="S92">
        <v>1.33333333333333E-3</v>
      </c>
      <c r="T92">
        <v>0.13666666666666599</v>
      </c>
      <c r="U92">
        <v>0.19400000000000001</v>
      </c>
      <c r="V92">
        <v>0.28799999999999998</v>
      </c>
      <c r="W92">
        <v>-0.15384615384615299</v>
      </c>
      <c r="X92">
        <v>-0.10126582278481</v>
      </c>
      <c r="Y92">
        <v>1</v>
      </c>
    </row>
    <row r="93" spans="1:26" x14ac:dyDescent="0.25">
      <c r="B93" t="s">
        <v>4</v>
      </c>
      <c r="C93">
        <v>6.4000000000000001E-2</v>
      </c>
      <c r="D93">
        <v>6.2874251497005901E-2</v>
      </c>
      <c r="E93">
        <v>-1.4018691588785E-2</v>
      </c>
      <c r="F93">
        <v>4.3999999999999997E-2</v>
      </c>
      <c r="G93">
        <v>8.1081081081081002E-2</v>
      </c>
      <c r="H93">
        <v>6.4000000000000001E-2</v>
      </c>
      <c r="I93">
        <v>0.03</v>
      </c>
      <c r="J93">
        <v>5.3333333333333302E-2</v>
      </c>
      <c r="K93">
        <v>7.2429906542056E-2</v>
      </c>
      <c r="L93">
        <v>6.07476635514018E-2</v>
      </c>
      <c r="M93">
        <v>4.5333333333333302E-2</v>
      </c>
      <c r="N93">
        <v>1.8648018648018599E-2</v>
      </c>
      <c r="O93">
        <v>5.3333333333333302E-2</v>
      </c>
      <c r="P93">
        <v>3.9627039627039597E-2</v>
      </c>
      <c r="Q93">
        <v>9.6666666666666595E-2</v>
      </c>
      <c r="R93">
        <v>7.00934579439252E-2</v>
      </c>
      <c r="S93">
        <v>5.3333333333333297E-3</v>
      </c>
      <c r="T93">
        <v>5.3333333333333297E-3</v>
      </c>
      <c r="U93">
        <v>0.14772727272727201</v>
      </c>
      <c r="V93">
        <v>-1.9230769230769201E-2</v>
      </c>
      <c r="W93">
        <v>3.3333333333333298E-2</v>
      </c>
      <c r="X93">
        <v>-6.3333333333333297E-2</v>
      </c>
    </row>
    <row r="94" spans="1:26" x14ac:dyDescent="0.25">
      <c r="A94" t="str">
        <f>"Game" &amp; (ROW(A94) - 1)/3  + 1</f>
        <v>Game32</v>
      </c>
    </row>
    <row r="95" spans="1:26" x14ac:dyDescent="0.25">
      <c r="B95" t="s">
        <v>4</v>
      </c>
      <c r="C95">
        <v>0.27027027027027001</v>
      </c>
      <c r="D95">
        <v>6.3063063063063002E-2</v>
      </c>
      <c r="E95">
        <v>6.9333333333333302E-2</v>
      </c>
      <c r="F95">
        <v>9.0090090090090003E-2</v>
      </c>
      <c r="G95">
        <v>5.0666666666666603E-2</v>
      </c>
      <c r="H95">
        <v>4.5333333333333302E-2</v>
      </c>
      <c r="I95">
        <v>3.9039039039038999E-2</v>
      </c>
      <c r="J95">
        <v>4.6620046620046603E-2</v>
      </c>
      <c r="K95">
        <v>6.6666666666666596E-2</v>
      </c>
      <c r="L95">
        <v>4.1958041958041897E-2</v>
      </c>
      <c r="M95">
        <v>-0.14219114219114201</v>
      </c>
      <c r="N95">
        <v>-0.14199999999999999</v>
      </c>
      <c r="O95">
        <v>-0.228228228228228</v>
      </c>
      <c r="P95">
        <v>0.10958904109589</v>
      </c>
      <c r="Q95">
        <v>-7.4766355140186896E-2</v>
      </c>
      <c r="R95">
        <v>-4.3999999999999997E-2</v>
      </c>
      <c r="S95">
        <v>0.05</v>
      </c>
      <c r="T95">
        <v>3.5999999999999997E-2</v>
      </c>
      <c r="U95">
        <v>9.5588235294117599E-2</v>
      </c>
      <c r="V95">
        <v>-8.1333333333333299E-2</v>
      </c>
      <c r="W95">
        <v>5.5147058823529403E-2</v>
      </c>
    </row>
    <row r="96" spans="1:26" x14ac:dyDescent="0.25">
      <c r="B96" t="s">
        <v>7</v>
      </c>
      <c r="C96">
        <v>-5.6886227544910101E-2</v>
      </c>
      <c r="D96">
        <v>0</v>
      </c>
      <c r="E96">
        <v>-5.3892215568862201E-2</v>
      </c>
      <c r="F96">
        <v>-0.11377245508981999</v>
      </c>
      <c r="G96">
        <v>-0.10280373831775701</v>
      </c>
      <c r="H96">
        <v>-0.12266666666666599</v>
      </c>
      <c r="I96">
        <v>-0.12266666666666599</v>
      </c>
      <c r="J96">
        <v>-0.12266666666666599</v>
      </c>
      <c r="K96">
        <v>-0.10199999999999999</v>
      </c>
      <c r="L96">
        <v>0.20499999999999999</v>
      </c>
      <c r="M96">
        <v>0.23543123543123501</v>
      </c>
      <c r="N96">
        <v>0.24590163934426201</v>
      </c>
      <c r="O96">
        <v>0.29205607476635498</v>
      </c>
      <c r="P96">
        <v>9.3333333333333296E-2</v>
      </c>
      <c r="Q96">
        <v>0.13986013986013901</v>
      </c>
      <c r="R96">
        <v>3.2000000000000001E-2</v>
      </c>
      <c r="S96">
        <v>2.09790209790209E-2</v>
      </c>
      <c r="T96">
        <v>0.138333333333333</v>
      </c>
      <c r="U96">
        <v>0.27272727272727199</v>
      </c>
      <c r="V96">
        <v>0.248</v>
      </c>
      <c r="W96">
        <v>1</v>
      </c>
    </row>
    <row r="97" spans="1:26" x14ac:dyDescent="0.25">
      <c r="A97" t="str">
        <f>"Game" &amp; (ROW(A97) - 1)/3  + 1</f>
        <v>Game33</v>
      </c>
    </row>
    <row r="98" spans="1:26" x14ac:dyDescent="0.25">
      <c r="B98" t="s">
        <v>7</v>
      </c>
      <c r="C98">
        <v>2.7027027027027001E-2</v>
      </c>
      <c r="D98">
        <v>5.3892215568862201E-2</v>
      </c>
      <c r="E98">
        <v>1.8666666666666599E-2</v>
      </c>
      <c r="F98">
        <v>-4.7904191616766401E-2</v>
      </c>
      <c r="G98">
        <v>1.06666666666666E-2</v>
      </c>
      <c r="H98">
        <v>0.154205607476635</v>
      </c>
      <c r="I98">
        <v>9.3093093093092993E-2</v>
      </c>
      <c r="J98">
        <v>-9.8000000000000004E-2</v>
      </c>
      <c r="K98">
        <v>-0.09</v>
      </c>
      <c r="L98">
        <v>-0.14933333333333301</v>
      </c>
      <c r="M98">
        <v>8.4112149532710206E-2</v>
      </c>
      <c r="N98">
        <v>2.6666666666666601E-3</v>
      </c>
      <c r="O98">
        <v>0.08</v>
      </c>
      <c r="P98">
        <v>-2.1999999999999999E-2</v>
      </c>
      <c r="Q98">
        <v>0.155</v>
      </c>
      <c r="R98">
        <v>8.4112149532710206E-2</v>
      </c>
      <c r="S98">
        <v>-8.3333333333333297E-3</v>
      </c>
      <c r="T98">
        <v>-4.0000000000000001E-3</v>
      </c>
      <c r="U98">
        <v>0.04</v>
      </c>
      <c r="V98">
        <v>2.6666666666666599E-2</v>
      </c>
      <c r="W98">
        <v>0.08</v>
      </c>
      <c r="X98">
        <v>0.28915662650602397</v>
      </c>
      <c r="Y98">
        <v>0.73599999999999999</v>
      </c>
      <c r="Z98">
        <v>1</v>
      </c>
    </row>
    <row r="99" spans="1:26" x14ac:dyDescent="0.25">
      <c r="B99" t="s">
        <v>4</v>
      </c>
      <c r="C99">
        <v>6.0060060060059999E-3</v>
      </c>
      <c r="D99">
        <v>3.29341317365269E-2</v>
      </c>
      <c r="E99">
        <v>5.8666666666666603E-2</v>
      </c>
      <c r="F99">
        <v>4.6620046620046603E-2</v>
      </c>
      <c r="G99">
        <v>6.4000000000000001E-2</v>
      </c>
      <c r="H99">
        <v>-2.4024024024024E-2</v>
      </c>
      <c r="I99">
        <v>5.1282051282051197E-2</v>
      </c>
      <c r="J99">
        <v>5.3333333333333302E-2</v>
      </c>
      <c r="K99">
        <v>5.4054054054054002E-2</v>
      </c>
      <c r="L99">
        <v>3.7735849056603703E-2</v>
      </c>
      <c r="M99">
        <v>4.90654205607476E-2</v>
      </c>
      <c r="N99">
        <v>7.3999999999999996E-2</v>
      </c>
      <c r="O99">
        <v>2.4024024024024E-2</v>
      </c>
      <c r="P99">
        <v>4.0000000000000001E-3</v>
      </c>
      <c r="Q99">
        <v>-6.9333333333333302E-2</v>
      </c>
      <c r="R99">
        <v>-4.9333333333333299E-2</v>
      </c>
      <c r="S99">
        <v>5.8823529411764698E-2</v>
      </c>
      <c r="T99">
        <v>5.7333333333333299E-2</v>
      </c>
      <c r="U99">
        <v>0.13600000000000001</v>
      </c>
      <c r="V99">
        <v>6.9930069930069894E-2</v>
      </c>
      <c r="W99">
        <v>2.7972027972027899E-2</v>
      </c>
      <c r="X99">
        <v>-0.14399999999999999</v>
      </c>
      <c r="Y99">
        <v>0.27488151658767701</v>
      </c>
    </row>
    <row r="100" spans="1:26" x14ac:dyDescent="0.25">
      <c r="A100" t="str">
        <f>"Game" &amp; (ROW(A100) - 1)/3  + 1</f>
        <v>Game34</v>
      </c>
    </row>
    <row r="101" spans="1:26" x14ac:dyDescent="0.25">
      <c r="B101" t="s">
        <v>4</v>
      </c>
      <c r="C101">
        <v>0.27027027027027001</v>
      </c>
      <c r="D101">
        <v>6.2874251497005901E-2</v>
      </c>
      <c r="E101">
        <v>4.5333333333333302E-2</v>
      </c>
      <c r="F101">
        <v>4.5045045045045001E-2</v>
      </c>
      <c r="G101">
        <v>7.7333333333333296E-2</v>
      </c>
      <c r="H101">
        <v>5.6000000000000001E-2</v>
      </c>
      <c r="I101">
        <v>4.7904191616766401E-2</v>
      </c>
      <c r="J101">
        <v>4.2056074766355103E-2</v>
      </c>
      <c r="K101">
        <v>6.3084112149532703E-2</v>
      </c>
      <c r="L101">
        <v>5.3333333333333302E-2</v>
      </c>
      <c r="M101">
        <v>5.8275058275058203E-2</v>
      </c>
      <c r="N101">
        <v>9.5238095238095205E-2</v>
      </c>
      <c r="O101">
        <v>2.09790209790209E-2</v>
      </c>
      <c r="P101">
        <v>8.6247086247086199E-2</v>
      </c>
      <c r="Q101">
        <v>1.6355140186915799E-2</v>
      </c>
      <c r="R101">
        <v>6.0240963855421603E-2</v>
      </c>
      <c r="S101">
        <v>-0.11</v>
      </c>
      <c r="T101">
        <v>0.124</v>
      </c>
      <c r="U101">
        <v>0.05</v>
      </c>
      <c r="V101">
        <v>6.9333333333333302E-2</v>
      </c>
      <c r="W101">
        <v>7.4074074074074001E-2</v>
      </c>
      <c r="X101">
        <v>-0.28571428571428498</v>
      </c>
      <c r="Y101">
        <v>0</v>
      </c>
    </row>
    <row r="102" spans="1:26" x14ac:dyDescent="0.25">
      <c r="B102" t="s">
        <v>7</v>
      </c>
      <c r="C102">
        <v>-6.6066066066066007E-2</v>
      </c>
      <c r="D102">
        <v>-0.116766467065868</v>
      </c>
      <c r="E102">
        <v>-9.90990990990991E-2</v>
      </c>
      <c r="F102">
        <v>-2.4E-2</v>
      </c>
      <c r="G102">
        <v>-6.4000000000000001E-2</v>
      </c>
      <c r="H102">
        <v>-6.7757009345794303E-2</v>
      </c>
      <c r="I102">
        <v>-6.3063063063063002E-2</v>
      </c>
      <c r="J102">
        <v>-4.8000000000000001E-2</v>
      </c>
      <c r="K102">
        <v>-1.7999999999999999E-2</v>
      </c>
      <c r="L102">
        <v>0.09</v>
      </c>
      <c r="M102">
        <v>3.2000000000000001E-2</v>
      </c>
      <c r="N102">
        <v>5.83333333333333E-2</v>
      </c>
      <c r="O102">
        <v>-1.8666666666666599E-2</v>
      </c>
      <c r="P102">
        <v>-7.1999999999999995E-2</v>
      </c>
      <c r="Q102">
        <v>-8.4000000000000005E-2</v>
      </c>
      <c r="R102">
        <v>8.1395348837209294E-2</v>
      </c>
      <c r="S102">
        <v>-0.01</v>
      </c>
      <c r="T102">
        <v>-0.16083916083916</v>
      </c>
      <c r="U102">
        <v>-1.06666666666666E-2</v>
      </c>
      <c r="V102">
        <v>-0.126582278481012</v>
      </c>
      <c r="W102">
        <v>0.57999999999999996</v>
      </c>
      <c r="X102">
        <v>0.628</v>
      </c>
    </row>
    <row r="103" spans="1:26" x14ac:dyDescent="0.25">
      <c r="A103" t="str">
        <f>"Game" &amp; (ROW(A103) - 1)/3  + 1</f>
        <v>Game35</v>
      </c>
    </row>
    <row r="104" spans="1:26" x14ac:dyDescent="0.25">
      <c r="B104" t="s">
        <v>7</v>
      </c>
      <c r="C104">
        <v>-8.1081081081081002E-2</v>
      </c>
      <c r="D104">
        <v>9.2814371257484998E-2</v>
      </c>
      <c r="E104">
        <v>4.8048048048047999E-2</v>
      </c>
      <c r="F104">
        <v>-2.4024024024024E-2</v>
      </c>
      <c r="G104">
        <v>4.5333333333333302E-2</v>
      </c>
      <c r="H104">
        <v>6.6666666666666596E-2</v>
      </c>
      <c r="I104">
        <v>-1.19760479041916E-2</v>
      </c>
      <c r="J104">
        <v>-7.1999999999999995E-2</v>
      </c>
      <c r="K104">
        <v>4.8000000000000001E-2</v>
      </c>
      <c r="L104">
        <v>-8.7999999999999995E-2</v>
      </c>
      <c r="M104">
        <v>-7.2261072261072201E-2</v>
      </c>
      <c r="N104">
        <v>8.8785046728971903E-2</v>
      </c>
      <c r="O104">
        <v>8.8578088578088507E-2</v>
      </c>
      <c r="P104">
        <v>8.5333333333333303E-2</v>
      </c>
      <c r="Q104">
        <v>-0.08</v>
      </c>
      <c r="R104">
        <v>1.4999999999999999E-2</v>
      </c>
      <c r="S104">
        <v>0.38834951456310601</v>
      </c>
      <c r="T104">
        <v>1</v>
      </c>
    </row>
    <row r="105" spans="1:26" x14ac:dyDescent="0.25">
      <c r="B105" t="s">
        <v>4</v>
      </c>
      <c r="C105">
        <v>3.6036036036036001E-2</v>
      </c>
      <c r="D105">
        <v>3.2000000000000001E-2</v>
      </c>
      <c r="E105">
        <v>-3.0030030030029999E-3</v>
      </c>
      <c r="F105">
        <v>2.1021021021020998E-2</v>
      </c>
      <c r="G105">
        <v>9.0090090090090003E-3</v>
      </c>
      <c r="H105">
        <v>4.2666666666666603E-2</v>
      </c>
      <c r="I105">
        <v>5.3613053613053602E-2</v>
      </c>
      <c r="J105">
        <v>6.0606060606060601E-2</v>
      </c>
      <c r="K105">
        <v>8.8578088578088507E-2</v>
      </c>
      <c r="L105">
        <v>4.5333333333333302E-2</v>
      </c>
      <c r="M105">
        <v>4.8000000000000001E-2</v>
      </c>
      <c r="N105">
        <v>-5.3333333333333302E-2</v>
      </c>
      <c r="O105">
        <v>3.5999999999999997E-2</v>
      </c>
      <c r="P105">
        <v>5.3738317757009303E-2</v>
      </c>
      <c r="Q105">
        <v>0.05</v>
      </c>
      <c r="R105">
        <v>7.0000000000000007E-2</v>
      </c>
      <c r="S105">
        <v>-0.24333333333333301</v>
      </c>
    </row>
    <row r="106" spans="1:26" x14ac:dyDescent="0.25">
      <c r="A106" t="str">
        <f>"Game" &amp; (ROW(A106) - 1)/3  + 1</f>
        <v>Game36</v>
      </c>
    </row>
    <row r="107" spans="1:26" x14ac:dyDescent="0.25">
      <c r="B107" t="s">
        <v>4</v>
      </c>
      <c r="C107">
        <v>0.27027027027027001</v>
      </c>
      <c r="D107">
        <v>5.4054054054054002E-2</v>
      </c>
      <c r="E107">
        <v>7.1999999999999995E-2</v>
      </c>
      <c r="F107">
        <v>8.1081081081081002E-2</v>
      </c>
      <c r="G107">
        <v>5.8666666666666603E-2</v>
      </c>
      <c r="H107">
        <v>4.5045045045045001E-2</v>
      </c>
      <c r="I107">
        <v>9.6000000000000002E-2</v>
      </c>
      <c r="J107">
        <v>7.7844311377245498E-2</v>
      </c>
      <c r="K107">
        <v>-1.3986013986013899E-2</v>
      </c>
      <c r="L107">
        <v>9.1999999999999998E-2</v>
      </c>
      <c r="M107">
        <v>7.4592074592074495E-2</v>
      </c>
      <c r="N107">
        <v>8.8578088578088507E-2</v>
      </c>
      <c r="O107">
        <v>6.6666666666666596E-2</v>
      </c>
      <c r="P107">
        <v>-0.20599999999999999</v>
      </c>
      <c r="Q107">
        <v>-0.15151515151515099</v>
      </c>
      <c r="R107">
        <v>0.18666666666666601</v>
      </c>
      <c r="S107">
        <v>0</v>
      </c>
      <c r="T107">
        <v>-0.16200000000000001</v>
      </c>
      <c r="U107">
        <v>0.31</v>
      </c>
      <c r="V107">
        <v>0.24399999999999999</v>
      </c>
      <c r="W107">
        <v>3.0534351145038101E-2</v>
      </c>
      <c r="X107">
        <v>4.33333333333333E-2</v>
      </c>
      <c r="Y107">
        <v>0.15129151291512899</v>
      </c>
    </row>
    <row r="108" spans="1:26" x14ac:dyDescent="0.25">
      <c r="B108" t="s">
        <v>7</v>
      </c>
      <c r="C108">
        <v>-2.6666666666666599E-2</v>
      </c>
      <c r="D108">
        <v>1.5015015015014999E-2</v>
      </c>
      <c r="E108">
        <v>-2.09790209790209E-2</v>
      </c>
      <c r="F108">
        <v>-9.3240093240093205E-3</v>
      </c>
      <c r="G108">
        <v>1.5015015015014999E-2</v>
      </c>
      <c r="H108">
        <v>6.9333333333333302E-2</v>
      </c>
      <c r="I108">
        <v>6.0060060060059999E-3</v>
      </c>
      <c r="J108">
        <v>0.08</v>
      </c>
      <c r="K108">
        <v>-1.8666666666666599E-2</v>
      </c>
      <c r="L108">
        <v>2.9940119760479E-3</v>
      </c>
      <c r="M108">
        <v>-4.2000000000000003E-2</v>
      </c>
      <c r="N108">
        <v>-0.11</v>
      </c>
      <c r="O108">
        <v>0.18666666666666601</v>
      </c>
      <c r="P108">
        <v>8.3333333333333301E-2</v>
      </c>
      <c r="Q108">
        <v>0.23799999999999999</v>
      </c>
      <c r="R108">
        <v>-0.23733333333333301</v>
      </c>
      <c r="S108">
        <v>0.29499999999999998</v>
      </c>
      <c r="T108">
        <v>0.23</v>
      </c>
      <c r="U108">
        <v>-0.30841121495327101</v>
      </c>
      <c r="V108">
        <v>-0.192</v>
      </c>
      <c r="W108">
        <v>0.22800000000000001</v>
      </c>
      <c r="X108">
        <v>0.30769230769230699</v>
      </c>
      <c r="Y108">
        <v>1</v>
      </c>
    </row>
    <row r="109" spans="1:26" x14ac:dyDescent="0.25">
      <c r="A109" t="str">
        <f>"Game" &amp; (ROW(A109) - 1)/3  + 1</f>
        <v>Game37</v>
      </c>
    </row>
    <row r="110" spans="1:26" x14ac:dyDescent="0.25">
      <c r="B110" t="s">
        <v>7</v>
      </c>
      <c r="C110">
        <v>-2.6315789473684199E-2</v>
      </c>
      <c r="D110">
        <v>7.1856287425149698E-2</v>
      </c>
      <c r="E110">
        <v>0</v>
      </c>
      <c r="F110">
        <v>1.6E-2</v>
      </c>
      <c r="G110">
        <v>-2.6666666666666601E-3</v>
      </c>
      <c r="H110">
        <v>-8.1585081585081501E-2</v>
      </c>
      <c r="I110">
        <v>-1.6E-2</v>
      </c>
      <c r="J110">
        <v>-0.125748502994011</v>
      </c>
      <c r="K110">
        <v>4.8000000000000001E-2</v>
      </c>
      <c r="L110">
        <v>5.5944055944055902E-2</v>
      </c>
      <c r="M110">
        <v>-0.04</v>
      </c>
      <c r="N110">
        <v>5.3613053613053602E-2</v>
      </c>
      <c r="O110">
        <v>0.03</v>
      </c>
      <c r="P110">
        <v>-3.6666666666666597E-2</v>
      </c>
      <c r="Q110">
        <v>2.4E-2</v>
      </c>
      <c r="R110">
        <v>0.08</v>
      </c>
      <c r="S110">
        <v>-6.0000000000000001E-3</v>
      </c>
      <c r="T110">
        <v>0.15466666666666601</v>
      </c>
      <c r="U110">
        <v>0.16400000000000001</v>
      </c>
      <c r="V110">
        <v>-0.103333333333333</v>
      </c>
      <c r="W110">
        <v>-0.08</v>
      </c>
      <c r="X110">
        <v>1.86915887850467E-2</v>
      </c>
      <c r="Y110">
        <v>1</v>
      </c>
    </row>
    <row r="111" spans="1:26" x14ac:dyDescent="0.25">
      <c r="B111" t="s">
        <v>4</v>
      </c>
      <c r="C111">
        <v>2.4024024024024E-2</v>
      </c>
      <c r="D111">
        <v>-5.9880239520958001E-3</v>
      </c>
      <c r="E111">
        <v>5.4054054054054002E-2</v>
      </c>
      <c r="F111">
        <v>4.5045045045045001E-2</v>
      </c>
      <c r="G111">
        <v>6.4000000000000001E-2</v>
      </c>
      <c r="H111">
        <v>6.5268065268065195E-2</v>
      </c>
      <c r="I111">
        <v>6.6066066066066007E-2</v>
      </c>
      <c r="J111">
        <v>4.8000000000000001E-2</v>
      </c>
      <c r="K111">
        <v>7.2072072072072002E-2</v>
      </c>
      <c r="L111">
        <v>4.4999999999999998E-2</v>
      </c>
      <c r="M111">
        <v>5.0666666666666603E-2</v>
      </c>
      <c r="N111">
        <v>6.3084112149532703E-2</v>
      </c>
      <c r="O111">
        <v>0.1</v>
      </c>
      <c r="P111">
        <v>6.0606060606060601E-2</v>
      </c>
      <c r="Q111">
        <v>7.9254079254079193E-2</v>
      </c>
      <c r="R111">
        <v>5.5944055944055902E-2</v>
      </c>
      <c r="S111">
        <v>6.6666666666666596E-2</v>
      </c>
      <c r="T111">
        <v>-6.4000000000000001E-2</v>
      </c>
      <c r="U111">
        <v>0.11</v>
      </c>
      <c r="V111">
        <v>3.6666666666666597E-2</v>
      </c>
      <c r="W111">
        <v>0.01</v>
      </c>
      <c r="X111">
        <v>6.5693430656934296E-2</v>
      </c>
    </row>
    <row r="112" spans="1:26" x14ac:dyDescent="0.25">
      <c r="A112" t="str">
        <f>"Game" &amp; (ROW(A112) - 1)/3  + 1</f>
        <v>Game38</v>
      </c>
    </row>
    <row r="113" spans="1:27" x14ac:dyDescent="0.25">
      <c r="B113" t="s">
        <v>4</v>
      </c>
      <c r="C113">
        <v>0.27027027027027001</v>
      </c>
      <c r="D113">
        <v>5.0898203592814301E-2</v>
      </c>
      <c r="E113">
        <v>4.1916167664670601E-2</v>
      </c>
      <c r="F113">
        <v>5.4054054054054002E-2</v>
      </c>
      <c r="G113">
        <v>3.6036036036036001E-2</v>
      </c>
      <c r="H113">
        <v>3.4965034965034898E-2</v>
      </c>
      <c r="I113">
        <v>-1.4E-2</v>
      </c>
      <c r="J113">
        <v>-5.0666666666666603E-2</v>
      </c>
      <c r="K113">
        <v>8.9820359281437105E-3</v>
      </c>
      <c r="L113">
        <v>4.2666666666666603E-2</v>
      </c>
      <c r="M113">
        <v>-0.14133333333333301</v>
      </c>
      <c r="N113">
        <v>-0.193925233644859</v>
      </c>
      <c r="O113">
        <v>-5.3613053613053602E-2</v>
      </c>
      <c r="P113">
        <v>-0.156</v>
      </c>
      <c r="Q113">
        <v>-0.12874251497005901</v>
      </c>
      <c r="R113">
        <v>0.118279569892473</v>
      </c>
      <c r="S113">
        <v>-3.3333333333333301E-3</v>
      </c>
      <c r="T113">
        <v>2.4E-2</v>
      </c>
      <c r="U113">
        <v>8.2666666666666597E-2</v>
      </c>
      <c r="V113">
        <v>3.9130434782608699E-2</v>
      </c>
      <c r="W113">
        <v>5.1470588235294101E-2</v>
      </c>
    </row>
    <row r="114" spans="1:27" x14ac:dyDescent="0.25">
      <c r="B114" t="s">
        <v>7</v>
      </c>
      <c r="C114">
        <v>-7.1999999999999995E-2</v>
      </c>
      <c r="D114">
        <v>-0.11111111111111099</v>
      </c>
      <c r="E114">
        <v>-3.2000000000000001E-2</v>
      </c>
      <c r="F114">
        <v>-6.4000000000000001E-2</v>
      </c>
      <c r="G114">
        <v>-9.34579439252336E-2</v>
      </c>
      <c r="H114">
        <v>9.5794392523364399E-2</v>
      </c>
      <c r="I114">
        <v>0.13866666666666599</v>
      </c>
      <c r="J114">
        <v>5.8275058275058203E-2</v>
      </c>
      <c r="K114">
        <v>-5.0898203592814301E-2</v>
      </c>
      <c r="L114">
        <v>0.19600000000000001</v>
      </c>
      <c r="M114">
        <v>0.25066666666666598</v>
      </c>
      <c r="N114">
        <v>0.27200000000000002</v>
      </c>
      <c r="O114">
        <v>0.261072261072261</v>
      </c>
      <c r="P114">
        <v>0.23833333333333301</v>
      </c>
      <c r="Q114">
        <v>0.206666666666666</v>
      </c>
      <c r="R114">
        <v>0.18018018018018001</v>
      </c>
      <c r="S114">
        <v>-4.5999999999999999E-2</v>
      </c>
      <c r="T114">
        <v>7.69230769230769E-2</v>
      </c>
      <c r="U114">
        <v>-0.186</v>
      </c>
      <c r="V114">
        <v>-0.13200000000000001</v>
      </c>
      <c r="W114">
        <v>1</v>
      </c>
    </row>
    <row r="115" spans="1:27" x14ac:dyDescent="0.25">
      <c r="A115" t="str">
        <f>"Game" &amp; (ROW(A115) - 1)/3  + 1</f>
        <v>Game39</v>
      </c>
    </row>
    <row r="116" spans="1:27" x14ac:dyDescent="0.25">
      <c r="B116" t="s">
        <v>7</v>
      </c>
      <c r="C116">
        <v>2.7027027027027001E-2</v>
      </c>
      <c r="D116">
        <v>0.10210210210210199</v>
      </c>
      <c r="E116">
        <v>3.6036036036036001E-2</v>
      </c>
      <c r="F116">
        <v>0.11111111111111099</v>
      </c>
      <c r="G116">
        <v>5.6000000000000001E-2</v>
      </c>
      <c r="H116">
        <v>0.13173652694610699</v>
      </c>
      <c r="I116">
        <v>0.14933333333333301</v>
      </c>
      <c r="J116">
        <v>0.123543123543123</v>
      </c>
      <c r="K116">
        <v>3.9215686274509803E-2</v>
      </c>
      <c r="L116">
        <v>-9.8000000000000004E-2</v>
      </c>
      <c r="M116">
        <v>-0.16393442622950799</v>
      </c>
      <c r="N116">
        <v>1.3333333333333299E-2</v>
      </c>
      <c r="O116">
        <v>4.2000000000000003E-2</v>
      </c>
      <c r="P116">
        <v>-2.1333333333333301E-2</v>
      </c>
      <c r="Q116">
        <v>0.53012048192771</v>
      </c>
      <c r="R116">
        <v>0.64333333333333298</v>
      </c>
      <c r="S116">
        <v>0.58644859813084105</v>
      </c>
      <c r="T116">
        <v>0.60833333333333295</v>
      </c>
      <c r="U116">
        <v>0.54439252336448596</v>
      </c>
      <c r="V116">
        <v>0.35294117647058798</v>
      </c>
      <c r="W116">
        <v>0.19819819819819801</v>
      </c>
      <c r="X116">
        <v>0</v>
      </c>
    </row>
    <row r="117" spans="1:27" x14ac:dyDescent="0.25">
      <c r="B117" t="s">
        <v>4</v>
      </c>
      <c r="C117">
        <v>4.2042042042041997E-2</v>
      </c>
      <c r="D117">
        <v>1.8666666666666599E-2</v>
      </c>
      <c r="E117">
        <v>6.0060060060059997E-2</v>
      </c>
      <c r="F117">
        <v>5.3333333333333302E-2</v>
      </c>
      <c r="G117">
        <v>-7.2261072261072201E-2</v>
      </c>
      <c r="H117">
        <v>-6.4000000000000001E-2</v>
      </c>
      <c r="I117">
        <v>-1.16822429906542E-2</v>
      </c>
      <c r="J117">
        <v>3.4666666666666603E-2</v>
      </c>
      <c r="K117">
        <v>7.5075075075075007E-2</v>
      </c>
      <c r="L117">
        <v>6.07476635514018E-2</v>
      </c>
      <c r="M117">
        <v>4.1666666666666602E-2</v>
      </c>
      <c r="N117">
        <v>7.69230769230769E-2</v>
      </c>
      <c r="O117">
        <v>1.6E-2</v>
      </c>
      <c r="P117">
        <v>6.1728395061728301E-2</v>
      </c>
      <c r="Q117">
        <v>-0.55688622754491002</v>
      </c>
      <c r="R117">
        <v>-0.56799999999999995</v>
      </c>
      <c r="S117">
        <v>-0.50166666666666604</v>
      </c>
      <c r="T117">
        <v>-0.56266666666666598</v>
      </c>
      <c r="U117">
        <v>-0.38235294117647001</v>
      </c>
      <c r="V117">
        <v>-0.206666666666666</v>
      </c>
      <c r="W117">
        <v>0</v>
      </c>
      <c r="X117">
        <v>0</v>
      </c>
    </row>
    <row r="118" spans="1:27" x14ac:dyDescent="0.25">
      <c r="A118" t="str">
        <f>"Game" &amp; (ROW(A118) - 1)/3  + 1</f>
        <v>Game40</v>
      </c>
    </row>
    <row r="119" spans="1:27" x14ac:dyDescent="0.25">
      <c r="B119" t="s">
        <v>4</v>
      </c>
      <c r="C119">
        <v>8.1081081081081002E-2</v>
      </c>
      <c r="D119">
        <v>4.2042042042041997E-2</v>
      </c>
      <c r="E119">
        <v>7.5075075075075007E-2</v>
      </c>
      <c r="F119">
        <v>6.1333333333333302E-2</v>
      </c>
      <c r="G119">
        <v>3.4666666666666603E-2</v>
      </c>
      <c r="H119">
        <v>7.2072072072072002E-2</v>
      </c>
      <c r="I119">
        <v>5.9880239520958001E-2</v>
      </c>
      <c r="J119">
        <v>6.4000000000000001E-2</v>
      </c>
      <c r="K119">
        <v>5.0666666666666603E-2</v>
      </c>
      <c r="L119">
        <v>4.67289719626168E-2</v>
      </c>
      <c r="M119">
        <v>5.5944055944055902E-2</v>
      </c>
      <c r="N119">
        <v>1.8648018648018599E-2</v>
      </c>
      <c r="O119">
        <v>7.1999999999999995E-2</v>
      </c>
      <c r="P119">
        <v>5.6000000000000001E-2</v>
      </c>
      <c r="Q119">
        <v>-3.3333333333333301E-3</v>
      </c>
      <c r="R119">
        <v>6.4000000000000001E-2</v>
      </c>
      <c r="S119">
        <v>0.108108108108108</v>
      </c>
      <c r="T119">
        <v>9.0909090909090898E-2</v>
      </c>
      <c r="U119">
        <v>-0.23200000000000001</v>
      </c>
      <c r="V119">
        <v>-0.32</v>
      </c>
      <c r="W119">
        <v>-0.25600000000000001</v>
      </c>
      <c r="X119">
        <v>0.23376623376623301</v>
      </c>
      <c r="Y119">
        <v>7.4850299401197598E-2</v>
      </c>
      <c r="Z119">
        <v>0.374</v>
      </c>
    </row>
    <row r="120" spans="1:27" x14ac:dyDescent="0.25">
      <c r="B120" t="s">
        <v>7</v>
      </c>
      <c r="C120">
        <v>-9.6096096096096095E-2</v>
      </c>
      <c r="D120">
        <v>-0.04</v>
      </c>
      <c r="E120">
        <v>-2.09580838323353E-2</v>
      </c>
      <c r="F120">
        <v>-0.13066666666666599</v>
      </c>
      <c r="G120">
        <v>-1.8018018018018001E-2</v>
      </c>
      <c r="H120">
        <v>-1.8666666666666599E-2</v>
      </c>
      <c r="I120">
        <v>-3.6036036036036001E-2</v>
      </c>
      <c r="J120">
        <v>-6.1333333333333302E-2</v>
      </c>
      <c r="K120">
        <v>-0.116550116550116</v>
      </c>
      <c r="L120">
        <v>-7.00934579439252E-2</v>
      </c>
      <c r="M120">
        <v>-3.2000000000000001E-2</v>
      </c>
      <c r="N120">
        <v>4.6620046620046603E-3</v>
      </c>
      <c r="O120">
        <v>-8.3916083916083906E-2</v>
      </c>
      <c r="P120">
        <v>0.04</v>
      </c>
      <c r="Q120">
        <v>2.3310023310023301E-2</v>
      </c>
      <c r="R120">
        <v>0.12833333333333299</v>
      </c>
      <c r="S120">
        <v>0.161333333333333</v>
      </c>
      <c r="T120">
        <v>0.27800000000000002</v>
      </c>
      <c r="U120">
        <v>0.54400000000000004</v>
      </c>
      <c r="V120">
        <v>0.54400000000000004</v>
      </c>
      <c r="W120">
        <v>0.4</v>
      </c>
      <c r="X120">
        <v>-8.3333333333333301E-2</v>
      </c>
      <c r="Y120">
        <v>0.82399999999999995</v>
      </c>
      <c r="Z120">
        <v>1</v>
      </c>
    </row>
    <row r="121" spans="1:27" x14ac:dyDescent="0.25">
      <c r="A121" t="str">
        <f>"Game" &amp; (ROW(A121) - 1)/3  + 1</f>
        <v>Game41</v>
      </c>
    </row>
    <row r="122" spans="1:27" x14ac:dyDescent="0.25">
      <c r="B122" t="s">
        <v>7</v>
      </c>
      <c r="C122" s="1">
        <v>2.7027027027027001E-2</v>
      </c>
      <c r="D122">
        <v>0.17664670658682599</v>
      </c>
      <c r="E122">
        <v>0.114666666666666</v>
      </c>
      <c r="F122">
        <v>0.123123123123123</v>
      </c>
      <c r="G122">
        <v>1.79640718562874E-2</v>
      </c>
      <c r="H122">
        <v>6.6666666666666596E-2</v>
      </c>
      <c r="I122">
        <v>-9.0909090909090898E-2</v>
      </c>
      <c r="J122">
        <v>-2.4E-2</v>
      </c>
      <c r="K122">
        <v>-2.7972027972027899E-2</v>
      </c>
      <c r="L122">
        <v>-3.9039039039038999E-2</v>
      </c>
      <c r="M122">
        <v>-2.9333333333333302E-2</v>
      </c>
      <c r="N122">
        <v>-1.3333333333333299E-2</v>
      </c>
      <c r="O122">
        <v>9.3240093240093205E-3</v>
      </c>
      <c r="P122">
        <v>8.7999999999999995E-2</v>
      </c>
      <c r="Q122">
        <v>2.1333333333333301E-2</v>
      </c>
      <c r="R122">
        <v>6.4000000000000001E-2</v>
      </c>
      <c r="S122">
        <v>-9.3240093240093205E-3</v>
      </c>
      <c r="T122">
        <v>0.16800000000000001</v>
      </c>
      <c r="U122">
        <v>0.108108108108108</v>
      </c>
      <c r="V122">
        <v>0.20300000000000001</v>
      </c>
      <c r="W122">
        <v>1</v>
      </c>
    </row>
    <row r="123" spans="1:27" x14ac:dyDescent="0.25">
      <c r="B123" t="s">
        <v>4</v>
      </c>
      <c r="C123">
        <v>-5.9880239520958001E-3</v>
      </c>
      <c r="D123">
        <v>-2.09580838323353E-2</v>
      </c>
      <c r="E123">
        <v>-2.3310023310023301E-2</v>
      </c>
      <c r="F123">
        <v>1.79640718562874E-2</v>
      </c>
      <c r="G123">
        <v>-1.06666666666666E-2</v>
      </c>
      <c r="H123">
        <v>5.1999999999999998E-2</v>
      </c>
      <c r="I123">
        <v>7.8333333333333297E-2</v>
      </c>
      <c r="J123">
        <v>6.6066066066066007E-2</v>
      </c>
      <c r="K123">
        <v>6.2E-2</v>
      </c>
      <c r="L123">
        <v>9.8000000000000004E-2</v>
      </c>
      <c r="M123">
        <v>6.6666666666666596E-2</v>
      </c>
      <c r="N123">
        <v>3.5999999999999997E-2</v>
      </c>
      <c r="O123">
        <v>3.7296037296037199E-2</v>
      </c>
      <c r="P123">
        <v>-3.2000000000000001E-2</v>
      </c>
      <c r="Q123">
        <v>2.5641025641025599E-2</v>
      </c>
      <c r="R123">
        <v>6.9930069930069894E-2</v>
      </c>
      <c r="S123">
        <v>0.123333333333333</v>
      </c>
      <c r="T123">
        <v>0.26</v>
      </c>
      <c r="U123">
        <v>0.1002331002331</v>
      </c>
      <c r="V123">
        <v>0.13666666666666599</v>
      </c>
    </row>
    <row r="124" spans="1:27" x14ac:dyDescent="0.25">
      <c r="A124" t="str">
        <f>"Game" &amp; (ROW(A124) - 1)/3  + 1</f>
        <v>Game42</v>
      </c>
    </row>
    <row r="125" spans="1:27" x14ac:dyDescent="0.25">
      <c r="B125" t="s">
        <v>4</v>
      </c>
      <c r="C125">
        <v>0.29729729729729698</v>
      </c>
      <c r="D125">
        <v>5.9880239520958001E-2</v>
      </c>
      <c r="E125">
        <v>4.8048048048047999E-2</v>
      </c>
      <c r="F125">
        <v>5.7057057057056999E-2</v>
      </c>
      <c r="G125">
        <v>8.7087087087086998E-2</v>
      </c>
      <c r="H125">
        <v>6.4000000000000001E-2</v>
      </c>
      <c r="I125">
        <v>7.7102803738317696E-2</v>
      </c>
      <c r="J125">
        <v>6.9069069069068997E-2</v>
      </c>
      <c r="K125">
        <v>6.6000000000000003E-2</v>
      </c>
      <c r="L125">
        <v>7.1666666666666601E-2</v>
      </c>
      <c r="M125">
        <v>7.0000000000000007E-2</v>
      </c>
      <c r="N125">
        <v>4.6620046620046603E-2</v>
      </c>
      <c r="O125">
        <v>-0.109333333333333</v>
      </c>
      <c r="P125">
        <v>-0.21199999999999999</v>
      </c>
      <c r="Q125">
        <v>-0.14018691588785001</v>
      </c>
      <c r="R125">
        <v>-8.6247086247086199E-2</v>
      </c>
      <c r="S125">
        <v>-0.09</v>
      </c>
      <c r="T125">
        <v>0.16</v>
      </c>
      <c r="U125">
        <v>0.05</v>
      </c>
      <c r="V125">
        <v>0.11206896551724101</v>
      </c>
      <c r="W125">
        <v>0.19318181818181801</v>
      </c>
      <c r="X125">
        <v>0.1</v>
      </c>
      <c r="Y125">
        <v>3.7037037037037E-2</v>
      </c>
    </row>
    <row r="126" spans="1:27" x14ac:dyDescent="0.25">
      <c r="B126" t="s">
        <v>7</v>
      </c>
      <c r="C126">
        <v>-8.4084084084083993E-2</v>
      </c>
      <c r="D126">
        <v>-0.08</v>
      </c>
      <c r="E126">
        <v>-9.6000000000000002E-2</v>
      </c>
      <c r="F126">
        <v>2.1021021021020998E-2</v>
      </c>
      <c r="G126">
        <v>-0.04</v>
      </c>
      <c r="H126">
        <v>4.4289044289044198E-2</v>
      </c>
      <c r="I126">
        <v>-2.33644859813084E-2</v>
      </c>
      <c r="J126">
        <v>-6.6000000000000003E-2</v>
      </c>
      <c r="K126">
        <v>-0.12266666666666599</v>
      </c>
      <c r="L126">
        <v>-5.7057057057056999E-2</v>
      </c>
      <c r="M126">
        <v>-9.0666666666666604E-2</v>
      </c>
      <c r="N126">
        <v>9.73333333333333E-2</v>
      </c>
      <c r="O126">
        <v>0.165501165501165</v>
      </c>
      <c r="P126">
        <v>0.17799999999999999</v>
      </c>
      <c r="Q126">
        <v>0.14399999999999999</v>
      </c>
      <c r="R126">
        <v>0.05</v>
      </c>
      <c r="S126">
        <v>5.6666666666666601E-2</v>
      </c>
      <c r="T126">
        <v>-4.5333333333333302E-2</v>
      </c>
      <c r="U126">
        <v>0.20879120879120799</v>
      </c>
      <c r="V126">
        <v>0.23529411764705799</v>
      </c>
      <c r="W126">
        <v>0.17216117216117199</v>
      </c>
      <c r="X126">
        <v>0.66400000000000003</v>
      </c>
      <c r="Y126">
        <v>1</v>
      </c>
    </row>
    <row r="127" spans="1:27" x14ac:dyDescent="0.25">
      <c r="A127" t="str">
        <f>"Game" &amp; (ROW(A127) - 1)/3  + 1</f>
        <v>Game43</v>
      </c>
    </row>
    <row r="128" spans="1:27" x14ac:dyDescent="0.25">
      <c r="B128" t="s">
        <v>7</v>
      </c>
      <c r="C128">
        <v>0.18918918918918901</v>
      </c>
      <c r="D128">
        <v>5.4054054054054002E-2</v>
      </c>
      <c r="E128">
        <v>0.105105105105105</v>
      </c>
      <c r="F128">
        <v>0.1002331002331</v>
      </c>
      <c r="G128">
        <v>-3.7333333333333302E-2</v>
      </c>
      <c r="H128">
        <v>0.10666666666666599</v>
      </c>
      <c r="I128">
        <v>-5.3333333333333302E-2</v>
      </c>
      <c r="J128">
        <v>-2.1021021021020998E-2</v>
      </c>
      <c r="K128">
        <v>-7.7333333333333296E-2</v>
      </c>
      <c r="L128">
        <v>-1.2E-2</v>
      </c>
      <c r="M128">
        <v>-3.03738317757009E-2</v>
      </c>
      <c r="N128">
        <v>9.0909090909090898E-2</v>
      </c>
      <c r="O128">
        <v>0.163333333333333</v>
      </c>
      <c r="P128">
        <v>5.5944055944055902E-2</v>
      </c>
      <c r="Q128">
        <v>-0.02</v>
      </c>
      <c r="R128">
        <v>-3.7296037296037199E-2</v>
      </c>
      <c r="S128">
        <v>0.32166666666666599</v>
      </c>
      <c r="T128">
        <v>0.394230769230769</v>
      </c>
      <c r="U128">
        <v>0.62595419847328204</v>
      </c>
      <c r="V128">
        <v>0.58833333333333304</v>
      </c>
      <c r="W128">
        <v>0.335443037974683</v>
      </c>
      <c r="X128">
        <v>-0.23200000000000001</v>
      </c>
      <c r="Y128">
        <v>0.14285714285714199</v>
      </c>
      <c r="Z128">
        <v>0.242666666666666</v>
      </c>
      <c r="AA128">
        <v>1</v>
      </c>
    </row>
    <row r="129" spans="1:26" x14ac:dyDescent="0.25">
      <c r="B129" t="s">
        <v>4</v>
      </c>
      <c r="C129">
        <v>3.3033033033033003E-2</v>
      </c>
      <c r="D129">
        <v>2.6666666666666601E-3</v>
      </c>
      <c r="E129">
        <v>-1.6E-2</v>
      </c>
      <c r="F129">
        <v>6.8862275449101798E-2</v>
      </c>
      <c r="G129">
        <v>2.4024024024024E-2</v>
      </c>
      <c r="H129">
        <v>0.107226107226107</v>
      </c>
      <c r="I129">
        <v>3.89221556886227E-2</v>
      </c>
      <c r="J129">
        <v>6.6066066066066007E-2</v>
      </c>
      <c r="K129">
        <v>4.5333333333333302E-2</v>
      </c>
      <c r="L129">
        <v>5.3999999999999999E-2</v>
      </c>
      <c r="M129">
        <v>7.69230769230769E-2</v>
      </c>
      <c r="N129">
        <v>8.5999999999999993E-2</v>
      </c>
      <c r="O129">
        <v>-9.0666666666666604E-2</v>
      </c>
      <c r="P129">
        <v>5.1666666666666597E-2</v>
      </c>
      <c r="Q129">
        <v>5.0632911392405E-2</v>
      </c>
      <c r="R129">
        <v>6.0240963855421603E-2</v>
      </c>
      <c r="S129">
        <v>-0.202666666666666</v>
      </c>
      <c r="T129">
        <v>-0.33100233100233101</v>
      </c>
      <c r="U129">
        <v>-0.60981308411214896</v>
      </c>
      <c r="V129">
        <v>-0.41499999999999998</v>
      </c>
      <c r="W129">
        <v>0.14371257485029901</v>
      </c>
      <c r="X129">
        <v>0.12616822429906499</v>
      </c>
      <c r="Y129">
        <v>7.6666666666666605E-2</v>
      </c>
      <c r="Z129">
        <v>0.12666666666666601</v>
      </c>
    </row>
    <row r="130" spans="1:26" x14ac:dyDescent="0.25">
      <c r="A130" t="str">
        <f>"Game" &amp; (ROW(A130) - 1)/3  + 1</f>
        <v>Game44</v>
      </c>
    </row>
    <row r="131" spans="1:26" x14ac:dyDescent="0.25">
      <c r="B131" t="s">
        <v>4</v>
      </c>
      <c r="C131">
        <v>0.27027027027027001</v>
      </c>
      <c r="D131">
        <v>5.3892215568862201E-2</v>
      </c>
      <c r="E131">
        <v>6.3063063063063002E-2</v>
      </c>
      <c r="F131">
        <v>6.2874251497005901E-2</v>
      </c>
      <c r="G131">
        <v>5.6886227544910101E-2</v>
      </c>
      <c r="H131">
        <v>6.2E-2</v>
      </c>
      <c r="I131">
        <v>5.3333333333333302E-2</v>
      </c>
      <c r="J131">
        <v>6.6066066066066007E-2</v>
      </c>
      <c r="K131">
        <v>2.5641025641025599E-2</v>
      </c>
      <c r="L131">
        <v>0.06</v>
      </c>
      <c r="M131">
        <v>5.6000000000000001E-2</v>
      </c>
      <c r="N131">
        <v>6.1333333333333302E-2</v>
      </c>
      <c r="O131">
        <v>6.4000000000000001E-2</v>
      </c>
      <c r="P131">
        <v>0.114219114219114</v>
      </c>
      <c r="Q131">
        <v>-0.13053613053613</v>
      </c>
      <c r="R131">
        <v>-0.109557109557109</v>
      </c>
      <c r="S131">
        <v>0.116550116550116</v>
      </c>
      <c r="T131">
        <v>-5.0666666666666603E-2</v>
      </c>
      <c r="U131">
        <v>0.23599999999999999</v>
      </c>
      <c r="V131">
        <v>0.04</v>
      </c>
    </row>
    <row r="132" spans="1:26" x14ac:dyDescent="0.25">
      <c r="B132" t="s">
        <v>7</v>
      </c>
      <c r="C132">
        <v>-7.4850299401197598E-2</v>
      </c>
      <c r="D132">
        <v>-9.3333333333333296E-2</v>
      </c>
      <c r="E132">
        <v>-7.5075075075075007E-2</v>
      </c>
      <c r="F132">
        <v>-8.5333333333333303E-2</v>
      </c>
      <c r="G132">
        <v>-2.5641025641025599E-2</v>
      </c>
      <c r="H132">
        <v>-7.1999999999999995E-2</v>
      </c>
      <c r="I132">
        <v>-5.3333333333333297E-3</v>
      </c>
      <c r="J132">
        <v>-0.132867132867132</v>
      </c>
      <c r="K132">
        <v>-5.3333333333333302E-2</v>
      </c>
      <c r="L132">
        <v>-8.7087087087086998E-2</v>
      </c>
      <c r="M132">
        <v>-8.6247086247086199E-2</v>
      </c>
      <c r="N132">
        <v>5.1282051282051197E-2</v>
      </c>
      <c r="O132">
        <v>8.5333333333333303E-2</v>
      </c>
      <c r="P132">
        <v>0.30399999999999999</v>
      </c>
      <c r="Q132">
        <v>0.19166666666666601</v>
      </c>
      <c r="R132">
        <v>7.7777777777777696E-2</v>
      </c>
      <c r="S132">
        <v>-0.24137931034482701</v>
      </c>
      <c r="T132">
        <v>-0.108</v>
      </c>
      <c r="U132">
        <v>2.27272727272727E-2</v>
      </c>
      <c r="V132">
        <v>1</v>
      </c>
    </row>
    <row r="133" spans="1:26" x14ac:dyDescent="0.25">
      <c r="A133" t="str">
        <f>"Game" &amp; (ROW(A133) - 1)/3  + 1</f>
        <v>Game45</v>
      </c>
    </row>
    <row r="134" spans="1:26" x14ac:dyDescent="0.25">
      <c r="B134" t="s">
        <v>7</v>
      </c>
      <c r="C134">
        <v>0.27027027027027001</v>
      </c>
      <c r="D134">
        <v>0.201201201201201</v>
      </c>
      <c r="E134">
        <v>0.123123123123123</v>
      </c>
      <c r="F134">
        <v>7.8078078078077998E-2</v>
      </c>
      <c r="G134">
        <v>6.4000000000000001E-2</v>
      </c>
      <c r="H134">
        <v>0.23123123123123099</v>
      </c>
      <c r="I134">
        <v>0.21</v>
      </c>
      <c r="J134">
        <v>0.18933333333333299</v>
      </c>
      <c r="K134">
        <v>0.193925233644859</v>
      </c>
      <c r="L134">
        <v>0.25874125874125797</v>
      </c>
      <c r="M134">
        <v>0.17990654205607401</v>
      </c>
      <c r="N134">
        <v>0.44</v>
      </c>
      <c r="O134">
        <v>0.63076923076922997</v>
      </c>
      <c r="P134">
        <v>0.52800000000000002</v>
      </c>
      <c r="Q134">
        <v>0.52666666666666595</v>
      </c>
      <c r="R134">
        <v>0.48266666666666602</v>
      </c>
      <c r="S134">
        <v>0.53333333333333299</v>
      </c>
      <c r="T134">
        <v>0.2</v>
      </c>
      <c r="U134">
        <v>1</v>
      </c>
    </row>
    <row r="135" spans="1:26" x14ac:dyDescent="0.25">
      <c r="B135" t="s">
        <v>4</v>
      </c>
      <c r="C135">
        <v>-1.8018018018018001E-2</v>
      </c>
      <c r="D135">
        <v>-4.2042042042041997E-2</v>
      </c>
      <c r="E135">
        <v>-5.0666666666666603E-2</v>
      </c>
      <c r="F135">
        <v>-3.2000000000000001E-2</v>
      </c>
      <c r="G135">
        <v>-6.0606060606060601E-2</v>
      </c>
      <c r="H135">
        <v>-5.1401869158878503E-2</v>
      </c>
      <c r="I135">
        <v>-0.108108108108108</v>
      </c>
      <c r="J135">
        <v>-0.101333333333333</v>
      </c>
      <c r="K135">
        <v>-7.1999999999999995E-2</v>
      </c>
      <c r="L135">
        <v>-0.18933333333333299</v>
      </c>
      <c r="M135">
        <v>-0.23776223776223701</v>
      </c>
      <c r="N135">
        <v>-0.329439252336448</v>
      </c>
      <c r="O135">
        <v>-0.50600000000000001</v>
      </c>
      <c r="P135">
        <v>-0.49399999999999999</v>
      </c>
      <c r="Q135">
        <v>-0.41141141141141102</v>
      </c>
      <c r="R135">
        <v>-0.32</v>
      </c>
      <c r="S135">
        <v>5.8275058275058203E-2</v>
      </c>
      <c r="T135">
        <v>0.15384615384615299</v>
      </c>
    </row>
    <row r="136" spans="1:26" x14ac:dyDescent="0.25">
      <c r="A136" t="str">
        <f>"Game" &amp; (ROW(A136) - 1)/3  + 1</f>
        <v>Game46</v>
      </c>
    </row>
    <row r="137" spans="1:26" x14ac:dyDescent="0.25">
      <c r="B137" t="s">
        <v>4</v>
      </c>
      <c r="C137">
        <v>0.27027027027027001</v>
      </c>
      <c r="D137">
        <v>6.6066066066066007E-2</v>
      </c>
      <c r="E137">
        <v>7.1999999999999995E-2</v>
      </c>
      <c r="F137">
        <v>6.5868263473053898E-2</v>
      </c>
      <c r="G137">
        <v>8.4084084084083993E-2</v>
      </c>
      <c r="H137">
        <v>6.0606060606060601E-2</v>
      </c>
      <c r="I137">
        <v>7.4666666666666603E-2</v>
      </c>
      <c r="J137">
        <v>0.06</v>
      </c>
      <c r="K137">
        <v>6.6666666666666596E-2</v>
      </c>
      <c r="L137">
        <v>6.1333333333333302E-2</v>
      </c>
      <c r="M137">
        <v>7.4766355140186896E-2</v>
      </c>
      <c r="N137">
        <v>5.1282051282051197E-2</v>
      </c>
      <c r="O137">
        <v>7.9254079254079193E-2</v>
      </c>
      <c r="P137">
        <v>3.2000000000000001E-2</v>
      </c>
      <c r="Q137">
        <v>-3.2710280373831703E-2</v>
      </c>
      <c r="R137">
        <v>5.3999999999999999E-2</v>
      </c>
      <c r="S137">
        <v>9.34579439252336E-2</v>
      </c>
    </row>
    <row r="138" spans="1:26" x14ac:dyDescent="0.25">
      <c r="B138" t="s">
        <v>7</v>
      </c>
      <c r="C138">
        <v>-3.9039039039038999E-2</v>
      </c>
      <c r="D138">
        <v>2.6666666666666599E-2</v>
      </c>
      <c r="E138">
        <v>-6.9333333333333302E-2</v>
      </c>
      <c r="F138">
        <v>2.1021021021020998E-2</v>
      </c>
      <c r="G138">
        <v>-0.144144144144144</v>
      </c>
      <c r="H138">
        <v>2.1333333333333301E-2</v>
      </c>
      <c r="I138">
        <v>-7.8078078078077998E-2</v>
      </c>
      <c r="J138">
        <v>-0.17066666666666599</v>
      </c>
      <c r="K138">
        <v>-1.7333333333333301E-2</v>
      </c>
      <c r="L138">
        <v>2.09580838323353E-2</v>
      </c>
      <c r="M138">
        <v>-9.8130841121495296E-2</v>
      </c>
      <c r="N138">
        <v>-1.06666666666666E-2</v>
      </c>
      <c r="O138">
        <v>9.3240093240093205E-3</v>
      </c>
      <c r="P138">
        <v>-0.38571428571428501</v>
      </c>
      <c r="Q138">
        <v>0.19800000000000001</v>
      </c>
      <c r="R138">
        <v>0.146666666666666</v>
      </c>
      <c r="S138">
        <v>1</v>
      </c>
    </row>
    <row r="139" spans="1:26" x14ac:dyDescent="0.25">
      <c r="A139" t="str">
        <f>"Game" &amp; (ROW(A139) - 1)/3  + 1</f>
        <v>Game47</v>
      </c>
    </row>
    <row r="140" spans="1:26" x14ac:dyDescent="0.25">
      <c r="B140" t="s">
        <v>7</v>
      </c>
      <c r="C140">
        <v>0.27027027027027001</v>
      </c>
      <c r="D140">
        <v>4.2042042042041997E-2</v>
      </c>
      <c r="E140">
        <v>6.3063063063063002E-2</v>
      </c>
      <c r="F140">
        <v>3.0030030030029999E-2</v>
      </c>
      <c r="G140">
        <v>9.90990990990991E-2</v>
      </c>
      <c r="H140">
        <v>-4.2666666666666603E-2</v>
      </c>
      <c r="I140">
        <v>3.2000000000000001E-2</v>
      </c>
      <c r="J140">
        <v>-0.104</v>
      </c>
      <c r="K140">
        <v>1.7999999999999999E-2</v>
      </c>
      <c r="L140">
        <v>-3.2634032634032598E-2</v>
      </c>
      <c r="M140">
        <v>-8.5333333333333303E-2</v>
      </c>
      <c r="N140">
        <v>-8.2000000000000003E-2</v>
      </c>
      <c r="O140">
        <v>0.114</v>
      </c>
      <c r="P140">
        <v>0</v>
      </c>
      <c r="Q140">
        <v>-0.123831775700934</v>
      </c>
      <c r="R140">
        <v>0.28846153846153799</v>
      </c>
      <c r="S140">
        <v>1</v>
      </c>
    </row>
    <row r="141" spans="1:26" x14ac:dyDescent="0.25">
      <c r="B141" t="s">
        <v>4</v>
      </c>
      <c r="C141">
        <v>6.0060060060059997E-2</v>
      </c>
      <c r="D141">
        <v>2.6666666666666599E-2</v>
      </c>
      <c r="E141">
        <v>1.49700598802395E-2</v>
      </c>
      <c r="F141">
        <v>2.3310023310023301E-2</v>
      </c>
      <c r="G141">
        <v>4.5333333333333302E-2</v>
      </c>
      <c r="H141">
        <v>7.7333333333333296E-2</v>
      </c>
      <c r="I141">
        <v>9.5794392523364399E-2</v>
      </c>
      <c r="J141">
        <v>5.7057057057056999E-2</v>
      </c>
      <c r="K141">
        <v>7.4666666666666603E-2</v>
      </c>
      <c r="L141">
        <v>6.5268065268065195E-2</v>
      </c>
      <c r="M141">
        <v>6.2874251497005901E-2</v>
      </c>
      <c r="N141">
        <v>7.4592074592074495E-2</v>
      </c>
      <c r="O141">
        <v>-2.4E-2</v>
      </c>
      <c r="P141">
        <v>7.1999999999999995E-2</v>
      </c>
      <c r="Q141">
        <v>0.05</v>
      </c>
      <c r="R141">
        <v>7.1999999999999995E-2</v>
      </c>
    </row>
    <row r="142" spans="1:26" x14ac:dyDescent="0.25">
      <c r="A142" t="str">
        <f>"Game" &amp; (ROW(A142) - 1)/3  + 1</f>
        <v>Game48</v>
      </c>
    </row>
    <row r="143" spans="1:26" x14ac:dyDescent="0.25">
      <c r="B143" t="s">
        <v>4</v>
      </c>
      <c r="C143">
        <v>0.27027027027027001</v>
      </c>
      <c r="D143">
        <v>4.8000000000000001E-2</v>
      </c>
      <c r="E143">
        <v>6.9333333333333302E-2</v>
      </c>
      <c r="F143">
        <v>3.03738317757009E-2</v>
      </c>
      <c r="G143">
        <v>4.5333333333333302E-2</v>
      </c>
      <c r="H143">
        <v>5.0898203592814301E-2</v>
      </c>
      <c r="I143">
        <v>9.0666666666666604E-2</v>
      </c>
      <c r="J143">
        <v>6.2874251497005901E-2</v>
      </c>
      <c r="K143">
        <v>6.07476635514018E-2</v>
      </c>
      <c r="L143">
        <v>6.0060060060059997E-2</v>
      </c>
      <c r="M143">
        <v>6.07476635514018E-2</v>
      </c>
      <c r="N143">
        <v>6.4000000000000001E-2</v>
      </c>
      <c r="O143">
        <v>9.375E-2</v>
      </c>
      <c r="P143">
        <v>5.1401869158878503E-2</v>
      </c>
      <c r="Q143">
        <v>8.2000000000000003E-2</v>
      </c>
      <c r="R143">
        <v>6.3333333333333297E-2</v>
      </c>
      <c r="S143">
        <v>4.2666666666666603E-2</v>
      </c>
      <c r="T143">
        <v>7.69230769230769E-2</v>
      </c>
    </row>
    <row r="144" spans="1:26" x14ac:dyDescent="0.25">
      <c r="B144" t="s">
        <v>7</v>
      </c>
      <c r="C144">
        <v>-0.140718562874251</v>
      </c>
      <c r="D144">
        <v>-4.1916167664670601E-2</v>
      </c>
      <c r="E144">
        <v>-0.125748502994011</v>
      </c>
      <c r="F144">
        <v>-8.7087087087086998E-2</v>
      </c>
      <c r="G144">
        <v>-0.10280373831775701</v>
      </c>
      <c r="H144">
        <v>8.0000000000000002E-3</v>
      </c>
      <c r="I144">
        <v>-5.8275058275058203E-2</v>
      </c>
      <c r="J144">
        <v>-7.1999999999999995E-2</v>
      </c>
      <c r="K144">
        <v>-8.4084084084083993E-2</v>
      </c>
      <c r="L144">
        <v>-1.3333333333333299E-2</v>
      </c>
      <c r="M144">
        <v>-5.8275058275058203E-2</v>
      </c>
      <c r="N144">
        <v>3.5999999999999997E-2</v>
      </c>
      <c r="O144">
        <v>-1.06666666666666E-2</v>
      </c>
      <c r="P144">
        <v>-9.6000000000000002E-2</v>
      </c>
      <c r="Q144">
        <v>-7.0000000000000007E-2</v>
      </c>
      <c r="R144">
        <v>-3.7333333333333302E-2</v>
      </c>
      <c r="S144">
        <v>0.28155339805825202</v>
      </c>
      <c r="T144">
        <v>1</v>
      </c>
    </row>
    <row r="145" spans="1:24" x14ac:dyDescent="0.25">
      <c r="A145" t="str">
        <f>"Game" &amp; (ROW(A145) - 1)/3  + 1</f>
        <v>Game49</v>
      </c>
    </row>
    <row r="146" spans="1:24" x14ac:dyDescent="0.25">
      <c r="B146" t="s">
        <v>7</v>
      </c>
      <c r="C146">
        <v>0.162162162162162</v>
      </c>
      <c r="D146">
        <v>3.0030030030029999E-2</v>
      </c>
      <c r="E146">
        <v>4.8000000000000001E-2</v>
      </c>
      <c r="F146">
        <v>2.7027027027027001E-2</v>
      </c>
      <c r="G146">
        <v>0</v>
      </c>
      <c r="H146">
        <v>1.8666666666666599E-2</v>
      </c>
      <c r="I146">
        <v>-8.7999999999999995E-2</v>
      </c>
      <c r="J146">
        <v>8.3916083916083906E-2</v>
      </c>
      <c r="K146">
        <v>-3.2000000000000001E-2</v>
      </c>
      <c r="L146">
        <v>2.3310023310023301E-2</v>
      </c>
      <c r="M146">
        <v>5.8411214953271E-2</v>
      </c>
      <c r="N146">
        <v>3.4666666666666603E-2</v>
      </c>
      <c r="O146">
        <v>-0.14018691588785001</v>
      </c>
      <c r="P146">
        <v>4.0000000000000001E-3</v>
      </c>
      <c r="Q146">
        <v>-1.46666666666666E-2</v>
      </c>
      <c r="R146">
        <v>-0.01</v>
      </c>
      <c r="S146">
        <v>-1.6355140186915799E-2</v>
      </c>
      <c r="T146">
        <v>0.11799999999999999</v>
      </c>
      <c r="U146">
        <v>0.25225225225225201</v>
      </c>
      <c r="V146">
        <v>1</v>
      </c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C122" r:id="rId1" display="webpack://src/app/services/game/game.service.ts" xr:uid="{00000000-0004-0000-0200-000000000000}"/>
    <hyperlink ref="DR3" r:id="rId2" display="webpack://src/app/services/game/game.service.ts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sheetPr codeName="Sheet5"/>
  <dimension ref="A1:O51"/>
  <sheetViews>
    <sheetView workbookViewId="0">
      <selection sqref="A1:C51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COUNTIF(Good_dad_80_20_vs_random[Winner],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20</v>
      </c>
      <c r="G5">
        <f>COUNTIF(Good_dad_80_20_vs_random[Winner],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COUNTIF(Good_dad_80_20_vs_random[Winner],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sheetPr codeName="Sheet6"/>
  <dimension ref="A1:O51"/>
  <sheetViews>
    <sheetView topLeftCell="A5" workbookViewId="0">
      <selection activeCell="E5" sqref="E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F6)</f>
        <v>7</v>
      </c>
      <c r="J6" t="s">
        <v>17</v>
      </c>
      <c r="K6">
        <f>COUNTIFS(C:C,J6,A:A,J$4)</f>
        <v>1</v>
      </c>
      <c r="N6" t="s">
        <v>17</v>
      </c>
      <c r="O6">
        <f>COUNTIFS(A:A,N$5,C:C,N6)</f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sheetPr codeName="Sheet7"/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>COUNTIF(C:C, F6)</f>
        <v>4</v>
      </c>
      <c r="J6" t="s">
        <v>17</v>
      </c>
      <c r="K6">
        <f>COUNTIFS(C:C,J6,A:A,J$4)</f>
        <v>1</v>
      </c>
      <c r="N6" t="s">
        <v>17</v>
      </c>
      <c r="O6">
        <f>COUNTIFS(A:A,N$5,C:C,N6)</f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Z36"/>
  <sheetViews>
    <sheetView topLeftCell="MP33" workbookViewId="0">
      <selection activeCell="CD11" sqref="CD11"/>
    </sheetView>
  </sheetViews>
  <sheetFormatPr defaultRowHeight="15" x14ac:dyDescent="0.25"/>
  <cols>
    <col min="352" max="352" width="10.7109375" customWidth="1"/>
    <col min="353" max="353" width="11.28515625" customWidth="1"/>
    <col min="355" max="355" width="10.140625" customWidth="1"/>
    <col min="356" max="356" width="9.7109375" customWidth="1"/>
    <col min="357" max="358" width="9.140625" customWidth="1"/>
    <col min="359" max="359" width="15.85546875" customWidth="1"/>
    <col min="360" max="360" width="12.7109375" customWidth="1"/>
    <col min="361" max="361" width="13.28515625" customWidth="1"/>
    <col min="363" max="363" width="13.7109375" customWidth="1"/>
    <col min="364" max="364" width="13" customWidth="1"/>
  </cols>
  <sheetData>
    <row r="1" spans="1:364" x14ac:dyDescent="0.25">
      <c r="A1" t="str">
        <f>"Game" &amp; (COLUMN(A1) - 1)/3  + 1</f>
        <v>Game1</v>
      </c>
      <c r="C1" t="s">
        <v>30</v>
      </c>
      <c r="D1" t="s">
        <v>30</v>
      </c>
      <c r="F1" t="s">
        <v>31</v>
      </c>
      <c r="G1" t="s">
        <v>31</v>
      </c>
      <c r="H1" t="str">
        <f>"Game" &amp; (COLUMN(H1) - 1)/7  + 1</f>
        <v>Game2</v>
      </c>
      <c r="J1" t="s">
        <v>30</v>
      </c>
      <c r="K1" t="s">
        <v>30</v>
      </c>
      <c r="M1" t="s">
        <v>31</v>
      </c>
      <c r="N1" t="s">
        <v>31</v>
      </c>
      <c r="O1" t="str">
        <f>"Game" &amp; (COLUMN(O1) - 1)/7  + 1</f>
        <v>Game3</v>
      </c>
      <c r="Q1" t="s">
        <v>30</v>
      </c>
      <c r="R1" t="s">
        <v>30</v>
      </c>
      <c r="T1" t="s">
        <v>31</v>
      </c>
      <c r="U1" t="s">
        <v>31</v>
      </c>
      <c r="V1" t="str">
        <f>"Game" &amp; (COLUMN(V1) - 1)/7  + 1</f>
        <v>Game4</v>
      </c>
      <c r="X1" t="s">
        <v>30</v>
      </c>
      <c r="Y1" t="s">
        <v>30</v>
      </c>
      <c r="AA1" t="s">
        <v>31</v>
      </c>
      <c r="AB1" t="s">
        <v>31</v>
      </c>
      <c r="AC1" t="str">
        <f>"Game" &amp; (COLUMN(AC1) - 1)/7  + 1</f>
        <v>Game5</v>
      </c>
      <c r="AE1" t="s">
        <v>30</v>
      </c>
      <c r="AF1" t="s">
        <v>30</v>
      </c>
      <c r="AH1" t="s">
        <v>31</v>
      </c>
      <c r="AI1" t="s">
        <v>31</v>
      </c>
      <c r="AJ1" t="str">
        <f>"Game" &amp; (COLUMN(AJ1) - 1)/7  + 1</f>
        <v>Game6</v>
      </c>
      <c r="AL1" t="s">
        <v>30</v>
      </c>
      <c r="AM1" t="s">
        <v>30</v>
      </c>
      <c r="AO1" t="s">
        <v>31</v>
      </c>
      <c r="AP1" t="s">
        <v>31</v>
      </c>
      <c r="AQ1" t="str">
        <f>"Game" &amp; (COLUMN(AQ1) - 1)/7  + 1</f>
        <v>Game7</v>
      </c>
      <c r="AS1" t="s">
        <v>30</v>
      </c>
      <c r="AT1" t="s">
        <v>30</v>
      </c>
      <c r="AV1" t="s">
        <v>31</v>
      </c>
      <c r="AW1" t="s">
        <v>31</v>
      </c>
      <c r="AX1" t="str">
        <f>"Game" &amp; (COLUMN(AX1) - 1)/7  + 1</f>
        <v>Game8</v>
      </c>
      <c r="AZ1" t="s">
        <v>30</v>
      </c>
      <c r="BA1" t="s">
        <v>30</v>
      </c>
      <c r="BC1" t="s">
        <v>31</v>
      </c>
      <c r="BD1" t="s">
        <v>31</v>
      </c>
      <c r="BE1" t="str">
        <f>"Game" &amp; (COLUMN(BE1) - 1)/7  + 1</f>
        <v>Game9</v>
      </c>
      <c r="BG1" t="s">
        <v>30</v>
      </c>
      <c r="BH1" t="s">
        <v>30</v>
      </c>
      <c r="BJ1" t="s">
        <v>31</v>
      </c>
      <c r="BK1" t="s">
        <v>31</v>
      </c>
      <c r="BL1" t="str">
        <f>"Game" &amp; (COLUMN(BL1) - 1)/7  + 1</f>
        <v>Game10</v>
      </c>
      <c r="BN1" t="s">
        <v>30</v>
      </c>
      <c r="BO1" t="s">
        <v>30</v>
      </c>
      <c r="BQ1" t="s">
        <v>31</v>
      </c>
      <c r="BR1" t="s">
        <v>31</v>
      </c>
      <c r="BS1" t="str">
        <f>"Game" &amp; (COLUMN(BS1) - 1)/7  + 1</f>
        <v>Game11</v>
      </c>
      <c r="BU1" t="s">
        <v>30</v>
      </c>
      <c r="BV1" t="s">
        <v>30</v>
      </c>
      <c r="BX1" t="s">
        <v>31</v>
      </c>
      <c r="BY1" t="s">
        <v>31</v>
      </c>
      <c r="BZ1" t="str">
        <f>"Game" &amp; (COLUMN(BZ1) - 1)/7  + 1</f>
        <v>Game12</v>
      </c>
      <c r="CB1" t="s">
        <v>30</v>
      </c>
      <c r="CC1" t="s">
        <v>30</v>
      </c>
      <c r="CE1" t="s">
        <v>31</v>
      </c>
      <c r="CF1" t="s">
        <v>31</v>
      </c>
      <c r="CG1" t="str">
        <f>"Game" &amp; (COLUMN(CG1) - 1)/7  + 1</f>
        <v>Game13</v>
      </c>
      <c r="CI1" t="s">
        <v>30</v>
      </c>
      <c r="CJ1" t="s">
        <v>30</v>
      </c>
      <c r="CL1" t="s">
        <v>31</v>
      </c>
      <c r="CM1" t="s">
        <v>31</v>
      </c>
      <c r="CN1" t="str">
        <f>"Game" &amp; (COLUMN(CN1) - 1)/7  + 1</f>
        <v>Game14</v>
      </c>
      <c r="CP1" t="s">
        <v>30</v>
      </c>
      <c r="CQ1" t="s">
        <v>30</v>
      </c>
      <c r="CS1" t="s">
        <v>31</v>
      </c>
      <c r="CT1" t="s">
        <v>31</v>
      </c>
      <c r="CU1" t="str">
        <f>"Game" &amp; (COLUMN(CU1) - 1)/7  + 1</f>
        <v>Game15</v>
      </c>
      <c r="CW1" t="s">
        <v>30</v>
      </c>
      <c r="CX1" t="s">
        <v>30</v>
      </c>
      <c r="CZ1" t="s">
        <v>31</v>
      </c>
      <c r="DA1" t="s">
        <v>31</v>
      </c>
      <c r="DB1" t="str">
        <f>"Game" &amp; (COLUMN(DB1) - 1)/7  + 1</f>
        <v>Game16</v>
      </c>
      <c r="DD1" t="s">
        <v>30</v>
      </c>
      <c r="DE1" t="s">
        <v>30</v>
      </c>
      <c r="DG1" t="s">
        <v>31</v>
      </c>
      <c r="DH1" t="s">
        <v>31</v>
      </c>
      <c r="DI1" t="str">
        <f>"Game" &amp; (COLUMN(DI1) - 1)/7  + 1</f>
        <v>Game17</v>
      </c>
      <c r="DK1" t="s">
        <v>30</v>
      </c>
      <c r="DL1" t="s">
        <v>30</v>
      </c>
      <c r="DN1" t="s">
        <v>31</v>
      </c>
      <c r="DO1" t="s">
        <v>31</v>
      </c>
      <c r="DP1" t="str">
        <f>"Game" &amp; (COLUMN(DP1) - 1)/7  + 1</f>
        <v>Game18</v>
      </c>
      <c r="DR1" t="s">
        <v>30</v>
      </c>
      <c r="DS1" t="s">
        <v>30</v>
      </c>
      <c r="DU1" t="s">
        <v>31</v>
      </c>
      <c r="DV1" t="s">
        <v>31</v>
      </c>
      <c r="DW1" t="str">
        <f>"Game" &amp; (COLUMN(DW1) - 1)/7  + 1</f>
        <v>Game19</v>
      </c>
      <c r="DY1" t="s">
        <v>30</v>
      </c>
      <c r="DZ1" t="s">
        <v>30</v>
      </c>
      <c r="EB1" t="s">
        <v>31</v>
      </c>
      <c r="EC1" t="s">
        <v>31</v>
      </c>
      <c r="ED1" t="str">
        <f>"Game" &amp; (COLUMN(ED1) - 1)/7  + 1</f>
        <v>Game20</v>
      </c>
      <c r="EF1" t="s">
        <v>30</v>
      </c>
      <c r="EG1" t="s">
        <v>30</v>
      </c>
      <c r="EI1" t="s">
        <v>31</v>
      </c>
      <c r="EJ1" t="s">
        <v>31</v>
      </c>
      <c r="EK1" t="str">
        <f>"Game" &amp; (COLUMN(EK1) - 1)/7  + 1</f>
        <v>Game21</v>
      </c>
      <c r="EM1" t="s">
        <v>30</v>
      </c>
      <c r="EN1" t="s">
        <v>30</v>
      </c>
      <c r="EP1" t="s">
        <v>31</v>
      </c>
      <c r="EQ1" t="s">
        <v>31</v>
      </c>
      <c r="ER1" t="str">
        <f>"Game" &amp; (COLUMN(ER1) - 1)/7  + 1</f>
        <v>Game22</v>
      </c>
      <c r="ET1" t="s">
        <v>30</v>
      </c>
      <c r="EU1" t="s">
        <v>30</v>
      </c>
      <c r="EW1" t="s">
        <v>31</v>
      </c>
      <c r="EX1" t="s">
        <v>31</v>
      </c>
      <c r="EY1" t="str">
        <f>"Game" &amp; (COLUMN(EY1) - 1)/7  + 1</f>
        <v>Game23</v>
      </c>
      <c r="FA1" t="s">
        <v>30</v>
      </c>
      <c r="FB1" t="s">
        <v>30</v>
      </c>
      <c r="FD1" t="s">
        <v>31</v>
      </c>
      <c r="FE1" t="s">
        <v>31</v>
      </c>
      <c r="FF1" t="str">
        <f>"Game" &amp; (COLUMN(FF1) - 1)/7  + 1</f>
        <v>Game24</v>
      </c>
      <c r="FH1" t="s">
        <v>30</v>
      </c>
      <c r="FI1" t="s">
        <v>30</v>
      </c>
      <c r="FK1" t="s">
        <v>31</v>
      </c>
      <c r="FL1" t="s">
        <v>31</v>
      </c>
      <c r="FM1" t="str">
        <f>"Game" &amp; (COLUMN(FM1) - 1)/7  + 1</f>
        <v>Game25</v>
      </c>
      <c r="FO1" t="s">
        <v>30</v>
      </c>
      <c r="FP1" t="s">
        <v>30</v>
      </c>
      <c r="FR1" t="s">
        <v>31</v>
      </c>
      <c r="FS1" t="s">
        <v>31</v>
      </c>
      <c r="FT1" t="str">
        <f>"Game" &amp; (COLUMN(FT1) - 1)/7  + 1</f>
        <v>Game26</v>
      </c>
      <c r="FV1" t="s">
        <v>30</v>
      </c>
      <c r="FW1" t="s">
        <v>30</v>
      </c>
      <c r="FY1" t="s">
        <v>31</v>
      </c>
      <c r="FZ1" t="s">
        <v>31</v>
      </c>
      <c r="GA1" t="str">
        <f>"Game" &amp; (COLUMN(GA1) - 1)/7  + 1</f>
        <v>Game27</v>
      </c>
      <c r="GC1" t="s">
        <v>30</v>
      </c>
      <c r="GD1" t="s">
        <v>30</v>
      </c>
      <c r="GF1" t="s">
        <v>31</v>
      </c>
      <c r="GG1" t="s">
        <v>31</v>
      </c>
      <c r="GH1" t="str">
        <f>"Game" &amp; (COLUMN(GH1) - 1)/7  + 1</f>
        <v>Game28</v>
      </c>
      <c r="GJ1" t="s">
        <v>30</v>
      </c>
      <c r="GK1" t="s">
        <v>30</v>
      </c>
      <c r="GM1" t="s">
        <v>31</v>
      </c>
      <c r="GN1" t="s">
        <v>31</v>
      </c>
      <c r="GO1" t="str">
        <f>"Game" &amp; (COLUMN(GO1) - 1)/7  + 1</f>
        <v>Game29</v>
      </c>
      <c r="GQ1" t="s">
        <v>30</v>
      </c>
      <c r="GR1" t="s">
        <v>30</v>
      </c>
      <c r="GT1" t="s">
        <v>31</v>
      </c>
      <c r="GU1" t="s">
        <v>31</v>
      </c>
      <c r="GV1" t="str">
        <f>"Game" &amp; (COLUMN(GV1) - 1)/7  + 1</f>
        <v>Game30</v>
      </c>
      <c r="GX1" t="s">
        <v>30</v>
      </c>
      <c r="GY1" t="s">
        <v>30</v>
      </c>
      <c r="HA1" t="s">
        <v>31</v>
      </c>
      <c r="HB1" t="s">
        <v>31</v>
      </c>
      <c r="HC1" t="str">
        <f>"Game" &amp; (COLUMN(HC1) - 1)/7  + 1</f>
        <v>Game31</v>
      </c>
      <c r="HE1" t="s">
        <v>30</v>
      </c>
      <c r="HF1" t="s">
        <v>30</v>
      </c>
      <c r="HH1" t="s">
        <v>31</v>
      </c>
      <c r="HI1" t="s">
        <v>31</v>
      </c>
      <c r="HJ1" t="str">
        <f>"Game" &amp; (COLUMN(HJ1) - 1)/7  + 1</f>
        <v>Game32</v>
      </c>
      <c r="HL1" t="s">
        <v>30</v>
      </c>
      <c r="HM1" t="s">
        <v>30</v>
      </c>
      <c r="HO1" t="s">
        <v>31</v>
      </c>
      <c r="HP1" t="s">
        <v>31</v>
      </c>
      <c r="HQ1" t="str">
        <f>"Game" &amp; (COLUMN(HQ1) - 1)/7  + 1</f>
        <v>Game33</v>
      </c>
      <c r="HS1" t="s">
        <v>30</v>
      </c>
      <c r="HT1" t="s">
        <v>30</v>
      </c>
      <c r="HV1" t="s">
        <v>31</v>
      </c>
      <c r="HW1" t="s">
        <v>31</v>
      </c>
      <c r="HX1" t="str">
        <f>"Game" &amp; (COLUMN(HX1) - 1)/7  + 1</f>
        <v>Game34</v>
      </c>
      <c r="HZ1" t="s">
        <v>30</v>
      </c>
      <c r="IA1" t="s">
        <v>30</v>
      </c>
      <c r="IC1" t="s">
        <v>31</v>
      </c>
      <c r="ID1" t="s">
        <v>31</v>
      </c>
      <c r="IE1" t="str">
        <f>"Game" &amp; (COLUMN(IE1) - 1)/7  + 1</f>
        <v>Game35</v>
      </c>
      <c r="IG1" t="s">
        <v>30</v>
      </c>
      <c r="IH1" t="s">
        <v>30</v>
      </c>
      <c r="IJ1" t="s">
        <v>31</v>
      </c>
      <c r="IK1" t="s">
        <v>31</v>
      </c>
      <c r="IL1" t="str">
        <f>"Game" &amp; (COLUMN(IL1) - 1)/7  + 1</f>
        <v>Game36</v>
      </c>
      <c r="IN1" t="s">
        <v>30</v>
      </c>
      <c r="IO1" t="s">
        <v>30</v>
      </c>
      <c r="IQ1" t="s">
        <v>31</v>
      </c>
      <c r="IR1" t="s">
        <v>31</v>
      </c>
      <c r="IS1" t="str">
        <f>"Game" &amp; (COLUMN(IS1) - 1)/7  + 1</f>
        <v>Game37</v>
      </c>
      <c r="IU1" t="s">
        <v>30</v>
      </c>
      <c r="IV1" t="s">
        <v>30</v>
      </c>
      <c r="IX1" t="s">
        <v>31</v>
      </c>
      <c r="IY1" t="s">
        <v>31</v>
      </c>
      <c r="IZ1" t="str">
        <f>"Game" &amp; (COLUMN(IZ1) - 1)/7  + 1</f>
        <v>Game38</v>
      </c>
      <c r="JB1" t="s">
        <v>30</v>
      </c>
      <c r="JC1" t="s">
        <v>30</v>
      </c>
      <c r="JE1" t="s">
        <v>31</v>
      </c>
      <c r="JF1" t="s">
        <v>31</v>
      </c>
      <c r="JG1" t="str">
        <f>"Game" &amp; (COLUMN(JG1) - 1)/7  + 1</f>
        <v>Game39</v>
      </c>
      <c r="JI1" t="s">
        <v>30</v>
      </c>
      <c r="JJ1" t="s">
        <v>30</v>
      </c>
      <c r="JL1" t="s">
        <v>31</v>
      </c>
      <c r="JM1" t="s">
        <v>31</v>
      </c>
      <c r="JN1" t="str">
        <f>"Game" &amp; (COLUMN(JN1) - 1)/7  + 1</f>
        <v>Game40</v>
      </c>
      <c r="JP1" t="s">
        <v>30</v>
      </c>
      <c r="JQ1" t="s">
        <v>30</v>
      </c>
      <c r="JS1" t="s">
        <v>31</v>
      </c>
      <c r="JT1" t="s">
        <v>31</v>
      </c>
      <c r="JU1" t="str">
        <f>"Game" &amp; (COLUMN(JU1) - 1)/7  + 1</f>
        <v>Game41</v>
      </c>
      <c r="JW1" t="s">
        <v>30</v>
      </c>
      <c r="JX1" t="s">
        <v>30</v>
      </c>
      <c r="JZ1" t="s">
        <v>31</v>
      </c>
      <c r="KA1" t="s">
        <v>31</v>
      </c>
      <c r="KB1" t="str">
        <f>"Game" &amp; (COLUMN(KB1) - 1)/7  + 1</f>
        <v>Game42</v>
      </c>
      <c r="KD1" t="s">
        <v>30</v>
      </c>
      <c r="KE1" t="s">
        <v>30</v>
      </c>
      <c r="KG1" t="s">
        <v>31</v>
      </c>
      <c r="KH1" t="s">
        <v>31</v>
      </c>
      <c r="KI1" t="str">
        <f>"Game" &amp; (COLUMN(KI1) - 1)/7  + 1</f>
        <v>Game43</v>
      </c>
      <c r="KK1" t="s">
        <v>30</v>
      </c>
      <c r="KL1" t="s">
        <v>30</v>
      </c>
      <c r="KN1" t="s">
        <v>31</v>
      </c>
      <c r="KO1" t="s">
        <v>31</v>
      </c>
      <c r="KP1" t="str">
        <f>"Game" &amp; (COLUMN(KP1) - 1)/7  + 1</f>
        <v>Game44</v>
      </c>
      <c r="KR1" t="s">
        <v>30</v>
      </c>
      <c r="KS1" t="s">
        <v>30</v>
      </c>
      <c r="KU1" t="s">
        <v>31</v>
      </c>
      <c r="KV1" t="s">
        <v>31</v>
      </c>
      <c r="KW1" t="str">
        <f>"Game" &amp; (COLUMN(KW1) - 1)/7  + 1</f>
        <v>Game45</v>
      </c>
      <c r="KY1" t="s">
        <v>30</v>
      </c>
      <c r="KZ1" t="s">
        <v>30</v>
      </c>
      <c r="LB1" t="s">
        <v>31</v>
      </c>
      <c r="LC1" t="s">
        <v>31</v>
      </c>
      <c r="LD1" t="str">
        <f>"Game" &amp; (COLUMN(LD1) - 1)/7  + 1</f>
        <v>Game46</v>
      </c>
      <c r="LF1" t="s">
        <v>30</v>
      </c>
      <c r="LG1" t="s">
        <v>30</v>
      </c>
      <c r="LI1" t="s">
        <v>31</v>
      </c>
      <c r="LJ1" t="s">
        <v>31</v>
      </c>
      <c r="LK1" t="str">
        <f>"Game" &amp; (COLUMN(LK1) - 1)/7  + 1</f>
        <v>Game47</v>
      </c>
      <c r="LM1" t="s">
        <v>30</v>
      </c>
      <c r="LN1" t="s">
        <v>30</v>
      </c>
      <c r="LP1" t="s">
        <v>31</v>
      </c>
      <c r="LQ1" t="s">
        <v>31</v>
      </c>
      <c r="LR1" t="str">
        <f>"Game" &amp; (COLUMN(LR1) - 1)/7  + 1</f>
        <v>Game48</v>
      </c>
      <c r="LT1" t="s">
        <v>30</v>
      </c>
      <c r="LU1" t="s">
        <v>30</v>
      </c>
      <c r="LW1" t="s">
        <v>31</v>
      </c>
      <c r="LX1" t="s">
        <v>31</v>
      </c>
      <c r="LY1" t="str">
        <f>"Game" &amp; (COLUMN(LY1) - 1)/7  + 1</f>
        <v>Game49</v>
      </c>
      <c r="MA1" t="s">
        <v>30</v>
      </c>
      <c r="MB1" t="s">
        <v>30</v>
      </c>
      <c r="MD1" t="s">
        <v>31</v>
      </c>
      <c r="ME1" t="s">
        <v>31</v>
      </c>
      <c r="MF1" t="str">
        <f>"Game" &amp; (COLUMN(MF1) - 1)/7  + 1</f>
        <v>Game50</v>
      </c>
      <c r="MH1" t="s">
        <v>30</v>
      </c>
      <c r="MI1" t="s">
        <v>30</v>
      </c>
      <c r="MK1" t="s">
        <v>31</v>
      </c>
      <c r="ML1" t="s">
        <v>31</v>
      </c>
    </row>
    <row r="2" spans="1:364" x14ac:dyDescent="0.25">
      <c r="C2" t="s">
        <v>1</v>
      </c>
      <c r="D2" t="s">
        <v>1</v>
      </c>
      <c r="F2" t="s">
        <v>4</v>
      </c>
      <c r="G2" t="s">
        <v>4</v>
      </c>
      <c r="J2" t="s">
        <v>4</v>
      </c>
      <c r="K2" t="s">
        <v>4</v>
      </c>
      <c r="M2" t="s">
        <v>1</v>
      </c>
      <c r="N2" t="s">
        <v>1</v>
      </c>
      <c r="Q2" t="s">
        <v>1</v>
      </c>
      <c r="R2" t="s">
        <v>1</v>
      </c>
      <c r="T2" t="s">
        <v>4</v>
      </c>
      <c r="U2" t="s">
        <v>4</v>
      </c>
      <c r="X2" t="s">
        <v>4</v>
      </c>
      <c r="Y2" t="s">
        <v>4</v>
      </c>
      <c r="AA2" t="s">
        <v>1</v>
      </c>
      <c r="AB2" t="s">
        <v>1</v>
      </c>
      <c r="AE2" t="s">
        <v>1</v>
      </c>
      <c r="AF2" t="s">
        <v>1</v>
      </c>
      <c r="AH2" t="s">
        <v>4</v>
      </c>
      <c r="AI2" t="s">
        <v>4</v>
      </c>
      <c r="AL2" t="s">
        <v>4</v>
      </c>
      <c r="AM2" t="s">
        <v>4</v>
      </c>
      <c r="AO2" t="s">
        <v>1</v>
      </c>
      <c r="AP2" t="s">
        <v>1</v>
      </c>
      <c r="AS2" t="s">
        <v>1</v>
      </c>
      <c r="AT2" t="s">
        <v>1</v>
      </c>
      <c r="AV2" t="s">
        <v>4</v>
      </c>
      <c r="AW2" t="s">
        <v>4</v>
      </c>
      <c r="AZ2" t="s">
        <v>4</v>
      </c>
      <c r="BA2" t="s">
        <v>4</v>
      </c>
      <c r="BC2" t="s">
        <v>1</v>
      </c>
      <c r="BD2" t="s">
        <v>1</v>
      </c>
      <c r="BG2" t="s">
        <v>1</v>
      </c>
      <c r="BH2" t="s">
        <v>1</v>
      </c>
      <c r="BJ2" t="s">
        <v>4</v>
      </c>
      <c r="BK2" t="s">
        <v>4</v>
      </c>
      <c r="BN2" t="s">
        <v>4</v>
      </c>
      <c r="BO2" t="s">
        <v>4</v>
      </c>
      <c r="BQ2" t="s">
        <v>1</v>
      </c>
      <c r="BR2" t="s">
        <v>1</v>
      </c>
      <c r="BU2" t="s">
        <v>1</v>
      </c>
      <c r="BV2" t="s">
        <v>1</v>
      </c>
      <c r="BX2" t="s">
        <v>4</v>
      </c>
      <c r="BY2" t="s">
        <v>4</v>
      </c>
      <c r="CB2" t="s">
        <v>4</v>
      </c>
      <c r="CC2" t="s">
        <v>4</v>
      </c>
      <c r="CE2" t="s">
        <v>1</v>
      </c>
      <c r="CF2" t="s">
        <v>1</v>
      </c>
      <c r="CI2" t="s">
        <v>1</v>
      </c>
      <c r="CJ2" t="s">
        <v>1</v>
      </c>
      <c r="CL2" t="s">
        <v>4</v>
      </c>
      <c r="CM2" t="s">
        <v>4</v>
      </c>
      <c r="CP2" t="s">
        <v>4</v>
      </c>
      <c r="CQ2" t="s">
        <v>4</v>
      </c>
      <c r="CS2" t="s">
        <v>1</v>
      </c>
      <c r="CT2" t="s">
        <v>1</v>
      </c>
      <c r="CW2" t="s">
        <v>1</v>
      </c>
      <c r="CX2" t="s">
        <v>1</v>
      </c>
      <c r="CZ2" t="s">
        <v>4</v>
      </c>
      <c r="DA2" t="s">
        <v>4</v>
      </c>
      <c r="DD2" t="s">
        <v>4</v>
      </c>
      <c r="DE2" t="s">
        <v>4</v>
      </c>
      <c r="DG2" t="s">
        <v>1</v>
      </c>
      <c r="DH2" t="s">
        <v>1</v>
      </c>
      <c r="DK2" t="s">
        <v>1</v>
      </c>
      <c r="DL2" t="s">
        <v>1</v>
      </c>
      <c r="DN2" t="s">
        <v>4</v>
      </c>
      <c r="DO2" t="s">
        <v>4</v>
      </c>
      <c r="DR2" t="s">
        <v>4</v>
      </c>
      <c r="DS2" t="s">
        <v>4</v>
      </c>
      <c r="DU2" t="s">
        <v>1</v>
      </c>
      <c r="DV2" t="s">
        <v>1</v>
      </c>
      <c r="DY2" t="s">
        <v>1</v>
      </c>
      <c r="DZ2" t="s">
        <v>1</v>
      </c>
      <c r="EB2" t="s">
        <v>4</v>
      </c>
      <c r="EC2" t="s">
        <v>4</v>
      </c>
      <c r="EF2" t="s">
        <v>4</v>
      </c>
      <c r="EG2" t="s">
        <v>4</v>
      </c>
      <c r="EI2" t="s">
        <v>1</v>
      </c>
      <c r="EJ2" t="s">
        <v>1</v>
      </c>
      <c r="EM2" t="s">
        <v>1</v>
      </c>
      <c r="EN2" t="s">
        <v>1</v>
      </c>
      <c r="EP2" t="s">
        <v>4</v>
      </c>
      <c r="EQ2" t="s">
        <v>4</v>
      </c>
      <c r="ET2" t="s">
        <v>4</v>
      </c>
      <c r="EU2" t="s">
        <v>4</v>
      </c>
      <c r="EW2" t="s">
        <v>1</v>
      </c>
      <c r="EX2" t="s">
        <v>1</v>
      </c>
      <c r="FA2" t="s">
        <v>1</v>
      </c>
      <c r="FB2" t="s">
        <v>1</v>
      </c>
      <c r="FD2" t="s">
        <v>4</v>
      </c>
      <c r="FE2" t="s">
        <v>4</v>
      </c>
      <c r="FH2" t="s">
        <v>4</v>
      </c>
      <c r="FI2" t="s">
        <v>4</v>
      </c>
      <c r="FK2" t="s">
        <v>1</v>
      </c>
      <c r="FL2" t="s">
        <v>1</v>
      </c>
      <c r="FO2" t="s">
        <v>1</v>
      </c>
      <c r="FP2" t="s">
        <v>1</v>
      </c>
      <c r="FR2" t="s">
        <v>4</v>
      </c>
      <c r="FS2" t="s">
        <v>4</v>
      </c>
      <c r="FV2" t="s">
        <v>4</v>
      </c>
      <c r="FW2" t="s">
        <v>4</v>
      </c>
      <c r="FY2" t="s">
        <v>1</v>
      </c>
      <c r="FZ2" t="s">
        <v>1</v>
      </c>
      <c r="GC2" t="s">
        <v>1</v>
      </c>
      <c r="GD2" t="s">
        <v>1</v>
      </c>
      <c r="GF2" t="s">
        <v>4</v>
      </c>
      <c r="GG2" t="s">
        <v>4</v>
      </c>
      <c r="GJ2" t="s">
        <v>4</v>
      </c>
      <c r="GK2" t="s">
        <v>4</v>
      </c>
      <c r="GM2" t="s">
        <v>1</v>
      </c>
      <c r="GN2" t="s">
        <v>1</v>
      </c>
      <c r="GQ2" t="s">
        <v>1</v>
      </c>
      <c r="GR2" t="s">
        <v>1</v>
      </c>
      <c r="GT2" t="s">
        <v>4</v>
      </c>
      <c r="GU2" t="s">
        <v>4</v>
      </c>
      <c r="GX2" t="s">
        <v>4</v>
      </c>
      <c r="GY2" t="s">
        <v>4</v>
      </c>
      <c r="HA2" t="s">
        <v>1</v>
      </c>
      <c r="HB2" t="s">
        <v>1</v>
      </c>
      <c r="HE2" t="s">
        <v>1</v>
      </c>
      <c r="HF2" t="s">
        <v>1</v>
      </c>
      <c r="HH2" t="s">
        <v>4</v>
      </c>
      <c r="HI2" t="s">
        <v>4</v>
      </c>
      <c r="HL2" t="s">
        <v>4</v>
      </c>
      <c r="HM2" t="s">
        <v>4</v>
      </c>
      <c r="HO2" t="s">
        <v>1</v>
      </c>
      <c r="HP2" t="s">
        <v>1</v>
      </c>
      <c r="HS2" t="s">
        <v>1</v>
      </c>
      <c r="HT2" t="s">
        <v>1</v>
      </c>
      <c r="HV2" t="s">
        <v>4</v>
      </c>
      <c r="HW2" t="s">
        <v>4</v>
      </c>
      <c r="HZ2" t="s">
        <v>4</v>
      </c>
      <c r="IA2" t="s">
        <v>4</v>
      </c>
      <c r="IC2" t="s">
        <v>1</v>
      </c>
      <c r="ID2" t="s">
        <v>1</v>
      </c>
      <c r="IG2" t="s">
        <v>1</v>
      </c>
      <c r="IH2" t="s">
        <v>1</v>
      </c>
      <c r="IJ2" t="s">
        <v>4</v>
      </c>
      <c r="IK2" t="s">
        <v>4</v>
      </c>
      <c r="IN2" t="s">
        <v>4</v>
      </c>
      <c r="IO2" t="s">
        <v>4</v>
      </c>
      <c r="IQ2" t="s">
        <v>1</v>
      </c>
      <c r="IR2" t="s">
        <v>1</v>
      </c>
      <c r="IU2" t="s">
        <v>1</v>
      </c>
      <c r="IV2" t="s">
        <v>1</v>
      </c>
      <c r="IX2" t="s">
        <v>4</v>
      </c>
      <c r="IY2" t="s">
        <v>4</v>
      </c>
      <c r="JB2" t="s">
        <v>4</v>
      </c>
      <c r="JC2" t="s">
        <v>4</v>
      </c>
      <c r="JE2" t="s">
        <v>1</v>
      </c>
      <c r="JF2" t="s">
        <v>1</v>
      </c>
      <c r="JI2" t="s">
        <v>1</v>
      </c>
      <c r="JJ2" t="s">
        <v>1</v>
      </c>
      <c r="JL2" t="s">
        <v>4</v>
      </c>
      <c r="JM2" t="s">
        <v>4</v>
      </c>
      <c r="JP2" t="s">
        <v>4</v>
      </c>
      <c r="JQ2" t="s">
        <v>4</v>
      </c>
      <c r="JS2" t="s">
        <v>1</v>
      </c>
      <c r="JT2" t="s">
        <v>1</v>
      </c>
      <c r="JW2" t="s">
        <v>1</v>
      </c>
      <c r="JX2" t="s">
        <v>1</v>
      </c>
      <c r="JZ2" t="s">
        <v>4</v>
      </c>
      <c r="KA2" t="s">
        <v>4</v>
      </c>
      <c r="KD2" t="s">
        <v>4</v>
      </c>
      <c r="KE2" t="s">
        <v>4</v>
      </c>
      <c r="KG2" t="s">
        <v>1</v>
      </c>
      <c r="KH2" t="s">
        <v>1</v>
      </c>
      <c r="KK2" t="s">
        <v>1</v>
      </c>
      <c r="KL2" t="s">
        <v>1</v>
      </c>
      <c r="KN2" t="s">
        <v>4</v>
      </c>
      <c r="KO2" t="s">
        <v>4</v>
      </c>
      <c r="KR2" t="s">
        <v>4</v>
      </c>
      <c r="KS2" t="s">
        <v>4</v>
      </c>
      <c r="KU2" t="s">
        <v>1</v>
      </c>
      <c r="KV2" t="s">
        <v>1</v>
      </c>
      <c r="KY2" t="s">
        <v>1</v>
      </c>
      <c r="KZ2" t="s">
        <v>1</v>
      </c>
      <c r="LB2" t="s">
        <v>4</v>
      </c>
      <c r="LC2" t="s">
        <v>4</v>
      </c>
      <c r="LF2" t="s">
        <v>4</v>
      </c>
      <c r="LG2" t="s">
        <v>4</v>
      </c>
      <c r="LI2" t="s">
        <v>1</v>
      </c>
      <c r="LJ2" t="s">
        <v>1</v>
      </c>
      <c r="LM2" t="s">
        <v>1</v>
      </c>
      <c r="LN2" t="s">
        <v>1</v>
      </c>
      <c r="LP2" t="s">
        <v>4</v>
      </c>
      <c r="LQ2" t="s">
        <v>4</v>
      </c>
      <c r="LT2" t="s">
        <v>4</v>
      </c>
      <c r="LU2" t="s">
        <v>4</v>
      </c>
      <c r="LW2" t="s">
        <v>1</v>
      </c>
      <c r="LX2" t="s">
        <v>1</v>
      </c>
      <c r="MA2" t="s">
        <v>1</v>
      </c>
      <c r="MB2" t="s">
        <v>1</v>
      </c>
      <c r="MD2" t="s">
        <v>4</v>
      </c>
      <c r="ME2" t="s">
        <v>4</v>
      </c>
      <c r="MH2" t="s">
        <v>4</v>
      </c>
      <c r="MI2" t="s">
        <v>4</v>
      </c>
      <c r="MK2" t="s">
        <v>1</v>
      </c>
      <c r="ML2" t="s">
        <v>1</v>
      </c>
      <c r="MN2" t="s">
        <v>30</v>
      </c>
      <c r="MO2" t="s">
        <v>30</v>
      </c>
      <c r="MQ2" t="s">
        <v>31</v>
      </c>
      <c r="MR2" t="s">
        <v>31</v>
      </c>
      <c r="MV2" s="2" t="s">
        <v>69</v>
      </c>
      <c r="MW2" s="2"/>
      <c r="MY2" s="2" t="s">
        <v>73</v>
      </c>
      <c r="MZ2" s="2"/>
    </row>
    <row r="3" spans="1:364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  <c r="MN3" t="s">
        <v>28</v>
      </c>
      <c r="MO3" t="s">
        <v>29</v>
      </c>
      <c r="MQ3" t="s">
        <v>28</v>
      </c>
      <c r="MR3" t="s">
        <v>29</v>
      </c>
      <c r="MU3" t="s">
        <v>70</v>
      </c>
      <c r="MV3" t="s">
        <v>71</v>
      </c>
      <c r="MW3" t="s">
        <v>72</v>
      </c>
      <c r="MY3" t="s">
        <v>71</v>
      </c>
      <c r="MZ3" t="s">
        <v>72</v>
      </c>
    </row>
    <row r="4" spans="1:364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  <c r="MN4">
        <f t="shared" ref="MN4:MN33" si="0">SUMIFS($C4:$ML4, $C$3:$ML$3,"=High", $C$2:$ML$2,"=MCTS", $C$1:$ML$1, "=Player1")/COUNTIFS($C4:$ML4, "&lt;&gt;"&amp;"", $C$3:$ML$3,"=High", $C$2:$ML$2,"=MCTS", $C$1:$ML$1, "=Player1")</f>
        <v>0.39954480796586028</v>
      </c>
      <c r="MO4">
        <f t="shared" ref="MO4:MO33" si="1">SUMIFS($C4:$ML4, $C$3:$ML$3,"=Low", $C$2:$ML$2,"=MCTS", $C$1:$ML$1, "=Player1")/COUNTIFS($C4:$ML4, "&lt;&gt;"&amp;"", $C$3:$ML$3,"=Low", $C$2:$ML$2,"=MCTS", $C$1:$ML$1, "=Player1")</f>
        <v>-0.32432432432432406</v>
      </c>
      <c r="MQ4">
        <f t="shared" ref="MQ4:MQ34" si="2">SUMIFS($C4:$ML4, $C$3:$ML$3,"=High", $C$2:$ML$2,"=MCTS", $C$1:$ML$1, "=Player2")/COUNTIFS($C4:$ML4, "&lt;&gt;"&amp;"", $C$3:$ML$3,"=High", $C$2:$ML$2,"=MCTS", $C$1:$ML$1, "=Player1")</f>
        <v>1.5663686680692641E-2</v>
      </c>
      <c r="MR4">
        <f t="shared" ref="MR4:MR34" si="3">SUMIFS($C4:$ML4, $C$3:$ML$3,"=Low", $C$2:$ML$2,"=MCTS", $C$1:$ML$1, "=Player2")/COUNTIFS($C4:$ML4, "&lt;&gt;"&amp;"", $C$3:$ML$3,"=Low", $C$2:$ML$2,"=MCTS", $C$1:$ML$1, "=Player1")</f>
        <v>-0.11830082825340299</v>
      </c>
      <c r="MU4">
        <f>ROW(MU4)-3</f>
        <v>1</v>
      </c>
      <c r="MV4">
        <f>COUNTIFS($C4:$ML4, "&lt;&gt;"&amp;"", $C$3:$ML$3,"=High", $C$2:$ML$2,"=MCTS", $C$1:$ML$1, "=Player1")</f>
        <v>25</v>
      </c>
      <c r="MW4">
        <f>COUNTIFS($C4:$ML4, "&lt;&gt;"&amp;"", $C$3:$ML$3,"=High", $C$2:$ML$2,"=MCTS", $C$1:$ML$1, "=Player2")</f>
        <v>25</v>
      </c>
      <c r="MY4">
        <v>0</v>
      </c>
      <c r="MZ4">
        <v>0</v>
      </c>
    </row>
    <row r="5" spans="1:364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  <c r="MN5">
        <f t="shared" si="0"/>
        <v>0.13094845264426078</v>
      </c>
      <c r="MO5">
        <f t="shared" si="1"/>
        <v>-1.8390151588714446E-2</v>
      </c>
      <c r="MQ5">
        <f t="shared" si="2"/>
        <v>2.1764261027494534E-2</v>
      </c>
      <c r="MR5">
        <f t="shared" si="3"/>
        <v>-0.1230566240491987</v>
      </c>
      <c r="MU5">
        <f t="shared" ref="MU5:MU36" si="4">ROW(MU5)-3</f>
        <v>2</v>
      </c>
      <c r="MV5">
        <f t="shared" ref="MV5:MV35" si="5">COUNTIFS($C5:$ML5, "&lt;&gt;"&amp;"", $C$3:$ML$3,"=High", $C$2:$ML$2,"=MCTS", $C$1:$ML$1, "=Player1")</f>
        <v>25</v>
      </c>
      <c r="MW5">
        <f t="shared" ref="MW5:MW35" si="6">COUNTIFS($C5:$ML5, "&lt;&gt;"&amp;"", $C$3:$ML$3,"=High", $C$2:$ML$2,"=MCTS", $C$1:$ML$1, "=Player2")</f>
        <v>25</v>
      </c>
      <c r="MY5">
        <f>MV5-MV4</f>
        <v>0</v>
      </c>
      <c r="MZ5">
        <f>ABS(MW5-MW4)</f>
        <v>0</v>
      </c>
    </row>
    <row r="6" spans="1:364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  <c r="MN6">
        <f t="shared" si="0"/>
        <v>0.11401413181742896</v>
      </c>
      <c r="MO6">
        <f t="shared" si="1"/>
        <v>-1.4985232045830838E-2</v>
      </c>
      <c r="MQ6">
        <f t="shared" si="2"/>
        <v>1.0995287639898977E-2</v>
      </c>
      <c r="MR6">
        <f t="shared" si="3"/>
        <v>-0.12164290074393584</v>
      </c>
      <c r="MU6">
        <f t="shared" si="4"/>
        <v>3</v>
      </c>
      <c r="MV6">
        <f t="shared" si="5"/>
        <v>25</v>
      </c>
      <c r="MW6">
        <f t="shared" si="6"/>
        <v>25</v>
      </c>
      <c r="MY6">
        <f t="shared" ref="MY6:MY21" si="7">MV6-MV5</f>
        <v>0</v>
      </c>
      <c r="MZ6">
        <f t="shared" ref="MZ6:MZ36" si="8">ABS(MW6-MW5)</f>
        <v>0</v>
      </c>
    </row>
    <row r="7" spans="1:364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  <c r="MN7">
        <f t="shared" si="0"/>
        <v>0.11383578128242954</v>
      </c>
      <c r="MO7">
        <f t="shared" si="1"/>
        <v>-2.5240632530692371E-2</v>
      </c>
      <c r="MQ7">
        <f t="shared" si="2"/>
        <v>9.9754225512309284E-3</v>
      </c>
      <c r="MR7">
        <f t="shared" si="3"/>
        <v>-0.11267419077480278</v>
      </c>
      <c r="MU7">
        <f t="shared" si="4"/>
        <v>4</v>
      </c>
      <c r="MV7">
        <f t="shared" si="5"/>
        <v>25</v>
      </c>
      <c r="MW7">
        <f t="shared" si="6"/>
        <v>25</v>
      </c>
      <c r="MY7">
        <f t="shared" si="7"/>
        <v>0</v>
      </c>
      <c r="MZ7">
        <f t="shared" si="8"/>
        <v>0</v>
      </c>
    </row>
    <row r="8" spans="1:364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  <c r="MN8">
        <f t="shared" si="0"/>
        <v>0.11227397999866495</v>
      </c>
      <c r="MO8">
        <f t="shared" si="1"/>
        <v>-2.7689020931248202E-2</v>
      </c>
      <c r="MQ8">
        <f t="shared" si="2"/>
        <v>1.0087634767493737E-2</v>
      </c>
      <c r="MR8">
        <f t="shared" si="3"/>
        <v>-0.13425610424000015</v>
      </c>
      <c r="MU8">
        <f t="shared" si="4"/>
        <v>5</v>
      </c>
      <c r="MV8">
        <f t="shared" si="5"/>
        <v>25</v>
      </c>
      <c r="MW8">
        <f t="shared" si="6"/>
        <v>25</v>
      </c>
      <c r="MY8">
        <f t="shared" si="7"/>
        <v>0</v>
      </c>
      <c r="MZ8">
        <f t="shared" si="8"/>
        <v>0</v>
      </c>
    </row>
    <row r="9" spans="1:364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  <c r="MN9">
        <f t="shared" si="0"/>
        <v>0.12548843428329412</v>
      </c>
      <c r="MO9">
        <f t="shared" si="1"/>
        <v>-5.0780569307959753E-2</v>
      </c>
      <c r="MQ9">
        <f t="shared" si="2"/>
        <v>7.8941511469442314E-3</v>
      </c>
      <c r="MR9">
        <f t="shared" si="3"/>
        <v>-0.12125657360533605</v>
      </c>
      <c r="MU9">
        <f t="shared" si="4"/>
        <v>6</v>
      </c>
      <c r="MV9">
        <f t="shared" si="5"/>
        <v>25</v>
      </c>
      <c r="MW9">
        <f t="shared" si="6"/>
        <v>25</v>
      </c>
      <c r="MY9">
        <f t="shared" si="7"/>
        <v>0</v>
      </c>
      <c r="MZ9">
        <f t="shared" si="8"/>
        <v>0</v>
      </c>
    </row>
    <row r="10" spans="1:364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  <c r="MN10">
        <f t="shared" si="0"/>
        <v>0.13452785835377334</v>
      </c>
      <c r="MO10">
        <f t="shared" si="1"/>
        <v>-2.4215319120938866E-2</v>
      </c>
      <c r="MQ10">
        <f t="shared" si="2"/>
        <v>1.1549095764609739E-2</v>
      </c>
      <c r="MR10">
        <f t="shared" si="3"/>
        <v>-0.12809212590574187</v>
      </c>
      <c r="MU10">
        <f t="shared" si="4"/>
        <v>7</v>
      </c>
      <c r="MV10">
        <f t="shared" si="5"/>
        <v>25</v>
      </c>
      <c r="MW10">
        <f t="shared" si="6"/>
        <v>25</v>
      </c>
      <c r="MY10">
        <f t="shared" si="7"/>
        <v>0</v>
      </c>
      <c r="MZ10">
        <f t="shared" si="8"/>
        <v>0</v>
      </c>
    </row>
    <row r="11" spans="1:364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  <c r="MN11">
        <f t="shared" si="0"/>
        <v>0.137864758440298</v>
      </c>
      <c r="MO11">
        <f t="shared" si="1"/>
        <v>-3.2378365904584469E-2</v>
      </c>
      <c r="MQ11">
        <f t="shared" si="2"/>
        <v>3.5722407109161775E-2</v>
      </c>
      <c r="MR11">
        <f t="shared" si="3"/>
        <v>-0.1365573611098842</v>
      </c>
      <c r="MU11">
        <f t="shared" si="4"/>
        <v>8</v>
      </c>
      <c r="MV11">
        <f t="shared" si="5"/>
        <v>25</v>
      </c>
      <c r="MW11">
        <f t="shared" si="6"/>
        <v>25</v>
      </c>
      <c r="MY11">
        <f t="shared" si="7"/>
        <v>0</v>
      </c>
      <c r="MZ11">
        <f t="shared" si="8"/>
        <v>0</v>
      </c>
    </row>
    <row r="12" spans="1:364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  <c r="MN12">
        <f t="shared" si="0"/>
        <v>0.15123640168049871</v>
      </c>
      <c r="MO12">
        <f t="shared" si="1"/>
        <v>-1.3270521680591823E-2</v>
      </c>
      <c r="MQ12">
        <f t="shared" si="2"/>
        <v>2.74680652990053E-2</v>
      </c>
      <c r="MR12">
        <f t="shared" si="3"/>
        <v>-0.11826067199674654</v>
      </c>
      <c r="MU12">
        <f t="shared" si="4"/>
        <v>9</v>
      </c>
      <c r="MV12">
        <f t="shared" si="5"/>
        <v>25</v>
      </c>
      <c r="MW12">
        <f t="shared" si="6"/>
        <v>25</v>
      </c>
      <c r="MY12">
        <f t="shared" si="7"/>
        <v>0</v>
      </c>
      <c r="MZ12">
        <f t="shared" si="8"/>
        <v>0</v>
      </c>
    </row>
    <row r="13" spans="1:364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  <c r="MN13">
        <f t="shared" si="0"/>
        <v>0.14409244118963732</v>
      </c>
      <c r="MO13">
        <f t="shared" si="1"/>
        <v>-6.8843615841365701E-3</v>
      </c>
      <c r="MQ13">
        <f t="shared" si="2"/>
        <v>2.9114868974843194E-2</v>
      </c>
      <c r="MR13">
        <f t="shared" si="3"/>
        <v>-0.15378411477092457</v>
      </c>
      <c r="MU13">
        <f t="shared" si="4"/>
        <v>10</v>
      </c>
      <c r="MV13">
        <f t="shared" si="5"/>
        <v>25</v>
      </c>
      <c r="MW13">
        <f t="shared" si="6"/>
        <v>25</v>
      </c>
      <c r="MY13">
        <f t="shared" si="7"/>
        <v>0</v>
      </c>
      <c r="MZ13">
        <f t="shared" si="8"/>
        <v>0</v>
      </c>
    </row>
    <row r="14" spans="1:364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  <c r="MN14">
        <f t="shared" si="0"/>
        <v>0.14334929446929434</v>
      </c>
      <c r="MO14">
        <f t="shared" si="1"/>
        <v>-2.0879421695500864E-2</v>
      </c>
      <c r="MQ14">
        <f t="shared" si="2"/>
        <v>4.3988107095396786E-2</v>
      </c>
      <c r="MR14">
        <f t="shared" si="3"/>
        <v>-0.12993848855194631</v>
      </c>
      <c r="MU14">
        <f t="shared" si="4"/>
        <v>11</v>
      </c>
      <c r="MV14">
        <f t="shared" si="5"/>
        <v>25</v>
      </c>
      <c r="MW14">
        <f t="shared" si="6"/>
        <v>25</v>
      </c>
      <c r="MY14">
        <f t="shared" si="7"/>
        <v>0</v>
      </c>
      <c r="MZ14">
        <f t="shared" si="8"/>
        <v>0</v>
      </c>
    </row>
    <row r="15" spans="1:364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  <c r="MN15">
        <f t="shared" si="0"/>
        <v>0.12596056811806075</v>
      </c>
      <c r="MO15">
        <f t="shared" si="1"/>
        <v>-2.738586025015928E-2</v>
      </c>
      <c r="MQ15">
        <f t="shared" si="2"/>
        <v>3.7403468724590168E-2</v>
      </c>
      <c r="MR15">
        <f t="shared" si="3"/>
        <v>-0.11201668527561841</v>
      </c>
      <c r="MU15">
        <f t="shared" si="4"/>
        <v>12</v>
      </c>
      <c r="MV15">
        <f t="shared" si="5"/>
        <v>25</v>
      </c>
      <c r="MW15">
        <f t="shared" si="6"/>
        <v>25</v>
      </c>
      <c r="MY15">
        <f t="shared" si="7"/>
        <v>0</v>
      </c>
      <c r="MZ15">
        <f t="shared" si="8"/>
        <v>0</v>
      </c>
    </row>
    <row r="16" spans="1:364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  <c r="MN16">
        <f t="shared" si="0"/>
        <v>0.11969853510471118</v>
      </c>
      <c r="MO16">
        <f t="shared" si="1"/>
        <v>-7.7132815529051713E-2</v>
      </c>
      <c r="MQ16">
        <f t="shared" si="2"/>
        <v>6.8390304483416306E-2</v>
      </c>
      <c r="MR16">
        <f t="shared" si="3"/>
        <v>-0.15728166561717072</v>
      </c>
      <c r="MU16">
        <f t="shared" si="4"/>
        <v>13</v>
      </c>
      <c r="MV16">
        <f t="shared" si="5"/>
        <v>25</v>
      </c>
      <c r="MW16">
        <f t="shared" si="6"/>
        <v>25</v>
      </c>
      <c r="MY16">
        <f t="shared" si="7"/>
        <v>0</v>
      </c>
      <c r="MZ16">
        <f t="shared" si="8"/>
        <v>0</v>
      </c>
    </row>
    <row r="17" spans="3:364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  <c r="MN17">
        <f t="shared" si="0"/>
        <v>0.15272614948099997</v>
      </c>
      <c r="MO17">
        <f t="shared" si="1"/>
        <v>-7.8305431163505967E-2</v>
      </c>
      <c r="MQ17">
        <f t="shared" si="2"/>
        <v>6.9544511875438725E-2</v>
      </c>
      <c r="MR17">
        <f t="shared" si="3"/>
        <v>-0.12893953976364259</v>
      </c>
      <c r="MU17">
        <f t="shared" si="4"/>
        <v>14</v>
      </c>
      <c r="MV17">
        <f t="shared" si="5"/>
        <v>25</v>
      </c>
      <c r="MW17">
        <f t="shared" si="6"/>
        <v>25</v>
      </c>
      <c r="MY17">
        <f t="shared" si="7"/>
        <v>0</v>
      </c>
      <c r="MZ17">
        <f t="shared" si="8"/>
        <v>0</v>
      </c>
    </row>
    <row r="18" spans="3:364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  <c r="MN18">
        <f t="shared" si="0"/>
        <v>0.13569703469023303</v>
      </c>
      <c r="MO18">
        <f t="shared" si="1"/>
        <v>-6.37386354537509E-2</v>
      </c>
      <c r="MQ18">
        <f t="shared" si="2"/>
        <v>0.10454448203673727</v>
      </c>
      <c r="MR18">
        <f t="shared" si="3"/>
        <v>-0.12853639624407376</v>
      </c>
      <c r="MU18">
        <f t="shared" si="4"/>
        <v>15</v>
      </c>
      <c r="MV18">
        <f t="shared" si="5"/>
        <v>25</v>
      </c>
      <c r="MW18">
        <f t="shared" si="6"/>
        <v>25</v>
      </c>
      <c r="MY18">
        <f t="shared" si="7"/>
        <v>0</v>
      </c>
      <c r="MZ18">
        <f t="shared" si="8"/>
        <v>0</v>
      </c>
    </row>
    <row r="19" spans="3:364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  <c r="MN19">
        <f t="shared" si="0"/>
        <v>0.17152145340141758</v>
      </c>
      <c r="MO19">
        <f t="shared" si="1"/>
        <v>-7.5165963789510973E-2</v>
      </c>
      <c r="MQ19">
        <f t="shared" si="2"/>
        <v>0.11266633875491625</v>
      </c>
      <c r="MR19">
        <f t="shared" si="3"/>
        <v>-0.10695084643261824</v>
      </c>
      <c r="MU19">
        <f t="shared" si="4"/>
        <v>16</v>
      </c>
      <c r="MV19">
        <f t="shared" si="5"/>
        <v>25</v>
      </c>
      <c r="MW19">
        <f t="shared" si="6"/>
        <v>25</v>
      </c>
      <c r="MY19">
        <f t="shared" si="7"/>
        <v>0</v>
      </c>
      <c r="MZ19">
        <f t="shared" si="8"/>
        <v>0</v>
      </c>
    </row>
    <row r="20" spans="3:364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  <c r="MN20">
        <f t="shared" si="0"/>
        <v>0.18651098898563062</v>
      </c>
      <c r="MO20">
        <f t="shared" si="1"/>
        <v>-4.5797033116696619E-2</v>
      </c>
      <c r="MQ20">
        <f t="shared" si="2"/>
        <v>0.15553697579678871</v>
      </c>
      <c r="MR20">
        <f t="shared" si="3"/>
        <v>-0.10441530531773514</v>
      </c>
      <c r="MU20">
        <f t="shared" si="4"/>
        <v>17</v>
      </c>
      <c r="MV20">
        <f t="shared" si="5"/>
        <v>25</v>
      </c>
      <c r="MW20">
        <f t="shared" si="6"/>
        <v>24</v>
      </c>
      <c r="MY20">
        <f t="shared" si="7"/>
        <v>0</v>
      </c>
      <c r="MZ20">
        <f t="shared" si="8"/>
        <v>1</v>
      </c>
    </row>
    <row r="21" spans="3:364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  <c r="MN21">
        <f t="shared" si="0"/>
        <v>0.23693871307968942</v>
      </c>
      <c r="MO21">
        <f t="shared" si="1"/>
        <v>-0.10261682625632967</v>
      </c>
      <c r="MQ21">
        <f t="shared" si="2"/>
        <v>0.20644621822608872</v>
      </c>
      <c r="MR21">
        <f t="shared" si="3"/>
        <v>-8.6769145609893114E-2</v>
      </c>
      <c r="MU21">
        <f t="shared" si="4"/>
        <v>18</v>
      </c>
      <c r="MV21">
        <f t="shared" si="5"/>
        <v>25</v>
      </c>
      <c r="MW21">
        <f t="shared" si="6"/>
        <v>23</v>
      </c>
      <c r="MY21">
        <f t="shared" si="7"/>
        <v>0</v>
      </c>
      <c r="MZ21">
        <f t="shared" si="8"/>
        <v>1</v>
      </c>
    </row>
    <row r="22" spans="3:364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  <c r="MN22">
        <f t="shared" si="0"/>
        <v>0.20373320675126599</v>
      </c>
      <c r="MO22">
        <f t="shared" si="1"/>
        <v>-5.7965942599601486E-2</v>
      </c>
      <c r="MQ22">
        <f t="shared" si="2"/>
        <v>0.27261158484642484</v>
      </c>
      <c r="MR22">
        <f t="shared" si="3"/>
        <v>-8.3008201125848058E-2</v>
      </c>
      <c r="MU22">
        <f t="shared" si="4"/>
        <v>19</v>
      </c>
      <c r="MV22">
        <f t="shared" si="5"/>
        <v>23</v>
      </c>
      <c r="MW22">
        <f t="shared" si="6"/>
        <v>23</v>
      </c>
      <c r="MY22">
        <f>ABS(MV22-MV21)</f>
        <v>2</v>
      </c>
      <c r="MZ22">
        <f t="shared" si="8"/>
        <v>0</v>
      </c>
    </row>
    <row r="23" spans="3:364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  <c r="MN23">
        <f t="shared" si="0"/>
        <v>0.20894800405897609</v>
      </c>
      <c r="MO23">
        <f t="shared" si="1"/>
        <v>-0.15993405673945313</v>
      </c>
      <c r="MQ23">
        <f t="shared" si="2"/>
        <v>0.39821617224424977</v>
      </c>
      <c r="MR23">
        <f t="shared" si="3"/>
        <v>-2.2166845471082764E-2</v>
      </c>
      <c r="MU23">
        <f t="shared" si="4"/>
        <v>20</v>
      </c>
      <c r="MV23">
        <f t="shared" si="5"/>
        <v>19</v>
      </c>
      <c r="MW23">
        <f t="shared" si="6"/>
        <v>21</v>
      </c>
      <c r="MY23">
        <f t="shared" ref="MY23:MY36" si="9">ABS(MV23-MV22)</f>
        <v>4</v>
      </c>
      <c r="MZ23">
        <f t="shared" si="8"/>
        <v>2</v>
      </c>
    </row>
    <row r="24" spans="3:364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  <c r="MN24">
        <f t="shared" si="0"/>
        <v>0.28294787001354643</v>
      </c>
      <c r="MO24">
        <f t="shared" si="1"/>
        <v>-0.1268884881136442</v>
      </c>
      <c r="MQ24">
        <f t="shared" si="2"/>
        <v>0.35770122870572219</v>
      </c>
      <c r="MR24">
        <f t="shared" si="3"/>
        <v>8.4631214540295624E-2</v>
      </c>
      <c r="MU24">
        <f t="shared" si="4"/>
        <v>21</v>
      </c>
      <c r="MV24">
        <f t="shared" si="5"/>
        <v>17</v>
      </c>
      <c r="MW24">
        <f t="shared" si="6"/>
        <v>17</v>
      </c>
      <c r="MY24">
        <f t="shared" si="9"/>
        <v>2</v>
      </c>
      <c r="MZ24">
        <f t="shared" si="8"/>
        <v>4</v>
      </c>
    </row>
    <row r="25" spans="3:364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  <c r="MN25">
        <f t="shared" si="0"/>
        <v>0.33876154214484883</v>
      </c>
      <c r="MO25">
        <f t="shared" si="1"/>
        <v>-3.7376378824163226E-3</v>
      </c>
      <c r="MQ25">
        <f t="shared" si="2"/>
        <v>0.2919272818643362</v>
      </c>
      <c r="MR25">
        <f t="shared" si="3"/>
        <v>-2.3745627146269599E-2</v>
      </c>
      <c r="MU25">
        <f t="shared" si="4"/>
        <v>22</v>
      </c>
      <c r="MV25">
        <f t="shared" si="5"/>
        <v>16</v>
      </c>
      <c r="MW25">
        <f t="shared" si="6"/>
        <v>14</v>
      </c>
      <c r="MY25">
        <f t="shared" si="9"/>
        <v>1</v>
      </c>
      <c r="MZ25">
        <f t="shared" si="8"/>
        <v>3</v>
      </c>
    </row>
    <row r="26" spans="3:364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  <c r="MN26">
        <f t="shared" si="0"/>
        <v>0.37603911038171195</v>
      </c>
      <c r="MO26">
        <f t="shared" si="1"/>
        <v>-8.8780888773340047E-2</v>
      </c>
      <c r="MQ26">
        <f t="shared" si="2"/>
        <v>0.26131087412467691</v>
      </c>
      <c r="MR26">
        <f t="shared" si="3"/>
        <v>-3.4394505358152768E-3</v>
      </c>
      <c r="MU26">
        <f t="shared" si="4"/>
        <v>23</v>
      </c>
      <c r="MV26">
        <f t="shared" si="5"/>
        <v>13</v>
      </c>
      <c r="MW26">
        <f t="shared" si="6"/>
        <v>11</v>
      </c>
      <c r="MY26">
        <f t="shared" si="9"/>
        <v>3</v>
      </c>
      <c r="MZ26">
        <f t="shared" si="8"/>
        <v>3</v>
      </c>
    </row>
    <row r="27" spans="3:364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  <c r="MN27">
        <f t="shared" si="0"/>
        <v>0.41737037037037017</v>
      </c>
      <c r="MO27">
        <f t="shared" si="1"/>
        <v>1.0592592592592555E-2</v>
      </c>
      <c r="MQ27">
        <f t="shared" si="2"/>
        <v>0.3262181761593525</v>
      </c>
      <c r="MR27">
        <f t="shared" si="3"/>
        <v>2.6294377633878204E-2</v>
      </c>
      <c r="MU27">
        <f t="shared" si="4"/>
        <v>24</v>
      </c>
      <c r="MV27">
        <f t="shared" si="5"/>
        <v>9</v>
      </c>
      <c r="MW27">
        <f t="shared" si="6"/>
        <v>8</v>
      </c>
      <c r="MY27">
        <f t="shared" si="9"/>
        <v>4</v>
      </c>
      <c r="MZ27">
        <f t="shared" si="8"/>
        <v>3</v>
      </c>
    </row>
    <row r="28" spans="3:364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  <c r="MN28">
        <f t="shared" si="0"/>
        <v>0.53162242087678868</v>
      </c>
      <c r="MO28">
        <f t="shared" si="1"/>
        <v>-4.0128211352510247E-2</v>
      </c>
      <c r="MQ28">
        <f t="shared" si="2"/>
        <v>0.52181723779854583</v>
      </c>
      <c r="MR28">
        <f t="shared" si="3"/>
        <v>0.15795275181723775</v>
      </c>
      <c r="MU28">
        <f t="shared" si="4"/>
        <v>25</v>
      </c>
      <c r="MV28">
        <f t="shared" si="5"/>
        <v>6</v>
      </c>
      <c r="MW28">
        <f t="shared" si="6"/>
        <v>7</v>
      </c>
      <c r="MY28">
        <f t="shared" si="9"/>
        <v>3</v>
      </c>
      <c r="MZ28">
        <f t="shared" si="8"/>
        <v>1</v>
      </c>
    </row>
    <row r="29" spans="3:364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  <c r="MN29">
        <f t="shared" si="0"/>
        <v>0.5636208651399488</v>
      </c>
      <c r="MO29">
        <f t="shared" si="1"/>
        <v>0.27492307692307694</v>
      </c>
      <c r="MQ29">
        <f t="shared" si="2"/>
        <v>0.28599999999999998</v>
      </c>
      <c r="MR29">
        <f t="shared" si="3"/>
        <v>2.2666666666666668E-2</v>
      </c>
      <c r="MU29">
        <f t="shared" si="4"/>
        <v>26</v>
      </c>
      <c r="MV29">
        <f t="shared" si="5"/>
        <v>4</v>
      </c>
      <c r="MW29">
        <f t="shared" si="6"/>
        <v>4</v>
      </c>
      <c r="MY29">
        <f t="shared" si="9"/>
        <v>2</v>
      </c>
      <c r="MZ29">
        <f t="shared" si="8"/>
        <v>3</v>
      </c>
    </row>
    <row r="30" spans="3:364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  <c r="MN30">
        <f t="shared" si="0"/>
        <v>0.298222222222222</v>
      </c>
      <c r="MO30">
        <f t="shared" si="1"/>
        <v>0.36916666666666653</v>
      </c>
      <c r="MQ30">
        <f t="shared" si="2"/>
        <v>0</v>
      </c>
      <c r="MR30">
        <f t="shared" si="3"/>
        <v>0</v>
      </c>
      <c r="MU30">
        <f t="shared" si="4"/>
        <v>27</v>
      </c>
      <c r="MV30">
        <f t="shared" si="5"/>
        <v>3</v>
      </c>
      <c r="MW30">
        <f t="shared" si="6"/>
        <v>2</v>
      </c>
      <c r="MY30">
        <f t="shared" si="9"/>
        <v>1</v>
      </c>
      <c r="MZ30">
        <f t="shared" si="8"/>
        <v>2</v>
      </c>
    </row>
    <row r="31" spans="3:364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  <c r="MN31">
        <f t="shared" si="0"/>
        <v>0.281645569620253</v>
      </c>
      <c r="MO31">
        <f t="shared" si="1"/>
        <v>0</v>
      </c>
      <c r="MQ31">
        <f t="shared" si="2"/>
        <v>0</v>
      </c>
      <c r="MR31">
        <f t="shared" si="3"/>
        <v>0</v>
      </c>
      <c r="MU31">
        <f t="shared" si="4"/>
        <v>28</v>
      </c>
      <c r="MV31">
        <f t="shared" si="5"/>
        <v>2</v>
      </c>
      <c r="MW31">
        <f t="shared" si="6"/>
        <v>1</v>
      </c>
      <c r="MY31">
        <f t="shared" si="9"/>
        <v>1</v>
      </c>
      <c r="MZ31">
        <f t="shared" si="8"/>
        <v>1</v>
      </c>
    </row>
    <row r="32" spans="3:364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  <c r="MN32">
        <f t="shared" si="0"/>
        <v>0.59799999999999998</v>
      </c>
      <c r="MO32">
        <f t="shared" si="1"/>
        <v>0.32700000000000001</v>
      </c>
      <c r="MQ32">
        <f t="shared" si="2"/>
        <v>0</v>
      </c>
      <c r="MR32">
        <f t="shared" si="3"/>
        <v>0</v>
      </c>
      <c r="MU32">
        <f t="shared" si="4"/>
        <v>29</v>
      </c>
      <c r="MV32">
        <f t="shared" si="5"/>
        <v>1</v>
      </c>
      <c r="MW32">
        <f t="shared" si="6"/>
        <v>1</v>
      </c>
      <c r="MY32">
        <f t="shared" si="9"/>
        <v>1</v>
      </c>
      <c r="MZ32">
        <f t="shared" si="8"/>
        <v>0</v>
      </c>
    </row>
    <row r="33" spans="157:364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  <c r="MN33">
        <f t="shared" si="0"/>
        <v>0.67600000000000005</v>
      </c>
      <c r="MO33">
        <f t="shared" si="1"/>
        <v>-0.04</v>
      </c>
      <c r="MQ33">
        <f t="shared" si="2"/>
        <v>0</v>
      </c>
      <c r="MR33">
        <f t="shared" si="3"/>
        <v>0</v>
      </c>
      <c r="MU33">
        <f t="shared" si="4"/>
        <v>30</v>
      </c>
      <c r="MV33">
        <f t="shared" si="5"/>
        <v>1</v>
      </c>
      <c r="MW33">
        <f t="shared" si="6"/>
        <v>0</v>
      </c>
      <c r="MY33">
        <f t="shared" si="9"/>
        <v>0</v>
      </c>
      <c r="MZ33">
        <f t="shared" si="8"/>
        <v>1</v>
      </c>
    </row>
    <row r="34" spans="157:364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  <c r="MQ34">
        <f t="shared" si="2"/>
        <v>0</v>
      </c>
      <c r="MR34">
        <f t="shared" si="3"/>
        <v>0</v>
      </c>
      <c r="MU34">
        <f t="shared" si="4"/>
        <v>31</v>
      </c>
      <c r="MV34">
        <f t="shared" si="5"/>
        <v>1</v>
      </c>
      <c r="MW34">
        <f t="shared" si="6"/>
        <v>0</v>
      </c>
      <c r="MY34">
        <f t="shared" si="9"/>
        <v>0</v>
      </c>
      <c r="MZ34">
        <f t="shared" si="8"/>
        <v>0</v>
      </c>
    </row>
    <row r="35" spans="157:364" x14ac:dyDescent="0.25">
      <c r="MU35">
        <f t="shared" si="4"/>
        <v>32</v>
      </c>
      <c r="MV35">
        <f t="shared" si="5"/>
        <v>0</v>
      </c>
      <c r="MW35">
        <f t="shared" si="6"/>
        <v>0</v>
      </c>
      <c r="MY35">
        <f t="shared" si="9"/>
        <v>1</v>
      </c>
      <c r="MZ35">
        <f t="shared" si="8"/>
        <v>0</v>
      </c>
    </row>
    <row r="36" spans="157:364" x14ac:dyDescent="0.25">
      <c r="MU36">
        <f t="shared" si="4"/>
        <v>33</v>
      </c>
      <c r="MV36">
        <f>COUNTIFS($C36:$ML36, "&lt;&gt;"&amp;"", $C$3:$ML$3,"=High", $C$2:$ML$2,"=MCTS", $C$1:$ML$1, "=Player1")</f>
        <v>0</v>
      </c>
      <c r="MW36">
        <f>COUNTIFS($C36:$ML36, "&lt;&gt;"&amp;"", $C$3:$ML$3,"=High", $C$2:$ML$2,"=MCTS", $C$1:$ML$1, "=Player2")</f>
        <v>0</v>
      </c>
      <c r="MY36">
        <f t="shared" si="9"/>
        <v>0</v>
      </c>
      <c r="MZ36">
        <f t="shared" si="8"/>
        <v>0</v>
      </c>
    </row>
  </sheetData>
  <mergeCells count="2">
    <mergeCell ref="MV2:MW2"/>
    <mergeCell ref="MY2:MZ2"/>
  </mergeCells>
  <hyperlinks>
    <hyperlink ref="C3" r:id="rId1" display="webpack://src/app/services/game/game.service.ts" xr:uid="{00000000-0004-0000-0400-0000B5000000}"/>
    <hyperlink ref="D3" r:id="rId2" display="webpack://src/app/services/game/game.service.ts" xr:uid="{00000000-0004-0000-0400-0000B6000000}"/>
    <hyperlink ref="F3" r:id="rId3" display="webpack://src/app/services/game/game.service.ts" xr:uid="{00000000-0004-0000-0400-0000B7000000}"/>
    <hyperlink ref="G3" r:id="rId4" display="webpack://src/app/services/game/game.service.ts" xr:uid="{00000000-0004-0000-0400-0000B8000000}"/>
    <hyperlink ref="J3" r:id="rId5" display="webpack://src/app/services/game/game.service.ts" xr:uid="{00000000-0004-0000-0400-0000B9000000}"/>
    <hyperlink ref="K3" r:id="rId6" display="webpack://src/app/services/game/game.service.ts" xr:uid="{00000000-0004-0000-0400-0000BA000000}"/>
    <hyperlink ref="M3" r:id="rId7" display="webpack://src/app/services/game/game.service.ts" xr:uid="{00000000-0004-0000-0400-0000BB000000}"/>
    <hyperlink ref="N3" r:id="rId8" display="webpack://src/app/services/game/game.service.ts" xr:uid="{00000000-0004-0000-0400-0000BC000000}"/>
    <hyperlink ref="Q3" r:id="rId9" display="webpack://src/app/services/game/game.service.ts" xr:uid="{00000000-0004-0000-0400-0000BD000000}"/>
    <hyperlink ref="R3" r:id="rId10" display="webpack://src/app/services/game/game.service.ts" xr:uid="{00000000-0004-0000-0400-0000BE000000}"/>
    <hyperlink ref="T3" r:id="rId11" display="webpack://src/app/services/game/game.service.ts" xr:uid="{00000000-0004-0000-0400-0000BF000000}"/>
    <hyperlink ref="U3" r:id="rId12" display="webpack://src/app/services/game/game.service.ts" xr:uid="{00000000-0004-0000-0400-0000C0000000}"/>
    <hyperlink ref="X3" r:id="rId13" display="webpack://src/app/services/game/game.service.ts" xr:uid="{00000000-0004-0000-0400-0000C1000000}"/>
    <hyperlink ref="Y3" r:id="rId14" display="webpack://src/app/services/game/game.service.ts" xr:uid="{00000000-0004-0000-0400-0000C2000000}"/>
    <hyperlink ref="AA3" r:id="rId15" display="webpack://src/app/services/game/game.service.ts" xr:uid="{00000000-0004-0000-0400-0000C3000000}"/>
    <hyperlink ref="AB3" r:id="rId16" display="webpack://src/app/services/game/game.service.ts" xr:uid="{00000000-0004-0000-0400-0000C4000000}"/>
    <hyperlink ref="AE3" r:id="rId17" display="webpack://src/app/services/game/game.service.ts" xr:uid="{00000000-0004-0000-0400-0000C5000000}"/>
    <hyperlink ref="AF3" r:id="rId18" display="webpack://src/app/services/game/game.service.ts" xr:uid="{00000000-0004-0000-0400-0000C6000000}"/>
    <hyperlink ref="AH3" r:id="rId19" display="webpack://src/app/services/game/game.service.ts" xr:uid="{00000000-0004-0000-0400-0000C7000000}"/>
    <hyperlink ref="AI3" r:id="rId20" display="webpack://src/app/services/game/game.service.ts" xr:uid="{00000000-0004-0000-0400-0000C8000000}"/>
    <hyperlink ref="AL3" r:id="rId21" display="webpack://src/app/services/game/game.service.ts" xr:uid="{00000000-0004-0000-0400-0000C9000000}"/>
    <hyperlink ref="AM3" r:id="rId22" display="webpack://src/app/services/game/game.service.ts" xr:uid="{00000000-0004-0000-0400-0000CA000000}"/>
    <hyperlink ref="AO3" r:id="rId23" display="webpack://src/app/services/game/game.service.ts" xr:uid="{00000000-0004-0000-0400-0000CB000000}"/>
    <hyperlink ref="AP3" r:id="rId24" display="webpack://src/app/services/game/game.service.ts" xr:uid="{00000000-0004-0000-0400-0000CC000000}"/>
    <hyperlink ref="AS3" r:id="rId25" display="webpack://src/app/services/game/game.service.ts" xr:uid="{00000000-0004-0000-0400-0000CD000000}"/>
    <hyperlink ref="AT3" r:id="rId26" display="webpack://src/app/services/game/game.service.ts" xr:uid="{00000000-0004-0000-0400-0000CE000000}"/>
    <hyperlink ref="AV3" r:id="rId27" display="webpack://src/app/services/game/game.service.ts" xr:uid="{00000000-0004-0000-0400-0000CF000000}"/>
    <hyperlink ref="AW3" r:id="rId28" display="webpack://src/app/services/game/game.service.ts" xr:uid="{00000000-0004-0000-0400-0000D0000000}"/>
    <hyperlink ref="AZ3" r:id="rId29" display="webpack://src/app/services/game/game.service.ts" xr:uid="{00000000-0004-0000-0400-0000D1000000}"/>
    <hyperlink ref="BA3" r:id="rId30" display="webpack://src/app/services/game/game.service.ts" xr:uid="{00000000-0004-0000-0400-0000D2000000}"/>
    <hyperlink ref="BC3" r:id="rId31" display="webpack://src/app/services/game/game.service.ts" xr:uid="{00000000-0004-0000-0400-0000D3000000}"/>
    <hyperlink ref="BD3" r:id="rId32" display="webpack://src/app/services/game/game.service.ts" xr:uid="{00000000-0004-0000-0400-0000D4000000}"/>
    <hyperlink ref="BG3" r:id="rId33" display="webpack://src/app/services/game/game.service.ts" xr:uid="{00000000-0004-0000-0400-0000D5000000}"/>
    <hyperlink ref="BH3" r:id="rId34" display="webpack://src/app/services/game/game.service.ts" xr:uid="{00000000-0004-0000-0400-0000D6000000}"/>
    <hyperlink ref="BJ3" r:id="rId35" display="webpack://src/app/services/game/game.service.ts" xr:uid="{00000000-0004-0000-0400-0000D7000000}"/>
    <hyperlink ref="BK3" r:id="rId36" display="webpack://src/app/services/game/game.service.ts" xr:uid="{00000000-0004-0000-0400-0000D8000000}"/>
    <hyperlink ref="BN3" r:id="rId37" display="webpack://src/app/services/game/game.service.ts" xr:uid="{00000000-0004-0000-0400-0000D9000000}"/>
    <hyperlink ref="BO3" r:id="rId38" display="webpack://src/app/services/game/game.service.ts" xr:uid="{00000000-0004-0000-0400-0000DA000000}"/>
    <hyperlink ref="BQ3" r:id="rId39" display="webpack://src/app/services/game/game.service.ts" xr:uid="{00000000-0004-0000-0400-0000DB000000}"/>
    <hyperlink ref="BR3" r:id="rId40" display="webpack://src/app/services/game/game.service.ts" xr:uid="{00000000-0004-0000-0400-0000DC000000}"/>
    <hyperlink ref="BU3" r:id="rId41" display="webpack://src/app/services/game/game.service.ts" xr:uid="{00000000-0004-0000-0400-0000DD000000}"/>
    <hyperlink ref="BV3" r:id="rId42" display="webpack://src/app/services/game/game.service.ts" xr:uid="{00000000-0004-0000-0400-0000DE000000}"/>
    <hyperlink ref="BX3" r:id="rId43" display="webpack://src/app/services/game/game.service.ts" xr:uid="{00000000-0004-0000-0400-0000DF000000}"/>
    <hyperlink ref="BY3" r:id="rId44" display="webpack://src/app/services/game/game.service.ts" xr:uid="{00000000-0004-0000-0400-0000E0000000}"/>
    <hyperlink ref="CB3" r:id="rId45" display="webpack://src/app/services/game/game.service.ts" xr:uid="{00000000-0004-0000-0400-0000E1000000}"/>
    <hyperlink ref="CC3" r:id="rId46" display="webpack://src/app/services/game/game.service.ts" xr:uid="{00000000-0004-0000-0400-0000E2000000}"/>
    <hyperlink ref="CE3" r:id="rId47" display="webpack://src/app/services/game/game.service.ts" xr:uid="{00000000-0004-0000-0400-0000E3000000}"/>
    <hyperlink ref="CF3" r:id="rId48" display="webpack://src/app/services/game/game.service.ts" xr:uid="{00000000-0004-0000-0400-0000E4000000}"/>
    <hyperlink ref="CI3" r:id="rId49" display="webpack://src/app/services/game/game.service.ts" xr:uid="{00000000-0004-0000-0400-0000E5000000}"/>
    <hyperlink ref="CJ3" r:id="rId50" display="webpack://src/app/services/game/game.service.ts" xr:uid="{00000000-0004-0000-0400-0000E6000000}"/>
    <hyperlink ref="CL3" r:id="rId51" display="webpack://src/app/services/game/game.service.ts" xr:uid="{00000000-0004-0000-0400-0000E7000000}"/>
    <hyperlink ref="CM3" r:id="rId52" display="webpack://src/app/services/game/game.service.ts" xr:uid="{00000000-0004-0000-0400-0000E8000000}"/>
    <hyperlink ref="CP3" r:id="rId53" display="webpack://src/app/services/game/game.service.ts" xr:uid="{00000000-0004-0000-0400-0000E9000000}"/>
    <hyperlink ref="CQ3" r:id="rId54" display="webpack://src/app/services/game/game.service.ts" xr:uid="{00000000-0004-0000-0400-0000EA000000}"/>
    <hyperlink ref="CS3" r:id="rId55" display="webpack://src/app/services/game/game.service.ts" xr:uid="{00000000-0004-0000-0400-0000EB000000}"/>
    <hyperlink ref="CT3" r:id="rId56" display="webpack://src/app/services/game/game.service.ts" xr:uid="{00000000-0004-0000-0400-0000EC000000}"/>
    <hyperlink ref="CW3" r:id="rId57" display="webpack://src/app/services/game/game.service.ts" xr:uid="{00000000-0004-0000-0400-0000ED000000}"/>
    <hyperlink ref="CX3" r:id="rId58" display="webpack://src/app/services/game/game.service.ts" xr:uid="{00000000-0004-0000-0400-0000EE000000}"/>
    <hyperlink ref="CZ3" r:id="rId59" display="webpack://src/app/services/game/game.service.ts" xr:uid="{00000000-0004-0000-0400-0000EF000000}"/>
    <hyperlink ref="DA3" r:id="rId60" display="webpack://src/app/services/game/game.service.ts" xr:uid="{00000000-0004-0000-0400-0000F0000000}"/>
    <hyperlink ref="DD3" r:id="rId61" display="webpack://src/app/services/game/game.service.ts" xr:uid="{00000000-0004-0000-0400-0000F1000000}"/>
    <hyperlink ref="DE3" r:id="rId62" display="webpack://src/app/services/game/game.service.ts" xr:uid="{00000000-0004-0000-0400-0000F2000000}"/>
    <hyperlink ref="DG3" r:id="rId63" display="webpack://src/app/services/game/game.service.ts" xr:uid="{00000000-0004-0000-0400-0000F3000000}"/>
    <hyperlink ref="DH3" r:id="rId64" display="webpack://src/app/services/game/game.service.ts" xr:uid="{00000000-0004-0000-0400-0000F4000000}"/>
    <hyperlink ref="DK3" r:id="rId65" display="webpack://src/app/services/game/game.service.ts" xr:uid="{00000000-0004-0000-0400-0000F5000000}"/>
    <hyperlink ref="DL3" r:id="rId66" display="webpack://src/app/services/game/game.service.ts" xr:uid="{00000000-0004-0000-0400-0000F6000000}"/>
    <hyperlink ref="DN3" r:id="rId67" display="webpack://src/app/services/game/game.service.ts" xr:uid="{00000000-0004-0000-0400-0000F7000000}"/>
    <hyperlink ref="DO3" r:id="rId68" display="webpack://src/app/services/game/game.service.ts" xr:uid="{00000000-0004-0000-0400-0000F8000000}"/>
    <hyperlink ref="DR3" r:id="rId69" display="webpack://src/app/services/game/game.service.ts" xr:uid="{00000000-0004-0000-0400-0000F9000000}"/>
    <hyperlink ref="DS3" r:id="rId70" display="webpack://src/app/services/game/game.service.ts" xr:uid="{00000000-0004-0000-0400-0000FA000000}"/>
    <hyperlink ref="DU3" r:id="rId71" display="webpack://src/app/services/game/game.service.ts" xr:uid="{00000000-0004-0000-0400-0000FB000000}"/>
    <hyperlink ref="DV3" r:id="rId72" display="webpack://src/app/services/game/game.service.ts" xr:uid="{00000000-0004-0000-0400-0000FC000000}"/>
    <hyperlink ref="DY3" r:id="rId73" display="webpack://src/app/services/game/game.service.ts" xr:uid="{00000000-0004-0000-0400-0000FD000000}"/>
    <hyperlink ref="DZ3" r:id="rId74" display="webpack://src/app/services/game/game.service.ts" xr:uid="{00000000-0004-0000-0400-0000FE000000}"/>
    <hyperlink ref="EB3" r:id="rId75" display="webpack://src/app/services/game/game.service.ts" xr:uid="{00000000-0004-0000-0400-0000FF000000}"/>
    <hyperlink ref="EC3" r:id="rId76" display="webpack://src/app/services/game/game.service.ts" xr:uid="{00000000-0004-0000-0400-000000010000}"/>
    <hyperlink ref="EF3" r:id="rId77" display="webpack://src/app/services/game/game.service.ts" xr:uid="{00000000-0004-0000-0400-000001010000}"/>
    <hyperlink ref="EG3" r:id="rId78" display="webpack://src/app/services/game/game.service.ts" xr:uid="{00000000-0004-0000-0400-000002010000}"/>
    <hyperlink ref="EI3" r:id="rId79" display="webpack://src/app/services/game/game.service.ts" xr:uid="{00000000-0004-0000-0400-000003010000}"/>
    <hyperlink ref="EJ3" r:id="rId80" display="webpack://src/app/services/game/game.service.ts" xr:uid="{00000000-0004-0000-0400-000004010000}"/>
    <hyperlink ref="EM3" r:id="rId81" display="webpack://src/app/services/game/game.service.ts" xr:uid="{00000000-0004-0000-0400-000005010000}"/>
    <hyperlink ref="EN3" r:id="rId82" display="webpack://src/app/services/game/game.service.ts" xr:uid="{00000000-0004-0000-0400-000006010000}"/>
    <hyperlink ref="EP3" r:id="rId83" display="webpack://src/app/services/game/game.service.ts" xr:uid="{00000000-0004-0000-0400-000007010000}"/>
    <hyperlink ref="EQ3" r:id="rId84" display="webpack://src/app/services/game/game.service.ts" xr:uid="{00000000-0004-0000-0400-000008010000}"/>
    <hyperlink ref="ET3" r:id="rId85" display="webpack://src/app/services/game/game.service.ts" xr:uid="{00000000-0004-0000-0400-000009010000}"/>
    <hyperlink ref="EU3" r:id="rId86" display="webpack://src/app/services/game/game.service.ts" xr:uid="{00000000-0004-0000-0400-00000A010000}"/>
    <hyperlink ref="EW3" r:id="rId87" display="webpack://src/app/services/game/game.service.ts" xr:uid="{00000000-0004-0000-0400-00000B010000}"/>
    <hyperlink ref="EX3" r:id="rId88" display="webpack://src/app/services/game/game.service.ts" xr:uid="{00000000-0004-0000-0400-00000C010000}"/>
    <hyperlink ref="FA3" r:id="rId89" display="webpack://src/app/services/game/game.service.ts" xr:uid="{00000000-0004-0000-0400-00000D010000}"/>
    <hyperlink ref="FB3" r:id="rId90" display="webpack://src/app/services/game/game.service.ts" xr:uid="{00000000-0004-0000-0400-00000E010000}"/>
    <hyperlink ref="FD3" r:id="rId91" display="webpack://src/app/services/game/game.service.ts" xr:uid="{00000000-0004-0000-0400-00000F010000}"/>
    <hyperlink ref="FE3" r:id="rId92" display="webpack://src/app/services/game/game.service.ts" xr:uid="{00000000-0004-0000-0400-000010010000}"/>
    <hyperlink ref="FH3" r:id="rId93" display="webpack://src/app/services/game/game.service.ts" xr:uid="{00000000-0004-0000-0400-000011010000}"/>
    <hyperlink ref="FI3" r:id="rId94" display="webpack://src/app/services/game/game.service.ts" xr:uid="{00000000-0004-0000-0400-000012010000}"/>
    <hyperlink ref="FK3" r:id="rId95" display="webpack://src/app/services/game/game.service.ts" xr:uid="{00000000-0004-0000-0400-000013010000}"/>
    <hyperlink ref="FL3" r:id="rId96" display="webpack://src/app/services/game/game.service.ts" xr:uid="{00000000-0004-0000-0400-000014010000}"/>
    <hyperlink ref="FO3" r:id="rId97" display="webpack://src/app/services/game/game.service.ts" xr:uid="{00000000-0004-0000-0400-000015010000}"/>
    <hyperlink ref="FP3" r:id="rId98" display="webpack://src/app/services/game/game.service.ts" xr:uid="{00000000-0004-0000-0400-000016010000}"/>
    <hyperlink ref="FR3" r:id="rId99" display="webpack://src/app/services/game/game.service.ts" xr:uid="{00000000-0004-0000-0400-000017010000}"/>
    <hyperlink ref="FS3" r:id="rId100" display="webpack://src/app/services/game/game.service.ts" xr:uid="{00000000-0004-0000-0400-000018010000}"/>
    <hyperlink ref="FV3" r:id="rId101" display="webpack://src/app/services/game/game.service.ts" xr:uid="{00000000-0004-0000-0400-000019010000}"/>
    <hyperlink ref="FW3" r:id="rId102" display="webpack://src/app/services/game/game.service.ts" xr:uid="{00000000-0004-0000-0400-00001A010000}"/>
    <hyperlink ref="FY3" r:id="rId103" display="webpack://src/app/services/game/game.service.ts" xr:uid="{00000000-0004-0000-0400-00001B010000}"/>
    <hyperlink ref="FZ3" r:id="rId104" display="webpack://src/app/services/game/game.service.ts" xr:uid="{00000000-0004-0000-0400-00001C010000}"/>
    <hyperlink ref="GC3" r:id="rId105" display="webpack://src/app/services/game/game.service.ts" xr:uid="{00000000-0004-0000-0400-00001D010000}"/>
    <hyperlink ref="GD3" r:id="rId106" display="webpack://src/app/services/game/game.service.ts" xr:uid="{00000000-0004-0000-0400-00001E010000}"/>
    <hyperlink ref="GF3" r:id="rId107" display="webpack://src/app/services/game/game.service.ts" xr:uid="{00000000-0004-0000-0400-00001F010000}"/>
    <hyperlink ref="GG3" r:id="rId108" display="webpack://src/app/services/game/game.service.ts" xr:uid="{00000000-0004-0000-0400-000020010000}"/>
    <hyperlink ref="GJ3" r:id="rId109" display="webpack://src/app/services/game/game.service.ts" xr:uid="{00000000-0004-0000-0400-000021010000}"/>
    <hyperlink ref="GK3" r:id="rId110" display="webpack://src/app/services/game/game.service.ts" xr:uid="{00000000-0004-0000-0400-000022010000}"/>
    <hyperlink ref="GM3" r:id="rId111" display="webpack://src/app/services/game/game.service.ts" xr:uid="{00000000-0004-0000-0400-000023010000}"/>
    <hyperlink ref="GN3" r:id="rId112" display="webpack://src/app/services/game/game.service.ts" xr:uid="{00000000-0004-0000-0400-000024010000}"/>
    <hyperlink ref="GQ3" r:id="rId113" display="webpack://src/app/services/game/game.service.ts" xr:uid="{00000000-0004-0000-0400-000025010000}"/>
    <hyperlink ref="GR3" r:id="rId114" display="webpack://src/app/services/game/game.service.ts" xr:uid="{00000000-0004-0000-0400-000026010000}"/>
    <hyperlink ref="GT3" r:id="rId115" display="webpack://src/app/services/game/game.service.ts" xr:uid="{00000000-0004-0000-0400-000027010000}"/>
    <hyperlink ref="GU3" r:id="rId116" display="webpack://src/app/services/game/game.service.ts" xr:uid="{00000000-0004-0000-0400-000028010000}"/>
    <hyperlink ref="GX3" r:id="rId117" display="webpack://src/app/services/game/game.service.ts" xr:uid="{00000000-0004-0000-0400-000029010000}"/>
    <hyperlink ref="GY3" r:id="rId118" display="webpack://src/app/services/game/game.service.ts" xr:uid="{00000000-0004-0000-0400-00002A010000}"/>
    <hyperlink ref="HA3" r:id="rId119" display="webpack://src/app/services/game/game.service.ts" xr:uid="{00000000-0004-0000-0400-00002B010000}"/>
    <hyperlink ref="HB3" r:id="rId120" display="webpack://src/app/services/game/game.service.ts" xr:uid="{00000000-0004-0000-0400-00002C010000}"/>
    <hyperlink ref="HE3" r:id="rId121" display="webpack://src/app/services/game/game.service.ts" xr:uid="{00000000-0004-0000-0400-00002D010000}"/>
    <hyperlink ref="HF3" r:id="rId122" display="webpack://src/app/services/game/game.service.ts" xr:uid="{00000000-0004-0000-0400-00002E010000}"/>
    <hyperlink ref="HH3" r:id="rId123" display="webpack://src/app/services/game/game.service.ts" xr:uid="{00000000-0004-0000-0400-00002F010000}"/>
    <hyperlink ref="HI3" r:id="rId124" display="webpack://src/app/services/game/game.service.ts" xr:uid="{00000000-0004-0000-0400-000030010000}"/>
    <hyperlink ref="HL3" r:id="rId125" display="webpack://src/app/services/game/game.service.ts" xr:uid="{00000000-0004-0000-0400-000031010000}"/>
    <hyperlink ref="HM3" r:id="rId126" display="webpack://src/app/services/game/game.service.ts" xr:uid="{00000000-0004-0000-0400-000032010000}"/>
    <hyperlink ref="HO3" r:id="rId127" display="webpack://src/app/services/game/game.service.ts" xr:uid="{00000000-0004-0000-0400-000033010000}"/>
    <hyperlink ref="HP3" r:id="rId128" display="webpack://src/app/services/game/game.service.ts" xr:uid="{00000000-0004-0000-0400-000034010000}"/>
    <hyperlink ref="HS3" r:id="rId129" display="webpack://src/app/services/game/game.service.ts" xr:uid="{00000000-0004-0000-0400-000035010000}"/>
    <hyperlink ref="HT3" r:id="rId130" display="webpack://src/app/services/game/game.service.ts" xr:uid="{00000000-0004-0000-0400-000036010000}"/>
    <hyperlink ref="HV3" r:id="rId131" display="webpack://src/app/services/game/game.service.ts" xr:uid="{00000000-0004-0000-0400-000037010000}"/>
    <hyperlink ref="HW3" r:id="rId132" display="webpack://src/app/services/game/game.service.ts" xr:uid="{00000000-0004-0000-0400-000038010000}"/>
    <hyperlink ref="HZ3" r:id="rId133" display="webpack://src/app/services/game/game.service.ts" xr:uid="{00000000-0004-0000-0400-000039010000}"/>
    <hyperlink ref="IA3" r:id="rId134" display="webpack://src/app/services/game/game.service.ts" xr:uid="{00000000-0004-0000-0400-00003A010000}"/>
    <hyperlink ref="IC3" r:id="rId135" display="webpack://src/app/services/game/game.service.ts" xr:uid="{00000000-0004-0000-0400-00003B010000}"/>
    <hyperlink ref="ID3" r:id="rId136" display="webpack://src/app/services/game/game.service.ts" xr:uid="{00000000-0004-0000-0400-00003C010000}"/>
    <hyperlink ref="IG3" r:id="rId137" display="webpack://src/app/services/game/game.service.ts" xr:uid="{00000000-0004-0000-0400-00003D010000}"/>
    <hyperlink ref="IH3" r:id="rId138" display="webpack://src/app/services/game/game.service.ts" xr:uid="{00000000-0004-0000-0400-00003E010000}"/>
    <hyperlink ref="IJ3" r:id="rId139" display="webpack://src/app/services/game/game.service.ts" xr:uid="{00000000-0004-0000-0400-00003F010000}"/>
    <hyperlink ref="IK3" r:id="rId140" display="webpack://src/app/services/game/game.service.ts" xr:uid="{00000000-0004-0000-0400-000040010000}"/>
    <hyperlink ref="IN3" r:id="rId141" display="webpack://src/app/services/game/game.service.ts" xr:uid="{00000000-0004-0000-0400-000041010000}"/>
    <hyperlink ref="IO3" r:id="rId142" display="webpack://src/app/services/game/game.service.ts" xr:uid="{00000000-0004-0000-0400-000042010000}"/>
    <hyperlink ref="IQ3" r:id="rId143" display="webpack://src/app/services/game/game.service.ts" xr:uid="{00000000-0004-0000-0400-000043010000}"/>
    <hyperlink ref="IR3" r:id="rId144" display="webpack://src/app/services/game/game.service.ts" xr:uid="{00000000-0004-0000-0400-000044010000}"/>
    <hyperlink ref="IU3" r:id="rId145" display="webpack://src/app/services/game/game.service.ts" xr:uid="{00000000-0004-0000-0400-000045010000}"/>
    <hyperlink ref="IV3" r:id="rId146" display="webpack://src/app/services/game/game.service.ts" xr:uid="{00000000-0004-0000-0400-000046010000}"/>
    <hyperlink ref="IX3" r:id="rId147" display="webpack://src/app/services/game/game.service.ts" xr:uid="{00000000-0004-0000-0400-000047010000}"/>
    <hyperlink ref="IY3" r:id="rId148" display="webpack://src/app/services/game/game.service.ts" xr:uid="{00000000-0004-0000-0400-000048010000}"/>
    <hyperlink ref="JB3" r:id="rId149" display="webpack://src/app/services/game/game.service.ts" xr:uid="{00000000-0004-0000-0400-000049010000}"/>
    <hyperlink ref="JC3" r:id="rId150" display="webpack://src/app/services/game/game.service.ts" xr:uid="{00000000-0004-0000-0400-00004A010000}"/>
    <hyperlink ref="JE3" r:id="rId151" display="webpack://src/app/services/game/game.service.ts" xr:uid="{00000000-0004-0000-0400-00004B010000}"/>
    <hyperlink ref="JF3" r:id="rId152" display="webpack://src/app/services/game/game.service.ts" xr:uid="{00000000-0004-0000-0400-00004C010000}"/>
    <hyperlink ref="JI3" r:id="rId153" display="webpack://src/app/services/game/game.service.ts" xr:uid="{00000000-0004-0000-0400-00004D010000}"/>
    <hyperlink ref="JJ3" r:id="rId154" display="webpack://src/app/services/game/game.service.ts" xr:uid="{00000000-0004-0000-0400-00004E010000}"/>
    <hyperlink ref="JL3" r:id="rId155" display="webpack://src/app/services/game/game.service.ts" xr:uid="{00000000-0004-0000-0400-00004F010000}"/>
    <hyperlink ref="JM3" r:id="rId156" display="webpack://src/app/services/game/game.service.ts" xr:uid="{00000000-0004-0000-0400-000050010000}"/>
    <hyperlink ref="JP3" r:id="rId157" display="webpack://src/app/services/game/game.service.ts" xr:uid="{00000000-0004-0000-0400-000051010000}"/>
    <hyperlink ref="JQ3" r:id="rId158" display="webpack://src/app/services/game/game.service.ts" xr:uid="{00000000-0004-0000-0400-000052010000}"/>
    <hyperlink ref="JS3" r:id="rId159" display="webpack://src/app/services/game/game.service.ts" xr:uid="{00000000-0004-0000-0400-000053010000}"/>
    <hyperlink ref="JT3" r:id="rId160" display="webpack://src/app/services/game/game.service.ts" xr:uid="{00000000-0004-0000-0400-000054010000}"/>
    <hyperlink ref="JW3" r:id="rId161" display="webpack://src/app/services/game/game.service.ts" xr:uid="{00000000-0004-0000-0400-000055010000}"/>
    <hyperlink ref="JX3" r:id="rId162" display="webpack://src/app/services/game/game.service.ts" xr:uid="{00000000-0004-0000-0400-000056010000}"/>
    <hyperlink ref="JZ3" r:id="rId163" display="webpack://src/app/services/game/game.service.ts" xr:uid="{00000000-0004-0000-0400-000057010000}"/>
    <hyperlink ref="KA3" r:id="rId164" display="webpack://src/app/services/game/game.service.ts" xr:uid="{00000000-0004-0000-0400-000058010000}"/>
    <hyperlink ref="KD3" r:id="rId165" display="webpack://src/app/services/game/game.service.ts" xr:uid="{00000000-0004-0000-0400-000059010000}"/>
    <hyperlink ref="KE3" r:id="rId166" display="webpack://src/app/services/game/game.service.ts" xr:uid="{00000000-0004-0000-0400-00005A010000}"/>
    <hyperlink ref="KG3" r:id="rId167" display="webpack://src/app/services/game/game.service.ts" xr:uid="{00000000-0004-0000-0400-00005B010000}"/>
    <hyperlink ref="KH3" r:id="rId168" display="webpack://src/app/services/game/game.service.ts" xr:uid="{00000000-0004-0000-0400-00005C010000}"/>
    <hyperlink ref="KK3" r:id="rId169" display="webpack://src/app/services/game/game.service.ts" xr:uid="{00000000-0004-0000-0400-00005D010000}"/>
    <hyperlink ref="KL3" r:id="rId170" display="webpack://src/app/services/game/game.service.ts" xr:uid="{00000000-0004-0000-0400-00005E010000}"/>
    <hyperlink ref="KN3" r:id="rId171" display="webpack://src/app/services/game/game.service.ts" xr:uid="{00000000-0004-0000-0400-00005F010000}"/>
    <hyperlink ref="KO3" r:id="rId172" display="webpack://src/app/services/game/game.service.ts" xr:uid="{00000000-0004-0000-0400-000060010000}"/>
    <hyperlink ref="KR3" r:id="rId173" display="webpack://src/app/services/game/game.service.ts" xr:uid="{00000000-0004-0000-0400-000061010000}"/>
    <hyperlink ref="KS3" r:id="rId174" display="webpack://src/app/services/game/game.service.ts" xr:uid="{00000000-0004-0000-0400-000062010000}"/>
    <hyperlink ref="KU3" r:id="rId175" display="webpack://src/app/services/game/game.service.ts" xr:uid="{00000000-0004-0000-0400-000063010000}"/>
    <hyperlink ref="KV3" r:id="rId176" display="webpack://src/app/services/game/game.service.ts" xr:uid="{00000000-0004-0000-0400-000064010000}"/>
    <hyperlink ref="KY3" r:id="rId177" display="webpack://src/app/services/game/game.service.ts" xr:uid="{00000000-0004-0000-0400-000065010000}"/>
    <hyperlink ref="KZ3" r:id="rId178" display="webpack://src/app/services/game/game.service.ts" xr:uid="{00000000-0004-0000-0400-000066010000}"/>
    <hyperlink ref="LB3" r:id="rId179" display="webpack://src/app/services/game/game.service.ts" xr:uid="{00000000-0004-0000-0400-000067010000}"/>
    <hyperlink ref="LC3" r:id="rId180" display="webpack://src/app/services/game/game.service.ts" xr:uid="{00000000-0004-0000-0400-000068010000}"/>
    <hyperlink ref="LF3" r:id="rId181" display="webpack://src/app/services/game/game.service.ts" xr:uid="{00000000-0004-0000-0400-000069010000}"/>
    <hyperlink ref="LG3" r:id="rId182" display="webpack://src/app/services/game/game.service.ts" xr:uid="{00000000-0004-0000-0400-00006A010000}"/>
    <hyperlink ref="LI3" r:id="rId183" display="webpack://src/app/services/game/game.service.ts" xr:uid="{00000000-0004-0000-0400-00006B010000}"/>
    <hyperlink ref="LJ3" r:id="rId184" display="webpack://src/app/services/game/game.service.ts" xr:uid="{00000000-0004-0000-0400-00006C010000}"/>
    <hyperlink ref="LM3" r:id="rId185" display="webpack://src/app/services/game/game.service.ts" xr:uid="{00000000-0004-0000-0400-00006D010000}"/>
    <hyperlink ref="LN3" r:id="rId186" display="webpack://src/app/services/game/game.service.ts" xr:uid="{00000000-0004-0000-0400-00006E010000}"/>
    <hyperlink ref="LP3" r:id="rId187" display="webpack://src/app/services/game/game.service.ts" xr:uid="{00000000-0004-0000-0400-00006F010000}"/>
    <hyperlink ref="LQ3" r:id="rId188" display="webpack://src/app/services/game/game.service.ts" xr:uid="{00000000-0004-0000-0400-000070010000}"/>
    <hyperlink ref="LT3" r:id="rId189" display="webpack://src/app/services/game/game.service.ts" xr:uid="{00000000-0004-0000-0400-000071010000}"/>
    <hyperlink ref="LU3" r:id="rId190" display="webpack://src/app/services/game/game.service.ts" xr:uid="{00000000-0004-0000-0400-000072010000}"/>
    <hyperlink ref="LW3" r:id="rId191" display="webpack://src/app/services/game/game.service.ts" xr:uid="{00000000-0004-0000-0400-000073010000}"/>
    <hyperlink ref="LX3" r:id="rId192" display="webpack://src/app/services/game/game.service.ts" xr:uid="{00000000-0004-0000-0400-000074010000}"/>
    <hyperlink ref="MA3" r:id="rId193" display="webpack://src/app/services/game/game.service.ts" xr:uid="{00000000-0004-0000-0400-000075010000}"/>
    <hyperlink ref="MB3" r:id="rId194" display="webpack://src/app/services/game/game.service.ts" xr:uid="{00000000-0004-0000-0400-000076010000}"/>
    <hyperlink ref="MD3" r:id="rId195" display="webpack://src/app/services/game/game.service.ts" xr:uid="{00000000-0004-0000-0400-000077010000}"/>
    <hyperlink ref="ME3" r:id="rId196" display="webpack://src/app/services/game/game.service.ts" xr:uid="{00000000-0004-0000-0400-000078010000}"/>
    <hyperlink ref="MH3" r:id="rId197" display="webpack://src/app/services/game/game.service.ts" xr:uid="{00000000-0004-0000-0400-000079010000}"/>
    <hyperlink ref="MI3" r:id="rId198" display="webpack://src/app/services/game/game.service.ts" xr:uid="{00000000-0004-0000-0400-00007A010000}"/>
    <hyperlink ref="MK3" r:id="rId199" display="webpack://src/app/services/game/game.service.ts" xr:uid="{00000000-0004-0000-0400-00007B010000}"/>
    <hyperlink ref="ML3" r:id="rId200" display="webpack://src/app/services/game/game.service.ts" xr:uid="{00000000-0004-0000-0400-00007C010000}"/>
  </hyperlinks>
  <pageMargins left="0.7" right="0.7" top="0.75" bottom="0.75" header="0.3" footer="0.3"/>
  <pageSetup orientation="portrait" horizontalDpi="4294967294" verticalDpi="0" r:id="rId201"/>
  <drawing r:id="rId2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F2DB-D4DE-4BC5-88F1-0A655EB92199}">
  <sheetPr codeName="Sheet9"/>
  <dimension ref="A1:O51"/>
  <sheetViews>
    <sheetView topLeftCell="B1" workbookViewId="0">
      <selection activeCell="C24" sqref="C2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16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4</v>
      </c>
      <c r="F4" t="s">
        <v>19</v>
      </c>
      <c r="G4">
        <f>COUNTIF(C:C, "=Random")</f>
        <v>8</v>
      </c>
      <c r="J4" t="s">
        <v>19</v>
      </c>
      <c r="K4">
        <f>COUNTIFS(C:C,"=Random",A:A,"=Random")</f>
        <v>4</v>
      </c>
      <c r="N4" t="s">
        <v>19</v>
      </c>
      <c r="O4">
        <f>COUNTIFS(A:A,"=Good dad",C:C,"=Random")</f>
        <v>4</v>
      </c>
    </row>
    <row r="5" spans="1:15" x14ac:dyDescent="0.25">
      <c r="A5" t="s">
        <v>4</v>
      </c>
      <c r="B5" t="s">
        <v>16</v>
      </c>
      <c r="C5" t="s">
        <v>17</v>
      </c>
      <c r="F5" t="s">
        <v>20</v>
      </c>
      <c r="G5">
        <f>COUNTIF(C:C, "=Good dad")</f>
        <v>21</v>
      </c>
      <c r="J5" t="s">
        <v>20</v>
      </c>
      <c r="K5">
        <f>COUNTIFS(C:C,"=Good dad",A:A,"=Random")</f>
        <v>9</v>
      </c>
      <c r="N5" t="s">
        <v>20</v>
      </c>
      <c r="O5">
        <f>COUNTIFS(A:A,"=Good dad",C:C,"=Good dad")</f>
        <v>12</v>
      </c>
    </row>
    <row r="6" spans="1:15" x14ac:dyDescent="0.25">
      <c r="A6" t="s">
        <v>4</v>
      </c>
      <c r="B6" t="s">
        <v>16</v>
      </c>
      <c r="C6" t="s">
        <v>17</v>
      </c>
      <c r="F6" t="s">
        <v>17</v>
      </c>
      <c r="G6">
        <f>COUNTIF(C:C, "=draw")</f>
        <v>21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9</v>
      </c>
    </row>
    <row r="7" spans="1:15" x14ac:dyDescent="0.25">
      <c r="A7" t="s">
        <v>4</v>
      </c>
      <c r="B7" t="s">
        <v>16</v>
      </c>
      <c r="C7" t="s">
        <v>4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17</v>
      </c>
    </row>
    <row r="10" spans="1:15" x14ac:dyDescent="0.25">
      <c r="A10" t="s">
        <v>4</v>
      </c>
      <c r="B10" t="s">
        <v>16</v>
      </c>
      <c r="C10" t="s">
        <v>4</v>
      </c>
    </row>
    <row r="11" spans="1:15" x14ac:dyDescent="0.25">
      <c r="A11" t="s">
        <v>16</v>
      </c>
      <c r="B11" t="s">
        <v>4</v>
      </c>
      <c r="C11" t="s">
        <v>4</v>
      </c>
    </row>
    <row r="12" spans="1:15" x14ac:dyDescent="0.25">
      <c r="A12" t="s">
        <v>4</v>
      </c>
      <c r="B12" t="s">
        <v>16</v>
      </c>
      <c r="C12" t="s">
        <v>17</v>
      </c>
    </row>
    <row r="13" spans="1:15" x14ac:dyDescent="0.25">
      <c r="A13" t="s">
        <v>16</v>
      </c>
      <c r="B13" t="s">
        <v>4</v>
      </c>
      <c r="C13" t="s">
        <v>16</v>
      </c>
    </row>
    <row r="14" spans="1:15" x14ac:dyDescent="0.25">
      <c r="A14" t="s">
        <v>4</v>
      </c>
      <c r="B14" t="s">
        <v>16</v>
      </c>
      <c r="C14" t="s">
        <v>16</v>
      </c>
    </row>
    <row r="15" spans="1:15" x14ac:dyDescent="0.25">
      <c r="A15" t="s">
        <v>16</v>
      </c>
      <c r="B15" t="s">
        <v>4</v>
      </c>
      <c r="C15" t="s">
        <v>17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4</v>
      </c>
      <c r="B22" t="s">
        <v>16</v>
      </c>
      <c r="C22" t="s">
        <v>17</v>
      </c>
    </row>
    <row r="23" spans="1:3" x14ac:dyDescent="0.25">
      <c r="A23" t="s">
        <v>16</v>
      </c>
      <c r="B23" t="s">
        <v>4</v>
      </c>
      <c r="C23" t="s">
        <v>4</v>
      </c>
    </row>
    <row r="24" spans="1:3" x14ac:dyDescent="0.25">
      <c r="A24" t="s">
        <v>4</v>
      </c>
      <c r="B24" t="s">
        <v>16</v>
      </c>
      <c r="C24" t="s">
        <v>17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4</v>
      </c>
      <c r="B26" t="s">
        <v>16</v>
      </c>
      <c r="C26" t="s">
        <v>4</v>
      </c>
    </row>
    <row r="27" spans="1:3" x14ac:dyDescent="0.25">
      <c r="A27" t="s">
        <v>4</v>
      </c>
      <c r="B27" t="s">
        <v>16</v>
      </c>
      <c r="C27" t="s">
        <v>4</v>
      </c>
    </row>
    <row r="28" spans="1:3" x14ac:dyDescent="0.25">
      <c r="A28" t="s">
        <v>4</v>
      </c>
      <c r="B28" t="s">
        <v>16</v>
      </c>
      <c r="C28" t="s">
        <v>16</v>
      </c>
    </row>
    <row r="29" spans="1:3" x14ac:dyDescent="0.25">
      <c r="A29" t="s">
        <v>16</v>
      </c>
      <c r="B29" t="s">
        <v>4</v>
      </c>
      <c r="C29" t="s">
        <v>17</v>
      </c>
    </row>
    <row r="30" spans="1:3" x14ac:dyDescent="0.25">
      <c r="A30" t="s">
        <v>16</v>
      </c>
      <c r="B30" t="s">
        <v>4</v>
      </c>
      <c r="C30" t="s">
        <v>17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16</v>
      </c>
      <c r="B32" t="s">
        <v>4</v>
      </c>
      <c r="C32" t="s">
        <v>17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16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4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4</v>
      </c>
      <c r="B39" t="s">
        <v>16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16</v>
      </c>
      <c r="B41" t="s">
        <v>4</v>
      </c>
      <c r="C41" t="s">
        <v>17</v>
      </c>
    </row>
    <row r="42" spans="1:3" x14ac:dyDescent="0.25">
      <c r="A42" t="s">
        <v>4</v>
      </c>
      <c r="B42" t="s">
        <v>16</v>
      </c>
      <c r="C42" t="s">
        <v>16</v>
      </c>
    </row>
    <row r="43" spans="1:3" x14ac:dyDescent="0.25">
      <c r="A43" t="s">
        <v>16</v>
      </c>
      <c r="B43" t="s">
        <v>4</v>
      </c>
      <c r="C43" t="s">
        <v>16</v>
      </c>
    </row>
    <row r="44" spans="1:3" x14ac:dyDescent="0.25">
      <c r="A44" t="s">
        <v>16</v>
      </c>
      <c r="B44" t="s">
        <v>4</v>
      </c>
      <c r="C44" t="s">
        <v>17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16</v>
      </c>
      <c r="B46" t="s">
        <v>4</v>
      </c>
      <c r="C46" t="s">
        <v>4</v>
      </c>
    </row>
    <row r="47" spans="1:3" x14ac:dyDescent="0.25">
      <c r="A47" t="s">
        <v>16</v>
      </c>
      <c r="B47" t="s">
        <v>4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16</v>
      </c>
      <c r="B49" t="s">
        <v>4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FE56-C4EE-4673-8543-DF83DB304C38}">
  <sheetPr codeName="Sheet18"/>
  <dimension ref="A1:G25"/>
  <sheetViews>
    <sheetView workbookViewId="0">
      <selection activeCell="F2" sqref="F2"/>
    </sheetView>
  </sheetViews>
  <sheetFormatPr defaultRowHeight="15" x14ac:dyDescent="0.25"/>
  <cols>
    <col min="1" max="2" width="12.5703125" bestFit="1" customWidth="1"/>
    <col min="3" max="3" width="11.85546875" customWidth="1"/>
    <col min="4" max="4" width="31" customWidth="1"/>
    <col min="5" max="5" width="39.42578125" customWidth="1"/>
    <col min="6" max="6" width="57.85546875" customWidth="1"/>
    <col min="7" max="7" width="51.42578125" customWidth="1"/>
  </cols>
  <sheetData>
    <row r="1" spans="1:7" x14ac:dyDescent="0.25">
      <c r="A1" t="s">
        <v>13</v>
      </c>
      <c r="B1" t="s">
        <v>14</v>
      </c>
      <c r="C1" t="s">
        <v>15</v>
      </c>
      <c r="D1" t="s">
        <v>68</v>
      </c>
      <c r="E1" t="s">
        <v>67</v>
      </c>
      <c r="F1" t="s">
        <v>66</v>
      </c>
      <c r="G1" t="s">
        <v>65</v>
      </c>
    </row>
    <row r="2" spans="1:7" x14ac:dyDescent="0.25">
      <c r="A2" t="s">
        <v>1</v>
      </c>
      <c r="B2" t="s">
        <v>32</v>
      </c>
      <c r="C2" t="s">
        <v>32</v>
      </c>
      <c r="D2" t="s">
        <v>41</v>
      </c>
      <c r="E2" t="s">
        <v>43</v>
      </c>
      <c r="F2" t="s">
        <v>64</v>
      </c>
      <c r="G2" t="s">
        <v>42</v>
      </c>
    </row>
    <row r="3" spans="1:7" x14ac:dyDescent="0.25">
      <c r="A3" t="s">
        <v>32</v>
      </c>
      <c r="B3" t="s">
        <v>33</v>
      </c>
      <c r="C3" t="s">
        <v>32</v>
      </c>
      <c r="D3" t="s">
        <v>41</v>
      </c>
      <c r="E3" t="s">
        <v>62</v>
      </c>
      <c r="F3" t="s">
        <v>63</v>
      </c>
      <c r="G3" t="s">
        <v>42</v>
      </c>
    </row>
    <row r="4" spans="1:7" x14ac:dyDescent="0.25">
      <c r="A4" t="s">
        <v>16</v>
      </c>
      <c r="B4" t="s">
        <v>32</v>
      </c>
      <c r="C4" t="s">
        <v>32</v>
      </c>
      <c r="D4" t="s">
        <v>41</v>
      </c>
      <c r="E4" t="s">
        <v>62</v>
      </c>
      <c r="F4" t="s">
        <v>61</v>
      </c>
      <c r="G4" t="s">
        <v>42</v>
      </c>
    </row>
    <row r="5" spans="1:7" x14ac:dyDescent="0.25">
      <c r="A5" t="s">
        <v>33</v>
      </c>
      <c r="B5" t="s">
        <v>32</v>
      </c>
      <c r="C5" t="s">
        <v>32</v>
      </c>
      <c r="D5" t="s">
        <v>41</v>
      </c>
      <c r="E5" t="s">
        <v>44</v>
      </c>
      <c r="F5" t="s">
        <v>60</v>
      </c>
      <c r="G5" t="s">
        <v>42</v>
      </c>
    </row>
    <row r="6" spans="1:7" x14ac:dyDescent="0.25">
      <c r="A6" t="s">
        <v>16</v>
      </c>
      <c r="B6" t="s">
        <v>32</v>
      </c>
      <c r="C6" t="s">
        <v>32</v>
      </c>
      <c r="D6" t="s">
        <v>41</v>
      </c>
      <c r="E6" t="s">
        <v>44</v>
      </c>
      <c r="G6" t="s">
        <v>34</v>
      </c>
    </row>
    <row r="7" spans="1:7" x14ac:dyDescent="0.25">
      <c r="A7" t="s">
        <v>4</v>
      </c>
      <c r="B7" t="s">
        <v>32</v>
      </c>
      <c r="C7" t="s">
        <v>32</v>
      </c>
      <c r="D7" t="s">
        <v>41</v>
      </c>
      <c r="E7" t="s">
        <v>43</v>
      </c>
      <c r="F7" t="s">
        <v>59</v>
      </c>
      <c r="G7" t="s">
        <v>42</v>
      </c>
    </row>
    <row r="8" spans="1:7" x14ac:dyDescent="0.25">
      <c r="A8" t="s">
        <v>24</v>
      </c>
      <c r="B8" t="s">
        <v>32</v>
      </c>
      <c r="C8" t="s">
        <v>32</v>
      </c>
      <c r="D8" t="s">
        <v>41</v>
      </c>
      <c r="E8" t="s">
        <v>40</v>
      </c>
      <c r="F8" t="s">
        <v>58</v>
      </c>
      <c r="G8" t="s">
        <v>38</v>
      </c>
    </row>
    <row r="9" spans="1:7" x14ac:dyDescent="0.25">
      <c r="A9" t="s">
        <v>32</v>
      </c>
      <c r="B9" t="s">
        <v>33</v>
      </c>
      <c r="C9" t="s">
        <v>32</v>
      </c>
      <c r="D9" t="s">
        <v>44</v>
      </c>
      <c r="E9" t="s">
        <v>40</v>
      </c>
      <c r="F9" t="s">
        <v>57</v>
      </c>
      <c r="G9" t="s">
        <v>38</v>
      </c>
    </row>
    <row r="10" spans="1:7" x14ac:dyDescent="0.25">
      <c r="A10" t="s">
        <v>16</v>
      </c>
      <c r="B10" t="s">
        <v>32</v>
      </c>
      <c r="C10" t="s">
        <v>32</v>
      </c>
      <c r="D10" t="s">
        <v>44</v>
      </c>
      <c r="E10" t="s">
        <v>40</v>
      </c>
      <c r="F10" t="s">
        <v>56</v>
      </c>
      <c r="G10" t="s">
        <v>42</v>
      </c>
    </row>
    <row r="11" spans="1:7" x14ac:dyDescent="0.25">
      <c r="A11" t="s">
        <v>32</v>
      </c>
      <c r="B11" t="s">
        <v>33</v>
      </c>
      <c r="C11" t="s">
        <v>33</v>
      </c>
      <c r="D11" t="s">
        <v>55</v>
      </c>
      <c r="E11" t="s">
        <v>36</v>
      </c>
      <c r="F11" t="s">
        <v>54</v>
      </c>
      <c r="G11" t="s">
        <v>38</v>
      </c>
    </row>
    <row r="12" spans="1:7" x14ac:dyDescent="0.25">
      <c r="A12" t="s">
        <v>24</v>
      </c>
      <c r="B12" t="s">
        <v>32</v>
      </c>
      <c r="C12" t="s">
        <v>32</v>
      </c>
      <c r="D12" t="s">
        <v>37</v>
      </c>
      <c r="E12" t="s">
        <v>40</v>
      </c>
      <c r="F12" t="s">
        <v>53</v>
      </c>
      <c r="G12" t="s">
        <v>34</v>
      </c>
    </row>
    <row r="13" spans="1:7" x14ac:dyDescent="0.25">
      <c r="A13" t="s">
        <v>32</v>
      </c>
      <c r="B13" t="s">
        <v>4</v>
      </c>
      <c r="C13" t="s">
        <v>32</v>
      </c>
      <c r="D13" t="s">
        <v>37</v>
      </c>
      <c r="E13" t="s">
        <v>43</v>
      </c>
      <c r="F13" t="s">
        <v>52</v>
      </c>
      <c r="G13" t="s">
        <v>42</v>
      </c>
    </row>
    <row r="14" spans="1:7" x14ac:dyDescent="0.25">
      <c r="A14" t="s">
        <v>1</v>
      </c>
      <c r="B14" t="s">
        <v>32</v>
      </c>
      <c r="C14" t="s">
        <v>1</v>
      </c>
      <c r="D14" t="s">
        <v>41</v>
      </c>
      <c r="E14" t="s">
        <v>44</v>
      </c>
      <c r="G14" t="s">
        <v>34</v>
      </c>
    </row>
    <row r="15" spans="1:7" x14ac:dyDescent="0.25">
      <c r="A15" t="s">
        <v>32</v>
      </c>
      <c r="B15" t="s">
        <v>33</v>
      </c>
      <c r="C15" t="s">
        <v>32</v>
      </c>
      <c r="D15" t="s">
        <v>41</v>
      </c>
      <c r="E15" t="s">
        <v>44</v>
      </c>
      <c r="G15" t="s">
        <v>34</v>
      </c>
    </row>
    <row r="16" spans="1:7" x14ac:dyDescent="0.25">
      <c r="A16" t="s">
        <v>16</v>
      </c>
      <c r="B16" t="s">
        <v>32</v>
      </c>
      <c r="C16" t="s">
        <v>32</v>
      </c>
      <c r="D16" t="s">
        <v>41</v>
      </c>
      <c r="E16" t="s">
        <v>44</v>
      </c>
      <c r="F16" t="s">
        <v>51</v>
      </c>
      <c r="G16" t="s">
        <v>42</v>
      </c>
    </row>
    <row r="17" spans="1:7" x14ac:dyDescent="0.25">
      <c r="A17" t="s">
        <v>32</v>
      </c>
      <c r="B17" t="s">
        <v>33</v>
      </c>
      <c r="C17" t="s">
        <v>32</v>
      </c>
      <c r="D17" t="s">
        <v>37</v>
      </c>
      <c r="E17" t="s">
        <v>36</v>
      </c>
      <c r="F17" t="s">
        <v>50</v>
      </c>
      <c r="G17" t="s">
        <v>42</v>
      </c>
    </row>
    <row r="18" spans="1:7" x14ac:dyDescent="0.25">
      <c r="A18" t="s">
        <v>24</v>
      </c>
      <c r="B18" t="s">
        <v>32</v>
      </c>
      <c r="C18" t="s">
        <v>32</v>
      </c>
      <c r="D18" t="s">
        <v>41</v>
      </c>
      <c r="E18" t="s">
        <v>43</v>
      </c>
      <c r="F18" t="s">
        <v>49</v>
      </c>
      <c r="G18" t="s">
        <v>42</v>
      </c>
    </row>
    <row r="19" spans="1:7" x14ac:dyDescent="0.25">
      <c r="A19" t="s">
        <v>33</v>
      </c>
      <c r="B19" t="s">
        <v>32</v>
      </c>
      <c r="C19" t="s">
        <v>32</v>
      </c>
      <c r="D19" t="s">
        <v>41</v>
      </c>
      <c r="E19" t="s">
        <v>40</v>
      </c>
      <c r="F19" t="s">
        <v>48</v>
      </c>
      <c r="G19" t="s">
        <v>42</v>
      </c>
    </row>
    <row r="20" spans="1:7" x14ac:dyDescent="0.25">
      <c r="A20" t="s">
        <v>1</v>
      </c>
      <c r="B20" t="s">
        <v>32</v>
      </c>
      <c r="C20" t="s">
        <v>1</v>
      </c>
      <c r="D20" t="s">
        <v>41</v>
      </c>
      <c r="E20" t="s">
        <v>40</v>
      </c>
      <c r="F20" t="s">
        <v>47</v>
      </c>
      <c r="G20" t="s">
        <v>42</v>
      </c>
    </row>
    <row r="21" spans="1:7" x14ac:dyDescent="0.25">
      <c r="A21" t="s">
        <v>32</v>
      </c>
      <c r="B21" t="s">
        <v>24</v>
      </c>
      <c r="C21" t="s">
        <v>32</v>
      </c>
      <c r="D21" t="s">
        <v>41</v>
      </c>
      <c r="E21" t="s">
        <v>43</v>
      </c>
      <c r="F21" t="s">
        <v>46</v>
      </c>
      <c r="G21" t="s">
        <v>45</v>
      </c>
    </row>
    <row r="22" spans="1:7" x14ac:dyDescent="0.25">
      <c r="A22" t="s">
        <v>32</v>
      </c>
      <c r="B22" t="s">
        <v>33</v>
      </c>
      <c r="C22" t="s">
        <v>32</v>
      </c>
      <c r="D22" t="s">
        <v>41</v>
      </c>
      <c r="E22" t="s">
        <v>44</v>
      </c>
      <c r="G22" t="s">
        <v>34</v>
      </c>
    </row>
    <row r="23" spans="1:7" x14ac:dyDescent="0.25">
      <c r="A23" t="s">
        <v>4</v>
      </c>
      <c r="B23" t="s">
        <v>32</v>
      </c>
      <c r="C23" t="s">
        <v>4</v>
      </c>
      <c r="D23" t="s">
        <v>41</v>
      </c>
      <c r="E23" t="s">
        <v>43</v>
      </c>
      <c r="G23" t="s">
        <v>42</v>
      </c>
    </row>
    <row r="24" spans="1:7" x14ac:dyDescent="0.25">
      <c r="A24" t="s">
        <v>24</v>
      </c>
      <c r="B24" t="s">
        <v>32</v>
      </c>
      <c r="C24" t="s">
        <v>24</v>
      </c>
      <c r="D24" t="s">
        <v>41</v>
      </c>
      <c r="E24" t="s">
        <v>40</v>
      </c>
      <c r="F24" t="s">
        <v>39</v>
      </c>
      <c r="G24" t="s">
        <v>38</v>
      </c>
    </row>
    <row r="25" spans="1:7" x14ac:dyDescent="0.25">
      <c r="A25" t="s">
        <v>32</v>
      </c>
      <c r="B25" t="s">
        <v>4</v>
      </c>
      <c r="C25" t="s">
        <v>32</v>
      </c>
      <c r="D25" t="s">
        <v>37</v>
      </c>
      <c r="E25" t="s">
        <v>36</v>
      </c>
      <c r="F25" t="s">
        <v>35</v>
      </c>
      <c r="G25" t="s">
        <v>34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0BE-3E51-4C2D-982D-D3ECFF5A2344}">
  <sheetPr codeName="Sheet10"/>
  <dimension ref="A1:O51"/>
  <sheetViews>
    <sheetView workbookViewId="0">
      <selection activeCell="M9" sqref="M9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1</v>
      </c>
      <c r="B3" t="s">
        <v>4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4</v>
      </c>
      <c r="F4" t="s">
        <v>25</v>
      </c>
      <c r="G4">
        <f>COUNTIF(C:C, "=MCTS")</f>
        <v>22</v>
      </c>
      <c r="J4" t="s">
        <v>25</v>
      </c>
      <c r="K4">
        <f>COUNTIFS(C:C,"=MCTS",A:A,"=MCTS")</f>
        <v>12</v>
      </c>
      <c r="N4" t="s">
        <v>25</v>
      </c>
      <c r="O4">
        <f>COUNTIFS(A:A,"=Good dad",C:C,"=MCTS")</f>
        <v>10</v>
      </c>
    </row>
    <row r="5" spans="1:15" x14ac:dyDescent="0.25">
      <c r="A5" t="s">
        <v>1</v>
      </c>
      <c r="B5" t="s">
        <v>4</v>
      </c>
      <c r="C5" t="s">
        <v>4</v>
      </c>
      <c r="F5" t="s">
        <v>20</v>
      </c>
      <c r="G5">
        <f>COUNTIF(C:C, "=Good dad")</f>
        <v>24</v>
      </c>
      <c r="J5" t="s">
        <v>20</v>
      </c>
      <c r="K5">
        <f>COUNTIFS(C:C,"=Good dad",A:A,"=MCTS")</f>
        <v>11</v>
      </c>
      <c r="N5" t="s">
        <v>20</v>
      </c>
      <c r="O5">
        <f>COUNTIFS(A:A,"=Good dad",C:C,"=Good dad")</f>
        <v>13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4</v>
      </c>
      <c r="J6" t="s">
        <v>17</v>
      </c>
      <c r="K6">
        <f>COUNTIFS(C:C,"=draw",A:A,"=MCTS")</f>
        <v>2</v>
      </c>
      <c r="N6" t="s">
        <v>17</v>
      </c>
      <c r="O6">
        <f>COUNTIFS(A:A,"=Good dad",C:C,"=draw")</f>
        <v>2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4</v>
      </c>
    </row>
    <row r="9" spans="1:15" x14ac:dyDescent="0.25">
      <c r="A9" t="s">
        <v>1</v>
      </c>
      <c r="B9" t="s">
        <v>4</v>
      </c>
      <c r="C9" t="s">
        <v>17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4</v>
      </c>
    </row>
    <row r="12" spans="1:15" x14ac:dyDescent="0.25">
      <c r="A12" t="s">
        <v>4</v>
      </c>
      <c r="B12" t="s">
        <v>1</v>
      </c>
      <c r="C12" t="s">
        <v>4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17</v>
      </c>
    </row>
    <row r="15" spans="1:15" x14ac:dyDescent="0.25">
      <c r="A15" t="s">
        <v>1</v>
      </c>
      <c r="B15" t="s">
        <v>4</v>
      </c>
      <c r="C15" t="s">
        <v>4</v>
      </c>
    </row>
    <row r="16" spans="1:15" x14ac:dyDescent="0.25">
      <c r="A16" t="s">
        <v>4</v>
      </c>
      <c r="B16" t="s">
        <v>1</v>
      </c>
      <c r="C16" t="s">
        <v>4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4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4</v>
      </c>
      <c r="B20" t="s">
        <v>1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4</v>
      </c>
    </row>
    <row r="23" spans="1:3" x14ac:dyDescent="0.25">
      <c r="A23" t="s">
        <v>4</v>
      </c>
      <c r="B23" t="s">
        <v>1</v>
      </c>
      <c r="C23" t="s">
        <v>4</v>
      </c>
    </row>
    <row r="24" spans="1:3" x14ac:dyDescent="0.25">
      <c r="A24" t="s">
        <v>1</v>
      </c>
      <c r="B24" t="s">
        <v>4</v>
      </c>
      <c r="C24" t="s">
        <v>1</v>
      </c>
    </row>
    <row r="25" spans="1:3" x14ac:dyDescent="0.25">
      <c r="A25" t="s">
        <v>4</v>
      </c>
      <c r="B25" t="s">
        <v>1</v>
      </c>
      <c r="C25" t="s">
        <v>4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4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1</v>
      </c>
      <c r="B30" t="s">
        <v>4</v>
      </c>
      <c r="C30" t="s">
        <v>4</v>
      </c>
    </row>
    <row r="31" spans="1:3" x14ac:dyDescent="0.25">
      <c r="A31" t="s">
        <v>4</v>
      </c>
      <c r="B31" t="s">
        <v>1</v>
      </c>
      <c r="C31" t="s">
        <v>1</v>
      </c>
    </row>
    <row r="32" spans="1:3" x14ac:dyDescent="0.25">
      <c r="A32" t="s">
        <v>1</v>
      </c>
      <c r="B32" t="s">
        <v>4</v>
      </c>
      <c r="C32" t="s">
        <v>4</v>
      </c>
    </row>
    <row r="33" spans="1:3" x14ac:dyDescent="0.25">
      <c r="A33" t="s">
        <v>4</v>
      </c>
      <c r="B33" t="s">
        <v>1</v>
      </c>
      <c r="C33" t="s">
        <v>17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4</v>
      </c>
      <c r="B36" t="s">
        <v>1</v>
      </c>
      <c r="C36" t="s">
        <v>4</v>
      </c>
    </row>
    <row r="37" spans="1:3" x14ac:dyDescent="0.25">
      <c r="A37" t="s">
        <v>1</v>
      </c>
      <c r="B37" t="s">
        <v>4</v>
      </c>
      <c r="C37" t="s">
        <v>4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17</v>
      </c>
    </row>
    <row r="40" spans="1:3" x14ac:dyDescent="0.25">
      <c r="A40" t="s">
        <v>4</v>
      </c>
      <c r="B40" t="s">
        <v>1</v>
      </c>
      <c r="C40" t="s">
        <v>4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4</v>
      </c>
    </row>
    <row r="43" spans="1:3" x14ac:dyDescent="0.25">
      <c r="A43" t="s">
        <v>1</v>
      </c>
      <c r="B43" t="s">
        <v>4</v>
      </c>
      <c r="C43" t="s">
        <v>4</v>
      </c>
    </row>
    <row r="44" spans="1:3" x14ac:dyDescent="0.25">
      <c r="A44" t="s">
        <v>4</v>
      </c>
      <c r="B44" t="s">
        <v>1</v>
      </c>
      <c r="C44" t="s">
        <v>4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4</v>
      </c>
    </row>
    <row r="47" spans="1:3" x14ac:dyDescent="0.25">
      <c r="A47" t="s">
        <v>4</v>
      </c>
      <c r="B47" t="s">
        <v>1</v>
      </c>
      <c r="C47" t="s">
        <v>4</v>
      </c>
    </row>
    <row r="48" spans="1:3" x14ac:dyDescent="0.25">
      <c r="A48" t="s">
        <v>4</v>
      </c>
      <c r="B48" t="s">
        <v>1</v>
      </c>
      <c r="C48" t="s">
        <v>1</v>
      </c>
    </row>
    <row r="49" spans="1:3" x14ac:dyDescent="0.25">
      <c r="A49" t="s">
        <v>1</v>
      </c>
      <c r="B49" t="s">
        <v>4</v>
      </c>
      <c r="C49" t="s">
        <v>1</v>
      </c>
    </row>
    <row r="50" spans="1:3" x14ac:dyDescent="0.25">
      <c r="A50" t="s">
        <v>1</v>
      </c>
      <c r="B50" t="s">
        <v>4</v>
      </c>
      <c r="C50" t="s">
        <v>4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D03B-AA8C-4113-AD78-E8AF30A40E76}">
  <dimension ref="A1:I2096"/>
  <sheetViews>
    <sheetView tabSelected="1" topLeftCell="A1957" workbookViewId="0">
      <selection activeCell="F1964" sqref="F1964"/>
    </sheetView>
  </sheetViews>
  <sheetFormatPr defaultRowHeight="15" x14ac:dyDescent="0.25"/>
  <cols>
    <col min="1" max="1" width="9.28515625" bestFit="1" customWidth="1"/>
    <col min="2" max="2" width="12.7109375" bestFit="1" customWidth="1"/>
    <col min="4" max="4" width="8" bestFit="1" customWidth="1"/>
  </cols>
  <sheetData>
    <row r="1" spans="1:9" x14ac:dyDescent="0.25">
      <c r="A1" t="s">
        <v>75</v>
      </c>
      <c r="B1" t="s">
        <v>76</v>
      </c>
      <c r="D1" t="s">
        <v>77</v>
      </c>
    </row>
    <row r="2" spans="1:9" x14ac:dyDescent="0.25">
      <c r="A2">
        <v>3</v>
      </c>
      <c r="B2">
        <v>0.135135135135135</v>
      </c>
      <c r="D2">
        <v>0</v>
      </c>
      <c r="E2">
        <f>_xlfn.NORM.DIST(D2, I$4,I$7,FALSE)</f>
        <v>3.8593787311575464E-2</v>
      </c>
    </row>
    <row r="3" spans="1:9" x14ac:dyDescent="0.25">
      <c r="A3">
        <v>3</v>
      </c>
      <c r="B3">
        <v>0.135135135135135</v>
      </c>
      <c r="D3">
        <v>0</v>
      </c>
      <c r="E3">
        <f t="shared" ref="E3:E66" si="0">_xlfn.NORM.DIST(D3, I$4,I$7,FALSE)</f>
        <v>3.8593787311575464E-2</v>
      </c>
      <c r="G3" t="s">
        <v>78</v>
      </c>
    </row>
    <row r="4" spans="1:9" x14ac:dyDescent="0.25">
      <c r="A4">
        <v>3</v>
      </c>
      <c r="B4">
        <v>-0.24324324324324301</v>
      </c>
      <c r="D4">
        <v>0</v>
      </c>
      <c r="E4">
        <f t="shared" si="0"/>
        <v>3.8593787311575464E-2</v>
      </c>
      <c r="H4" t="s">
        <v>34</v>
      </c>
      <c r="I4">
        <f>AVERAGE(D:D)</f>
        <v>4.6758949880668261</v>
      </c>
    </row>
    <row r="5" spans="1:9" x14ac:dyDescent="0.25">
      <c r="A5">
        <v>3</v>
      </c>
      <c r="B5">
        <v>1.19760479041916E-2</v>
      </c>
      <c r="D5">
        <v>0</v>
      </c>
      <c r="E5">
        <f t="shared" si="0"/>
        <v>3.8593787311575464E-2</v>
      </c>
      <c r="H5" t="s">
        <v>79</v>
      </c>
      <c r="I5">
        <f>MIN(D:D)</f>
        <v>0</v>
      </c>
    </row>
    <row r="6" spans="1:9" x14ac:dyDescent="0.25">
      <c r="A6">
        <v>3</v>
      </c>
      <c r="B6">
        <v>0.122754491017964</v>
      </c>
      <c r="D6">
        <v>0</v>
      </c>
      <c r="E6">
        <f t="shared" si="0"/>
        <v>3.8593787311575464E-2</v>
      </c>
      <c r="H6" t="s">
        <v>80</v>
      </c>
      <c r="I6">
        <f>MAX(D:D)</f>
        <v>80</v>
      </c>
    </row>
    <row r="7" spans="1:9" x14ac:dyDescent="0.25">
      <c r="A7">
        <v>3</v>
      </c>
      <c r="B7">
        <v>-1.8018018018018001E-2</v>
      </c>
      <c r="D7">
        <v>0</v>
      </c>
      <c r="E7">
        <f t="shared" si="0"/>
        <v>3.8593787311575464E-2</v>
      </c>
      <c r="H7" t="s">
        <v>81</v>
      </c>
      <c r="I7">
        <f>STDEV(D:D)</f>
        <v>9.0436417399297344</v>
      </c>
    </row>
    <row r="8" spans="1:9" x14ac:dyDescent="0.25">
      <c r="A8">
        <v>3</v>
      </c>
      <c r="B8">
        <v>1.6E-2</v>
      </c>
      <c r="D8">
        <v>0</v>
      </c>
      <c r="E8">
        <f t="shared" si="0"/>
        <v>3.8593787311575464E-2</v>
      </c>
    </row>
    <row r="9" spans="1:9" x14ac:dyDescent="0.25">
      <c r="A9">
        <v>3</v>
      </c>
      <c r="B9">
        <v>5.3333333333333302E-2</v>
      </c>
      <c r="D9">
        <v>0</v>
      </c>
      <c r="E9">
        <f t="shared" si="0"/>
        <v>3.8593787311575464E-2</v>
      </c>
    </row>
    <row r="10" spans="1:9" x14ac:dyDescent="0.25">
      <c r="A10">
        <v>3</v>
      </c>
      <c r="B10">
        <v>0.13986013986014001</v>
      </c>
      <c r="D10">
        <v>0</v>
      </c>
      <c r="E10">
        <f t="shared" si="0"/>
        <v>3.8593787311575464E-2</v>
      </c>
    </row>
    <row r="11" spans="1:9" x14ac:dyDescent="0.25">
      <c r="A11">
        <v>3</v>
      </c>
      <c r="B11">
        <v>2.57009345794393E-2</v>
      </c>
      <c r="D11">
        <v>0</v>
      </c>
      <c r="E11">
        <f t="shared" si="0"/>
        <v>3.8593787311575464E-2</v>
      </c>
    </row>
    <row r="12" spans="1:9" x14ac:dyDescent="0.25">
      <c r="A12">
        <v>3</v>
      </c>
      <c r="B12">
        <v>4.8048048048047999E-2</v>
      </c>
      <c r="D12">
        <v>0</v>
      </c>
      <c r="E12">
        <f t="shared" si="0"/>
        <v>3.8593787311575464E-2</v>
      </c>
    </row>
    <row r="13" spans="1:9" x14ac:dyDescent="0.25">
      <c r="A13">
        <v>3</v>
      </c>
      <c r="B13">
        <v>7.4666666666666701E-2</v>
      </c>
      <c r="D13">
        <v>0</v>
      </c>
      <c r="E13">
        <f t="shared" si="0"/>
        <v>3.8593787311575464E-2</v>
      </c>
    </row>
    <row r="14" spans="1:9" x14ac:dyDescent="0.25">
      <c r="A14">
        <v>3</v>
      </c>
      <c r="B14">
        <v>0.14133333333333301</v>
      </c>
      <c r="D14">
        <v>0</v>
      </c>
      <c r="E14">
        <f t="shared" si="0"/>
        <v>3.8593787311575464E-2</v>
      </c>
    </row>
    <row r="15" spans="1:9" x14ac:dyDescent="0.25">
      <c r="A15">
        <v>3</v>
      </c>
      <c r="B15">
        <v>0.10955710955711</v>
      </c>
      <c r="D15">
        <v>0</v>
      </c>
      <c r="E15">
        <f t="shared" si="0"/>
        <v>3.8593787311575464E-2</v>
      </c>
    </row>
    <row r="16" spans="1:9" x14ac:dyDescent="0.25">
      <c r="A16">
        <v>3</v>
      </c>
      <c r="B16">
        <v>3.29341317365269E-2</v>
      </c>
      <c r="D16">
        <v>0</v>
      </c>
      <c r="E16">
        <f t="shared" si="0"/>
        <v>3.8593787311575464E-2</v>
      </c>
    </row>
    <row r="17" spans="1:5" x14ac:dyDescent="0.25">
      <c r="A17">
        <v>3</v>
      </c>
      <c r="B17">
        <v>8.1585081585081598E-2</v>
      </c>
      <c r="D17">
        <v>0</v>
      </c>
      <c r="E17">
        <f t="shared" si="0"/>
        <v>3.8593787311575464E-2</v>
      </c>
    </row>
    <row r="18" spans="1:5" x14ac:dyDescent="0.25">
      <c r="A18">
        <v>3</v>
      </c>
      <c r="B18">
        <v>-9.0090090090090107E-3</v>
      </c>
      <c r="D18">
        <v>0</v>
      </c>
      <c r="E18">
        <f t="shared" si="0"/>
        <v>3.8593787311575464E-2</v>
      </c>
    </row>
    <row r="19" spans="1:5" x14ac:dyDescent="0.25">
      <c r="A19">
        <v>3</v>
      </c>
      <c r="B19">
        <v>9.11214953271028E-2</v>
      </c>
      <c r="D19">
        <v>0</v>
      </c>
      <c r="E19">
        <f t="shared" si="0"/>
        <v>3.8593787311575464E-2</v>
      </c>
    </row>
    <row r="20" spans="1:5" x14ac:dyDescent="0.25">
      <c r="A20">
        <v>3</v>
      </c>
      <c r="B20">
        <v>-4.6620046620046603E-3</v>
      </c>
      <c r="D20">
        <v>0</v>
      </c>
      <c r="E20">
        <f t="shared" si="0"/>
        <v>3.8593787311575464E-2</v>
      </c>
    </row>
    <row r="21" spans="1:5" x14ac:dyDescent="0.25">
      <c r="A21">
        <v>3</v>
      </c>
      <c r="B21">
        <v>5.8000000000000003E-2</v>
      </c>
      <c r="D21">
        <v>0</v>
      </c>
      <c r="E21">
        <f t="shared" si="0"/>
        <v>3.8593787311575464E-2</v>
      </c>
    </row>
    <row r="22" spans="1:5" x14ac:dyDescent="0.25">
      <c r="A22">
        <v>3</v>
      </c>
      <c r="B22">
        <v>-5.3333333333333302E-2</v>
      </c>
      <c r="D22">
        <v>0</v>
      </c>
      <c r="E22">
        <f t="shared" si="0"/>
        <v>3.8593787311575464E-2</v>
      </c>
    </row>
    <row r="23" spans="1:5" x14ac:dyDescent="0.25">
      <c r="A23">
        <v>3</v>
      </c>
      <c r="B23">
        <v>9.0666666666666701E-2</v>
      </c>
      <c r="D23">
        <v>0</v>
      </c>
      <c r="E23">
        <f t="shared" si="0"/>
        <v>3.8593787311575464E-2</v>
      </c>
    </row>
    <row r="24" spans="1:5" x14ac:dyDescent="0.25">
      <c r="A24">
        <v>3</v>
      </c>
      <c r="B24">
        <v>-0.14252336448598099</v>
      </c>
      <c r="D24">
        <v>0</v>
      </c>
      <c r="E24">
        <f t="shared" si="0"/>
        <v>3.8593787311575464E-2</v>
      </c>
    </row>
    <row r="25" spans="1:5" x14ac:dyDescent="0.25">
      <c r="A25">
        <v>3</v>
      </c>
      <c r="B25">
        <v>4.67289719626168E-2</v>
      </c>
      <c r="D25">
        <v>0</v>
      </c>
      <c r="E25">
        <f t="shared" si="0"/>
        <v>3.8593787311575464E-2</v>
      </c>
    </row>
    <row r="26" spans="1:5" x14ac:dyDescent="0.25">
      <c r="A26">
        <v>3</v>
      </c>
      <c r="B26">
        <v>-0.25874125874125897</v>
      </c>
      <c r="D26">
        <v>0</v>
      </c>
      <c r="E26">
        <f t="shared" si="0"/>
        <v>3.8593787311575464E-2</v>
      </c>
    </row>
    <row r="27" spans="1:5" x14ac:dyDescent="0.25">
      <c r="A27">
        <v>3</v>
      </c>
      <c r="B27">
        <v>7.2463768115942004E-2</v>
      </c>
      <c r="D27">
        <v>0</v>
      </c>
      <c r="E27">
        <f t="shared" si="0"/>
        <v>3.8593787311575464E-2</v>
      </c>
    </row>
    <row r="28" spans="1:5" x14ac:dyDescent="0.25">
      <c r="A28">
        <v>3</v>
      </c>
      <c r="B28">
        <v>-0.1002331002331</v>
      </c>
      <c r="D28">
        <v>0</v>
      </c>
      <c r="E28">
        <f t="shared" si="0"/>
        <v>3.8593787311575464E-2</v>
      </c>
    </row>
    <row r="29" spans="1:5" x14ac:dyDescent="0.25">
      <c r="A29">
        <v>3</v>
      </c>
      <c r="B29">
        <v>-0.26027397260273999</v>
      </c>
      <c r="D29">
        <v>0</v>
      </c>
      <c r="E29">
        <f t="shared" si="0"/>
        <v>3.8593787311575464E-2</v>
      </c>
    </row>
    <row r="30" spans="1:5" x14ac:dyDescent="0.25">
      <c r="A30">
        <v>3</v>
      </c>
      <c r="B30">
        <v>-2E-3</v>
      </c>
      <c r="D30">
        <v>0</v>
      </c>
      <c r="E30">
        <f t="shared" si="0"/>
        <v>3.8593787311575464E-2</v>
      </c>
    </row>
    <row r="31" spans="1:5" x14ac:dyDescent="0.25">
      <c r="A31">
        <v>3</v>
      </c>
      <c r="B31">
        <v>-0.24175824175824201</v>
      </c>
      <c r="D31">
        <v>0</v>
      </c>
      <c r="E31">
        <f t="shared" si="0"/>
        <v>3.8593787311575464E-2</v>
      </c>
    </row>
    <row r="32" spans="1:5" x14ac:dyDescent="0.25">
      <c r="A32">
        <v>3</v>
      </c>
      <c r="B32">
        <v>1</v>
      </c>
      <c r="D32">
        <v>0</v>
      </c>
      <c r="E32">
        <f t="shared" si="0"/>
        <v>3.8593787311575464E-2</v>
      </c>
    </row>
    <row r="33" spans="1:5" x14ac:dyDescent="0.25">
      <c r="A33">
        <v>3</v>
      </c>
      <c r="B33">
        <v>-0.30599999999999999</v>
      </c>
      <c r="D33">
        <v>0</v>
      </c>
      <c r="E33">
        <f t="shared" si="0"/>
        <v>3.8593787311575464E-2</v>
      </c>
    </row>
    <row r="34" spans="1:5" x14ac:dyDescent="0.25">
      <c r="A34">
        <v>3</v>
      </c>
      <c r="B34">
        <v>-8.2000000000000003E-2</v>
      </c>
      <c r="D34">
        <v>0</v>
      </c>
      <c r="E34">
        <f t="shared" si="0"/>
        <v>3.8593787311575464E-2</v>
      </c>
    </row>
    <row r="35" spans="1:5" x14ac:dyDescent="0.25">
      <c r="A35">
        <v>3</v>
      </c>
      <c r="B35">
        <v>0.13235294117647101</v>
      </c>
      <c r="D35">
        <v>0</v>
      </c>
      <c r="E35">
        <f t="shared" si="0"/>
        <v>3.8593787311575464E-2</v>
      </c>
    </row>
    <row r="36" spans="1:5" x14ac:dyDescent="0.25">
      <c r="A36">
        <v>3</v>
      </c>
      <c r="B36">
        <v>7.0000000000000007E-2</v>
      </c>
      <c r="D36">
        <v>0</v>
      </c>
      <c r="E36">
        <f t="shared" si="0"/>
        <v>3.8593787311575464E-2</v>
      </c>
    </row>
    <row r="37" spans="1:5" x14ac:dyDescent="0.25">
      <c r="A37">
        <v>3</v>
      </c>
      <c r="B37">
        <v>2.9940119760479E-2</v>
      </c>
      <c r="D37">
        <v>0</v>
      </c>
      <c r="E37">
        <f t="shared" si="0"/>
        <v>3.8593787311575464E-2</v>
      </c>
    </row>
    <row r="38" spans="1:5" x14ac:dyDescent="0.25">
      <c r="A38">
        <v>3</v>
      </c>
      <c r="B38">
        <v>1</v>
      </c>
      <c r="D38">
        <v>0</v>
      </c>
      <c r="E38">
        <f t="shared" si="0"/>
        <v>3.8593787311575464E-2</v>
      </c>
    </row>
    <row r="39" spans="1:5" x14ac:dyDescent="0.25">
      <c r="A39">
        <v>3</v>
      </c>
      <c r="B39">
        <v>1.19760479041916E-2</v>
      </c>
      <c r="D39">
        <v>0</v>
      </c>
      <c r="E39">
        <f t="shared" si="0"/>
        <v>3.8593787311575464E-2</v>
      </c>
    </row>
    <row r="40" spans="1:5" x14ac:dyDescent="0.25">
      <c r="A40">
        <v>3</v>
      </c>
      <c r="B40">
        <v>-2.39520958083832E-2</v>
      </c>
      <c r="D40">
        <v>0</v>
      </c>
      <c r="E40">
        <f t="shared" si="0"/>
        <v>3.8593787311575464E-2</v>
      </c>
    </row>
    <row r="41" spans="1:5" x14ac:dyDescent="0.25">
      <c r="A41">
        <v>3</v>
      </c>
      <c r="B41">
        <v>-3.9039039039038999E-2</v>
      </c>
      <c r="D41">
        <v>0</v>
      </c>
      <c r="E41">
        <f t="shared" si="0"/>
        <v>3.8593787311575464E-2</v>
      </c>
    </row>
    <row r="42" spans="1:5" x14ac:dyDescent="0.25">
      <c r="A42">
        <v>3</v>
      </c>
      <c r="B42">
        <v>-0.12</v>
      </c>
      <c r="D42">
        <v>0</v>
      </c>
      <c r="E42">
        <f t="shared" si="0"/>
        <v>3.8593787311575464E-2</v>
      </c>
    </row>
    <row r="43" spans="1:5" x14ac:dyDescent="0.25">
      <c r="A43">
        <v>3</v>
      </c>
      <c r="B43">
        <v>2.4E-2</v>
      </c>
      <c r="D43">
        <v>0</v>
      </c>
      <c r="E43">
        <f t="shared" si="0"/>
        <v>3.8593787311575464E-2</v>
      </c>
    </row>
    <row r="44" spans="1:5" x14ac:dyDescent="0.25">
      <c r="A44">
        <v>3</v>
      </c>
      <c r="B44">
        <v>-5.7057057057057103E-2</v>
      </c>
      <c r="D44">
        <v>0</v>
      </c>
      <c r="E44">
        <f t="shared" si="0"/>
        <v>3.8593787311575464E-2</v>
      </c>
    </row>
    <row r="45" spans="1:5" x14ac:dyDescent="0.25">
      <c r="A45">
        <v>3</v>
      </c>
      <c r="B45">
        <v>-0.13772455089820401</v>
      </c>
      <c r="D45">
        <v>0</v>
      </c>
      <c r="E45">
        <f t="shared" si="0"/>
        <v>3.8593787311575464E-2</v>
      </c>
    </row>
    <row r="46" spans="1:5" x14ac:dyDescent="0.25">
      <c r="A46">
        <v>3</v>
      </c>
      <c r="B46">
        <v>6.2937062937062901E-2</v>
      </c>
      <c r="D46">
        <v>0</v>
      </c>
      <c r="E46">
        <f t="shared" si="0"/>
        <v>3.8593787311575464E-2</v>
      </c>
    </row>
    <row r="47" spans="1:5" x14ac:dyDescent="0.25">
      <c r="A47">
        <v>3</v>
      </c>
      <c r="B47">
        <v>-5.3333333333333297E-3</v>
      </c>
      <c r="D47">
        <v>0</v>
      </c>
      <c r="E47">
        <f t="shared" si="0"/>
        <v>3.8593787311575464E-2</v>
      </c>
    </row>
    <row r="48" spans="1:5" x14ac:dyDescent="0.25">
      <c r="A48">
        <v>3</v>
      </c>
      <c r="B48">
        <v>0.04</v>
      </c>
      <c r="D48">
        <v>0</v>
      </c>
      <c r="E48">
        <f t="shared" si="0"/>
        <v>3.8593787311575464E-2</v>
      </c>
    </row>
    <row r="49" spans="1:5" x14ac:dyDescent="0.25">
      <c r="A49">
        <v>3</v>
      </c>
      <c r="B49">
        <v>-2.0979020979021001E-2</v>
      </c>
      <c r="D49">
        <v>0</v>
      </c>
      <c r="E49">
        <f t="shared" si="0"/>
        <v>3.8593787311575464E-2</v>
      </c>
    </row>
    <row r="50" spans="1:5" x14ac:dyDescent="0.25">
      <c r="A50">
        <v>3</v>
      </c>
      <c r="B50">
        <v>4.8000000000000001E-2</v>
      </c>
      <c r="D50">
        <v>0</v>
      </c>
      <c r="E50">
        <f t="shared" si="0"/>
        <v>3.8593787311575464E-2</v>
      </c>
    </row>
    <row r="51" spans="1:5" x14ac:dyDescent="0.25">
      <c r="A51">
        <v>3</v>
      </c>
      <c r="B51">
        <v>1.8018018018018001E-2</v>
      </c>
      <c r="D51">
        <v>0</v>
      </c>
      <c r="E51">
        <f t="shared" si="0"/>
        <v>3.8593787311575464E-2</v>
      </c>
    </row>
    <row r="52" spans="1:5" x14ac:dyDescent="0.25">
      <c r="A52">
        <v>3</v>
      </c>
      <c r="B52">
        <v>5.3333333333333302E-2</v>
      </c>
      <c r="D52">
        <v>0</v>
      </c>
      <c r="E52">
        <f t="shared" si="0"/>
        <v>3.8593787311575464E-2</v>
      </c>
    </row>
    <row r="53" spans="1:5" x14ac:dyDescent="0.25">
      <c r="A53">
        <v>3</v>
      </c>
      <c r="B53">
        <v>-6.0000000000000001E-3</v>
      </c>
      <c r="D53">
        <v>0</v>
      </c>
      <c r="E53">
        <f t="shared" si="0"/>
        <v>3.8593787311575464E-2</v>
      </c>
    </row>
    <row r="54" spans="1:5" x14ac:dyDescent="0.25">
      <c r="A54">
        <v>3</v>
      </c>
      <c r="B54">
        <v>8.8578088578088604E-2</v>
      </c>
      <c r="D54">
        <v>0</v>
      </c>
      <c r="E54">
        <f t="shared" si="0"/>
        <v>3.8593787311575464E-2</v>
      </c>
    </row>
    <row r="55" spans="1:5" x14ac:dyDescent="0.25">
      <c r="A55">
        <v>3</v>
      </c>
      <c r="B55">
        <v>0</v>
      </c>
      <c r="D55">
        <v>0</v>
      </c>
      <c r="E55">
        <f t="shared" si="0"/>
        <v>3.8593787311575464E-2</v>
      </c>
    </row>
    <row r="56" spans="1:5" x14ac:dyDescent="0.25">
      <c r="A56">
        <v>3</v>
      </c>
      <c r="B56">
        <v>6.5268065268065306E-2</v>
      </c>
      <c r="D56">
        <v>0</v>
      </c>
      <c r="E56">
        <f t="shared" si="0"/>
        <v>3.8593787311575464E-2</v>
      </c>
    </row>
    <row r="57" spans="1:5" x14ac:dyDescent="0.25">
      <c r="A57">
        <v>3</v>
      </c>
      <c r="B57">
        <v>5.1282051282051301E-2</v>
      </c>
      <c r="D57">
        <v>0</v>
      </c>
      <c r="E57">
        <f t="shared" si="0"/>
        <v>3.8593787311575464E-2</v>
      </c>
    </row>
    <row r="58" spans="1:5" x14ac:dyDescent="0.25">
      <c r="A58">
        <v>3</v>
      </c>
      <c r="B58">
        <v>0.11448598130841101</v>
      </c>
      <c r="D58">
        <v>0</v>
      </c>
      <c r="E58">
        <f t="shared" si="0"/>
        <v>3.8593787311575464E-2</v>
      </c>
    </row>
    <row r="59" spans="1:5" x14ac:dyDescent="0.25">
      <c r="A59">
        <v>3</v>
      </c>
      <c r="B59">
        <v>7.1666666666666698E-2</v>
      </c>
      <c r="D59">
        <v>0</v>
      </c>
      <c r="E59">
        <f t="shared" si="0"/>
        <v>3.8593787311575464E-2</v>
      </c>
    </row>
    <row r="60" spans="1:5" x14ac:dyDescent="0.25">
      <c r="A60">
        <v>3</v>
      </c>
      <c r="B60">
        <v>-4.0000000000000001E-3</v>
      </c>
      <c r="D60">
        <v>0</v>
      </c>
      <c r="E60">
        <f t="shared" si="0"/>
        <v>3.8593787311575464E-2</v>
      </c>
    </row>
    <row r="61" spans="1:5" x14ac:dyDescent="0.25">
      <c r="A61">
        <v>3</v>
      </c>
      <c r="B61">
        <v>7.7102803738317793E-2</v>
      </c>
      <c r="D61">
        <v>0</v>
      </c>
      <c r="E61">
        <f t="shared" si="0"/>
        <v>3.8593787311575464E-2</v>
      </c>
    </row>
    <row r="62" spans="1:5" x14ac:dyDescent="0.25">
      <c r="A62">
        <v>3</v>
      </c>
      <c r="B62">
        <v>5.1999999999999998E-2</v>
      </c>
      <c r="D62">
        <v>0</v>
      </c>
      <c r="E62">
        <f t="shared" si="0"/>
        <v>3.8593787311575464E-2</v>
      </c>
    </row>
    <row r="63" spans="1:5" x14ac:dyDescent="0.25">
      <c r="A63">
        <v>3</v>
      </c>
      <c r="B63">
        <v>-1.7333333333333301E-2</v>
      </c>
      <c r="D63">
        <v>0</v>
      </c>
      <c r="E63">
        <f t="shared" si="0"/>
        <v>3.8593787311575464E-2</v>
      </c>
    </row>
    <row r="64" spans="1:5" x14ac:dyDescent="0.25">
      <c r="A64">
        <v>3</v>
      </c>
      <c r="B64">
        <v>0.25833333333333303</v>
      </c>
      <c r="D64">
        <v>0</v>
      </c>
      <c r="E64">
        <f t="shared" si="0"/>
        <v>3.8593787311575464E-2</v>
      </c>
    </row>
    <row r="65" spans="1:5" x14ac:dyDescent="0.25">
      <c r="A65">
        <v>3</v>
      </c>
      <c r="B65">
        <v>-4.1958041958042001E-2</v>
      </c>
      <c r="D65">
        <v>0</v>
      </c>
      <c r="E65">
        <f t="shared" si="0"/>
        <v>3.8593787311575464E-2</v>
      </c>
    </row>
    <row r="66" spans="1:5" x14ac:dyDescent="0.25">
      <c r="A66">
        <v>3</v>
      </c>
      <c r="B66">
        <v>2.1666666666666699E-2</v>
      </c>
      <c r="D66">
        <v>0</v>
      </c>
      <c r="E66">
        <f t="shared" si="0"/>
        <v>3.8593787311575464E-2</v>
      </c>
    </row>
    <row r="67" spans="1:5" x14ac:dyDescent="0.25">
      <c r="A67">
        <v>3</v>
      </c>
      <c r="B67">
        <v>0.114</v>
      </c>
      <c r="D67">
        <v>0</v>
      </c>
      <c r="E67">
        <f t="shared" ref="E67:E130" si="1">_xlfn.NORM.DIST(D67, I$4,I$7,FALSE)</f>
        <v>3.8593787311575464E-2</v>
      </c>
    </row>
    <row r="68" spans="1:5" x14ac:dyDescent="0.25">
      <c r="A68">
        <v>3</v>
      </c>
      <c r="B68">
        <v>9.3333333333333296E-2</v>
      </c>
      <c r="D68">
        <v>0</v>
      </c>
      <c r="E68">
        <f t="shared" si="1"/>
        <v>3.8593787311575464E-2</v>
      </c>
    </row>
    <row r="69" spans="1:5" x14ac:dyDescent="0.25">
      <c r="A69">
        <v>3</v>
      </c>
      <c r="B69">
        <v>-3.7999999999999999E-2</v>
      </c>
      <c r="D69">
        <v>0</v>
      </c>
      <c r="E69">
        <f t="shared" si="1"/>
        <v>3.8593787311575464E-2</v>
      </c>
    </row>
    <row r="70" spans="1:5" x14ac:dyDescent="0.25">
      <c r="A70">
        <v>3</v>
      </c>
      <c r="B70">
        <v>0.57466666666666699</v>
      </c>
      <c r="D70">
        <v>0</v>
      </c>
      <c r="E70">
        <f t="shared" si="1"/>
        <v>3.8593787311575464E-2</v>
      </c>
    </row>
    <row r="71" spans="1:5" x14ac:dyDescent="0.25">
      <c r="A71">
        <v>3</v>
      </c>
      <c r="B71">
        <v>-3.3333333333333298E-2</v>
      </c>
      <c r="D71">
        <v>0</v>
      </c>
      <c r="E71">
        <f t="shared" si="1"/>
        <v>3.8593787311575464E-2</v>
      </c>
    </row>
    <row r="72" spans="1:5" x14ac:dyDescent="0.25">
      <c r="A72">
        <v>3</v>
      </c>
      <c r="B72">
        <v>0.58024691358024705</v>
      </c>
      <c r="D72">
        <v>0</v>
      </c>
      <c r="E72">
        <f t="shared" si="1"/>
        <v>3.8593787311575464E-2</v>
      </c>
    </row>
    <row r="73" spans="1:5" x14ac:dyDescent="0.25">
      <c r="A73">
        <v>3</v>
      </c>
      <c r="B73">
        <v>-0.24533333333333299</v>
      </c>
      <c r="D73">
        <v>0</v>
      </c>
      <c r="E73">
        <f t="shared" si="1"/>
        <v>3.8593787311575464E-2</v>
      </c>
    </row>
    <row r="74" spans="1:5" x14ac:dyDescent="0.25">
      <c r="A74">
        <v>3</v>
      </c>
      <c r="B74">
        <v>0.55200000000000005</v>
      </c>
      <c r="D74">
        <v>0</v>
      </c>
      <c r="E74">
        <f t="shared" si="1"/>
        <v>3.8593787311575464E-2</v>
      </c>
    </row>
    <row r="75" spans="1:5" x14ac:dyDescent="0.25">
      <c r="A75">
        <v>3</v>
      </c>
      <c r="B75">
        <v>0.118666666666667</v>
      </c>
      <c r="D75">
        <v>0</v>
      </c>
      <c r="E75">
        <f t="shared" si="1"/>
        <v>3.8593787311575464E-2</v>
      </c>
    </row>
    <row r="76" spans="1:5" x14ac:dyDescent="0.25">
      <c r="A76">
        <v>3</v>
      </c>
      <c r="B76">
        <v>0.12166666666666701</v>
      </c>
      <c r="D76">
        <v>0</v>
      </c>
      <c r="E76">
        <f t="shared" si="1"/>
        <v>3.8593787311575464E-2</v>
      </c>
    </row>
    <row r="77" spans="1:5" x14ac:dyDescent="0.25">
      <c r="A77">
        <v>3</v>
      </c>
      <c r="B77">
        <v>0.62004662004662003</v>
      </c>
      <c r="D77">
        <v>0</v>
      </c>
      <c r="E77">
        <f t="shared" si="1"/>
        <v>3.8593787311575464E-2</v>
      </c>
    </row>
    <row r="78" spans="1:5" x14ac:dyDescent="0.25">
      <c r="A78">
        <v>3</v>
      </c>
      <c r="B78">
        <v>5.3333333333333302E-2</v>
      </c>
      <c r="D78">
        <v>0</v>
      </c>
      <c r="E78">
        <f t="shared" si="1"/>
        <v>3.8593787311575464E-2</v>
      </c>
    </row>
    <row r="79" spans="1:5" x14ac:dyDescent="0.25">
      <c r="A79">
        <v>3</v>
      </c>
      <c r="B79">
        <v>0.86153846153846203</v>
      </c>
      <c r="D79">
        <v>0</v>
      </c>
      <c r="E79">
        <f t="shared" si="1"/>
        <v>3.8593787311575464E-2</v>
      </c>
    </row>
    <row r="80" spans="1:5" x14ac:dyDescent="0.25">
      <c r="A80">
        <v>3</v>
      </c>
      <c r="B80">
        <v>-0.17333333333333301</v>
      </c>
      <c r="D80">
        <v>0</v>
      </c>
      <c r="E80">
        <f t="shared" si="1"/>
        <v>3.8593787311575464E-2</v>
      </c>
    </row>
    <row r="81" spans="1:5" x14ac:dyDescent="0.25">
      <c r="A81">
        <v>3</v>
      </c>
      <c r="B81">
        <v>0.793333333333333</v>
      </c>
      <c r="D81">
        <v>0</v>
      </c>
      <c r="E81">
        <f t="shared" si="1"/>
        <v>3.8593787311575464E-2</v>
      </c>
    </row>
    <row r="82" spans="1:5" x14ac:dyDescent="0.25">
      <c r="A82">
        <v>3</v>
      </c>
      <c r="B82">
        <v>-0.28799999999999998</v>
      </c>
      <c r="D82">
        <v>0</v>
      </c>
      <c r="E82">
        <f t="shared" si="1"/>
        <v>3.8593787311575464E-2</v>
      </c>
    </row>
    <row r="83" spans="1:5" x14ac:dyDescent="0.25">
      <c r="A83">
        <v>3</v>
      </c>
      <c r="B83">
        <v>1</v>
      </c>
      <c r="D83">
        <v>0</v>
      </c>
      <c r="E83">
        <f t="shared" si="1"/>
        <v>3.8593787311575464E-2</v>
      </c>
    </row>
    <row r="84" spans="1:5" x14ac:dyDescent="0.25">
      <c r="A84">
        <v>3</v>
      </c>
      <c r="B84">
        <v>0.54400000000000004</v>
      </c>
      <c r="D84">
        <v>0</v>
      </c>
      <c r="E84">
        <f t="shared" si="1"/>
        <v>3.8593787311575464E-2</v>
      </c>
    </row>
    <row r="85" spans="1:5" x14ac:dyDescent="0.25">
      <c r="A85">
        <v>3</v>
      </c>
      <c r="B85">
        <v>1</v>
      </c>
      <c r="D85">
        <v>0</v>
      </c>
      <c r="E85">
        <f t="shared" si="1"/>
        <v>3.8593787311575464E-2</v>
      </c>
    </row>
    <row r="86" spans="1:5" x14ac:dyDescent="0.25">
      <c r="A86">
        <v>3</v>
      </c>
      <c r="B86">
        <v>-2.7027027027027001E-2</v>
      </c>
      <c r="D86">
        <v>0</v>
      </c>
      <c r="E86">
        <f t="shared" si="1"/>
        <v>3.8593787311575464E-2</v>
      </c>
    </row>
    <row r="87" spans="1:5" x14ac:dyDescent="0.25">
      <c r="A87">
        <v>3</v>
      </c>
      <c r="B87">
        <v>-8.1081081081081099E-2</v>
      </c>
      <c r="D87">
        <v>0</v>
      </c>
      <c r="E87">
        <f t="shared" si="1"/>
        <v>3.8593787311575464E-2</v>
      </c>
    </row>
    <row r="88" spans="1:5" x14ac:dyDescent="0.25">
      <c r="A88">
        <v>3</v>
      </c>
      <c r="B88">
        <v>4.5045045045045001E-2</v>
      </c>
      <c r="D88">
        <v>0</v>
      </c>
      <c r="E88">
        <f t="shared" si="1"/>
        <v>3.8593787311575464E-2</v>
      </c>
    </row>
    <row r="89" spans="1:5" x14ac:dyDescent="0.25">
      <c r="A89">
        <v>3</v>
      </c>
      <c r="B89">
        <v>2.9940119760479E-2</v>
      </c>
      <c r="D89">
        <v>0</v>
      </c>
      <c r="E89">
        <f t="shared" si="1"/>
        <v>3.8593787311575464E-2</v>
      </c>
    </row>
    <row r="90" spans="1:5" x14ac:dyDescent="0.25">
      <c r="A90">
        <v>3</v>
      </c>
      <c r="B90">
        <v>0</v>
      </c>
      <c r="D90">
        <v>0</v>
      </c>
      <c r="E90">
        <f t="shared" si="1"/>
        <v>3.8593787311575464E-2</v>
      </c>
    </row>
    <row r="91" spans="1:5" x14ac:dyDescent="0.25">
      <c r="A91">
        <v>3</v>
      </c>
      <c r="B91">
        <v>2.69461077844311E-2</v>
      </c>
      <c r="D91">
        <v>0</v>
      </c>
      <c r="E91">
        <f t="shared" si="1"/>
        <v>3.8593787311575464E-2</v>
      </c>
    </row>
    <row r="92" spans="1:5" x14ac:dyDescent="0.25">
      <c r="A92">
        <v>3</v>
      </c>
      <c r="B92">
        <v>-1.3333333333333299E-2</v>
      </c>
      <c r="D92">
        <v>0</v>
      </c>
      <c r="E92">
        <f t="shared" si="1"/>
        <v>3.8593787311575464E-2</v>
      </c>
    </row>
    <row r="93" spans="1:5" x14ac:dyDescent="0.25">
      <c r="A93">
        <v>3</v>
      </c>
      <c r="B93">
        <v>0.104790419161677</v>
      </c>
      <c r="D93">
        <v>0</v>
      </c>
      <c r="E93">
        <f t="shared" si="1"/>
        <v>3.8593787311575464E-2</v>
      </c>
    </row>
    <row r="94" spans="1:5" x14ac:dyDescent="0.25">
      <c r="A94">
        <v>3</v>
      </c>
      <c r="B94">
        <v>0.13400000000000001</v>
      </c>
      <c r="D94">
        <v>0</v>
      </c>
      <c r="E94">
        <f t="shared" si="1"/>
        <v>3.8593787311575464E-2</v>
      </c>
    </row>
    <row r="95" spans="1:5" x14ac:dyDescent="0.25">
      <c r="A95">
        <v>3</v>
      </c>
      <c r="B95">
        <v>0.10210210210210199</v>
      </c>
      <c r="D95">
        <v>0</v>
      </c>
      <c r="E95">
        <f t="shared" si="1"/>
        <v>3.8593787311575464E-2</v>
      </c>
    </row>
    <row r="96" spans="1:5" x14ac:dyDescent="0.25">
      <c r="A96">
        <v>3</v>
      </c>
      <c r="B96">
        <v>-1.8666666666666699E-2</v>
      </c>
      <c r="D96">
        <v>0</v>
      </c>
      <c r="E96">
        <f t="shared" si="1"/>
        <v>3.8593787311575464E-2</v>
      </c>
    </row>
    <row r="97" spans="1:5" x14ac:dyDescent="0.25">
      <c r="A97">
        <v>3</v>
      </c>
      <c r="B97">
        <v>0.13813813813813799</v>
      </c>
      <c r="D97">
        <v>0</v>
      </c>
      <c r="E97">
        <f t="shared" si="1"/>
        <v>3.8593787311575464E-2</v>
      </c>
    </row>
    <row r="98" spans="1:5" x14ac:dyDescent="0.25">
      <c r="A98">
        <v>3</v>
      </c>
      <c r="B98">
        <v>0.12</v>
      </c>
      <c r="D98">
        <v>0</v>
      </c>
      <c r="E98">
        <f t="shared" si="1"/>
        <v>3.8593787311575464E-2</v>
      </c>
    </row>
    <row r="99" spans="1:5" x14ac:dyDescent="0.25">
      <c r="A99">
        <v>3</v>
      </c>
      <c r="B99">
        <v>0.221445221445221</v>
      </c>
      <c r="D99">
        <v>0</v>
      </c>
      <c r="E99">
        <f t="shared" si="1"/>
        <v>3.8593787311575464E-2</v>
      </c>
    </row>
    <row r="100" spans="1:5" x14ac:dyDescent="0.25">
      <c r="A100">
        <v>3</v>
      </c>
      <c r="B100">
        <v>3.6036036036036001E-2</v>
      </c>
      <c r="D100">
        <v>0</v>
      </c>
      <c r="E100">
        <f t="shared" si="1"/>
        <v>3.8593787311575464E-2</v>
      </c>
    </row>
    <row r="101" spans="1:5" x14ac:dyDescent="0.25">
      <c r="A101">
        <v>3</v>
      </c>
      <c r="B101">
        <v>0.14599999999999999</v>
      </c>
      <c r="D101">
        <v>0</v>
      </c>
      <c r="E101">
        <f t="shared" si="1"/>
        <v>3.8593787311575464E-2</v>
      </c>
    </row>
    <row r="102" spans="1:5" x14ac:dyDescent="0.25">
      <c r="A102">
        <v>3</v>
      </c>
      <c r="B102">
        <v>0.12874251497006001</v>
      </c>
      <c r="D102">
        <v>0</v>
      </c>
      <c r="E102">
        <f t="shared" si="1"/>
        <v>3.8593787311575464E-2</v>
      </c>
    </row>
    <row r="103" spans="1:5" x14ac:dyDescent="0.25">
      <c r="A103">
        <v>3</v>
      </c>
      <c r="B103">
        <v>0.12533333333333299</v>
      </c>
      <c r="D103">
        <v>0</v>
      </c>
      <c r="E103">
        <f t="shared" si="1"/>
        <v>3.8593787311575464E-2</v>
      </c>
    </row>
    <row r="104" spans="1:5" x14ac:dyDescent="0.25">
      <c r="A104">
        <v>3</v>
      </c>
      <c r="B104">
        <v>0.11333333333333299</v>
      </c>
      <c r="D104">
        <v>0</v>
      </c>
      <c r="E104">
        <f t="shared" si="1"/>
        <v>3.8593787311575464E-2</v>
      </c>
    </row>
    <row r="105" spans="1:5" x14ac:dyDescent="0.25">
      <c r="A105">
        <v>3</v>
      </c>
      <c r="B105">
        <v>8.5333333333333303E-2</v>
      </c>
      <c r="D105">
        <v>0</v>
      </c>
      <c r="E105">
        <f t="shared" si="1"/>
        <v>3.8593787311575464E-2</v>
      </c>
    </row>
    <row r="106" spans="1:5" x14ac:dyDescent="0.25">
      <c r="A106">
        <v>3</v>
      </c>
      <c r="B106">
        <v>0.20979020979021001</v>
      </c>
      <c r="D106">
        <v>0</v>
      </c>
      <c r="E106">
        <f t="shared" si="1"/>
        <v>3.8593787311575464E-2</v>
      </c>
    </row>
    <row r="107" spans="1:5" x14ac:dyDescent="0.25">
      <c r="A107">
        <v>3</v>
      </c>
      <c r="B107">
        <v>-2.66666666666667E-3</v>
      </c>
      <c r="D107">
        <v>0</v>
      </c>
      <c r="E107">
        <f t="shared" si="1"/>
        <v>3.8593787311575464E-2</v>
      </c>
    </row>
    <row r="108" spans="1:5" x14ac:dyDescent="0.25">
      <c r="A108">
        <v>3</v>
      </c>
      <c r="B108">
        <v>2.1333333333333301E-2</v>
      </c>
      <c r="D108">
        <v>0</v>
      </c>
      <c r="E108">
        <f t="shared" si="1"/>
        <v>3.8593787311575464E-2</v>
      </c>
    </row>
    <row r="109" spans="1:5" x14ac:dyDescent="0.25">
      <c r="A109">
        <v>3</v>
      </c>
      <c r="B109">
        <v>0.145454545454545</v>
      </c>
      <c r="D109">
        <v>0</v>
      </c>
      <c r="E109">
        <f t="shared" si="1"/>
        <v>3.8593787311575464E-2</v>
      </c>
    </row>
    <row r="110" spans="1:5" x14ac:dyDescent="0.25">
      <c r="A110">
        <v>3</v>
      </c>
      <c r="B110">
        <v>-0.116550116550117</v>
      </c>
      <c r="D110">
        <v>0</v>
      </c>
      <c r="E110">
        <f t="shared" si="1"/>
        <v>3.8593787311575464E-2</v>
      </c>
    </row>
    <row r="111" spans="1:5" x14ac:dyDescent="0.25">
      <c r="A111">
        <v>3</v>
      </c>
      <c r="B111">
        <v>0.174174174174174</v>
      </c>
      <c r="D111">
        <v>0</v>
      </c>
      <c r="E111">
        <f t="shared" si="1"/>
        <v>3.8593787311575464E-2</v>
      </c>
    </row>
    <row r="112" spans="1:5" x14ac:dyDescent="0.25">
      <c r="A112">
        <v>3</v>
      </c>
      <c r="B112">
        <v>-7.2429906542056097E-2</v>
      </c>
      <c r="D112">
        <v>0</v>
      </c>
      <c r="E112">
        <f t="shared" si="1"/>
        <v>3.8593787311575464E-2</v>
      </c>
    </row>
    <row r="113" spans="1:5" x14ac:dyDescent="0.25">
      <c r="A113">
        <v>3</v>
      </c>
      <c r="B113">
        <v>0.13800000000000001</v>
      </c>
      <c r="D113">
        <v>0</v>
      </c>
      <c r="E113">
        <f t="shared" si="1"/>
        <v>3.8593787311575464E-2</v>
      </c>
    </row>
    <row r="114" spans="1:5" x14ac:dyDescent="0.25">
      <c r="A114">
        <v>3</v>
      </c>
      <c r="B114">
        <v>0</v>
      </c>
      <c r="D114">
        <v>0</v>
      </c>
      <c r="E114">
        <f t="shared" si="1"/>
        <v>3.8593787311575464E-2</v>
      </c>
    </row>
    <row r="115" spans="1:5" x14ac:dyDescent="0.25">
      <c r="A115">
        <v>3</v>
      </c>
      <c r="B115">
        <v>0.29672897196261699</v>
      </c>
      <c r="D115">
        <v>0</v>
      </c>
      <c r="E115">
        <f t="shared" si="1"/>
        <v>3.8593787311575464E-2</v>
      </c>
    </row>
    <row r="116" spans="1:5" x14ac:dyDescent="0.25">
      <c r="A116">
        <v>3</v>
      </c>
      <c r="B116">
        <v>-0.128504672897196</v>
      </c>
      <c r="D116">
        <v>0</v>
      </c>
      <c r="E116">
        <f t="shared" si="1"/>
        <v>3.8593787311575464E-2</v>
      </c>
    </row>
    <row r="117" spans="1:5" x14ac:dyDescent="0.25">
      <c r="A117">
        <v>3</v>
      </c>
      <c r="B117">
        <v>-0.108</v>
      </c>
      <c r="D117">
        <v>0</v>
      </c>
      <c r="E117">
        <f t="shared" si="1"/>
        <v>3.8593787311575464E-2</v>
      </c>
    </row>
    <row r="118" spans="1:5" x14ac:dyDescent="0.25">
      <c r="A118">
        <v>3</v>
      </c>
      <c r="B118">
        <v>0.19800000000000001</v>
      </c>
      <c r="D118">
        <v>0</v>
      </c>
      <c r="E118">
        <f t="shared" si="1"/>
        <v>3.8593787311575464E-2</v>
      </c>
    </row>
    <row r="119" spans="1:5" x14ac:dyDescent="0.25">
      <c r="A119">
        <v>3</v>
      </c>
      <c r="B119">
        <v>0.32333333333333297</v>
      </c>
      <c r="D119">
        <v>0</v>
      </c>
      <c r="E119">
        <f t="shared" si="1"/>
        <v>3.8593787311575464E-2</v>
      </c>
    </row>
    <row r="120" spans="1:5" x14ac:dyDescent="0.25">
      <c r="A120">
        <v>3</v>
      </c>
      <c r="B120">
        <v>-3.0030030030029999E-2</v>
      </c>
      <c r="D120">
        <v>0</v>
      </c>
      <c r="E120">
        <f t="shared" si="1"/>
        <v>3.8593787311575464E-2</v>
      </c>
    </row>
    <row r="121" spans="1:5" x14ac:dyDescent="0.25">
      <c r="A121">
        <v>3</v>
      </c>
      <c r="B121">
        <v>0.57142857142857095</v>
      </c>
      <c r="D121">
        <v>0</v>
      </c>
      <c r="E121">
        <f t="shared" si="1"/>
        <v>3.8593787311575464E-2</v>
      </c>
    </row>
    <row r="122" spans="1:5" x14ac:dyDescent="0.25">
      <c r="A122">
        <v>3</v>
      </c>
      <c r="B122">
        <v>0.70133333333333303</v>
      </c>
      <c r="D122">
        <v>0</v>
      </c>
      <c r="E122">
        <f t="shared" si="1"/>
        <v>3.8593787311575464E-2</v>
      </c>
    </row>
    <row r="123" spans="1:5" x14ac:dyDescent="0.25">
      <c r="A123">
        <v>3</v>
      </c>
      <c r="B123">
        <v>1</v>
      </c>
      <c r="D123">
        <v>0</v>
      </c>
      <c r="E123">
        <f t="shared" si="1"/>
        <v>3.8593787311575464E-2</v>
      </c>
    </row>
    <row r="124" spans="1:5" x14ac:dyDescent="0.25">
      <c r="A124">
        <v>3</v>
      </c>
      <c r="B124">
        <v>6.0060060060060103E-3</v>
      </c>
      <c r="D124">
        <v>0</v>
      </c>
      <c r="E124">
        <f t="shared" si="1"/>
        <v>3.8593787311575464E-2</v>
      </c>
    </row>
    <row r="125" spans="1:5" x14ac:dyDescent="0.25">
      <c r="A125">
        <v>3</v>
      </c>
      <c r="B125">
        <v>1.0666666666666699E-2</v>
      </c>
      <c r="D125">
        <v>0</v>
      </c>
      <c r="E125">
        <f t="shared" si="1"/>
        <v>3.8593787311575464E-2</v>
      </c>
    </row>
    <row r="126" spans="1:5" x14ac:dyDescent="0.25">
      <c r="A126">
        <v>3</v>
      </c>
      <c r="B126">
        <v>1.6E-2</v>
      </c>
      <c r="D126">
        <v>0</v>
      </c>
      <c r="E126">
        <f t="shared" si="1"/>
        <v>3.8593787311575464E-2</v>
      </c>
    </row>
    <row r="127" spans="1:5" x14ac:dyDescent="0.25">
      <c r="A127">
        <v>3</v>
      </c>
      <c r="B127">
        <v>2.1333333333333301E-2</v>
      </c>
      <c r="D127">
        <v>0</v>
      </c>
      <c r="E127">
        <f t="shared" si="1"/>
        <v>3.8593787311575464E-2</v>
      </c>
    </row>
    <row r="128" spans="1:5" x14ac:dyDescent="0.25">
      <c r="A128">
        <v>3</v>
      </c>
      <c r="B128">
        <v>-8.4084084084084104E-2</v>
      </c>
      <c r="D128">
        <v>0</v>
      </c>
      <c r="E128">
        <f t="shared" si="1"/>
        <v>3.8593787311575464E-2</v>
      </c>
    </row>
    <row r="129" spans="1:5" x14ac:dyDescent="0.25">
      <c r="A129">
        <v>3</v>
      </c>
      <c r="B129">
        <v>-2.09580838323353E-2</v>
      </c>
      <c r="D129">
        <v>0</v>
      </c>
      <c r="E129">
        <f t="shared" si="1"/>
        <v>3.8593787311575464E-2</v>
      </c>
    </row>
    <row r="130" spans="1:5" x14ac:dyDescent="0.25">
      <c r="A130">
        <v>3</v>
      </c>
      <c r="B130">
        <v>-2.9940119760479E-3</v>
      </c>
      <c r="D130">
        <v>0</v>
      </c>
      <c r="E130">
        <f t="shared" si="1"/>
        <v>3.8593787311575464E-2</v>
      </c>
    </row>
    <row r="131" spans="1:5" x14ac:dyDescent="0.25">
      <c r="A131">
        <v>3</v>
      </c>
      <c r="B131">
        <v>-0.16266666666666699</v>
      </c>
      <c r="D131">
        <v>0</v>
      </c>
      <c r="E131">
        <f t="shared" ref="E131:E194" si="2">_xlfn.NORM.DIST(D131, I$4,I$7,FALSE)</f>
        <v>3.8593787311575464E-2</v>
      </c>
    </row>
    <row r="132" spans="1:5" x14ac:dyDescent="0.25">
      <c r="A132">
        <v>3</v>
      </c>
      <c r="B132">
        <v>-9.0666666666666701E-2</v>
      </c>
      <c r="D132">
        <v>0</v>
      </c>
      <c r="E132">
        <f t="shared" si="2"/>
        <v>3.8593787311575464E-2</v>
      </c>
    </row>
    <row r="133" spans="1:5" x14ac:dyDescent="0.25">
      <c r="A133">
        <v>3</v>
      </c>
      <c r="B133">
        <v>-0.15384615384615399</v>
      </c>
      <c r="D133">
        <v>0</v>
      </c>
      <c r="E133">
        <f t="shared" si="2"/>
        <v>3.8593787311575464E-2</v>
      </c>
    </row>
    <row r="134" spans="1:5" x14ac:dyDescent="0.25">
      <c r="A134">
        <v>3</v>
      </c>
      <c r="B134">
        <v>-0.10981308411215</v>
      </c>
      <c r="D134">
        <v>0</v>
      </c>
      <c r="E134">
        <f t="shared" si="2"/>
        <v>3.8593787311575464E-2</v>
      </c>
    </row>
    <row r="135" spans="1:5" x14ac:dyDescent="0.25">
      <c r="A135">
        <v>3</v>
      </c>
      <c r="B135">
        <v>-0.13</v>
      </c>
      <c r="D135">
        <v>0</v>
      </c>
      <c r="E135">
        <f t="shared" si="2"/>
        <v>3.8593787311575464E-2</v>
      </c>
    </row>
    <row r="136" spans="1:5" x14ac:dyDescent="0.25">
      <c r="A136">
        <v>3</v>
      </c>
      <c r="B136">
        <v>-6.3084112149532703E-2</v>
      </c>
      <c r="D136">
        <v>0</v>
      </c>
      <c r="E136">
        <f t="shared" si="2"/>
        <v>3.8593787311575464E-2</v>
      </c>
    </row>
    <row r="137" spans="1:5" x14ac:dyDescent="0.25">
      <c r="A137">
        <v>3</v>
      </c>
      <c r="B137">
        <v>-7.9254079254079193E-2</v>
      </c>
      <c r="D137">
        <v>0</v>
      </c>
      <c r="E137">
        <f t="shared" si="2"/>
        <v>3.8593787311575464E-2</v>
      </c>
    </row>
    <row r="138" spans="1:5" x14ac:dyDescent="0.25">
      <c r="A138">
        <v>3</v>
      </c>
      <c r="B138">
        <v>-6.3063063063063099E-2</v>
      </c>
      <c r="D138">
        <v>0</v>
      </c>
      <c r="E138">
        <f t="shared" si="2"/>
        <v>3.8593787311575464E-2</v>
      </c>
    </row>
    <row r="139" spans="1:5" x14ac:dyDescent="0.25">
      <c r="A139">
        <v>3</v>
      </c>
      <c r="B139">
        <v>-2.4E-2</v>
      </c>
      <c r="D139">
        <v>0</v>
      </c>
      <c r="E139">
        <f t="shared" si="2"/>
        <v>3.8593787311575464E-2</v>
      </c>
    </row>
    <row r="140" spans="1:5" x14ac:dyDescent="0.25">
      <c r="A140">
        <v>3</v>
      </c>
      <c r="B140">
        <v>-2.9940119760479E-3</v>
      </c>
      <c r="D140">
        <v>0</v>
      </c>
      <c r="E140">
        <f t="shared" si="2"/>
        <v>3.8593787311575464E-2</v>
      </c>
    </row>
    <row r="141" spans="1:5" x14ac:dyDescent="0.25">
      <c r="A141">
        <v>3</v>
      </c>
      <c r="B141">
        <v>0.108333333333333</v>
      </c>
      <c r="D141">
        <v>0</v>
      </c>
      <c r="E141">
        <f t="shared" si="2"/>
        <v>3.8593787311575464E-2</v>
      </c>
    </row>
    <row r="142" spans="1:5" x14ac:dyDescent="0.25">
      <c r="A142">
        <v>3</v>
      </c>
      <c r="B142">
        <v>-4.26666666666667E-2</v>
      </c>
      <c r="D142">
        <v>0</v>
      </c>
      <c r="E142">
        <f t="shared" si="2"/>
        <v>3.8593787311575464E-2</v>
      </c>
    </row>
    <row r="143" spans="1:5" x14ac:dyDescent="0.25">
      <c r="A143">
        <v>3</v>
      </c>
      <c r="B143">
        <v>-5.3333333333333297E-3</v>
      </c>
      <c r="D143">
        <v>0</v>
      </c>
      <c r="E143">
        <f t="shared" si="2"/>
        <v>3.8593787311575464E-2</v>
      </c>
    </row>
    <row r="144" spans="1:5" x14ac:dyDescent="0.25">
      <c r="A144">
        <v>3</v>
      </c>
      <c r="B144">
        <v>-4.8951048951049E-2</v>
      </c>
      <c r="D144">
        <v>0</v>
      </c>
      <c r="E144">
        <f t="shared" si="2"/>
        <v>3.8593787311575464E-2</v>
      </c>
    </row>
    <row r="145" spans="1:5" x14ac:dyDescent="0.25">
      <c r="A145">
        <v>3</v>
      </c>
      <c r="B145">
        <v>0.08</v>
      </c>
      <c r="D145">
        <v>0</v>
      </c>
      <c r="E145">
        <f t="shared" si="2"/>
        <v>3.8593787311575464E-2</v>
      </c>
    </row>
    <row r="146" spans="1:5" x14ac:dyDescent="0.25">
      <c r="A146">
        <v>3</v>
      </c>
      <c r="B146">
        <v>-8.7999999999999995E-2</v>
      </c>
      <c r="D146">
        <v>0</v>
      </c>
      <c r="E146">
        <f t="shared" si="2"/>
        <v>3.8593787311575464E-2</v>
      </c>
    </row>
    <row r="147" spans="1:5" x14ac:dyDescent="0.25">
      <c r="A147">
        <v>3</v>
      </c>
      <c r="B147">
        <v>3.03030303030303E-2</v>
      </c>
      <c r="D147">
        <v>0</v>
      </c>
      <c r="E147">
        <f t="shared" si="2"/>
        <v>3.8593787311575464E-2</v>
      </c>
    </row>
    <row r="148" spans="1:5" x14ac:dyDescent="0.25">
      <c r="A148">
        <v>3</v>
      </c>
      <c r="B148">
        <v>-7.7333333333333296E-2</v>
      </c>
      <c r="D148">
        <v>0</v>
      </c>
      <c r="E148">
        <f t="shared" si="2"/>
        <v>3.8593787311575464E-2</v>
      </c>
    </row>
    <row r="149" spans="1:5" x14ac:dyDescent="0.25">
      <c r="A149">
        <v>3</v>
      </c>
      <c r="B149">
        <v>-0.01</v>
      </c>
      <c r="D149">
        <v>0</v>
      </c>
      <c r="E149">
        <f t="shared" si="2"/>
        <v>3.8593787311575464E-2</v>
      </c>
    </row>
    <row r="150" spans="1:5" x14ac:dyDescent="0.25">
      <c r="A150">
        <v>3</v>
      </c>
      <c r="B150">
        <v>1.8333333333333299E-2</v>
      </c>
      <c r="D150">
        <v>0</v>
      </c>
      <c r="E150">
        <f t="shared" si="2"/>
        <v>3.8593787311575464E-2</v>
      </c>
    </row>
    <row r="151" spans="1:5" x14ac:dyDescent="0.25">
      <c r="A151">
        <v>3</v>
      </c>
      <c r="B151">
        <v>0.02</v>
      </c>
      <c r="D151">
        <v>0</v>
      </c>
      <c r="E151">
        <f t="shared" si="2"/>
        <v>3.8593787311575464E-2</v>
      </c>
    </row>
    <row r="152" spans="1:5" x14ac:dyDescent="0.25">
      <c r="A152">
        <v>3</v>
      </c>
      <c r="B152">
        <v>0.103333333333333</v>
      </c>
      <c r="D152">
        <v>0</v>
      </c>
      <c r="E152">
        <f t="shared" si="2"/>
        <v>3.8593787311575464E-2</v>
      </c>
    </row>
    <row r="153" spans="1:5" x14ac:dyDescent="0.25">
      <c r="A153">
        <v>3</v>
      </c>
      <c r="B153">
        <v>0.103333333333333</v>
      </c>
      <c r="D153">
        <v>0</v>
      </c>
      <c r="E153">
        <f t="shared" si="2"/>
        <v>3.8593787311575464E-2</v>
      </c>
    </row>
    <row r="154" spans="1:5" x14ac:dyDescent="0.25">
      <c r="A154">
        <v>3</v>
      </c>
      <c r="B154">
        <v>0.24399999999999999</v>
      </c>
      <c r="D154">
        <v>0</v>
      </c>
      <c r="E154">
        <f t="shared" si="2"/>
        <v>3.8593787311575464E-2</v>
      </c>
    </row>
    <row r="155" spans="1:5" x14ac:dyDescent="0.25">
      <c r="A155">
        <v>3</v>
      </c>
      <c r="B155">
        <v>0.21212121212121199</v>
      </c>
      <c r="D155">
        <v>0</v>
      </c>
      <c r="E155">
        <f t="shared" si="2"/>
        <v>3.8593787311575464E-2</v>
      </c>
    </row>
    <row r="156" spans="1:5" x14ac:dyDescent="0.25">
      <c r="A156">
        <v>3</v>
      </c>
      <c r="B156">
        <v>0.10489510489510501</v>
      </c>
      <c r="D156">
        <v>0</v>
      </c>
      <c r="E156">
        <f t="shared" si="2"/>
        <v>3.8593787311575464E-2</v>
      </c>
    </row>
    <row r="157" spans="1:5" x14ac:dyDescent="0.25">
      <c r="A157">
        <v>3</v>
      </c>
      <c r="B157">
        <v>0.312</v>
      </c>
      <c r="D157">
        <v>0</v>
      </c>
      <c r="E157">
        <f t="shared" si="2"/>
        <v>3.8593787311575464E-2</v>
      </c>
    </row>
    <row r="158" spans="1:5" x14ac:dyDescent="0.25">
      <c r="A158">
        <v>3</v>
      </c>
      <c r="B158">
        <v>-1.4E-2</v>
      </c>
      <c r="D158">
        <v>0</v>
      </c>
      <c r="E158">
        <f t="shared" si="2"/>
        <v>3.8593787311575464E-2</v>
      </c>
    </row>
    <row r="159" spans="1:5" x14ac:dyDescent="0.25">
      <c r="A159">
        <v>3</v>
      </c>
      <c r="B159">
        <v>3.4000000000000002E-2</v>
      </c>
      <c r="D159">
        <v>0</v>
      </c>
      <c r="E159">
        <f t="shared" si="2"/>
        <v>3.8593787311575464E-2</v>
      </c>
    </row>
    <row r="160" spans="1:5" x14ac:dyDescent="0.25">
      <c r="A160">
        <v>3</v>
      </c>
      <c r="B160">
        <v>0.60533333333333295</v>
      </c>
      <c r="D160">
        <v>0</v>
      </c>
      <c r="E160">
        <f t="shared" si="2"/>
        <v>3.8593787311575464E-2</v>
      </c>
    </row>
    <row r="161" spans="1:5" x14ac:dyDescent="0.25">
      <c r="A161">
        <v>3</v>
      </c>
      <c r="B161">
        <v>-8.0213903743315496E-2</v>
      </c>
      <c r="D161">
        <v>0</v>
      </c>
      <c r="E161">
        <f t="shared" si="2"/>
        <v>3.8593787311575464E-2</v>
      </c>
    </row>
    <row r="162" spans="1:5" x14ac:dyDescent="0.25">
      <c r="A162">
        <v>3</v>
      </c>
      <c r="B162">
        <v>0.51866666666666705</v>
      </c>
      <c r="D162">
        <v>0</v>
      </c>
      <c r="E162">
        <f t="shared" si="2"/>
        <v>3.8593787311575464E-2</v>
      </c>
    </row>
    <row r="163" spans="1:5" x14ac:dyDescent="0.25">
      <c r="A163">
        <v>3</v>
      </c>
      <c r="B163">
        <v>0.65066666666666695</v>
      </c>
      <c r="D163">
        <v>0</v>
      </c>
      <c r="E163">
        <f t="shared" si="2"/>
        <v>3.8593787311575464E-2</v>
      </c>
    </row>
    <row r="164" spans="1:5" x14ac:dyDescent="0.25">
      <c r="A164">
        <v>3</v>
      </c>
      <c r="B164">
        <v>1</v>
      </c>
      <c r="D164">
        <v>0</v>
      </c>
      <c r="E164">
        <f t="shared" si="2"/>
        <v>3.8593787311575464E-2</v>
      </c>
    </row>
    <row r="165" spans="1:5" x14ac:dyDescent="0.25">
      <c r="A165">
        <v>3</v>
      </c>
      <c r="B165">
        <v>1</v>
      </c>
      <c r="D165">
        <v>0</v>
      </c>
      <c r="E165">
        <f t="shared" si="2"/>
        <v>3.8593787311575464E-2</v>
      </c>
    </row>
    <row r="166" spans="1:5" x14ac:dyDescent="0.25">
      <c r="A166">
        <v>3</v>
      </c>
      <c r="B166">
        <v>2.7027027027027001E-2</v>
      </c>
      <c r="D166">
        <v>0</v>
      </c>
      <c r="E166">
        <f t="shared" si="2"/>
        <v>3.8593787311575464E-2</v>
      </c>
    </row>
    <row r="167" spans="1:5" x14ac:dyDescent="0.25">
      <c r="A167">
        <v>3</v>
      </c>
      <c r="B167">
        <v>-5.4054054054054099E-2</v>
      </c>
      <c r="D167">
        <v>0</v>
      </c>
      <c r="E167">
        <f t="shared" si="2"/>
        <v>3.8593787311575464E-2</v>
      </c>
    </row>
    <row r="168" spans="1:5" x14ac:dyDescent="0.25">
      <c r="A168">
        <v>3</v>
      </c>
      <c r="B168">
        <v>-7.4850299401197598E-2</v>
      </c>
      <c r="D168">
        <v>0</v>
      </c>
      <c r="E168">
        <f t="shared" si="2"/>
        <v>3.8593787311575464E-2</v>
      </c>
    </row>
    <row r="169" spans="1:5" x14ac:dyDescent="0.25">
      <c r="A169">
        <v>3</v>
      </c>
      <c r="B169">
        <v>3.29341317365269E-2</v>
      </c>
      <c r="D169">
        <v>0</v>
      </c>
      <c r="E169">
        <f t="shared" si="2"/>
        <v>3.8593787311575464E-2</v>
      </c>
    </row>
    <row r="170" spans="1:5" x14ac:dyDescent="0.25">
      <c r="A170">
        <v>3</v>
      </c>
      <c r="B170">
        <v>2.1333333333333301E-2</v>
      </c>
      <c r="D170">
        <v>0</v>
      </c>
      <c r="E170">
        <f t="shared" si="2"/>
        <v>3.8593787311575464E-2</v>
      </c>
    </row>
    <row r="171" spans="1:5" x14ac:dyDescent="0.25">
      <c r="A171">
        <v>3</v>
      </c>
      <c r="B171">
        <v>4.1916167664670698E-2</v>
      </c>
      <c r="D171">
        <v>0</v>
      </c>
      <c r="E171">
        <f t="shared" si="2"/>
        <v>3.8593787311575464E-2</v>
      </c>
    </row>
    <row r="172" spans="1:5" x14ac:dyDescent="0.25">
      <c r="A172">
        <v>3</v>
      </c>
      <c r="B172">
        <v>4.5045045045045001E-2</v>
      </c>
      <c r="D172">
        <v>0</v>
      </c>
      <c r="E172">
        <f t="shared" si="2"/>
        <v>3.8593787311575464E-2</v>
      </c>
    </row>
    <row r="173" spans="1:5" x14ac:dyDescent="0.25">
      <c r="A173">
        <v>3</v>
      </c>
      <c r="B173">
        <v>-5.3892215568862298E-2</v>
      </c>
      <c r="D173">
        <v>0</v>
      </c>
      <c r="E173">
        <f t="shared" si="2"/>
        <v>3.8593787311575464E-2</v>
      </c>
    </row>
    <row r="174" spans="1:5" x14ac:dyDescent="0.25">
      <c r="A174">
        <v>3</v>
      </c>
      <c r="B174">
        <v>6.0060060060060101E-2</v>
      </c>
      <c r="D174">
        <v>0</v>
      </c>
      <c r="E174">
        <f t="shared" si="2"/>
        <v>3.8593787311575464E-2</v>
      </c>
    </row>
    <row r="175" spans="1:5" x14ac:dyDescent="0.25">
      <c r="A175">
        <v>3</v>
      </c>
      <c r="B175">
        <v>3.6036036036036001E-2</v>
      </c>
      <c r="D175">
        <v>0</v>
      </c>
      <c r="E175">
        <f t="shared" si="2"/>
        <v>3.8593787311575464E-2</v>
      </c>
    </row>
    <row r="176" spans="1:5" x14ac:dyDescent="0.25">
      <c r="A176">
        <v>3</v>
      </c>
      <c r="B176">
        <v>6.1333333333333302E-2</v>
      </c>
      <c r="D176">
        <v>0</v>
      </c>
      <c r="E176">
        <f t="shared" si="2"/>
        <v>3.8593787311575464E-2</v>
      </c>
    </row>
    <row r="177" spans="1:5" x14ac:dyDescent="0.25">
      <c r="A177">
        <v>3</v>
      </c>
      <c r="B177">
        <v>-5.86666666666667E-2</v>
      </c>
      <c r="D177">
        <v>0</v>
      </c>
      <c r="E177">
        <f t="shared" si="2"/>
        <v>3.8593787311575464E-2</v>
      </c>
    </row>
    <row r="178" spans="1:5" x14ac:dyDescent="0.25">
      <c r="A178">
        <v>3</v>
      </c>
      <c r="B178">
        <v>5.3333333333333297E-3</v>
      </c>
      <c r="D178">
        <v>0</v>
      </c>
      <c r="E178">
        <f t="shared" si="2"/>
        <v>3.8593787311575464E-2</v>
      </c>
    </row>
    <row r="179" spans="1:5" x14ac:dyDescent="0.25">
      <c r="A179">
        <v>3</v>
      </c>
      <c r="B179">
        <v>-8.7999999999999995E-2</v>
      </c>
      <c r="D179">
        <v>0</v>
      </c>
      <c r="E179">
        <f t="shared" si="2"/>
        <v>3.8593787311575464E-2</v>
      </c>
    </row>
    <row r="180" spans="1:5" x14ac:dyDescent="0.25">
      <c r="A180">
        <v>3</v>
      </c>
      <c r="B180">
        <v>2.4E-2</v>
      </c>
      <c r="D180">
        <v>0</v>
      </c>
      <c r="E180">
        <f t="shared" si="2"/>
        <v>3.8593787311575464E-2</v>
      </c>
    </row>
    <row r="181" spans="1:5" x14ac:dyDescent="0.25">
      <c r="A181">
        <v>3</v>
      </c>
      <c r="B181">
        <v>6.9333333333333302E-2</v>
      </c>
      <c r="D181">
        <v>0</v>
      </c>
      <c r="E181">
        <f t="shared" si="2"/>
        <v>3.8593787311575464E-2</v>
      </c>
    </row>
    <row r="182" spans="1:5" x14ac:dyDescent="0.25">
      <c r="A182">
        <v>3</v>
      </c>
      <c r="B182">
        <v>-3.2000000000000001E-2</v>
      </c>
      <c r="D182">
        <v>0</v>
      </c>
      <c r="E182">
        <f t="shared" si="2"/>
        <v>3.8593787311575464E-2</v>
      </c>
    </row>
    <row r="183" spans="1:5" x14ac:dyDescent="0.25">
      <c r="A183">
        <v>3</v>
      </c>
      <c r="B183">
        <v>-1.5015015015014999E-2</v>
      </c>
      <c r="D183">
        <v>0</v>
      </c>
      <c r="E183">
        <f t="shared" si="2"/>
        <v>3.8593787311575464E-2</v>
      </c>
    </row>
    <row r="184" spans="1:5" x14ac:dyDescent="0.25">
      <c r="A184">
        <v>3</v>
      </c>
      <c r="B184">
        <v>9.3240093240093205E-3</v>
      </c>
      <c r="D184">
        <v>0</v>
      </c>
      <c r="E184">
        <f t="shared" si="2"/>
        <v>3.8593787311575464E-2</v>
      </c>
    </row>
    <row r="185" spans="1:5" x14ac:dyDescent="0.25">
      <c r="A185">
        <v>3</v>
      </c>
      <c r="B185">
        <v>-1.0666666666666699E-2</v>
      </c>
      <c r="D185">
        <v>0</v>
      </c>
      <c r="E185">
        <f t="shared" si="2"/>
        <v>3.8593787311575464E-2</v>
      </c>
    </row>
    <row r="186" spans="1:5" x14ac:dyDescent="0.25">
      <c r="A186">
        <v>3</v>
      </c>
      <c r="B186">
        <v>3.9627039627039597E-2</v>
      </c>
      <c r="D186">
        <v>0</v>
      </c>
      <c r="E186">
        <f t="shared" si="2"/>
        <v>3.8593787311575464E-2</v>
      </c>
    </row>
    <row r="187" spans="1:5" x14ac:dyDescent="0.25">
      <c r="A187">
        <v>3</v>
      </c>
      <c r="B187">
        <v>0.09</v>
      </c>
      <c r="D187">
        <v>0</v>
      </c>
      <c r="E187">
        <f t="shared" si="2"/>
        <v>3.8593787311575464E-2</v>
      </c>
    </row>
    <row r="188" spans="1:5" x14ac:dyDescent="0.25">
      <c r="A188">
        <v>3</v>
      </c>
      <c r="B188">
        <v>0.289719626168224</v>
      </c>
      <c r="D188">
        <v>0</v>
      </c>
      <c r="E188">
        <f t="shared" si="2"/>
        <v>3.8593787311575464E-2</v>
      </c>
    </row>
    <row r="189" spans="1:5" x14ac:dyDescent="0.25">
      <c r="A189">
        <v>3</v>
      </c>
      <c r="B189">
        <v>8.1585081585081598E-2</v>
      </c>
      <c r="D189">
        <v>0</v>
      </c>
      <c r="E189">
        <f t="shared" si="2"/>
        <v>3.8593787311575464E-2</v>
      </c>
    </row>
    <row r="190" spans="1:5" x14ac:dyDescent="0.25">
      <c r="A190">
        <v>3</v>
      </c>
      <c r="B190">
        <v>0.28037383177570102</v>
      </c>
      <c r="D190">
        <v>0</v>
      </c>
      <c r="E190">
        <f t="shared" si="2"/>
        <v>3.8593787311575464E-2</v>
      </c>
    </row>
    <row r="191" spans="1:5" x14ac:dyDescent="0.25">
      <c r="A191">
        <v>3</v>
      </c>
      <c r="B191">
        <v>0.15151515151515199</v>
      </c>
      <c r="D191">
        <v>0</v>
      </c>
      <c r="E191">
        <f t="shared" si="2"/>
        <v>3.8593787311575464E-2</v>
      </c>
    </row>
    <row r="192" spans="1:5" x14ac:dyDescent="0.25">
      <c r="A192">
        <v>3</v>
      </c>
      <c r="B192">
        <v>0.20560747663551401</v>
      </c>
      <c r="D192">
        <v>0</v>
      </c>
      <c r="E192">
        <f t="shared" si="2"/>
        <v>3.8593787311575464E-2</v>
      </c>
    </row>
    <row r="193" spans="1:5" x14ac:dyDescent="0.25">
      <c r="A193">
        <v>3</v>
      </c>
      <c r="B193">
        <v>2.4E-2</v>
      </c>
      <c r="D193">
        <v>0</v>
      </c>
      <c r="E193">
        <f t="shared" si="2"/>
        <v>3.8593787311575464E-2</v>
      </c>
    </row>
    <row r="194" spans="1:5" x14ac:dyDescent="0.25">
      <c r="A194">
        <v>3</v>
      </c>
      <c r="B194">
        <v>0.57399999999999995</v>
      </c>
      <c r="D194">
        <v>0</v>
      </c>
      <c r="E194">
        <f t="shared" si="2"/>
        <v>3.8593787311575464E-2</v>
      </c>
    </row>
    <row r="195" spans="1:5" x14ac:dyDescent="0.25">
      <c r="A195">
        <v>3</v>
      </c>
      <c r="B195">
        <v>0.13888888888888901</v>
      </c>
      <c r="D195">
        <v>0</v>
      </c>
      <c r="E195">
        <f t="shared" ref="E195:E258" si="3">_xlfn.NORM.DIST(D195, I$4,I$7,FALSE)</f>
        <v>3.8593787311575464E-2</v>
      </c>
    </row>
    <row r="196" spans="1:5" x14ac:dyDescent="0.25">
      <c r="A196">
        <v>3</v>
      </c>
      <c r="B196">
        <v>0.686746987951807</v>
      </c>
      <c r="D196">
        <v>0</v>
      </c>
      <c r="E196">
        <f t="shared" si="3"/>
        <v>3.8593787311575464E-2</v>
      </c>
    </row>
    <row r="197" spans="1:5" x14ac:dyDescent="0.25">
      <c r="A197">
        <v>3</v>
      </c>
      <c r="B197">
        <v>0.133333333333333</v>
      </c>
      <c r="D197">
        <v>0</v>
      </c>
      <c r="E197">
        <f t="shared" si="3"/>
        <v>3.8593787311575464E-2</v>
      </c>
    </row>
    <row r="198" spans="1:5" x14ac:dyDescent="0.25">
      <c r="A198">
        <v>3</v>
      </c>
      <c r="B198">
        <v>1</v>
      </c>
      <c r="D198">
        <v>0</v>
      </c>
      <c r="E198">
        <f t="shared" si="3"/>
        <v>3.8593787311575464E-2</v>
      </c>
    </row>
    <row r="199" spans="1:5" x14ac:dyDescent="0.25">
      <c r="A199">
        <v>3</v>
      </c>
      <c r="B199">
        <v>0.21199999999999999</v>
      </c>
      <c r="D199">
        <v>0</v>
      </c>
      <c r="E199">
        <f t="shared" si="3"/>
        <v>3.8593787311575464E-2</v>
      </c>
    </row>
    <row r="200" spans="1:5" x14ac:dyDescent="0.25">
      <c r="A200">
        <v>3</v>
      </c>
      <c r="B200">
        <v>-0.177570093457944</v>
      </c>
      <c r="D200">
        <v>0</v>
      </c>
      <c r="E200">
        <f t="shared" si="3"/>
        <v>3.8593787311575464E-2</v>
      </c>
    </row>
    <row r="201" spans="1:5" x14ac:dyDescent="0.25">
      <c r="A201">
        <v>3</v>
      </c>
      <c r="B201">
        <v>3.0030030030029999E-3</v>
      </c>
      <c r="D201">
        <v>0</v>
      </c>
      <c r="E201">
        <f t="shared" si="3"/>
        <v>3.8593787311575464E-2</v>
      </c>
    </row>
    <row r="202" spans="1:5" x14ac:dyDescent="0.25">
      <c r="A202">
        <v>3</v>
      </c>
      <c r="B202">
        <v>-0.158227848101266</v>
      </c>
      <c r="D202">
        <v>0</v>
      </c>
      <c r="E202">
        <f t="shared" si="3"/>
        <v>3.8593787311575464E-2</v>
      </c>
    </row>
    <row r="203" spans="1:5" x14ac:dyDescent="0.25">
      <c r="A203">
        <v>3</v>
      </c>
      <c r="B203">
        <v>2E-3</v>
      </c>
      <c r="D203">
        <v>0</v>
      </c>
      <c r="E203">
        <f t="shared" si="3"/>
        <v>3.8593787311575464E-2</v>
      </c>
    </row>
    <row r="204" spans="1:5" x14ac:dyDescent="0.25">
      <c r="A204">
        <v>3</v>
      </c>
      <c r="B204">
        <v>2.5000000000000001E-2</v>
      </c>
      <c r="D204">
        <v>0</v>
      </c>
      <c r="E204">
        <f t="shared" si="3"/>
        <v>3.8593787311575464E-2</v>
      </c>
    </row>
    <row r="205" spans="1:5" x14ac:dyDescent="0.25">
      <c r="A205">
        <v>3</v>
      </c>
      <c r="B205">
        <v>0</v>
      </c>
      <c r="D205">
        <v>0</v>
      </c>
      <c r="E205">
        <f t="shared" si="3"/>
        <v>3.8593787311575464E-2</v>
      </c>
    </row>
    <row r="206" spans="1:5" x14ac:dyDescent="0.25">
      <c r="A206">
        <v>3</v>
      </c>
      <c r="B206">
        <v>-8.1081081081081099E-2</v>
      </c>
      <c r="D206">
        <v>0</v>
      </c>
      <c r="E206">
        <f t="shared" si="3"/>
        <v>3.8593787311575464E-2</v>
      </c>
    </row>
    <row r="207" spans="1:5" x14ac:dyDescent="0.25">
      <c r="A207">
        <v>3</v>
      </c>
      <c r="B207">
        <v>0</v>
      </c>
      <c r="D207">
        <v>0</v>
      </c>
      <c r="E207">
        <f t="shared" si="3"/>
        <v>3.8593787311575464E-2</v>
      </c>
    </row>
    <row r="208" spans="1:5" x14ac:dyDescent="0.25">
      <c r="A208">
        <v>3</v>
      </c>
      <c r="B208">
        <v>-5.6000000000000001E-2</v>
      </c>
      <c r="D208">
        <v>0</v>
      </c>
      <c r="E208">
        <f t="shared" si="3"/>
        <v>3.8593787311575464E-2</v>
      </c>
    </row>
    <row r="209" spans="1:5" x14ac:dyDescent="0.25">
      <c r="A209">
        <v>3</v>
      </c>
      <c r="B209">
        <v>-7.5075075075075104E-2</v>
      </c>
      <c r="D209">
        <v>0</v>
      </c>
      <c r="E209">
        <f t="shared" si="3"/>
        <v>3.8593787311575464E-2</v>
      </c>
    </row>
    <row r="210" spans="1:5" x14ac:dyDescent="0.25">
      <c r="A210">
        <v>3</v>
      </c>
      <c r="B210">
        <v>-0.08</v>
      </c>
      <c r="D210">
        <v>0</v>
      </c>
      <c r="E210">
        <f t="shared" si="3"/>
        <v>3.8593787311575464E-2</v>
      </c>
    </row>
    <row r="211" spans="1:5" x14ac:dyDescent="0.25">
      <c r="A211">
        <v>3</v>
      </c>
      <c r="B211">
        <v>-3.2000000000000001E-2</v>
      </c>
      <c r="D211">
        <v>0</v>
      </c>
      <c r="E211">
        <f t="shared" si="3"/>
        <v>3.8593787311575464E-2</v>
      </c>
    </row>
    <row r="212" spans="1:5" x14ac:dyDescent="0.25">
      <c r="A212">
        <v>3</v>
      </c>
      <c r="B212">
        <v>6.5420560747663503E-2</v>
      </c>
      <c r="D212">
        <v>0</v>
      </c>
      <c r="E212">
        <f t="shared" si="3"/>
        <v>3.8593787311575464E-2</v>
      </c>
    </row>
    <row r="213" spans="1:5" x14ac:dyDescent="0.25">
      <c r="A213">
        <v>3</v>
      </c>
      <c r="B213">
        <v>-3.9039039039038999E-2</v>
      </c>
      <c r="D213">
        <v>0</v>
      </c>
      <c r="E213">
        <f t="shared" si="3"/>
        <v>3.8593787311575464E-2</v>
      </c>
    </row>
    <row r="214" spans="1:5" x14ac:dyDescent="0.25">
      <c r="A214">
        <v>3</v>
      </c>
      <c r="B214">
        <v>0.102564102564103</v>
      </c>
      <c r="D214">
        <v>0</v>
      </c>
      <c r="E214">
        <f t="shared" si="3"/>
        <v>3.8593787311575464E-2</v>
      </c>
    </row>
    <row r="215" spans="1:5" x14ac:dyDescent="0.25">
      <c r="A215">
        <v>3</v>
      </c>
      <c r="B215">
        <v>0.10666666666666701</v>
      </c>
      <c r="D215">
        <v>0</v>
      </c>
      <c r="E215">
        <f t="shared" si="3"/>
        <v>3.8593787311575464E-2</v>
      </c>
    </row>
    <row r="216" spans="1:5" x14ac:dyDescent="0.25">
      <c r="A216">
        <v>3</v>
      </c>
      <c r="B216">
        <v>-4.7904191616766498E-2</v>
      </c>
      <c r="D216">
        <v>0</v>
      </c>
      <c r="E216">
        <f t="shared" si="3"/>
        <v>3.8593787311575464E-2</v>
      </c>
    </row>
    <row r="217" spans="1:5" x14ac:dyDescent="0.25">
      <c r="A217">
        <v>3</v>
      </c>
      <c r="B217">
        <v>-5.3613053613053602E-2</v>
      </c>
      <c r="D217">
        <v>0</v>
      </c>
      <c r="E217">
        <f t="shared" si="3"/>
        <v>3.8593787311575464E-2</v>
      </c>
    </row>
    <row r="218" spans="1:5" x14ac:dyDescent="0.25">
      <c r="A218">
        <v>3</v>
      </c>
      <c r="B218">
        <v>-9.00900900900901E-2</v>
      </c>
      <c r="D218">
        <v>0</v>
      </c>
      <c r="E218">
        <f t="shared" si="3"/>
        <v>3.8593787311575464E-2</v>
      </c>
    </row>
    <row r="219" spans="1:5" x14ac:dyDescent="0.25">
      <c r="A219">
        <v>3</v>
      </c>
      <c r="B219">
        <v>0.12068965517241401</v>
      </c>
      <c r="D219">
        <v>0</v>
      </c>
      <c r="E219">
        <f t="shared" si="3"/>
        <v>3.8593787311575464E-2</v>
      </c>
    </row>
    <row r="220" spans="1:5" x14ac:dyDescent="0.25">
      <c r="A220">
        <v>3</v>
      </c>
      <c r="B220">
        <v>2.66666666666667E-2</v>
      </c>
      <c r="D220">
        <v>0</v>
      </c>
      <c r="E220">
        <f t="shared" si="3"/>
        <v>3.8593787311575464E-2</v>
      </c>
    </row>
    <row r="221" spans="1:5" x14ac:dyDescent="0.25">
      <c r="A221">
        <v>3</v>
      </c>
      <c r="B221">
        <v>0.216</v>
      </c>
      <c r="D221">
        <v>0</v>
      </c>
      <c r="E221">
        <f t="shared" si="3"/>
        <v>3.8593787311575464E-2</v>
      </c>
    </row>
    <row r="222" spans="1:5" x14ac:dyDescent="0.25">
      <c r="A222">
        <v>3</v>
      </c>
      <c r="B222">
        <v>-2.9333333333333302E-2</v>
      </c>
      <c r="D222">
        <v>0</v>
      </c>
      <c r="E222">
        <f t="shared" si="3"/>
        <v>3.8593787311575464E-2</v>
      </c>
    </row>
    <row r="223" spans="1:5" x14ac:dyDescent="0.25">
      <c r="A223">
        <v>3</v>
      </c>
      <c r="B223">
        <v>0.256410256410256</v>
      </c>
      <c r="D223">
        <v>0</v>
      </c>
      <c r="E223">
        <f t="shared" si="3"/>
        <v>3.8593787311575464E-2</v>
      </c>
    </row>
    <row r="224" spans="1:5" x14ac:dyDescent="0.25">
      <c r="A224">
        <v>3</v>
      </c>
      <c r="B224">
        <v>-6.9930069930069904E-3</v>
      </c>
      <c r="D224">
        <v>0</v>
      </c>
      <c r="E224">
        <f t="shared" si="3"/>
        <v>3.8593787311575464E-2</v>
      </c>
    </row>
    <row r="225" spans="1:5" x14ac:dyDescent="0.25">
      <c r="A225">
        <v>3</v>
      </c>
      <c r="B225">
        <v>0.46261682242990698</v>
      </c>
      <c r="D225">
        <v>0</v>
      </c>
      <c r="E225">
        <f t="shared" si="3"/>
        <v>3.8593787311575464E-2</v>
      </c>
    </row>
    <row r="226" spans="1:5" x14ac:dyDescent="0.25">
      <c r="A226">
        <v>3</v>
      </c>
      <c r="B226">
        <v>1</v>
      </c>
      <c r="D226">
        <v>0</v>
      </c>
      <c r="E226">
        <f t="shared" si="3"/>
        <v>3.8593787311575464E-2</v>
      </c>
    </row>
    <row r="227" spans="1:5" x14ac:dyDescent="0.25">
      <c r="A227">
        <v>3</v>
      </c>
      <c r="B227">
        <v>1.86915887850467E-2</v>
      </c>
      <c r="D227">
        <v>0</v>
      </c>
      <c r="E227">
        <f t="shared" si="3"/>
        <v>3.8593787311575464E-2</v>
      </c>
    </row>
    <row r="228" spans="1:5" x14ac:dyDescent="0.25">
      <c r="A228">
        <v>3</v>
      </c>
      <c r="B228">
        <v>-8.1081081081081099E-2</v>
      </c>
      <c r="D228">
        <v>0</v>
      </c>
      <c r="E228">
        <f t="shared" si="3"/>
        <v>3.8593787311575464E-2</v>
      </c>
    </row>
    <row r="229" spans="1:5" x14ac:dyDescent="0.25">
      <c r="A229">
        <v>3</v>
      </c>
      <c r="B229">
        <v>8.2000000000000003E-2</v>
      </c>
      <c r="D229">
        <v>0</v>
      </c>
      <c r="E229">
        <f t="shared" si="3"/>
        <v>3.8593787311575464E-2</v>
      </c>
    </row>
    <row r="230" spans="1:5" x14ac:dyDescent="0.25">
      <c r="A230">
        <v>3</v>
      </c>
      <c r="B230">
        <v>8.9820359281437105E-3</v>
      </c>
      <c r="D230">
        <v>0</v>
      </c>
      <c r="E230">
        <f t="shared" si="3"/>
        <v>3.8593787311575464E-2</v>
      </c>
    </row>
    <row r="231" spans="1:5" x14ac:dyDescent="0.25">
      <c r="A231">
        <v>3</v>
      </c>
      <c r="B231">
        <v>-3.03030303030303E-2</v>
      </c>
      <c r="D231">
        <v>0</v>
      </c>
      <c r="E231">
        <f t="shared" si="3"/>
        <v>3.8593787311575464E-2</v>
      </c>
    </row>
    <row r="232" spans="1:5" x14ac:dyDescent="0.25">
      <c r="A232">
        <v>3</v>
      </c>
      <c r="B232">
        <v>5.1051051051051101E-2</v>
      </c>
      <c r="D232">
        <v>0</v>
      </c>
      <c r="E232">
        <f t="shared" si="3"/>
        <v>3.8593787311575464E-2</v>
      </c>
    </row>
    <row r="233" spans="1:5" x14ac:dyDescent="0.25">
      <c r="A233">
        <v>3</v>
      </c>
      <c r="B233">
        <v>7.4666666666666701E-2</v>
      </c>
      <c r="D233">
        <v>0</v>
      </c>
      <c r="E233">
        <f t="shared" si="3"/>
        <v>3.8593787311575464E-2</v>
      </c>
    </row>
    <row r="234" spans="1:5" x14ac:dyDescent="0.25">
      <c r="A234">
        <v>3</v>
      </c>
      <c r="B234">
        <v>-6.1333333333333302E-2</v>
      </c>
      <c r="D234">
        <v>0</v>
      </c>
      <c r="E234">
        <f t="shared" si="3"/>
        <v>3.8593787311575464E-2</v>
      </c>
    </row>
    <row r="235" spans="1:5" x14ac:dyDescent="0.25">
      <c r="A235">
        <v>3</v>
      </c>
      <c r="B235">
        <v>-6.4000000000000001E-2</v>
      </c>
      <c r="D235">
        <v>0</v>
      </c>
      <c r="E235">
        <f t="shared" si="3"/>
        <v>3.8593787311575464E-2</v>
      </c>
    </row>
    <row r="236" spans="1:5" x14ac:dyDescent="0.25">
      <c r="A236">
        <v>3</v>
      </c>
      <c r="B236">
        <v>-9.6000000000000002E-2</v>
      </c>
      <c r="D236">
        <v>0</v>
      </c>
      <c r="E236">
        <f t="shared" si="3"/>
        <v>3.8593787311575464E-2</v>
      </c>
    </row>
    <row r="237" spans="1:5" x14ac:dyDescent="0.25">
      <c r="A237">
        <v>3</v>
      </c>
      <c r="B237">
        <v>-2.69461077844311E-2</v>
      </c>
      <c r="D237">
        <v>0</v>
      </c>
      <c r="E237">
        <f t="shared" si="3"/>
        <v>3.8593787311575464E-2</v>
      </c>
    </row>
    <row r="238" spans="1:5" x14ac:dyDescent="0.25">
      <c r="A238">
        <v>3</v>
      </c>
      <c r="B238">
        <v>-4.26666666666667E-2</v>
      </c>
      <c r="D238">
        <v>0</v>
      </c>
      <c r="E238">
        <f t="shared" si="3"/>
        <v>3.8593787311575464E-2</v>
      </c>
    </row>
    <row r="239" spans="1:5" x14ac:dyDescent="0.25">
      <c r="A239">
        <v>3</v>
      </c>
      <c r="B239">
        <v>0.06</v>
      </c>
      <c r="D239">
        <v>0</v>
      </c>
      <c r="E239">
        <f t="shared" si="3"/>
        <v>3.8593787311575464E-2</v>
      </c>
    </row>
    <row r="240" spans="1:5" x14ac:dyDescent="0.25">
      <c r="A240">
        <v>3</v>
      </c>
      <c r="B240">
        <v>-8.0000000000000002E-3</v>
      </c>
      <c r="D240">
        <v>0</v>
      </c>
      <c r="E240">
        <f t="shared" si="3"/>
        <v>3.8593787311575464E-2</v>
      </c>
    </row>
    <row r="241" spans="1:5" x14ac:dyDescent="0.25">
      <c r="A241">
        <v>3</v>
      </c>
      <c r="B241">
        <v>-6.9930069930069904E-3</v>
      </c>
      <c r="D241">
        <v>0</v>
      </c>
      <c r="E241">
        <f t="shared" si="3"/>
        <v>3.8593787311575464E-2</v>
      </c>
    </row>
    <row r="242" spans="1:5" x14ac:dyDescent="0.25">
      <c r="A242">
        <v>3</v>
      </c>
      <c r="B242">
        <v>5.1282051282051301E-2</v>
      </c>
      <c r="D242">
        <v>0</v>
      </c>
      <c r="E242">
        <f t="shared" si="3"/>
        <v>3.8593787311575464E-2</v>
      </c>
    </row>
    <row r="243" spans="1:5" x14ac:dyDescent="0.25">
      <c r="A243">
        <v>3</v>
      </c>
      <c r="B243">
        <v>0.23711340206185599</v>
      </c>
      <c r="D243">
        <v>0</v>
      </c>
      <c r="E243">
        <f t="shared" si="3"/>
        <v>3.8593787311575464E-2</v>
      </c>
    </row>
    <row r="244" spans="1:5" x14ac:dyDescent="0.25">
      <c r="A244">
        <v>3</v>
      </c>
      <c r="B244">
        <v>0.197333333333333</v>
      </c>
      <c r="D244">
        <v>0</v>
      </c>
      <c r="E244">
        <f t="shared" si="3"/>
        <v>3.8593787311575464E-2</v>
      </c>
    </row>
    <row r="245" spans="1:5" x14ac:dyDescent="0.25">
      <c r="A245">
        <v>3</v>
      </c>
      <c r="B245">
        <v>-0.17399999999999999</v>
      </c>
      <c r="D245">
        <v>0</v>
      </c>
      <c r="E245">
        <f t="shared" si="3"/>
        <v>3.8593787311575464E-2</v>
      </c>
    </row>
    <row r="246" spans="1:5" x14ac:dyDescent="0.25">
      <c r="A246">
        <v>3</v>
      </c>
      <c r="B246">
        <v>-9.0666666666666701E-2</v>
      </c>
      <c r="D246">
        <v>0</v>
      </c>
      <c r="E246">
        <f t="shared" si="3"/>
        <v>3.8593787311575464E-2</v>
      </c>
    </row>
    <row r="247" spans="1:5" x14ac:dyDescent="0.25">
      <c r="A247">
        <v>3</v>
      </c>
      <c r="B247">
        <v>0.69158878504672905</v>
      </c>
      <c r="D247">
        <v>0</v>
      </c>
      <c r="E247">
        <f t="shared" si="3"/>
        <v>3.8593787311575464E-2</v>
      </c>
    </row>
    <row r="248" spans="1:5" x14ac:dyDescent="0.25">
      <c r="A248">
        <v>3</v>
      </c>
      <c r="B248">
        <v>1</v>
      </c>
      <c r="D248">
        <v>0</v>
      </c>
      <c r="E248">
        <f t="shared" si="3"/>
        <v>3.8593787311575464E-2</v>
      </c>
    </row>
    <row r="249" spans="1:5" x14ac:dyDescent="0.25">
      <c r="A249">
        <v>3</v>
      </c>
      <c r="B249">
        <v>-3.7333333333333302E-2</v>
      </c>
      <c r="D249">
        <v>0</v>
      </c>
      <c r="E249">
        <f t="shared" si="3"/>
        <v>3.8593787311575464E-2</v>
      </c>
    </row>
    <row r="250" spans="1:5" x14ac:dyDescent="0.25">
      <c r="A250">
        <v>3</v>
      </c>
      <c r="B250">
        <v>2.7027027027027001E-2</v>
      </c>
      <c r="D250">
        <v>0</v>
      </c>
      <c r="E250">
        <f t="shared" si="3"/>
        <v>3.8593787311575464E-2</v>
      </c>
    </row>
    <row r="251" spans="1:5" x14ac:dyDescent="0.25">
      <c r="A251">
        <v>3</v>
      </c>
      <c r="B251">
        <v>-3.46666666666667E-2</v>
      </c>
      <c r="D251">
        <v>0</v>
      </c>
      <c r="E251">
        <f t="shared" si="3"/>
        <v>3.8593787311575464E-2</v>
      </c>
    </row>
    <row r="252" spans="1:5" x14ac:dyDescent="0.25">
      <c r="A252">
        <v>3</v>
      </c>
      <c r="B252">
        <v>0.11111111111111099</v>
      </c>
      <c r="D252">
        <v>0</v>
      </c>
      <c r="E252">
        <f t="shared" si="3"/>
        <v>3.8593787311575464E-2</v>
      </c>
    </row>
    <row r="253" spans="1:5" x14ac:dyDescent="0.25">
      <c r="A253">
        <v>3</v>
      </c>
      <c r="B253">
        <v>0.01</v>
      </c>
      <c r="D253">
        <v>0</v>
      </c>
      <c r="E253">
        <f t="shared" si="3"/>
        <v>3.8593787311575464E-2</v>
      </c>
    </row>
    <row r="254" spans="1:5" x14ac:dyDescent="0.25">
      <c r="A254">
        <v>3</v>
      </c>
      <c r="B254">
        <v>0.12266666666666701</v>
      </c>
      <c r="D254">
        <v>0</v>
      </c>
      <c r="E254">
        <f t="shared" si="3"/>
        <v>3.8593787311575464E-2</v>
      </c>
    </row>
    <row r="255" spans="1:5" x14ac:dyDescent="0.25">
      <c r="A255">
        <v>3</v>
      </c>
      <c r="B255">
        <v>1.8018018018018001E-2</v>
      </c>
      <c r="D255">
        <v>0</v>
      </c>
      <c r="E255">
        <f t="shared" si="3"/>
        <v>3.8593787311575464E-2</v>
      </c>
    </row>
    <row r="256" spans="1:5" x14ac:dyDescent="0.25">
      <c r="A256">
        <v>3</v>
      </c>
      <c r="B256">
        <v>9.7902097902097904E-2</v>
      </c>
      <c r="D256">
        <v>0</v>
      </c>
      <c r="E256">
        <f t="shared" si="3"/>
        <v>3.8593787311575464E-2</v>
      </c>
    </row>
    <row r="257" spans="1:5" x14ac:dyDescent="0.25">
      <c r="A257">
        <v>3</v>
      </c>
      <c r="B257">
        <v>8.7999999999999995E-2</v>
      </c>
      <c r="D257">
        <v>0</v>
      </c>
      <c r="E257">
        <f t="shared" si="3"/>
        <v>3.8593787311575464E-2</v>
      </c>
    </row>
    <row r="258" spans="1:5" x14ac:dyDescent="0.25">
      <c r="A258">
        <v>3</v>
      </c>
      <c r="B258">
        <v>0.14133333333333301</v>
      </c>
      <c r="D258">
        <v>0</v>
      </c>
      <c r="E258">
        <f t="shared" si="3"/>
        <v>3.8593787311575464E-2</v>
      </c>
    </row>
    <row r="259" spans="1:5" x14ac:dyDescent="0.25">
      <c r="A259">
        <v>3</v>
      </c>
      <c r="B259">
        <v>2.4E-2</v>
      </c>
      <c r="D259">
        <v>0</v>
      </c>
      <c r="E259">
        <f t="shared" ref="E259:E322" si="4">_xlfn.NORM.DIST(D259, I$4,I$7,FALSE)</f>
        <v>3.8593787311575464E-2</v>
      </c>
    </row>
    <row r="260" spans="1:5" x14ac:dyDescent="0.25">
      <c r="A260">
        <v>3</v>
      </c>
      <c r="B260">
        <v>0.158</v>
      </c>
      <c r="D260">
        <v>0</v>
      </c>
      <c r="E260">
        <f t="shared" si="4"/>
        <v>3.8593787311575464E-2</v>
      </c>
    </row>
    <row r="261" spans="1:5" x14ac:dyDescent="0.25">
      <c r="A261">
        <v>3</v>
      </c>
      <c r="B261">
        <v>0.22</v>
      </c>
      <c r="D261">
        <v>0</v>
      </c>
      <c r="E261">
        <f t="shared" si="4"/>
        <v>3.8593787311575464E-2</v>
      </c>
    </row>
    <row r="262" spans="1:5" x14ac:dyDescent="0.25">
      <c r="A262">
        <v>3</v>
      </c>
      <c r="B262">
        <v>-5.82750582750583E-2</v>
      </c>
      <c r="D262">
        <v>0</v>
      </c>
      <c r="E262">
        <f t="shared" si="4"/>
        <v>3.8593787311575464E-2</v>
      </c>
    </row>
    <row r="263" spans="1:5" x14ac:dyDescent="0.25">
      <c r="A263">
        <v>3</v>
      </c>
      <c r="B263">
        <v>0.27272727272727298</v>
      </c>
      <c r="D263">
        <v>0</v>
      </c>
      <c r="E263">
        <f t="shared" si="4"/>
        <v>3.8593787311575464E-2</v>
      </c>
    </row>
    <row r="264" spans="1:5" x14ac:dyDescent="0.25">
      <c r="A264">
        <v>3</v>
      </c>
      <c r="B264">
        <v>0.10747663551401899</v>
      </c>
      <c r="D264">
        <v>0</v>
      </c>
      <c r="E264">
        <f t="shared" si="4"/>
        <v>3.8593787311575464E-2</v>
      </c>
    </row>
    <row r="265" spans="1:5" x14ac:dyDescent="0.25">
      <c r="A265">
        <v>3</v>
      </c>
      <c r="B265">
        <v>0.45166666666666699</v>
      </c>
      <c r="D265">
        <v>0</v>
      </c>
      <c r="E265">
        <f t="shared" si="4"/>
        <v>3.8593787311575464E-2</v>
      </c>
    </row>
    <row r="266" spans="1:5" x14ac:dyDescent="0.25">
      <c r="A266">
        <v>3</v>
      </c>
      <c r="B266">
        <v>1</v>
      </c>
      <c r="D266">
        <v>0</v>
      </c>
      <c r="E266">
        <f t="shared" si="4"/>
        <v>3.8593787311575464E-2</v>
      </c>
    </row>
    <row r="267" spans="1:5" x14ac:dyDescent="0.25">
      <c r="A267">
        <v>3</v>
      </c>
      <c r="B267">
        <v>-0.18918918918918901</v>
      </c>
      <c r="D267">
        <v>0</v>
      </c>
      <c r="E267">
        <f t="shared" si="4"/>
        <v>3.8593787311575464E-2</v>
      </c>
    </row>
    <row r="268" spans="1:5" x14ac:dyDescent="0.25">
      <c r="A268">
        <v>3</v>
      </c>
      <c r="B268">
        <v>-8.1081081081081099E-2</v>
      </c>
      <c r="D268">
        <v>0</v>
      </c>
      <c r="E268">
        <f t="shared" si="4"/>
        <v>3.8593787311575464E-2</v>
      </c>
    </row>
    <row r="269" spans="1:5" x14ac:dyDescent="0.25">
      <c r="A269">
        <v>3</v>
      </c>
      <c r="B269">
        <v>-1.8666666666666699E-2</v>
      </c>
      <c r="D269">
        <v>0</v>
      </c>
      <c r="E269">
        <f t="shared" si="4"/>
        <v>3.8593787311575464E-2</v>
      </c>
    </row>
    <row r="270" spans="1:5" x14ac:dyDescent="0.25">
      <c r="A270">
        <v>3</v>
      </c>
      <c r="B270">
        <v>-2.66666666666667E-2</v>
      </c>
      <c r="D270">
        <v>0</v>
      </c>
      <c r="E270">
        <f t="shared" si="4"/>
        <v>3.8593787311575464E-2</v>
      </c>
    </row>
    <row r="271" spans="1:5" x14ac:dyDescent="0.25">
      <c r="A271">
        <v>3</v>
      </c>
      <c r="B271">
        <v>-0.14000000000000001</v>
      </c>
      <c r="D271">
        <v>0</v>
      </c>
      <c r="E271">
        <f t="shared" si="4"/>
        <v>3.8593787311575464E-2</v>
      </c>
    </row>
    <row r="272" spans="1:5" x14ac:dyDescent="0.25">
      <c r="A272">
        <v>3</v>
      </c>
      <c r="B272">
        <v>-0.14252336448598099</v>
      </c>
      <c r="D272">
        <v>0</v>
      </c>
      <c r="E272">
        <f t="shared" si="4"/>
        <v>3.8593787311575464E-2</v>
      </c>
    </row>
    <row r="273" spans="1:5" x14ac:dyDescent="0.25">
      <c r="A273">
        <v>3</v>
      </c>
      <c r="B273">
        <v>-9.00900900900901E-2</v>
      </c>
      <c r="D273">
        <v>0</v>
      </c>
      <c r="E273">
        <f t="shared" si="4"/>
        <v>3.8593787311575464E-2</v>
      </c>
    </row>
    <row r="274" spans="1:5" x14ac:dyDescent="0.25">
      <c r="A274">
        <v>3</v>
      </c>
      <c r="B274">
        <v>0.184</v>
      </c>
      <c r="D274">
        <v>0</v>
      </c>
      <c r="E274">
        <f t="shared" si="4"/>
        <v>3.8593787311575464E-2</v>
      </c>
    </row>
    <row r="275" spans="1:5" x14ac:dyDescent="0.25">
      <c r="A275">
        <v>3</v>
      </c>
      <c r="B275">
        <v>-0.04</v>
      </c>
      <c r="D275">
        <v>0</v>
      </c>
      <c r="E275">
        <f t="shared" si="4"/>
        <v>3.8593787311575464E-2</v>
      </c>
    </row>
    <row r="276" spans="1:5" x14ac:dyDescent="0.25">
      <c r="A276">
        <v>3</v>
      </c>
      <c r="B276">
        <v>0.19626168224299101</v>
      </c>
      <c r="D276">
        <v>0</v>
      </c>
      <c r="E276">
        <f t="shared" si="4"/>
        <v>3.8593787311575464E-2</v>
      </c>
    </row>
    <row r="277" spans="1:5" x14ac:dyDescent="0.25">
      <c r="A277">
        <v>3</v>
      </c>
      <c r="B277">
        <v>3.6036036036036001E-2</v>
      </c>
      <c r="D277">
        <v>0</v>
      </c>
      <c r="E277">
        <f t="shared" si="4"/>
        <v>3.8593787311575464E-2</v>
      </c>
    </row>
    <row r="278" spans="1:5" x14ac:dyDescent="0.25">
      <c r="A278">
        <v>3</v>
      </c>
      <c r="B278">
        <v>6.4000000000000001E-2</v>
      </c>
      <c r="D278">
        <v>0</v>
      </c>
      <c r="E278">
        <f t="shared" si="4"/>
        <v>3.8593787311575464E-2</v>
      </c>
    </row>
    <row r="279" spans="1:5" x14ac:dyDescent="0.25">
      <c r="A279">
        <v>3</v>
      </c>
      <c r="B279">
        <v>5.8411214953271E-2</v>
      </c>
      <c r="D279">
        <v>0</v>
      </c>
      <c r="E279">
        <f t="shared" si="4"/>
        <v>3.8593787311575464E-2</v>
      </c>
    </row>
    <row r="280" spans="1:5" x14ac:dyDescent="0.25">
      <c r="A280">
        <v>3</v>
      </c>
      <c r="B280">
        <v>-1.8666666666666699E-2</v>
      </c>
      <c r="D280">
        <v>0</v>
      </c>
      <c r="E280">
        <f t="shared" si="4"/>
        <v>3.8593787311575464E-2</v>
      </c>
    </row>
    <row r="281" spans="1:5" x14ac:dyDescent="0.25">
      <c r="A281">
        <v>3</v>
      </c>
      <c r="B281">
        <v>9.6000000000000002E-2</v>
      </c>
      <c r="D281">
        <v>0</v>
      </c>
      <c r="E281">
        <f t="shared" si="4"/>
        <v>3.8593787311575464E-2</v>
      </c>
    </row>
    <row r="282" spans="1:5" x14ac:dyDescent="0.25">
      <c r="A282">
        <v>3</v>
      </c>
      <c r="B282">
        <v>1.5015015015014999E-2</v>
      </c>
      <c r="D282">
        <v>0</v>
      </c>
      <c r="E282">
        <f t="shared" si="4"/>
        <v>3.8593787311575464E-2</v>
      </c>
    </row>
    <row r="283" spans="1:5" x14ac:dyDescent="0.25">
      <c r="A283">
        <v>3</v>
      </c>
      <c r="B283">
        <v>8.4112149532710304E-2</v>
      </c>
      <c r="D283">
        <v>0</v>
      </c>
      <c r="E283">
        <f t="shared" si="4"/>
        <v>3.8593787311575464E-2</v>
      </c>
    </row>
    <row r="284" spans="1:5" x14ac:dyDescent="0.25">
      <c r="A284">
        <v>3</v>
      </c>
      <c r="B284">
        <v>1</v>
      </c>
      <c r="D284">
        <v>0</v>
      </c>
      <c r="E284">
        <f t="shared" si="4"/>
        <v>3.8593787311575464E-2</v>
      </c>
    </row>
    <row r="285" spans="1:5" x14ac:dyDescent="0.25">
      <c r="A285">
        <v>3</v>
      </c>
      <c r="B285">
        <v>-6.9930069930069894E-2</v>
      </c>
      <c r="D285">
        <v>0</v>
      </c>
      <c r="E285">
        <f t="shared" si="4"/>
        <v>3.8593787311575464E-2</v>
      </c>
    </row>
    <row r="286" spans="1:5" x14ac:dyDescent="0.25">
      <c r="A286">
        <v>3</v>
      </c>
      <c r="B286">
        <v>-4.5045045045045001E-2</v>
      </c>
      <c r="D286">
        <v>0</v>
      </c>
      <c r="E286">
        <f t="shared" si="4"/>
        <v>3.8593787311575464E-2</v>
      </c>
    </row>
    <row r="287" spans="1:5" x14ac:dyDescent="0.25">
      <c r="A287">
        <v>3</v>
      </c>
      <c r="B287">
        <v>-2.5641025641025599E-2</v>
      </c>
      <c r="D287">
        <v>0</v>
      </c>
      <c r="E287">
        <f t="shared" si="4"/>
        <v>3.8593787311575464E-2</v>
      </c>
    </row>
    <row r="288" spans="1:5" x14ac:dyDescent="0.25">
      <c r="A288">
        <v>3</v>
      </c>
      <c r="B288">
        <v>-6.2874251497005998E-2</v>
      </c>
      <c r="D288">
        <v>0</v>
      </c>
      <c r="E288">
        <f t="shared" si="4"/>
        <v>3.8593787311575464E-2</v>
      </c>
    </row>
    <row r="289" spans="1:5" x14ac:dyDescent="0.25">
      <c r="A289">
        <v>3</v>
      </c>
      <c r="B289">
        <v>-8.0000000000000002E-3</v>
      </c>
      <c r="D289">
        <v>0</v>
      </c>
      <c r="E289">
        <f t="shared" si="4"/>
        <v>3.8593787311575464E-2</v>
      </c>
    </row>
    <row r="290" spans="1:5" x14ac:dyDescent="0.25">
      <c r="A290">
        <v>3</v>
      </c>
      <c r="B290">
        <v>3.03030303030303E-2</v>
      </c>
      <c r="D290">
        <v>0</v>
      </c>
      <c r="E290">
        <f t="shared" si="4"/>
        <v>3.8593787311575464E-2</v>
      </c>
    </row>
    <row r="291" spans="1:5" x14ac:dyDescent="0.25">
      <c r="A291">
        <v>3</v>
      </c>
      <c r="B291">
        <v>-4.5045045045045001E-2</v>
      </c>
      <c r="D291">
        <v>0</v>
      </c>
      <c r="E291">
        <f t="shared" si="4"/>
        <v>3.8593787311575464E-2</v>
      </c>
    </row>
    <row r="292" spans="1:5" x14ac:dyDescent="0.25">
      <c r="A292">
        <v>3</v>
      </c>
      <c r="B292">
        <v>1.4E-2</v>
      </c>
      <c r="D292">
        <v>0</v>
      </c>
      <c r="E292">
        <f t="shared" si="4"/>
        <v>3.8593787311575464E-2</v>
      </c>
    </row>
    <row r="293" spans="1:5" x14ac:dyDescent="0.25">
      <c r="A293">
        <v>3</v>
      </c>
      <c r="B293">
        <v>-8.7087087087087095E-2</v>
      </c>
      <c r="D293">
        <v>0</v>
      </c>
      <c r="E293">
        <f t="shared" si="4"/>
        <v>3.8593787311575464E-2</v>
      </c>
    </row>
    <row r="294" spans="1:5" x14ac:dyDescent="0.25">
      <c r="A294">
        <v>3</v>
      </c>
      <c r="B294">
        <v>-9.1999999999999998E-2</v>
      </c>
      <c r="D294">
        <v>0</v>
      </c>
      <c r="E294">
        <f t="shared" si="4"/>
        <v>3.8593787311575464E-2</v>
      </c>
    </row>
    <row r="295" spans="1:5" x14ac:dyDescent="0.25">
      <c r="A295">
        <v>3</v>
      </c>
      <c r="B295">
        <v>9.0909090909090898E-2</v>
      </c>
      <c r="D295">
        <v>0</v>
      </c>
      <c r="E295">
        <f t="shared" si="4"/>
        <v>3.8593787311575464E-2</v>
      </c>
    </row>
    <row r="296" spans="1:5" x14ac:dyDescent="0.25">
      <c r="A296">
        <v>3</v>
      </c>
      <c r="B296">
        <v>-1.8666666666666699E-2</v>
      </c>
      <c r="D296">
        <v>0</v>
      </c>
      <c r="E296">
        <f t="shared" si="4"/>
        <v>3.8593787311575464E-2</v>
      </c>
    </row>
    <row r="297" spans="1:5" x14ac:dyDescent="0.25">
      <c r="A297">
        <v>3</v>
      </c>
      <c r="B297">
        <v>0.33913043478260901</v>
      </c>
      <c r="D297">
        <v>0</v>
      </c>
      <c r="E297">
        <f t="shared" si="4"/>
        <v>3.8593787311575464E-2</v>
      </c>
    </row>
    <row r="298" spans="1:5" x14ac:dyDescent="0.25">
      <c r="A298">
        <v>3</v>
      </c>
      <c r="B298">
        <v>1</v>
      </c>
      <c r="D298">
        <v>0</v>
      </c>
      <c r="E298">
        <f t="shared" si="4"/>
        <v>3.8593787311575464E-2</v>
      </c>
    </row>
    <row r="299" spans="1:5" x14ac:dyDescent="0.25">
      <c r="A299">
        <v>3</v>
      </c>
      <c r="B299">
        <v>-8.2666666666666694E-2</v>
      </c>
      <c r="D299">
        <v>0</v>
      </c>
      <c r="E299">
        <f t="shared" si="4"/>
        <v>3.8593787311575464E-2</v>
      </c>
    </row>
    <row r="300" spans="1:5" x14ac:dyDescent="0.25">
      <c r="A300">
        <v>3</v>
      </c>
      <c r="B300">
        <v>2.7027027027027001E-2</v>
      </c>
      <c r="D300">
        <v>0</v>
      </c>
      <c r="E300">
        <f t="shared" si="4"/>
        <v>3.8593787311575464E-2</v>
      </c>
    </row>
    <row r="301" spans="1:5" x14ac:dyDescent="0.25">
      <c r="A301">
        <v>3</v>
      </c>
      <c r="B301">
        <v>5.3333333333333297E-3</v>
      </c>
      <c r="D301">
        <v>0</v>
      </c>
      <c r="E301">
        <f t="shared" si="4"/>
        <v>3.8593787311575464E-2</v>
      </c>
    </row>
    <row r="302" spans="1:5" x14ac:dyDescent="0.25">
      <c r="A302">
        <v>3</v>
      </c>
      <c r="B302">
        <v>5.7057057057057103E-2</v>
      </c>
      <c r="D302">
        <v>0</v>
      </c>
      <c r="E302">
        <f t="shared" si="4"/>
        <v>3.8593787311575464E-2</v>
      </c>
    </row>
    <row r="303" spans="1:5" x14ac:dyDescent="0.25">
      <c r="A303">
        <v>3</v>
      </c>
      <c r="B303">
        <v>1.1655011655011699E-2</v>
      </c>
      <c r="D303">
        <v>0</v>
      </c>
      <c r="E303">
        <f t="shared" si="4"/>
        <v>3.8593787311575464E-2</v>
      </c>
    </row>
    <row r="304" spans="1:5" x14ac:dyDescent="0.25">
      <c r="A304">
        <v>3</v>
      </c>
      <c r="B304">
        <v>2.69461077844311E-2</v>
      </c>
      <c r="D304">
        <v>0</v>
      </c>
      <c r="E304">
        <f t="shared" si="4"/>
        <v>3.8593787311575464E-2</v>
      </c>
    </row>
    <row r="305" spans="1:5" x14ac:dyDescent="0.25">
      <c r="A305">
        <v>3</v>
      </c>
      <c r="B305">
        <v>1.4E-2</v>
      </c>
      <c r="D305">
        <v>0</v>
      </c>
      <c r="E305">
        <f t="shared" si="4"/>
        <v>3.8593787311575464E-2</v>
      </c>
    </row>
    <row r="306" spans="1:5" x14ac:dyDescent="0.25">
      <c r="A306">
        <v>3</v>
      </c>
      <c r="B306">
        <v>-5.5555555555555601E-2</v>
      </c>
      <c r="D306">
        <v>0</v>
      </c>
      <c r="E306">
        <f t="shared" si="4"/>
        <v>3.8593787311575464E-2</v>
      </c>
    </row>
    <row r="307" spans="1:5" x14ac:dyDescent="0.25">
      <c r="A307">
        <v>3</v>
      </c>
      <c r="B307">
        <v>1.6E-2</v>
      </c>
      <c r="D307">
        <v>0</v>
      </c>
      <c r="E307">
        <f t="shared" si="4"/>
        <v>3.8593787311575464E-2</v>
      </c>
    </row>
    <row r="308" spans="1:5" x14ac:dyDescent="0.25">
      <c r="A308">
        <v>3</v>
      </c>
      <c r="B308">
        <v>-2.0979020979021001E-2</v>
      </c>
      <c r="D308">
        <v>0</v>
      </c>
      <c r="E308">
        <f t="shared" si="4"/>
        <v>3.8593787311575464E-2</v>
      </c>
    </row>
    <row r="309" spans="1:5" x14ac:dyDescent="0.25">
      <c r="A309">
        <v>3</v>
      </c>
      <c r="B309">
        <v>9.34579439252336E-2</v>
      </c>
      <c r="D309">
        <v>0</v>
      </c>
      <c r="E309">
        <f t="shared" si="4"/>
        <v>3.8593787311575464E-2</v>
      </c>
    </row>
    <row r="310" spans="1:5" x14ac:dyDescent="0.25">
      <c r="A310">
        <v>3</v>
      </c>
      <c r="B310">
        <v>-8.7999999999999995E-2</v>
      </c>
      <c r="D310">
        <v>0</v>
      </c>
      <c r="E310">
        <f t="shared" si="4"/>
        <v>3.8593787311575464E-2</v>
      </c>
    </row>
    <row r="311" spans="1:5" x14ac:dyDescent="0.25">
      <c r="A311">
        <v>3</v>
      </c>
      <c r="B311">
        <v>1.1655011655011699E-2</v>
      </c>
      <c r="D311">
        <v>0</v>
      </c>
      <c r="E311">
        <f t="shared" si="4"/>
        <v>3.8593787311575464E-2</v>
      </c>
    </row>
    <row r="312" spans="1:5" x14ac:dyDescent="0.25">
      <c r="A312">
        <v>3</v>
      </c>
      <c r="B312">
        <v>0.186</v>
      </c>
      <c r="D312">
        <v>0</v>
      </c>
      <c r="E312">
        <f t="shared" si="4"/>
        <v>3.8593787311575464E-2</v>
      </c>
    </row>
    <row r="313" spans="1:5" x14ac:dyDescent="0.25">
      <c r="A313">
        <v>3</v>
      </c>
      <c r="B313">
        <v>0.156</v>
      </c>
      <c r="D313">
        <v>0</v>
      </c>
      <c r="E313">
        <f t="shared" si="4"/>
        <v>3.8593787311575464E-2</v>
      </c>
    </row>
    <row r="314" spans="1:5" x14ac:dyDescent="0.25">
      <c r="A314">
        <v>3</v>
      </c>
      <c r="B314">
        <v>-4.6620046620046603E-3</v>
      </c>
      <c r="D314">
        <v>0</v>
      </c>
      <c r="E314">
        <f t="shared" si="4"/>
        <v>3.8593787311575464E-2</v>
      </c>
    </row>
    <row r="315" spans="1:5" x14ac:dyDescent="0.25">
      <c r="A315">
        <v>3</v>
      </c>
      <c r="B315">
        <v>0.18263473053892201</v>
      </c>
      <c r="D315">
        <v>0</v>
      </c>
      <c r="E315">
        <f t="shared" si="4"/>
        <v>3.8593787311575464E-2</v>
      </c>
    </row>
    <row r="316" spans="1:5" x14ac:dyDescent="0.25">
      <c r="A316">
        <v>3</v>
      </c>
      <c r="B316">
        <v>-3.7296037296037303E-2</v>
      </c>
      <c r="D316">
        <v>0</v>
      </c>
      <c r="E316">
        <f t="shared" si="4"/>
        <v>3.8593787311575464E-2</v>
      </c>
    </row>
    <row r="317" spans="1:5" x14ac:dyDescent="0.25">
      <c r="A317">
        <v>3</v>
      </c>
      <c r="B317">
        <v>0.18</v>
      </c>
      <c r="D317">
        <v>0</v>
      </c>
      <c r="E317">
        <f t="shared" si="4"/>
        <v>3.8593787311575464E-2</v>
      </c>
    </row>
    <row r="318" spans="1:5" x14ac:dyDescent="0.25">
      <c r="A318">
        <v>3</v>
      </c>
      <c r="B318">
        <v>0.25449101796407197</v>
      </c>
      <c r="D318">
        <v>0</v>
      </c>
      <c r="E318">
        <f t="shared" si="4"/>
        <v>3.8593787311575464E-2</v>
      </c>
    </row>
    <row r="319" spans="1:5" x14ac:dyDescent="0.25">
      <c r="A319">
        <v>3</v>
      </c>
      <c r="B319">
        <v>0.10199999999999999</v>
      </c>
      <c r="D319">
        <v>0</v>
      </c>
      <c r="E319">
        <f t="shared" si="4"/>
        <v>3.8593787311575464E-2</v>
      </c>
    </row>
    <row r="320" spans="1:5" x14ac:dyDescent="0.25">
      <c r="A320">
        <v>3</v>
      </c>
      <c r="B320">
        <v>0.30630630630630601</v>
      </c>
      <c r="D320">
        <v>0</v>
      </c>
      <c r="E320">
        <f t="shared" si="4"/>
        <v>3.8593787311575464E-2</v>
      </c>
    </row>
    <row r="321" spans="1:5" x14ac:dyDescent="0.25">
      <c r="A321">
        <v>3</v>
      </c>
      <c r="B321">
        <v>-0.162162162162162</v>
      </c>
      <c r="D321">
        <v>0</v>
      </c>
      <c r="E321">
        <f t="shared" si="4"/>
        <v>3.8593787311575464E-2</v>
      </c>
    </row>
    <row r="322" spans="1:5" x14ac:dyDescent="0.25">
      <c r="A322">
        <v>3</v>
      </c>
      <c r="B322">
        <v>0.27927927927927898</v>
      </c>
      <c r="D322">
        <v>0</v>
      </c>
      <c r="E322">
        <f t="shared" si="4"/>
        <v>3.8593787311575464E-2</v>
      </c>
    </row>
    <row r="323" spans="1:5" x14ac:dyDescent="0.25">
      <c r="A323">
        <v>3</v>
      </c>
      <c r="B323">
        <v>0.126126126126126</v>
      </c>
      <c r="D323">
        <v>0</v>
      </c>
      <c r="E323">
        <f t="shared" ref="E323:E386" si="5">_xlfn.NORM.DIST(D323, I$4,I$7,FALSE)</f>
        <v>3.8593787311575464E-2</v>
      </c>
    </row>
    <row r="324" spans="1:5" x14ac:dyDescent="0.25">
      <c r="A324">
        <v>3</v>
      </c>
      <c r="B324">
        <v>0.35199999999999998</v>
      </c>
      <c r="D324">
        <v>0</v>
      </c>
      <c r="E324">
        <f t="shared" si="5"/>
        <v>3.8593787311575464E-2</v>
      </c>
    </row>
    <row r="325" spans="1:5" x14ac:dyDescent="0.25">
      <c r="A325">
        <v>3</v>
      </c>
      <c r="B325">
        <v>7.4850299401197598E-2</v>
      </c>
      <c r="D325">
        <v>0</v>
      </c>
      <c r="E325">
        <f t="shared" si="5"/>
        <v>3.8593787311575464E-2</v>
      </c>
    </row>
    <row r="326" spans="1:5" x14ac:dyDescent="0.25">
      <c r="A326">
        <v>3</v>
      </c>
      <c r="B326">
        <v>0.53333333333333299</v>
      </c>
      <c r="D326">
        <v>0</v>
      </c>
      <c r="E326">
        <f t="shared" si="5"/>
        <v>3.8593787311575464E-2</v>
      </c>
    </row>
    <row r="327" spans="1:5" x14ac:dyDescent="0.25">
      <c r="A327">
        <v>3</v>
      </c>
      <c r="B327">
        <v>0.65333333333333299</v>
      </c>
      <c r="D327">
        <v>0</v>
      </c>
      <c r="E327">
        <f t="shared" si="5"/>
        <v>3.8593787311575464E-2</v>
      </c>
    </row>
    <row r="328" spans="1:5" x14ac:dyDescent="0.25">
      <c r="A328">
        <v>3</v>
      </c>
      <c r="B328">
        <v>3.0030030030029999E-3</v>
      </c>
      <c r="D328">
        <v>0</v>
      </c>
      <c r="E328">
        <f t="shared" si="5"/>
        <v>3.8593787311575464E-2</v>
      </c>
    </row>
    <row r="329" spans="1:5" x14ac:dyDescent="0.25">
      <c r="A329">
        <v>3</v>
      </c>
      <c r="B329">
        <v>0.746835443037975</v>
      </c>
      <c r="D329">
        <v>0</v>
      </c>
      <c r="E329">
        <f t="shared" si="5"/>
        <v>3.8593787311575464E-2</v>
      </c>
    </row>
    <row r="330" spans="1:5" x14ac:dyDescent="0.25">
      <c r="A330">
        <v>3</v>
      </c>
      <c r="B330">
        <v>0.63600000000000001</v>
      </c>
      <c r="D330">
        <v>0</v>
      </c>
      <c r="E330">
        <f t="shared" si="5"/>
        <v>3.8593787311575464E-2</v>
      </c>
    </row>
    <row r="331" spans="1:5" x14ac:dyDescent="0.25">
      <c r="A331">
        <v>3</v>
      </c>
      <c r="B331">
        <v>4.26666666666667E-2</v>
      </c>
      <c r="D331">
        <v>0</v>
      </c>
      <c r="E331">
        <f t="shared" si="5"/>
        <v>3.8593787311575464E-2</v>
      </c>
    </row>
    <row r="332" spans="1:5" x14ac:dyDescent="0.25">
      <c r="A332">
        <v>3</v>
      </c>
      <c r="B332">
        <v>0.69696969696969702</v>
      </c>
      <c r="D332">
        <v>0</v>
      </c>
      <c r="E332">
        <f t="shared" si="5"/>
        <v>3.8593787311575464E-2</v>
      </c>
    </row>
    <row r="333" spans="1:5" x14ac:dyDescent="0.25">
      <c r="A333">
        <v>3</v>
      </c>
      <c r="B333">
        <v>0.80147058823529405</v>
      </c>
      <c r="D333">
        <v>0</v>
      </c>
      <c r="E333">
        <f t="shared" si="5"/>
        <v>3.8593787311575464E-2</v>
      </c>
    </row>
    <row r="334" spans="1:5" x14ac:dyDescent="0.25">
      <c r="A334">
        <v>3</v>
      </c>
      <c r="B334">
        <v>1.8018018018018001E-2</v>
      </c>
      <c r="D334">
        <v>0</v>
      </c>
      <c r="E334">
        <f t="shared" si="5"/>
        <v>3.8593787311575464E-2</v>
      </c>
    </row>
    <row r="335" spans="1:5" x14ac:dyDescent="0.25">
      <c r="A335">
        <v>3</v>
      </c>
      <c r="B335">
        <v>0.73333333333333295</v>
      </c>
      <c r="D335">
        <v>0</v>
      </c>
      <c r="E335">
        <f t="shared" si="5"/>
        <v>3.8593787311575464E-2</v>
      </c>
    </row>
    <row r="336" spans="1:5" x14ac:dyDescent="0.25">
      <c r="A336">
        <v>3</v>
      </c>
      <c r="B336">
        <v>0.80800000000000005</v>
      </c>
      <c r="D336">
        <v>0</v>
      </c>
      <c r="E336">
        <f t="shared" si="5"/>
        <v>3.8593787311575464E-2</v>
      </c>
    </row>
    <row r="337" spans="1:5" x14ac:dyDescent="0.25">
      <c r="A337">
        <v>3</v>
      </c>
      <c r="B337">
        <v>0.81200000000000006</v>
      </c>
      <c r="D337">
        <v>0</v>
      </c>
      <c r="E337">
        <f t="shared" si="5"/>
        <v>3.8593787311575464E-2</v>
      </c>
    </row>
    <row r="338" spans="1:5" x14ac:dyDescent="0.25">
      <c r="A338">
        <v>3</v>
      </c>
      <c r="B338">
        <v>-1.2012012012012E-2</v>
      </c>
      <c r="D338">
        <v>0</v>
      </c>
      <c r="E338">
        <f t="shared" si="5"/>
        <v>3.8593787311575464E-2</v>
      </c>
    </row>
    <row r="339" spans="1:5" x14ac:dyDescent="0.25">
      <c r="A339">
        <v>3</v>
      </c>
      <c r="B339">
        <v>1</v>
      </c>
      <c r="D339">
        <v>0</v>
      </c>
      <c r="E339">
        <f t="shared" si="5"/>
        <v>3.8593787311575464E-2</v>
      </c>
    </row>
    <row r="340" spans="1:5" x14ac:dyDescent="0.25">
      <c r="A340">
        <v>3</v>
      </c>
      <c r="B340">
        <v>3.59281437125748E-2</v>
      </c>
      <c r="D340">
        <v>0</v>
      </c>
      <c r="E340">
        <f t="shared" si="5"/>
        <v>3.8593787311575464E-2</v>
      </c>
    </row>
    <row r="341" spans="1:5" x14ac:dyDescent="0.25">
      <c r="A341">
        <v>3</v>
      </c>
      <c r="B341">
        <v>-0.114114114114114</v>
      </c>
      <c r="D341">
        <v>0</v>
      </c>
      <c r="E341">
        <f t="shared" si="5"/>
        <v>3.8593787311575464E-2</v>
      </c>
    </row>
    <row r="342" spans="1:5" x14ac:dyDescent="0.25">
      <c r="A342">
        <v>3</v>
      </c>
      <c r="B342">
        <v>8.9820359281437098E-2</v>
      </c>
      <c r="D342">
        <v>0</v>
      </c>
      <c r="E342">
        <f t="shared" si="5"/>
        <v>3.8593787311575464E-2</v>
      </c>
    </row>
    <row r="343" spans="1:5" x14ac:dyDescent="0.25">
      <c r="A343">
        <v>3</v>
      </c>
      <c r="B343">
        <v>-2.4024024024024E-2</v>
      </c>
      <c r="D343">
        <v>0</v>
      </c>
      <c r="E343">
        <f t="shared" si="5"/>
        <v>3.8593787311575464E-2</v>
      </c>
    </row>
    <row r="344" spans="1:5" x14ac:dyDescent="0.25">
      <c r="A344">
        <v>3</v>
      </c>
      <c r="B344">
        <v>4.4392523364486E-2</v>
      </c>
      <c r="D344">
        <v>0</v>
      </c>
      <c r="E344">
        <f t="shared" si="5"/>
        <v>3.8593787311575464E-2</v>
      </c>
    </row>
    <row r="345" spans="1:5" x14ac:dyDescent="0.25">
      <c r="A345">
        <v>3</v>
      </c>
      <c r="B345">
        <v>-0.110778443113772</v>
      </c>
      <c r="D345">
        <v>0</v>
      </c>
      <c r="E345">
        <f t="shared" si="5"/>
        <v>3.8593787311575464E-2</v>
      </c>
    </row>
    <row r="346" spans="1:5" x14ac:dyDescent="0.25">
      <c r="A346">
        <v>3</v>
      </c>
      <c r="B346">
        <v>3.9627039627039597E-2</v>
      </c>
      <c r="D346">
        <v>0</v>
      </c>
      <c r="E346">
        <f t="shared" si="5"/>
        <v>3.8593787311575464E-2</v>
      </c>
    </row>
    <row r="347" spans="1:5" x14ac:dyDescent="0.25">
      <c r="A347">
        <v>3</v>
      </c>
      <c r="B347">
        <v>0</v>
      </c>
      <c r="D347">
        <v>0</v>
      </c>
      <c r="E347">
        <f t="shared" si="5"/>
        <v>3.8593787311575464E-2</v>
      </c>
    </row>
    <row r="348" spans="1:5" x14ac:dyDescent="0.25">
      <c r="A348">
        <v>3</v>
      </c>
      <c r="B348">
        <v>0.13800000000000001</v>
      </c>
      <c r="D348">
        <v>0</v>
      </c>
      <c r="E348">
        <f t="shared" si="5"/>
        <v>3.8593787311575464E-2</v>
      </c>
    </row>
    <row r="349" spans="1:5" x14ac:dyDescent="0.25">
      <c r="A349">
        <v>3</v>
      </c>
      <c r="B349">
        <v>7.4592074592074606E-2</v>
      </c>
      <c r="D349">
        <v>0</v>
      </c>
      <c r="E349">
        <f t="shared" si="5"/>
        <v>3.8593787311575464E-2</v>
      </c>
    </row>
    <row r="350" spans="1:5" x14ac:dyDescent="0.25">
      <c r="A350">
        <v>3</v>
      </c>
      <c r="B350">
        <v>-0.15466666666666701</v>
      </c>
      <c r="D350">
        <v>0</v>
      </c>
      <c r="E350">
        <f t="shared" si="5"/>
        <v>3.8593787311575464E-2</v>
      </c>
    </row>
    <row r="351" spans="1:5" x14ac:dyDescent="0.25">
      <c r="A351">
        <v>3</v>
      </c>
      <c r="B351">
        <v>7.0000000000000007E-2</v>
      </c>
      <c r="D351">
        <v>0</v>
      </c>
      <c r="E351">
        <f t="shared" si="5"/>
        <v>3.8593787311575464E-2</v>
      </c>
    </row>
    <row r="352" spans="1:5" x14ac:dyDescent="0.25">
      <c r="A352">
        <v>3</v>
      </c>
      <c r="B352">
        <v>-0.15015015015015001</v>
      </c>
      <c r="D352">
        <v>0</v>
      </c>
      <c r="E352">
        <f t="shared" si="5"/>
        <v>3.8593787311575464E-2</v>
      </c>
    </row>
    <row r="353" spans="1:5" x14ac:dyDescent="0.25">
      <c r="A353">
        <v>3</v>
      </c>
      <c r="B353">
        <v>4.26666666666667E-2</v>
      </c>
      <c r="D353">
        <v>0</v>
      </c>
      <c r="E353">
        <f t="shared" si="5"/>
        <v>3.8593787311575464E-2</v>
      </c>
    </row>
    <row r="354" spans="1:5" x14ac:dyDescent="0.25">
      <c r="A354">
        <v>3</v>
      </c>
      <c r="B354">
        <v>-0.123831775700935</v>
      </c>
      <c r="D354">
        <v>0</v>
      </c>
      <c r="E354">
        <f t="shared" si="5"/>
        <v>3.8593787311575464E-2</v>
      </c>
    </row>
    <row r="355" spans="1:5" x14ac:dyDescent="0.25">
      <c r="A355">
        <v>3</v>
      </c>
      <c r="B355">
        <v>0.1</v>
      </c>
      <c r="D355">
        <v>0</v>
      </c>
      <c r="E355">
        <f t="shared" si="5"/>
        <v>3.8593787311575464E-2</v>
      </c>
    </row>
    <row r="356" spans="1:5" x14ac:dyDescent="0.25">
      <c r="A356">
        <v>3</v>
      </c>
      <c r="B356">
        <v>-6.6000000000000003E-2</v>
      </c>
      <c r="D356">
        <v>0</v>
      </c>
      <c r="E356">
        <f t="shared" si="5"/>
        <v>3.8593787311575464E-2</v>
      </c>
    </row>
    <row r="357" spans="1:5" x14ac:dyDescent="0.25">
      <c r="A357">
        <v>3</v>
      </c>
      <c r="B357">
        <v>-5.8000000000000003E-2</v>
      </c>
      <c r="D357">
        <v>0</v>
      </c>
      <c r="E357">
        <f t="shared" si="5"/>
        <v>3.8593787311575464E-2</v>
      </c>
    </row>
    <row r="358" spans="1:5" x14ac:dyDescent="0.25">
      <c r="A358">
        <v>3</v>
      </c>
      <c r="B358">
        <v>0.223776223776224</v>
      </c>
      <c r="D358">
        <v>0</v>
      </c>
      <c r="E358">
        <f t="shared" si="5"/>
        <v>3.8593787311575464E-2</v>
      </c>
    </row>
    <row r="359" spans="1:5" x14ac:dyDescent="0.25">
      <c r="A359">
        <v>3</v>
      </c>
      <c r="B359">
        <v>0.108333333333333</v>
      </c>
      <c r="D359">
        <v>0</v>
      </c>
      <c r="E359">
        <f t="shared" si="5"/>
        <v>3.8593787311575464E-2</v>
      </c>
    </row>
    <row r="360" spans="1:5" x14ac:dyDescent="0.25">
      <c r="A360">
        <v>3</v>
      </c>
      <c r="B360">
        <v>-0.34731934731934699</v>
      </c>
      <c r="D360">
        <v>0</v>
      </c>
      <c r="E360">
        <f t="shared" si="5"/>
        <v>3.8593787311575464E-2</v>
      </c>
    </row>
    <row r="361" spans="1:5" x14ac:dyDescent="0.25">
      <c r="A361">
        <v>3</v>
      </c>
      <c r="B361">
        <v>-2.5333333333333301E-2</v>
      </c>
      <c r="D361">
        <v>0</v>
      </c>
      <c r="E361">
        <f t="shared" si="5"/>
        <v>3.8593787311575464E-2</v>
      </c>
    </row>
    <row r="362" spans="1:5" x14ac:dyDescent="0.25">
      <c r="A362">
        <v>3</v>
      </c>
      <c r="B362">
        <v>-0.38551401869158902</v>
      </c>
      <c r="D362">
        <v>0</v>
      </c>
      <c r="E362">
        <f t="shared" si="5"/>
        <v>3.8593787311575464E-2</v>
      </c>
    </row>
    <row r="363" spans="1:5" x14ac:dyDescent="0.25">
      <c r="A363">
        <v>3</v>
      </c>
      <c r="B363">
        <v>-0.14799999999999999</v>
      </c>
      <c r="D363">
        <v>0</v>
      </c>
      <c r="E363">
        <f t="shared" si="5"/>
        <v>3.8593787311575464E-2</v>
      </c>
    </row>
    <row r="364" spans="1:5" x14ac:dyDescent="0.25">
      <c r="A364">
        <v>3</v>
      </c>
      <c r="B364">
        <v>-0.15384615384615399</v>
      </c>
      <c r="D364">
        <v>0</v>
      </c>
      <c r="E364">
        <f t="shared" si="5"/>
        <v>3.8593787311575464E-2</v>
      </c>
    </row>
    <row r="365" spans="1:5" x14ac:dyDescent="0.25">
      <c r="A365">
        <v>3</v>
      </c>
      <c r="B365">
        <v>-0.116666666666667</v>
      </c>
      <c r="D365">
        <v>0</v>
      </c>
      <c r="E365">
        <f t="shared" si="5"/>
        <v>3.8593787311575464E-2</v>
      </c>
    </row>
    <row r="366" spans="1:5" x14ac:dyDescent="0.25">
      <c r="A366">
        <v>3</v>
      </c>
      <c r="B366">
        <v>-5.06666666666667E-2</v>
      </c>
      <c r="D366">
        <v>0</v>
      </c>
      <c r="E366">
        <f t="shared" si="5"/>
        <v>3.8593787311575464E-2</v>
      </c>
    </row>
    <row r="367" spans="1:5" x14ac:dyDescent="0.25">
      <c r="A367">
        <v>3</v>
      </c>
      <c r="B367">
        <v>-5.7057057057057103E-2</v>
      </c>
      <c r="D367">
        <v>0</v>
      </c>
      <c r="E367">
        <f t="shared" si="5"/>
        <v>3.8593787311575464E-2</v>
      </c>
    </row>
    <row r="368" spans="1:5" x14ac:dyDescent="0.25">
      <c r="A368">
        <v>3</v>
      </c>
      <c r="B368">
        <v>-7.6666666666666702E-2</v>
      </c>
      <c r="D368">
        <v>0</v>
      </c>
      <c r="E368">
        <f t="shared" si="5"/>
        <v>3.8593787311575464E-2</v>
      </c>
    </row>
    <row r="369" spans="1:5" x14ac:dyDescent="0.25">
      <c r="A369">
        <v>3</v>
      </c>
      <c r="B369">
        <v>-9.8000000000000004E-2</v>
      </c>
      <c r="D369">
        <v>0</v>
      </c>
      <c r="E369">
        <f t="shared" si="5"/>
        <v>3.8593787311575464E-2</v>
      </c>
    </row>
    <row r="370" spans="1:5" x14ac:dyDescent="0.25">
      <c r="A370">
        <v>3</v>
      </c>
      <c r="B370">
        <v>-8.2666666666666694E-2</v>
      </c>
      <c r="D370">
        <v>0</v>
      </c>
      <c r="E370">
        <f t="shared" si="5"/>
        <v>3.8593787311575464E-2</v>
      </c>
    </row>
    <row r="371" spans="1:5" x14ac:dyDescent="0.25">
      <c r="A371">
        <v>3</v>
      </c>
      <c r="B371">
        <v>1.8018018018018001E-2</v>
      </c>
      <c r="D371">
        <v>0</v>
      </c>
      <c r="E371">
        <f t="shared" si="5"/>
        <v>3.8593787311575464E-2</v>
      </c>
    </row>
    <row r="372" spans="1:5" x14ac:dyDescent="0.25">
      <c r="A372">
        <v>3</v>
      </c>
      <c r="B372">
        <v>7.7333333333333296E-2</v>
      </c>
      <c r="D372">
        <v>0</v>
      </c>
      <c r="E372">
        <f t="shared" si="5"/>
        <v>3.8593787311575464E-2</v>
      </c>
    </row>
    <row r="373" spans="1:5" x14ac:dyDescent="0.25">
      <c r="A373">
        <v>3</v>
      </c>
      <c r="B373">
        <v>-4.4910179640718598E-2</v>
      </c>
      <c r="D373">
        <v>0</v>
      </c>
      <c r="E373">
        <f t="shared" si="5"/>
        <v>3.8593787311575464E-2</v>
      </c>
    </row>
    <row r="374" spans="1:5" x14ac:dyDescent="0.25">
      <c r="A374">
        <v>3</v>
      </c>
      <c r="B374">
        <v>0.10489510489510501</v>
      </c>
      <c r="D374">
        <v>0</v>
      </c>
      <c r="E374">
        <f t="shared" si="5"/>
        <v>3.8593787311575464E-2</v>
      </c>
    </row>
    <row r="375" spans="1:5" x14ac:dyDescent="0.25">
      <c r="A375">
        <v>3</v>
      </c>
      <c r="B375">
        <v>-0.114</v>
      </c>
      <c r="D375">
        <v>0</v>
      </c>
      <c r="E375">
        <f t="shared" si="5"/>
        <v>3.8593787311575464E-2</v>
      </c>
    </row>
    <row r="376" spans="1:5" x14ac:dyDescent="0.25">
      <c r="A376">
        <v>3</v>
      </c>
      <c r="B376">
        <v>0.15384615384615399</v>
      </c>
      <c r="D376">
        <v>0</v>
      </c>
      <c r="E376">
        <f t="shared" si="5"/>
        <v>3.8593787311575464E-2</v>
      </c>
    </row>
    <row r="377" spans="1:5" x14ac:dyDescent="0.25">
      <c r="A377">
        <v>3</v>
      </c>
      <c r="B377">
        <v>5.7057057057057103E-2</v>
      </c>
      <c r="D377">
        <v>0</v>
      </c>
      <c r="E377">
        <f t="shared" si="5"/>
        <v>3.8593787311575464E-2</v>
      </c>
    </row>
    <row r="378" spans="1:5" x14ac:dyDescent="0.25">
      <c r="A378">
        <v>3</v>
      </c>
      <c r="B378">
        <v>1</v>
      </c>
      <c r="D378">
        <v>0</v>
      </c>
      <c r="E378">
        <f t="shared" si="5"/>
        <v>3.8593787311575464E-2</v>
      </c>
    </row>
    <row r="379" spans="1:5" x14ac:dyDescent="0.25">
      <c r="A379">
        <v>3</v>
      </c>
      <c r="B379">
        <v>-2.7027027027027001E-2</v>
      </c>
      <c r="D379">
        <v>0</v>
      </c>
      <c r="E379">
        <f t="shared" si="5"/>
        <v>3.8593787311575464E-2</v>
      </c>
    </row>
    <row r="380" spans="1:5" x14ac:dyDescent="0.25">
      <c r="A380">
        <v>3</v>
      </c>
      <c r="B380">
        <v>-3.2000000000000001E-2</v>
      </c>
      <c r="D380">
        <v>0</v>
      </c>
      <c r="E380">
        <f t="shared" si="5"/>
        <v>3.8593787311575464E-2</v>
      </c>
    </row>
    <row r="381" spans="1:5" x14ac:dyDescent="0.25">
      <c r="A381">
        <v>3</v>
      </c>
      <c r="B381">
        <v>-2.9940119760479E-3</v>
      </c>
      <c r="D381">
        <v>0</v>
      </c>
      <c r="E381">
        <f t="shared" si="5"/>
        <v>3.8593787311575464E-2</v>
      </c>
    </row>
    <row r="382" spans="1:5" x14ac:dyDescent="0.25">
      <c r="A382">
        <v>3</v>
      </c>
      <c r="B382">
        <v>-2.0979020979021001E-2</v>
      </c>
      <c r="D382">
        <v>0</v>
      </c>
      <c r="E382">
        <f t="shared" si="5"/>
        <v>3.8593787311575464E-2</v>
      </c>
    </row>
    <row r="383" spans="1:5" x14ac:dyDescent="0.25">
      <c r="A383">
        <v>3</v>
      </c>
      <c r="B383">
        <v>-0.132867132867133</v>
      </c>
      <c r="D383">
        <v>0</v>
      </c>
      <c r="E383">
        <f t="shared" si="5"/>
        <v>3.8593787311575464E-2</v>
      </c>
    </row>
    <row r="384" spans="1:5" x14ac:dyDescent="0.25">
      <c r="A384">
        <v>3</v>
      </c>
      <c r="B384">
        <v>-1.2012012012012E-2</v>
      </c>
      <c r="D384">
        <v>0</v>
      </c>
      <c r="E384">
        <f t="shared" si="5"/>
        <v>3.8593787311575464E-2</v>
      </c>
    </row>
    <row r="385" spans="1:5" x14ac:dyDescent="0.25">
      <c r="A385">
        <v>3</v>
      </c>
      <c r="B385">
        <v>-0.130536130536131</v>
      </c>
      <c r="D385">
        <v>0</v>
      </c>
      <c r="E385">
        <f t="shared" si="5"/>
        <v>3.8593787311575464E-2</v>
      </c>
    </row>
    <row r="386" spans="1:5" x14ac:dyDescent="0.25">
      <c r="A386">
        <v>3</v>
      </c>
      <c r="B386">
        <v>-5.6000000000000001E-2</v>
      </c>
      <c r="D386">
        <v>0</v>
      </c>
      <c r="E386">
        <f t="shared" si="5"/>
        <v>3.8593787311575464E-2</v>
      </c>
    </row>
    <row r="387" spans="1:5" x14ac:dyDescent="0.25">
      <c r="A387">
        <v>3</v>
      </c>
      <c r="B387">
        <v>-0.11600000000000001</v>
      </c>
      <c r="D387">
        <v>0</v>
      </c>
      <c r="E387">
        <f t="shared" ref="E387:E450" si="6">_xlfn.NORM.DIST(D387, I$4,I$7,FALSE)</f>
        <v>3.8593787311575464E-2</v>
      </c>
    </row>
    <row r="388" spans="1:5" x14ac:dyDescent="0.25">
      <c r="A388">
        <v>3</v>
      </c>
      <c r="B388">
        <v>0.104</v>
      </c>
      <c r="D388">
        <v>0</v>
      </c>
      <c r="E388">
        <f t="shared" si="6"/>
        <v>3.8593787311575464E-2</v>
      </c>
    </row>
    <row r="389" spans="1:5" x14ac:dyDescent="0.25">
      <c r="A389">
        <v>3</v>
      </c>
      <c r="B389">
        <v>-0.141666666666667</v>
      </c>
      <c r="D389">
        <v>0</v>
      </c>
      <c r="E389">
        <f t="shared" si="6"/>
        <v>3.8593787311575464E-2</v>
      </c>
    </row>
    <row r="390" spans="1:5" x14ac:dyDescent="0.25">
      <c r="A390">
        <v>3</v>
      </c>
      <c r="B390">
        <v>-5.6000000000000001E-2</v>
      </c>
      <c r="D390">
        <v>0</v>
      </c>
      <c r="E390">
        <f t="shared" si="6"/>
        <v>3.8593787311575464E-2</v>
      </c>
    </row>
    <row r="391" spans="1:5" x14ac:dyDescent="0.25">
      <c r="A391">
        <v>3</v>
      </c>
      <c r="B391">
        <v>-0.16266666666666699</v>
      </c>
      <c r="D391">
        <v>0</v>
      </c>
      <c r="E391">
        <f t="shared" si="6"/>
        <v>3.8593787311575464E-2</v>
      </c>
    </row>
    <row r="392" spans="1:5" x14ac:dyDescent="0.25">
      <c r="A392">
        <v>3</v>
      </c>
      <c r="B392">
        <v>-1.0666666666666699E-2</v>
      </c>
      <c r="D392">
        <v>0</v>
      </c>
      <c r="E392">
        <f t="shared" si="6"/>
        <v>3.8593787311575464E-2</v>
      </c>
    </row>
    <row r="393" spans="1:5" x14ac:dyDescent="0.25">
      <c r="A393">
        <v>3</v>
      </c>
      <c r="B393">
        <v>-0.12616822429906499</v>
      </c>
      <c r="D393">
        <v>0</v>
      </c>
      <c r="E393">
        <f t="shared" si="6"/>
        <v>3.8593787311575464E-2</v>
      </c>
    </row>
    <row r="394" spans="1:5" x14ac:dyDescent="0.25">
      <c r="A394">
        <v>3</v>
      </c>
      <c r="B394">
        <v>-0.11915887850467299</v>
      </c>
      <c r="D394">
        <v>0</v>
      </c>
      <c r="E394">
        <f t="shared" si="6"/>
        <v>3.8593787311575464E-2</v>
      </c>
    </row>
    <row r="395" spans="1:5" x14ac:dyDescent="0.25">
      <c r="A395">
        <v>3</v>
      </c>
      <c r="B395">
        <v>1.3986013986014E-2</v>
      </c>
      <c r="D395">
        <v>0</v>
      </c>
      <c r="E395">
        <f t="shared" si="6"/>
        <v>3.8593787311575464E-2</v>
      </c>
    </row>
    <row r="396" spans="1:5" x14ac:dyDescent="0.25">
      <c r="A396">
        <v>3</v>
      </c>
      <c r="B396">
        <v>-0.14933333333333301</v>
      </c>
      <c r="D396">
        <v>0</v>
      </c>
      <c r="E396">
        <f t="shared" si="6"/>
        <v>3.8593787311575464E-2</v>
      </c>
    </row>
    <row r="397" spans="1:5" x14ac:dyDescent="0.25">
      <c r="A397">
        <v>3</v>
      </c>
      <c r="B397">
        <v>0.28438228438228402</v>
      </c>
      <c r="D397">
        <v>0</v>
      </c>
      <c r="E397">
        <f t="shared" si="6"/>
        <v>3.8593787311575464E-2</v>
      </c>
    </row>
    <row r="398" spans="1:5" x14ac:dyDescent="0.25">
      <c r="A398">
        <v>3</v>
      </c>
      <c r="B398">
        <v>-8.7999999999999995E-2</v>
      </c>
      <c r="D398">
        <v>0</v>
      </c>
      <c r="E398">
        <f t="shared" si="6"/>
        <v>3.8593787311575464E-2</v>
      </c>
    </row>
    <row r="399" spans="1:5" x14ac:dyDescent="0.25">
      <c r="A399">
        <v>3</v>
      </c>
      <c r="B399">
        <v>0.15654205607476601</v>
      </c>
      <c r="D399">
        <v>0</v>
      </c>
      <c r="E399">
        <f t="shared" si="6"/>
        <v>3.8593787311575464E-2</v>
      </c>
    </row>
    <row r="400" spans="1:5" x14ac:dyDescent="0.25">
      <c r="A400">
        <v>3</v>
      </c>
      <c r="B400">
        <v>-0.10955710955711</v>
      </c>
      <c r="D400">
        <v>0</v>
      </c>
      <c r="E400">
        <f t="shared" si="6"/>
        <v>3.8593787311575464E-2</v>
      </c>
    </row>
    <row r="401" spans="1:5" x14ac:dyDescent="0.25">
      <c r="A401">
        <v>3</v>
      </c>
      <c r="B401">
        <v>8.6247086247086199E-2</v>
      </c>
      <c r="D401">
        <v>0</v>
      </c>
      <c r="E401">
        <f t="shared" si="6"/>
        <v>3.8593787311575464E-2</v>
      </c>
    </row>
    <row r="402" spans="1:5" x14ac:dyDescent="0.25">
      <c r="A402">
        <v>3</v>
      </c>
      <c r="B402">
        <v>2.3310023310023301E-2</v>
      </c>
      <c r="D402">
        <v>0</v>
      </c>
      <c r="E402">
        <f t="shared" si="6"/>
        <v>3.8593787311575464E-2</v>
      </c>
    </row>
    <row r="403" spans="1:5" x14ac:dyDescent="0.25">
      <c r="A403">
        <v>3</v>
      </c>
      <c r="B403">
        <v>-4.1916167664670698E-2</v>
      </c>
      <c r="D403">
        <v>0</v>
      </c>
      <c r="E403">
        <f t="shared" si="6"/>
        <v>3.8593787311575464E-2</v>
      </c>
    </row>
    <row r="404" spans="1:5" x14ac:dyDescent="0.25">
      <c r="A404">
        <v>3</v>
      </c>
      <c r="B404">
        <v>4.2000000000000003E-2</v>
      </c>
      <c r="D404">
        <v>0</v>
      </c>
      <c r="E404">
        <f t="shared" si="6"/>
        <v>3.8593787311575464E-2</v>
      </c>
    </row>
    <row r="405" spans="1:5" x14ac:dyDescent="0.25">
      <c r="A405">
        <v>3</v>
      </c>
      <c r="B405">
        <v>0.128504672897196</v>
      </c>
      <c r="D405">
        <v>0</v>
      </c>
      <c r="E405">
        <f t="shared" si="6"/>
        <v>3.8593787311575464E-2</v>
      </c>
    </row>
    <row r="406" spans="1:5" x14ac:dyDescent="0.25">
      <c r="A406">
        <v>3</v>
      </c>
      <c r="B406">
        <v>6.2E-2</v>
      </c>
      <c r="D406">
        <v>0</v>
      </c>
      <c r="E406">
        <f t="shared" si="6"/>
        <v>3.8593787311575464E-2</v>
      </c>
    </row>
    <row r="407" spans="1:5" x14ac:dyDescent="0.25">
      <c r="A407">
        <v>3</v>
      </c>
      <c r="B407">
        <v>0.36799999999999999</v>
      </c>
      <c r="D407">
        <v>0</v>
      </c>
      <c r="E407">
        <f t="shared" si="6"/>
        <v>3.8593787311575464E-2</v>
      </c>
    </row>
    <row r="408" spans="1:5" x14ac:dyDescent="0.25">
      <c r="A408">
        <v>3</v>
      </c>
      <c r="B408">
        <v>8.1775700934579407E-2</v>
      </c>
      <c r="D408">
        <v>0</v>
      </c>
      <c r="E408">
        <f t="shared" si="6"/>
        <v>3.8593787311575464E-2</v>
      </c>
    </row>
    <row r="409" spans="1:5" x14ac:dyDescent="0.25">
      <c r="A409">
        <v>3</v>
      </c>
      <c r="B409">
        <v>0.115</v>
      </c>
      <c r="D409">
        <v>0</v>
      </c>
      <c r="E409">
        <f t="shared" si="6"/>
        <v>3.8593787311575464E-2</v>
      </c>
    </row>
    <row r="410" spans="1:5" x14ac:dyDescent="0.25">
      <c r="A410">
        <v>3</v>
      </c>
      <c r="B410">
        <v>1</v>
      </c>
      <c r="D410">
        <v>0</v>
      </c>
      <c r="E410">
        <f t="shared" si="6"/>
        <v>3.8593787311575464E-2</v>
      </c>
    </row>
    <row r="411" spans="1:5" x14ac:dyDescent="0.25">
      <c r="A411">
        <v>3</v>
      </c>
      <c r="B411">
        <v>6.6000000000000003E-2</v>
      </c>
      <c r="D411">
        <v>0</v>
      </c>
      <c r="E411">
        <f t="shared" si="6"/>
        <v>3.8593787311575464E-2</v>
      </c>
    </row>
    <row r="412" spans="1:5" x14ac:dyDescent="0.25">
      <c r="A412">
        <v>3</v>
      </c>
      <c r="B412">
        <v>1</v>
      </c>
      <c r="D412">
        <v>0</v>
      </c>
      <c r="E412">
        <f t="shared" si="6"/>
        <v>3.8593787311575464E-2</v>
      </c>
    </row>
    <row r="413" spans="1:5" x14ac:dyDescent="0.25">
      <c r="A413">
        <v>3</v>
      </c>
      <c r="B413">
        <v>-5.4054054054054099E-2</v>
      </c>
      <c r="D413">
        <v>0</v>
      </c>
      <c r="E413">
        <f t="shared" si="6"/>
        <v>3.8593787311575464E-2</v>
      </c>
    </row>
    <row r="414" spans="1:5" x14ac:dyDescent="0.25">
      <c r="A414">
        <v>3</v>
      </c>
      <c r="B414">
        <v>-3.3033033033033003E-2</v>
      </c>
      <c r="D414">
        <v>0</v>
      </c>
      <c r="E414">
        <f t="shared" si="6"/>
        <v>3.8593787311575464E-2</v>
      </c>
    </row>
    <row r="415" spans="1:5" x14ac:dyDescent="0.25">
      <c r="A415">
        <v>3</v>
      </c>
      <c r="B415">
        <v>5.1051051051051101E-2</v>
      </c>
      <c r="D415">
        <v>0</v>
      </c>
      <c r="E415">
        <f t="shared" si="6"/>
        <v>3.8593787311575464E-2</v>
      </c>
    </row>
    <row r="416" spans="1:5" x14ac:dyDescent="0.25">
      <c r="A416">
        <v>3</v>
      </c>
      <c r="B416">
        <v>8.9820359281437098E-2</v>
      </c>
      <c r="D416">
        <v>0</v>
      </c>
      <c r="E416">
        <f t="shared" si="6"/>
        <v>3.8593787311575464E-2</v>
      </c>
    </row>
    <row r="417" spans="1:5" x14ac:dyDescent="0.25">
      <c r="A417">
        <v>3</v>
      </c>
      <c r="B417">
        <v>0.126126126126126</v>
      </c>
      <c r="D417">
        <v>0</v>
      </c>
      <c r="E417">
        <f t="shared" si="6"/>
        <v>3.8593787311575464E-2</v>
      </c>
    </row>
    <row r="418" spans="1:5" x14ac:dyDescent="0.25">
      <c r="A418">
        <v>3</v>
      </c>
      <c r="B418">
        <v>-2.39520958083832E-2</v>
      </c>
      <c r="D418">
        <v>0</v>
      </c>
      <c r="E418">
        <f t="shared" si="6"/>
        <v>3.8593787311575464E-2</v>
      </c>
    </row>
    <row r="419" spans="1:5" x14ac:dyDescent="0.25">
      <c r="A419">
        <v>3</v>
      </c>
      <c r="B419">
        <v>8.9820359281437105E-3</v>
      </c>
      <c r="D419">
        <v>0</v>
      </c>
      <c r="E419">
        <f t="shared" si="6"/>
        <v>3.8593787311575464E-2</v>
      </c>
    </row>
    <row r="420" spans="1:5" x14ac:dyDescent="0.25">
      <c r="A420">
        <v>3</v>
      </c>
      <c r="B420">
        <v>-1.79640718562874E-2</v>
      </c>
      <c r="D420">
        <v>0</v>
      </c>
      <c r="E420">
        <f t="shared" si="6"/>
        <v>3.8593787311575464E-2</v>
      </c>
    </row>
    <row r="421" spans="1:5" x14ac:dyDescent="0.25">
      <c r="A421">
        <v>3</v>
      </c>
      <c r="B421">
        <v>3.0030030030029999E-2</v>
      </c>
      <c r="D421">
        <v>0</v>
      </c>
      <c r="E421">
        <f t="shared" si="6"/>
        <v>3.8593787311575464E-2</v>
      </c>
    </row>
    <row r="422" spans="1:5" x14ac:dyDescent="0.25">
      <c r="A422">
        <v>3</v>
      </c>
      <c r="B422">
        <v>-4.1916167664670698E-2</v>
      </c>
      <c r="D422">
        <v>0</v>
      </c>
      <c r="E422">
        <f t="shared" si="6"/>
        <v>3.8593787311575464E-2</v>
      </c>
    </row>
    <row r="423" spans="1:5" x14ac:dyDescent="0.25">
      <c r="A423">
        <v>3</v>
      </c>
      <c r="B423">
        <v>6.77570093457944E-2</v>
      </c>
      <c r="D423">
        <v>0</v>
      </c>
      <c r="E423">
        <f t="shared" si="6"/>
        <v>3.8593787311575464E-2</v>
      </c>
    </row>
    <row r="424" spans="1:5" x14ac:dyDescent="0.25">
      <c r="A424">
        <v>3</v>
      </c>
      <c r="B424">
        <v>1.8666666666666699E-2</v>
      </c>
      <c r="D424">
        <v>0</v>
      </c>
      <c r="E424">
        <f t="shared" si="6"/>
        <v>3.8593787311575464E-2</v>
      </c>
    </row>
    <row r="425" spans="1:5" x14ac:dyDescent="0.25">
      <c r="A425">
        <v>3</v>
      </c>
      <c r="B425">
        <v>0.17599999999999999</v>
      </c>
      <c r="D425">
        <v>0</v>
      </c>
      <c r="E425">
        <f t="shared" si="6"/>
        <v>3.8593787311575464E-2</v>
      </c>
    </row>
    <row r="426" spans="1:5" x14ac:dyDescent="0.25">
      <c r="A426">
        <v>3</v>
      </c>
      <c r="B426">
        <v>-6.2874251497005998E-2</v>
      </c>
      <c r="D426">
        <v>0</v>
      </c>
      <c r="E426">
        <f t="shared" si="6"/>
        <v>3.8593787311575464E-2</v>
      </c>
    </row>
    <row r="427" spans="1:5" x14ac:dyDescent="0.25">
      <c r="A427">
        <v>3</v>
      </c>
      <c r="B427">
        <v>0.160839160839161</v>
      </c>
      <c r="D427">
        <v>0</v>
      </c>
      <c r="E427">
        <f t="shared" si="6"/>
        <v>3.8593787311575464E-2</v>
      </c>
    </row>
    <row r="428" spans="1:5" x14ac:dyDescent="0.25">
      <c r="A428">
        <v>3</v>
      </c>
      <c r="B428">
        <v>-7.5999999999999998E-2</v>
      </c>
      <c r="D428">
        <v>0</v>
      </c>
      <c r="E428">
        <f t="shared" si="6"/>
        <v>3.8593787311575464E-2</v>
      </c>
    </row>
    <row r="429" spans="1:5" x14ac:dyDescent="0.25">
      <c r="A429">
        <v>3</v>
      </c>
      <c r="B429">
        <v>0.26869158878504701</v>
      </c>
      <c r="D429">
        <v>0</v>
      </c>
      <c r="E429">
        <f t="shared" si="6"/>
        <v>3.8593787311575464E-2</v>
      </c>
    </row>
    <row r="430" spans="1:5" x14ac:dyDescent="0.25">
      <c r="A430">
        <v>3</v>
      </c>
      <c r="B430">
        <v>0.30303030303030298</v>
      </c>
      <c r="D430">
        <v>0</v>
      </c>
      <c r="E430">
        <f t="shared" si="6"/>
        <v>3.8593787311575464E-2</v>
      </c>
    </row>
    <row r="431" spans="1:5" x14ac:dyDescent="0.25">
      <c r="A431">
        <v>3</v>
      </c>
      <c r="B431">
        <v>-0.16266666666666699</v>
      </c>
      <c r="D431">
        <v>0</v>
      </c>
      <c r="E431">
        <f t="shared" si="6"/>
        <v>3.8593787311575464E-2</v>
      </c>
    </row>
    <row r="432" spans="1:5" x14ac:dyDescent="0.25">
      <c r="A432">
        <v>3</v>
      </c>
      <c r="B432">
        <v>0.228228228228228</v>
      </c>
      <c r="D432">
        <v>0</v>
      </c>
      <c r="E432">
        <f t="shared" si="6"/>
        <v>3.8593787311575464E-2</v>
      </c>
    </row>
    <row r="433" spans="1:5" x14ac:dyDescent="0.25">
      <c r="A433">
        <v>3</v>
      </c>
      <c r="B433">
        <v>-0.163170163170163</v>
      </c>
      <c r="D433">
        <v>0</v>
      </c>
      <c r="E433">
        <f t="shared" si="6"/>
        <v>3.8593787311575464E-2</v>
      </c>
    </row>
    <row r="434" spans="1:5" x14ac:dyDescent="0.25">
      <c r="A434">
        <v>3</v>
      </c>
      <c r="B434">
        <v>0.158</v>
      </c>
      <c r="D434">
        <v>0</v>
      </c>
      <c r="E434">
        <f t="shared" si="6"/>
        <v>3.8593787311575464E-2</v>
      </c>
    </row>
    <row r="435" spans="1:5" x14ac:dyDescent="0.25">
      <c r="A435">
        <v>3</v>
      </c>
      <c r="B435">
        <v>-0.22897196261682201</v>
      </c>
      <c r="D435">
        <v>0</v>
      </c>
      <c r="E435">
        <f t="shared" si="6"/>
        <v>3.8593787311575464E-2</v>
      </c>
    </row>
    <row r="436" spans="1:5" x14ac:dyDescent="0.25">
      <c r="A436">
        <v>3</v>
      </c>
      <c r="B436">
        <v>6.0606060606060601E-2</v>
      </c>
      <c r="D436">
        <v>0</v>
      </c>
      <c r="E436">
        <f t="shared" si="6"/>
        <v>3.8593787311575464E-2</v>
      </c>
    </row>
    <row r="437" spans="1:5" x14ac:dyDescent="0.25">
      <c r="A437">
        <v>3</v>
      </c>
      <c r="B437">
        <v>-0.5625</v>
      </c>
      <c r="D437">
        <v>0</v>
      </c>
      <c r="E437">
        <f t="shared" si="6"/>
        <v>3.8593787311575464E-2</v>
      </c>
    </row>
    <row r="438" spans="1:5" x14ac:dyDescent="0.25">
      <c r="A438">
        <v>3</v>
      </c>
      <c r="B438">
        <v>0.13785046728972</v>
      </c>
      <c r="D438">
        <v>0</v>
      </c>
      <c r="E438">
        <f t="shared" si="6"/>
        <v>3.8593787311575464E-2</v>
      </c>
    </row>
    <row r="439" spans="1:5" x14ac:dyDescent="0.25">
      <c r="A439">
        <v>3</v>
      </c>
      <c r="B439">
        <v>-0.14117647058823499</v>
      </c>
      <c r="D439">
        <v>0</v>
      </c>
      <c r="E439">
        <f t="shared" si="6"/>
        <v>3.8593787311575464E-2</v>
      </c>
    </row>
    <row r="440" spans="1:5" x14ac:dyDescent="0.25">
      <c r="A440">
        <v>3</v>
      </c>
      <c r="B440">
        <v>-1.0666666666666699E-2</v>
      </c>
      <c r="D440">
        <v>0</v>
      </c>
      <c r="E440">
        <f t="shared" si="6"/>
        <v>3.8593787311575464E-2</v>
      </c>
    </row>
    <row r="441" spans="1:5" x14ac:dyDescent="0.25">
      <c r="A441">
        <v>3</v>
      </c>
      <c r="B441">
        <v>-0.31733333333333302</v>
      </c>
      <c r="D441">
        <v>0</v>
      </c>
      <c r="E441">
        <f t="shared" si="6"/>
        <v>3.8593787311575464E-2</v>
      </c>
    </row>
    <row r="442" spans="1:5" x14ac:dyDescent="0.25">
      <c r="A442">
        <v>3</v>
      </c>
      <c r="B442">
        <v>-0.252</v>
      </c>
      <c r="D442">
        <v>0</v>
      </c>
      <c r="E442">
        <f t="shared" si="6"/>
        <v>3.8593787311575464E-2</v>
      </c>
    </row>
    <row r="443" spans="1:5" x14ac:dyDescent="0.25">
      <c r="A443">
        <v>3</v>
      </c>
      <c r="B443">
        <v>5.6000000000000001E-2</v>
      </c>
      <c r="D443">
        <v>0</v>
      </c>
      <c r="E443">
        <f t="shared" si="6"/>
        <v>3.8593787311575464E-2</v>
      </c>
    </row>
    <row r="444" spans="1:5" x14ac:dyDescent="0.25">
      <c r="A444">
        <v>3</v>
      </c>
      <c r="B444">
        <v>-0.138333333333333</v>
      </c>
      <c r="D444">
        <v>0</v>
      </c>
      <c r="E444">
        <f t="shared" si="6"/>
        <v>3.8593787311575464E-2</v>
      </c>
    </row>
    <row r="445" spans="1:5" x14ac:dyDescent="0.25">
      <c r="A445">
        <v>3</v>
      </c>
      <c r="B445">
        <v>0.115</v>
      </c>
      <c r="D445">
        <v>0</v>
      </c>
      <c r="E445">
        <f t="shared" si="6"/>
        <v>3.8593787311575464E-2</v>
      </c>
    </row>
    <row r="446" spans="1:5" x14ac:dyDescent="0.25">
      <c r="A446">
        <v>3</v>
      </c>
      <c r="B446">
        <v>-1.6666666666666701E-2</v>
      </c>
      <c r="D446">
        <v>0</v>
      </c>
      <c r="E446">
        <f t="shared" si="6"/>
        <v>3.8593787311575464E-2</v>
      </c>
    </row>
    <row r="447" spans="1:5" x14ac:dyDescent="0.25">
      <c r="A447">
        <v>3</v>
      </c>
      <c r="B447">
        <v>0.117117117117117</v>
      </c>
      <c r="D447">
        <v>0</v>
      </c>
      <c r="E447">
        <f t="shared" si="6"/>
        <v>3.8593787311575464E-2</v>
      </c>
    </row>
    <row r="448" spans="1:5" x14ac:dyDescent="0.25">
      <c r="A448">
        <v>3</v>
      </c>
      <c r="B448">
        <v>-7.0093457943925198E-3</v>
      </c>
      <c r="D448">
        <v>0</v>
      </c>
      <c r="E448">
        <f t="shared" si="6"/>
        <v>3.8593787311575464E-2</v>
      </c>
    </row>
    <row r="449" spans="1:5" x14ac:dyDescent="0.25">
      <c r="A449">
        <v>3</v>
      </c>
      <c r="B449">
        <v>0.59638554216867501</v>
      </c>
      <c r="D449">
        <v>0</v>
      </c>
      <c r="E449">
        <f t="shared" si="6"/>
        <v>3.8593787311575464E-2</v>
      </c>
    </row>
    <row r="450" spans="1:5" x14ac:dyDescent="0.25">
      <c r="A450">
        <v>3</v>
      </c>
      <c r="B450">
        <v>0.68400000000000005</v>
      </c>
      <c r="D450">
        <v>0</v>
      </c>
      <c r="E450">
        <f t="shared" si="6"/>
        <v>3.8593787311575464E-2</v>
      </c>
    </row>
    <row r="451" spans="1:5" x14ac:dyDescent="0.25">
      <c r="A451">
        <v>3</v>
      </c>
      <c r="B451">
        <v>-6.6066066066066104E-2</v>
      </c>
      <c r="D451">
        <v>0</v>
      </c>
      <c r="E451">
        <f t="shared" ref="E451:E514" si="7">_xlfn.NORM.DIST(D451, I$4,I$7,FALSE)</f>
        <v>3.8593787311575464E-2</v>
      </c>
    </row>
    <row r="452" spans="1:5" x14ac:dyDescent="0.25">
      <c r="A452">
        <v>3</v>
      </c>
      <c r="B452">
        <v>1</v>
      </c>
      <c r="D452">
        <v>0</v>
      </c>
      <c r="E452">
        <f t="shared" si="7"/>
        <v>3.8593787311575464E-2</v>
      </c>
    </row>
    <row r="453" spans="1:5" x14ac:dyDescent="0.25">
      <c r="A453">
        <v>3</v>
      </c>
      <c r="B453">
        <v>8.1081081081081099E-2</v>
      </c>
      <c r="D453">
        <v>0</v>
      </c>
      <c r="E453">
        <f t="shared" si="7"/>
        <v>3.8593787311575464E-2</v>
      </c>
    </row>
    <row r="454" spans="1:5" x14ac:dyDescent="0.25">
      <c r="A454">
        <v>3</v>
      </c>
      <c r="B454">
        <v>-0.15015015015015001</v>
      </c>
      <c r="D454">
        <v>0</v>
      </c>
      <c r="E454">
        <f t="shared" si="7"/>
        <v>3.8593787311575464E-2</v>
      </c>
    </row>
    <row r="455" spans="1:5" x14ac:dyDescent="0.25">
      <c r="A455">
        <v>3</v>
      </c>
      <c r="B455">
        <v>2.1333333333333301E-2</v>
      </c>
      <c r="D455">
        <v>0</v>
      </c>
      <c r="E455">
        <f t="shared" si="7"/>
        <v>3.8593787311575464E-2</v>
      </c>
    </row>
    <row r="456" spans="1:5" x14ac:dyDescent="0.25">
      <c r="A456">
        <v>3</v>
      </c>
      <c r="B456">
        <v>-0.10666666666666701</v>
      </c>
      <c r="D456">
        <v>0</v>
      </c>
      <c r="E456">
        <f t="shared" si="7"/>
        <v>3.8593787311575464E-2</v>
      </c>
    </row>
    <row r="457" spans="1:5" x14ac:dyDescent="0.25">
      <c r="A457">
        <v>3</v>
      </c>
      <c r="B457">
        <v>7.2072072072072099E-2</v>
      </c>
      <c r="D457">
        <v>0</v>
      </c>
      <c r="E457">
        <f t="shared" si="7"/>
        <v>3.8593787311575464E-2</v>
      </c>
    </row>
    <row r="458" spans="1:5" x14ac:dyDescent="0.25">
      <c r="A458">
        <v>3</v>
      </c>
      <c r="B458">
        <v>-7.4666666666666701E-2</v>
      </c>
      <c r="D458">
        <v>0</v>
      </c>
      <c r="E458">
        <f t="shared" si="7"/>
        <v>3.8593787311575464E-2</v>
      </c>
    </row>
    <row r="459" spans="1:5" x14ac:dyDescent="0.25">
      <c r="A459">
        <v>3</v>
      </c>
      <c r="B459">
        <v>3.0030030030029999E-2</v>
      </c>
      <c r="D459">
        <v>0</v>
      </c>
      <c r="E459">
        <f t="shared" si="7"/>
        <v>3.8593787311575464E-2</v>
      </c>
    </row>
    <row r="460" spans="1:5" x14ac:dyDescent="0.25">
      <c r="A460">
        <v>3</v>
      </c>
      <c r="B460">
        <v>-0.110778443113772</v>
      </c>
      <c r="D460">
        <v>0</v>
      </c>
      <c r="E460">
        <f t="shared" si="7"/>
        <v>3.8593787311575464E-2</v>
      </c>
    </row>
    <row r="461" spans="1:5" x14ac:dyDescent="0.25">
      <c r="A461">
        <v>3</v>
      </c>
      <c r="B461">
        <v>1.8018018018018001E-2</v>
      </c>
      <c r="D461">
        <v>0</v>
      </c>
      <c r="E461">
        <f t="shared" si="7"/>
        <v>3.8593787311575464E-2</v>
      </c>
    </row>
    <row r="462" spans="1:5" x14ac:dyDescent="0.25">
      <c r="A462">
        <v>3</v>
      </c>
      <c r="B462">
        <v>-6.6666666666666693E-2</v>
      </c>
      <c r="D462">
        <v>0</v>
      </c>
      <c r="E462">
        <f t="shared" si="7"/>
        <v>3.8593787311575464E-2</v>
      </c>
    </row>
    <row r="463" spans="1:5" x14ac:dyDescent="0.25">
      <c r="A463">
        <v>3</v>
      </c>
      <c r="B463">
        <v>-2.4E-2</v>
      </c>
      <c r="D463">
        <v>0</v>
      </c>
      <c r="E463">
        <f t="shared" si="7"/>
        <v>3.8593787311575464E-2</v>
      </c>
    </row>
    <row r="464" spans="1:5" x14ac:dyDescent="0.25">
      <c r="A464">
        <v>3</v>
      </c>
      <c r="B464">
        <v>-4.1958041958042001E-2</v>
      </c>
      <c r="D464">
        <v>0</v>
      </c>
      <c r="E464">
        <f t="shared" si="7"/>
        <v>3.8593787311575464E-2</v>
      </c>
    </row>
    <row r="465" spans="1:5" x14ac:dyDescent="0.25">
      <c r="A465">
        <v>3</v>
      </c>
      <c r="B465">
        <v>9.00900900900901E-2</v>
      </c>
      <c r="D465">
        <v>0</v>
      </c>
      <c r="E465">
        <f t="shared" si="7"/>
        <v>3.8593787311575464E-2</v>
      </c>
    </row>
    <row r="466" spans="1:5" x14ac:dyDescent="0.25">
      <c r="A466">
        <v>3</v>
      </c>
      <c r="B466">
        <v>-3.46666666666667E-2</v>
      </c>
      <c r="D466">
        <v>0</v>
      </c>
      <c r="E466">
        <f t="shared" si="7"/>
        <v>3.8593787311575464E-2</v>
      </c>
    </row>
    <row r="467" spans="1:5" x14ac:dyDescent="0.25">
      <c r="A467">
        <v>3</v>
      </c>
      <c r="B467">
        <v>-0.114114114114114</v>
      </c>
      <c r="D467">
        <v>0</v>
      </c>
      <c r="E467">
        <f t="shared" si="7"/>
        <v>3.8593787311575464E-2</v>
      </c>
    </row>
    <row r="468" spans="1:5" x14ac:dyDescent="0.25">
      <c r="A468">
        <v>3</v>
      </c>
      <c r="B468">
        <v>4.5333333333333302E-2</v>
      </c>
      <c r="D468">
        <v>0</v>
      </c>
      <c r="E468">
        <f t="shared" si="7"/>
        <v>3.8593787311575464E-2</v>
      </c>
    </row>
    <row r="469" spans="1:5" x14ac:dyDescent="0.25">
      <c r="A469">
        <v>3</v>
      </c>
      <c r="B469">
        <v>-0.154205607476636</v>
      </c>
      <c r="D469">
        <v>0</v>
      </c>
      <c r="E469">
        <f t="shared" si="7"/>
        <v>3.8593787311575464E-2</v>
      </c>
    </row>
    <row r="470" spans="1:5" x14ac:dyDescent="0.25">
      <c r="A470">
        <v>3</v>
      </c>
      <c r="B470">
        <v>7.1999999999999995E-2</v>
      </c>
      <c r="D470">
        <v>0</v>
      </c>
      <c r="E470">
        <f t="shared" si="7"/>
        <v>3.8593787311575464E-2</v>
      </c>
    </row>
    <row r="471" spans="1:5" x14ac:dyDescent="0.25">
      <c r="A471">
        <v>3</v>
      </c>
      <c r="B471">
        <v>0.12121212121212099</v>
      </c>
      <c r="D471">
        <v>0</v>
      </c>
      <c r="E471">
        <f t="shared" si="7"/>
        <v>3.8593787311575464E-2</v>
      </c>
    </row>
    <row r="472" spans="1:5" x14ac:dyDescent="0.25">
      <c r="A472">
        <v>3</v>
      </c>
      <c r="B472">
        <v>-0.116550116550117</v>
      </c>
      <c r="D472">
        <v>0</v>
      </c>
      <c r="E472">
        <f t="shared" si="7"/>
        <v>3.8593787311575464E-2</v>
      </c>
    </row>
    <row r="473" spans="1:5" x14ac:dyDescent="0.25">
      <c r="A473">
        <v>3</v>
      </c>
      <c r="B473">
        <v>6.1333333333333302E-2</v>
      </c>
      <c r="D473">
        <v>0</v>
      </c>
      <c r="E473">
        <f t="shared" si="7"/>
        <v>3.8593787311575464E-2</v>
      </c>
    </row>
    <row r="474" spans="1:5" x14ac:dyDescent="0.25">
      <c r="A474">
        <v>3</v>
      </c>
      <c r="B474">
        <v>-0.13666666666666699</v>
      </c>
      <c r="D474">
        <v>0</v>
      </c>
      <c r="E474">
        <f t="shared" si="7"/>
        <v>3.8593787311575464E-2</v>
      </c>
    </row>
    <row r="475" spans="1:5" x14ac:dyDescent="0.25">
      <c r="A475">
        <v>3</v>
      </c>
      <c r="B475">
        <v>4.2056074766355103E-2</v>
      </c>
      <c r="D475">
        <v>0</v>
      </c>
      <c r="E475">
        <f t="shared" si="7"/>
        <v>3.8593787311575464E-2</v>
      </c>
    </row>
    <row r="476" spans="1:5" x14ac:dyDescent="0.25">
      <c r="A476">
        <v>3</v>
      </c>
      <c r="B476">
        <v>-0.13800000000000001</v>
      </c>
      <c r="D476">
        <v>0</v>
      </c>
      <c r="E476">
        <f t="shared" si="7"/>
        <v>3.8593787311575464E-2</v>
      </c>
    </row>
    <row r="477" spans="1:5" x14ac:dyDescent="0.25">
      <c r="A477">
        <v>3</v>
      </c>
      <c r="B477">
        <v>-3.7999999999999999E-2</v>
      </c>
      <c r="D477">
        <v>0</v>
      </c>
      <c r="E477">
        <f t="shared" si="7"/>
        <v>3.8593787311575464E-2</v>
      </c>
    </row>
    <row r="478" spans="1:5" x14ac:dyDescent="0.25">
      <c r="A478">
        <v>3</v>
      </c>
      <c r="B478">
        <v>-3.8333333333333303E-2</v>
      </c>
      <c r="D478">
        <v>0</v>
      </c>
      <c r="E478">
        <f t="shared" si="7"/>
        <v>3.8593787311575464E-2</v>
      </c>
    </row>
    <row r="479" spans="1:5" x14ac:dyDescent="0.25">
      <c r="A479">
        <v>3</v>
      </c>
      <c r="B479">
        <v>-0.20327102803738301</v>
      </c>
      <c r="D479">
        <v>0</v>
      </c>
      <c r="E479">
        <f t="shared" si="7"/>
        <v>3.8593787311575464E-2</v>
      </c>
    </row>
    <row r="480" spans="1:5" x14ac:dyDescent="0.25">
      <c r="A480">
        <v>3</v>
      </c>
      <c r="B480">
        <v>-3.5000000000000003E-2</v>
      </c>
      <c r="D480">
        <v>0</v>
      </c>
      <c r="E480">
        <f t="shared" si="7"/>
        <v>3.8593787311575464E-2</v>
      </c>
    </row>
    <row r="481" spans="1:5" x14ac:dyDescent="0.25">
      <c r="A481">
        <v>3</v>
      </c>
      <c r="B481">
        <v>-4.8000000000000001E-2</v>
      </c>
      <c r="D481">
        <v>0</v>
      </c>
      <c r="E481">
        <f t="shared" si="7"/>
        <v>3.8593787311575464E-2</v>
      </c>
    </row>
    <row r="482" spans="1:5" x14ac:dyDescent="0.25">
      <c r="A482">
        <v>3</v>
      </c>
      <c r="B482">
        <v>0.20499999999999999</v>
      </c>
      <c r="D482">
        <v>0</v>
      </c>
      <c r="E482">
        <f t="shared" si="7"/>
        <v>3.8593787311575464E-2</v>
      </c>
    </row>
    <row r="483" spans="1:5" x14ac:dyDescent="0.25">
      <c r="A483">
        <v>3</v>
      </c>
      <c r="B483">
        <v>0.476190476190476</v>
      </c>
      <c r="D483">
        <v>0</v>
      </c>
      <c r="E483">
        <f t="shared" si="7"/>
        <v>3.8593787311575464E-2</v>
      </c>
    </row>
    <row r="484" spans="1:5" x14ac:dyDescent="0.25">
      <c r="A484">
        <v>3</v>
      </c>
      <c r="B484">
        <v>0.57499999999999996</v>
      </c>
      <c r="D484">
        <v>0</v>
      </c>
      <c r="E484">
        <f t="shared" si="7"/>
        <v>3.8593787311575464E-2</v>
      </c>
    </row>
    <row r="485" spans="1:5" x14ac:dyDescent="0.25">
      <c r="A485">
        <v>3</v>
      </c>
      <c r="B485">
        <v>6.3084112149532703E-2</v>
      </c>
      <c r="D485">
        <v>0</v>
      </c>
      <c r="E485">
        <f t="shared" si="7"/>
        <v>3.8593787311575464E-2</v>
      </c>
    </row>
    <row r="486" spans="1:5" x14ac:dyDescent="0.25">
      <c r="A486">
        <v>3</v>
      </c>
      <c r="B486">
        <v>1</v>
      </c>
      <c r="D486">
        <v>0</v>
      </c>
      <c r="E486">
        <f t="shared" si="7"/>
        <v>3.8593787311575464E-2</v>
      </c>
    </row>
    <row r="487" spans="1:5" x14ac:dyDescent="0.25">
      <c r="A487">
        <v>3</v>
      </c>
      <c r="B487">
        <v>-8.6448598130841103E-2</v>
      </c>
      <c r="D487">
        <v>0</v>
      </c>
      <c r="E487">
        <f t="shared" si="7"/>
        <v>3.8593787311575464E-2</v>
      </c>
    </row>
    <row r="488" spans="1:5" x14ac:dyDescent="0.25">
      <c r="A488">
        <v>3</v>
      </c>
      <c r="B488">
        <v>3.7999999999999999E-2</v>
      </c>
      <c r="D488">
        <v>0</v>
      </c>
      <c r="E488">
        <f t="shared" si="7"/>
        <v>3.8593787311575464E-2</v>
      </c>
    </row>
    <row r="489" spans="1:5" x14ac:dyDescent="0.25">
      <c r="A489">
        <v>3</v>
      </c>
      <c r="B489">
        <v>-7.2072072072072099E-2</v>
      </c>
      <c r="D489">
        <v>0</v>
      </c>
      <c r="E489">
        <f t="shared" si="7"/>
        <v>3.8593787311575464E-2</v>
      </c>
    </row>
    <row r="490" spans="1:5" x14ac:dyDescent="0.25">
      <c r="A490">
        <v>3</v>
      </c>
      <c r="B490">
        <v>-0.13400000000000001</v>
      </c>
      <c r="D490">
        <v>0</v>
      </c>
      <c r="E490">
        <f t="shared" si="7"/>
        <v>3.8593787311575464E-2</v>
      </c>
    </row>
    <row r="491" spans="1:5" x14ac:dyDescent="0.25">
      <c r="A491">
        <v>3</v>
      </c>
      <c r="B491">
        <v>0.30399999999999999</v>
      </c>
      <c r="D491">
        <v>0</v>
      </c>
      <c r="E491">
        <f t="shared" si="7"/>
        <v>3.8593787311575464E-2</v>
      </c>
    </row>
    <row r="492" spans="1:5" x14ac:dyDescent="0.25">
      <c r="A492">
        <v>3</v>
      </c>
      <c r="B492">
        <v>-0.101333333333333</v>
      </c>
      <c r="D492">
        <v>0</v>
      </c>
      <c r="E492">
        <f t="shared" si="7"/>
        <v>3.8593787311575464E-2</v>
      </c>
    </row>
    <row r="493" spans="1:5" x14ac:dyDescent="0.25">
      <c r="A493">
        <v>3</v>
      </c>
      <c r="B493">
        <v>0.37333333333333302</v>
      </c>
      <c r="D493">
        <v>0</v>
      </c>
      <c r="E493">
        <f t="shared" si="7"/>
        <v>3.8593787311575464E-2</v>
      </c>
    </row>
    <row r="494" spans="1:5" x14ac:dyDescent="0.25">
      <c r="A494">
        <v>3</v>
      </c>
      <c r="B494">
        <v>-0.375</v>
      </c>
      <c r="D494">
        <v>0</v>
      </c>
      <c r="E494">
        <f t="shared" si="7"/>
        <v>3.8593787311575464E-2</v>
      </c>
    </row>
    <row r="495" spans="1:5" x14ac:dyDescent="0.25">
      <c r="A495">
        <v>3</v>
      </c>
      <c r="B495">
        <v>-1</v>
      </c>
      <c r="D495">
        <v>0</v>
      </c>
      <c r="E495">
        <f t="shared" si="7"/>
        <v>3.8593787311575464E-2</v>
      </c>
    </row>
    <row r="496" spans="1:5" x14ac:dyDescent="0.25">
      <c r="A496">
        <v>3</v>
      </c>
      <c r="B496">
        <v>-3.7296037296037303E-2</v>
      </c>
      <c r="D496">
        <v>0</v>
      </c>
      <c r="E496">
        <f t="shared" si="7"/>
        <v>3.8593787311575464E-2</v>
      </c>
    </row>
    <row r="497" spans="1:5" x14ac:dyDescent="0.25">
      <c r="A497">
        <v>3</v>
      </c>
      <c r="B497">
        <v>0.108108108108108</v>
      </c>
      <c r="D497">
        <v>0</v>
      </c>
      <c r="E497">
        <f t="shared" si="7"/>
        <v>3.8593787311575464E-2</v>
      </c>
    </row>
    <row r="498" spans="1:5" x14ac:dyDescent="0.25">
      <c r="A498">
        <v>3</v>
      </c>
      <c r="B498">
        <v>-9.0090090090090107E-3</v>
      </c>
      <c r="D498">
        <v>1</v>
      </c>
      <c r="E498">
        <f t="shared" si="7"/>
        <v>4.0615477118338829E-2</v>
      </c>
    </row>
    <row r="499" spans="1:5" x14ac:dyDescent="0.25">
      <c r="A499">
        <v>3</v>
      </c>
      <c r="B499">
        <v>9.90990990990991E-2</v>
      </c>
      <c r="D499">
        <v>1</v>
      </c>
      <c r="E499">
        <f t="shared" si="7"/>
        <v>4.0615477118338829E-2</v>
      </c>
    </row>
    <row r="500" spans="1:5" x14ac:dyDescent="0.25">
      <c r="A500">
        <v>3</v>
      </c>
      <c r="B500">
        <v>2.39520958083832E-2</v>
      </c>
      <c r="D500">
        <v>1</v>
      </c>
      <c r="E500">
        <f t="shared" si="7"/>
        <v>4.0615477118338829E-2</v>
      </c>
    </row>
    <row r="501" spans="1:5" x14ac:dyDescent="0.25">
      <c r="A501">
        <v>3</v>
      </c>
      <c r="B501">
        <v>-1.5015015015014999E-2</v>
      </c>
      <c r="D501">
        <v>1</v>
      </c>
      <c r="E501">
        <f t="shared" si="7"/>
        <v>4.0615477118338829E-2</v>
      </c>
    </row>
    <row r="502" spans="1:5" x14ac:dyDescent="0.25">
      <c r="A502">
        <v>3</v>
      </c>
      <c r="B502">
        <v>-7.1999999999999995E-2</v>
      </c>
      <c r="D502">
        <v>1</v>
      </c>
      <c r="E502">
        <f t="shared" si="7"/>
        <v>4.0615477118338829E-2</v>
      </c>
    </row>
    <row r="503" spans="1:5" x14ac:dyDescent="0.25">
      <c r="A503">
        <v>3</v>
      </c>
      <c r="B503">
        <v>6.5868263473053898E-2</v>
      </c>
      <c r="D503">
        <v>1</v>
      </c>
      <c r="E503">
        <f t="shared" si="7"/>
        <v>4.0615477118338829E-2</v>
      </c>
    </row>
    <row r="504" spans="1:5" x14ac:dyDescent="0.25">
      <c r="A504">
        <v>3</v>
      </c>
      <c r="B504">
        <v>-1.3986013986014E-2</v>
      </c>
      <c r="D504">
        <v>1</v>
      </c>
      <c r="E504">
        <f t="shared" si="7"/>
        <v>4.0615477118338829E-2</v>
      </c>
    </row>
    <row r="505" spans="1:5" x14ac:dyDescent="0.25">
      <c r="A505">
        <v>3</v>
      </c>
      <c r="B505">
        <v>0.13173652694610799</v>
      </c>
      <c r="D505">
        <v>1</v>
      </c>
      <c r="E505">
        <f t="shared" si="7"/>
        <v>4.0615477118338829E-2</v>
      </c>
    </row>
    <row r="506" spans="1:5" x14ac:dyDescent="0.25">
      <c r="A506">
        <v>3</v>
      </c>
      <c r="B506">
        <v>7.7333333333333296E-2</v>
      </c>
      <c r="D506">
        <v>1</v>
      </c>
      <c r="E506">
        <f t="shared" si="7"/>
        <v>4.0615477118338829E-2</v>
      </c>
    </row>
    <row r="507" spans="1:5" x14ac:dyDescent="0.25">
      <c r="A507">
        <v>3</v>
      </c>
      <c r="B507">
        <v>-3.0030030030029999E-3</v>
      </c>
      <c r="D507">
        <v>1</v>
      </c>
      <c r="E507">
        <f t="shared" si="7"/>
        <v>4.0615477118338829E-2</v>
      </c>
    </row>
    <row r="508" spans="1:5" x14ac:dyDescent="0.25">
      <c r="A508">
        <v>3</v>
      </c>
      <c r="B508">
        <v>1.6E-2</v>
      </c>
      <c r="D508">
        <v>1</v>
      </c>
      <c r="E508">
        <f t="shared" si="7"/>
        <v>4.0615477118338829E-2</v>
      </c>
    </row>
    <row r="509" spans="1:5" x14ac:dyDescent="0.25">
      <c r="A509">
        <v>3</v>
      </c>
      <c r="B509">
        <v>-6.9069069069069094E-2</v>
      </c>
      <c r="D509">
        <v>1</v>
      </c>
      <c r="E509">
        <f t="shared" si="7"/>
        <v>4.0615477118338829E-2</v>
      </c>
    </row>
    <row r="510" spans="1:5" x14ac:dyDescent="0.25">
      <c r="A510">
        <v>3</v>
      </c>
      <c r="B510">
        <v>2.0979020979021001E-2</v>
      </c>
      <c r="D510">
        <v>1</v>
      </c>
      <c r="E510">
        <f t="shared" si="7"/>
        <v>4.0615477118338829E-2</v>
      </c>
    </row>
    <row r="511" spans="1:5" x14ac:dyDescent="0.25">
      <c r="A511">
        <v>3</v>
      </c>
      <c r="B511">
        <v>6.0000000000000001E-3</v>
      </c>
      <c r="D511">
        <v>1</v>
      </c>
      <c r="E511">
        <f t="shared" si="7"/>
        <v>4.0615477118338829E-2</v>
      </c>
    </row>
    <row r="512" spans="1:5" x14ac:dyDescent="0.25">
      <c r="A512">
        <v>3</v>
      </c>
      <c r="B512">
        <v>-1.4018691588785E-2</v>
      </c>
      <c r="D512">
        <v>1</v>
      </c>
      <c r="E512">
        <f t="shared" si="7"/>
        <v>4.0615477118338829E-2</v>
      </c>
    </row>
    <row r="513" spans="1:5" x14ac:dyDescent="0.25">
      <c r="A513">
        <v>3</v>
      </c>
      <c r="B513">
        <v>3.4965034965035002E-2</v>
      </c>
      <c r="D513">
        <v>1</v>
      </c>
      <c r="E513">
        <f t="shared" si="7"/>
        <v>4.0615477118338829E-2</v>
      </c>
    </row>
    <row r="514" spans="1:5" x14ac:dyDescent="0.25">
      <c r="A514">
        <v>3</v>
      </c>
      <c r="B514">
        <v>0</v>
      </c>
      <c r="D514">
        <v>1</v>
      </c>
      <c r="E514">
        <f t="shared" si="7"/>
        <v>4.0615477118338829E-2</v>
      </c>
    </row>
    <row r="515" spans="1:5" x14ac:dyDescent="0.25">
      <c r="A515">
        <v>3</v>
      </c>
      <c r="B515">
        <v>9.7902097902097904E-2</v>
      </c>
      <c r="D515">
        <v>1</v>
      </c>
      <c r="E515">
        <f t="shared" ref="E515:E578" si="8">_xlfn.NORM.DIST(D515, I$4,I$7,FALSE)</f>
        <v>4.0615477118338829E-2</v>
      </c>
    </row>
    <row r="516" spans="1:5" x14ac:dyDescent="0.25">
      <c r="A516">
        <v>3</v>
      </c>
      <c r="B516">
        <v>-4.4392523364486E-2</v>
      </c>
      <c r="D516">
        <v>1</v>
      </c>
      <c r="E516">
        <f t="shared" si="8"/>
        <v>4.0615477118338829E-2</v>
      </c>
    </row>
    <row r="517" spans="1:5" x14ac:dyDescent="0.25">
      <c r="A517">
        <v>3</v>
      </c>
      <c r="B517">
        <v>0.17833333333333301</v>
      </c>
      <c r="D517">
        <v>1</v>
      </c>
      <c r="E517">
        <f t="shared" si="8"/>
        <v>4.0615477118338829E-2</v>
      </c>
    </row>
    <row r="518" spans="1:5" x14ac:dyDescent="0.25">
      <c r="A518">
        <v>3</v>
      </c>
      <c r="B518">
        <v>0.29729729729729698</v>
      </c>
      <c r="D518">
        <v>1</v>
      </c>
      <c r="E518">
        <f t="shared" si="8"/>
        <v>4.0615477118338829E-2</v>
      </c>
    </row>
    <row r="519" spans="1:5" x14ac:dyDescent="0.25">
      <c r="A519">
        <v>3</v>
      </c>
      <c r="B519">
        <v>-1.16822429906542E-2</v>
      </c>
      <c r="D519">
        <v>1</v>
      </c>
      <c r="E519">
        <f t="shared" si="8"/>
        <v>4.0615477118338829E-2</v>
      </c>
    </row>
    <row r="520" spans="1:5" x14ac:dyDescent="0.25">
      <c r="A520">
        <v>3</v>
      </c>
      <c r="B520">
        <v>0.168333333333333</v>
      </c>
      <c r="D520">
        <v>1</v>
      </c>
      <c r="E520">
        <f t="shared" si="8"/>
        <v>4.0615477118338829E-2</v>
      </c>
    </row>
    <row r="521" spans="1:5" x14ac:dyDescent="0.25">
      <c r="A521">
        <v>3</v>
      </c>
      <c r="B521">
        <v>9.4E-2</v>
      </c>
      <c r="D521">
        <v>1</v>
      </c>
      <c r="E521">
        <f t="shared" si="8"/>
        <v>4.0615477118338829E-2</v>
      </c>
    </row>
    <row r="522" spans="1:5" x14ac:dyDescent="0.25">
      <c r="A522">
        <v>3</v>
      </c>
      <c r="B522">
        <v>0.14000000000000001</v>
      </c>
      <c r="D522">
        <v>1</v>
      </c>
      <c r="E522">
        <f t="shared" si="8"/>
        <v>4.0615477118338829E-2</v>
      </c>
    </row>
    <row r="523" spans="1:5" x14ac:dyDescent="0.25">
      <c r="A523">
        <v>3</v>
      </c>
      <c r="B523">
        <v>0.19230769230769201</v>
      </c>
      <c r="D523">
        <v>1</v>
      </c>
      <c r="E523">
        <f t="shared" si="8"/>
        <v>4.0615477118338829E-2</v>
      </c>
    </row>
    <row r="524" spans="1:5" x14ac:dyDescent="0.25">
      <c r="A524">
        <v>3</v>
      </c>
      <c r="B524">
        <v>0.21666666666666701</v>
      </c>
      <c r="D524">
        <v>1</v>
      </c>
      <c r="E524">
        <f t="shared" si="8"/>
        <v>4.0615477118338829E-2</v>
      </c>
    </row>
    <row r="525" spans="1:5" x14ac:dyDescent="0.25">
      <c r="A525">
        <v>3</v>
      </c>
      <c r="B525">
        <v>1</v>
      </c>
      <c r="D525">
        <v>1</v>
      </c>
      <c r="E525">
        <f t="shared" si="8"/>
        <v>4.0615477118338829E-2</v>
      </c>
    </row>
    <row r="526" spans="1:5" x14ac:dyDescent="0.25">
      <c r="A526">
        <v>3</v>
      </c>
      <c r="B526">
        <v>5.4054054054054099E-2</v>
      </c>
      <c r="D526">
        <v>1</v>
      </c>
      <c r="E526">
        <f t="shared" si="8"/>
        <v>4.0615477118338829E-2</v>
      </c>
    </row>
    <row r="527" spans="1:5" x14ac:dyDescent="0.25">
      <c r="A527">
        <v>3</v>
      </c>
      <c r="B527">
        <v>0.25800000000000001</v>
      </c>
      <c r="D527">
        <v>1</v>
      </c>
      <c r="E527">
        <f t="shared" si="8"/>
        <v>4.0615477118338829E-2</v>
      </c>
    </row>
    <row r="528" spans="1:5" x14ac:dyDescent="0.25">
      <c r="A528">
        <v>3</v>
      </c>
      <c r="B528">
        <v>0.18666666666666701</v>
      </c>
      <c r="D528">
        <v>1</v>
      </c>
      <c r="E528">
        <f t="shared" si="8"/>
        <v>4.0615477118338829E-2</v>
      </c>
    </row>
    <row r="529" spans="1:5" x14ac:dyDescent="0.25">
      <c r="A529">
        <v>3</v>
      </c>
      <c r="B529">
        <v>5.7057057057057103E-2</v>
      </c>
      <c r="D529">
        <v>1</v>
      </c>
      <c r="E529">
        <f t="shared" si="8"/>
        <v>4.0615477118338829E-2</v>
      </c>
    </row>
    <row r="530" spans="1:5" x14ac:dyDescent="0.25">
      <c r="A530">
        <v>3</v>
      </c>
      <c r="B530">
        <v>0.25800000000000001</v>
      </c>
      <c r="D530">
        <v>1</v>
      </c>
      <c r="E530">
        <f t="shared" si="8"/>
        <v>4.0615477118338829E-2</v>
      </c>
    </row>
    <row r="531" spans="1:5" x14ac:dyDescent="0.25">
      <c r="A531">
        <v>3</v>
      </c>
      <c r="B531">
        <v>0.107226107226107</v>
      </c>
      <c r="D531">
        <v>1</v>
      </c>
      <c r="E531">
        <f t="shared" si="8"/>
        <v>4.0615477118338829E-2</v>
      </c>
    </row>
    <row r="532" spans="1:5" x14ac:dyDescent="0.25">
      <c r="A532">
        <v>3</v>
      </c>
      <c r="B532">
        <v>-0.10666666666666701</v>
      </c>
      <c r="D532">
        <v>1</v>
      </c>
      <c r="E532">
        <f t="shared" si="8"/>
        <v>4.0615477118338829E-2</v>
      </c>
    </row>
    <row r="533" spans="1:5" x14ac:dyDescent="0.25">
      <c r="A533">
        <v>3</v>
      </c>
      <c r="B533">
        <v>0</v>
      </c>
      <c r="D533">
        <v>1</v>
      </c>
      <c r="E533">
        <f t="shared" si="8"/>
        <v>4.0615477118338829E-2</v>
      </c>
    </row>
    <row r="534" spans="1:5" x14ac:dyDescent="0.25">
      <c r="A534">
        <v>3</v>
      </c>
      <c r="B534">
        <v>0.17833333333333301</v>
      </c>
      <c r="D534">
        <v>1</v>
      </c>
      <c r="E534">
        <f t="shared" si="8"/>
        <v>4.0615477118338829E-2</v>
      </c>
    </row>
    <row r="535" spans="1:5" x14ac:dyDescent="0.25">
      <c r="A535">
        <v>3</v>
      </c>
      <c r="B535">
        <v>-0.133333333333333</v>
      </c>
      <c r="D535">
        <v>1</v>
      </c>
      <c r="E535">
        <f t="shared" si="8"/>
        <v>4.0615477118338829E-2</v>
      </c>
    </row>
    <row r="536" spans="1:5" x14ac:dyDescent="0.25">
      <c r="A536">
        <v>3</v>
      </c>
      <c r="B536">
        <v>-1.5015015015014999E-2</v>
      </c>
      <c r="D536">
        <v>1</v>
      </c>
      <c r="E536">
        <f t="shared" si="8"/>
        <v>4.0615477118338829E-2</v>
      </c>
    </row>
    <row r="537" spans="1:5" x14ac:dyDescent="0.25">
      <c r="A537">
        <v>3</v>
      </c>
      <c r="B537">
        <v>0.14438502673796799</v>
      </c>
      <c r="D537">
        <v>1</v>
      </c>
      <c r="E537">
        <f t="shared" si="8"/>
        <v>4.0615477118338829E-2</v>
      </c>
    </row>
    <row r="538" spans="1:5" x14ac:dyDescent="0.25">
      <c r="A538">
        <v>3</v>
      </c>
      <c r="B538">
        <v>0.184</v>
      </c>
      <c r="D538">
        <v>1</v>
      </c>
      <c r="E538">
        <f t="shared" si="8"/>
        <v>4.0615477118338829E-2</v>
      </c>
    </row>
    <row r="539" spans="1:5" x14ac:dyDescent="0.25">
      <c r="A539">
        <v>3</v>
      </c>
      <c r="B539">
        <v>0.37</v>
      </c>
      <c r="D539">
        <v>1</v>
      </c>
      <c r="E539">
        <f t="shared" si="8"/>
        <v>4.0615477118338829E-2</v>
      </c>
    </row>
    <row r="540" spans="1:5" x14ac:dyDescent="0.25">
      <c r="A540">
        <v>3</v>
      </c>
      <c r="B540">
        <v>-1.0666666666666699E-2</v>
      </c>
      <c r="D540">
        <v>1</v>
      </c>
      <c r="E540">
        <f t="shared" si="8"/>
        <v>4.0615477118338829E-2</v>
      </c>
    </row>
    <row r="541" spans="1:5" x14ac:dyDescent="0.25">
      <c r="A541">
        <v>3</v>
      </c>
      <c r="B541">
        <v>1</v>
      </c>
      <c r="D541">
        <v>1</v>
      </c>
      <c r="E541">
        <f t="shared" si="8"/>
        <v>4.0615477118338829E-2</v>
      </c>
    </row>
    <row r="542" spans="1:5" x14ac:dyDescent="0.25">
      <c r="A542">
        <v>3</v>
      </c>
      <c r="B542">
        <v>-9.8666666666666694E-2</v>
      </c>
      <c r="D542">
        <v>1</v>
      </c>
      <c r="E542">
        <f t="shared" si="8"/>
        <v>4.0615477118338829E-2</v>
      </c>
    </row>
    <row r="543" spans="1:5" x14ac:dyDescent="0.25">
      <c r="A543">
        <v>3</v>
      </c>
      <c r="B543">
        <v>-5.9880239520958096E-3</v>
      </c>
      <c r="D543">
        <v>1</v>
      </c>
      <c r="E543">
        <f t="shared" si="8"/>
        <v>4.0615477118338829E-2</v>
      </c>
    </row>
    <row r="544" spans="1:5" x14ac:dyDescent="0.25">
      <c r="A544">
        <v>3</v>
      </c>
      <c r="B544">
        <v>4.0000000000000001E-3</v>
      </c>
      <c r="D544">
        <v>1</v>
      </c>
      <c r="E544">
        <f t="shared" si="8"/>
        <v>4.0615477118338829E-2</v>
      </c>
    </row>
    <row r="545" spans="1:5" x14ac:dyDescent="0.25">
      <c r="A545">
        <v>3</v>
      </c>
      <c r="B545">
        <v>2.69461077844311E-2</v>
      </c>
      <c r="D545">
        <v>1</v>
      </c>
      <c r="E545">
        <f t="shared" si="8"/>
        <v>4.0615477118338829E-2</v>
      </c>
    </row>
    <row r="546" spans="1:5" x14ac:dyDescent="0.25">
      <c r="A546">
        <v>3</v>
      </c>
      <c r="B546">
        <v>2.66666666666667E-2</v>
      </c>
      <c r="D546">
        <v>1</v>
      </c>
      <c r="E546">
        <f t="shared" si="8"/>
        <v>4.0615477118338829E-2</v>
      </c>
    </row>
    <row r="547" spans="1:5" x14ac:dyDescent="0.25">
      <c r="A547">
        <v>3</v>
      </c>
      <c r="B547">
        <v>-7.4666666666666701E-2</v>
      </c>
      <c r="D547">
        <v>1</v>
      </c>
      <c r="E547">
        <f t="shared" si="8"/>
        <v>4.0615477118338829E-2</v>
      </c>
    </row>
    <row r="548" spans="1:5" x14ac:dyDescent="0.25">
      <c r="A548">
        <v>3</v>
      </c>
      <c r="B548">
        <v>5.3333333333333297E-3</v>
      </c>
      <c r="D548">
        <v>1</v>
      </c>
      <c r="E548">
        <f t="shared" si="8"/>
        <v>4.0615477118338829E-2</v>
      </c>
    </row>
    <row r="549" spans="1:5" x14ac:dyDescent="0.25">
      <c r="A549">
        <v>3</v>
      </c>
      <c r="B549">
        <v>-3.3033033033033003E-2</v>
      </c>
      <c r="D549">
        <v>1</v>
      </c>
      <c r="E549">
        <f t="shared" si="8"/>
        <v>4.0615477118338829E-2</v>
      </c>
    </row>
    <row r="550" spans="1:5" x14ac:dyDescent="0.25">
      <c r="A550">
        <v>3</v>
      </c>
      <c r="B550">
        <v>0.154205607476636</v>
      </c>
      <c r="D550">
        <v>1</v>
      </c>
      <c r="E550">
        <f t="shared" si="8"/>
        <v>4.0615477118338829E-2</v>
      </c>
    </row>
    <row r="551" spans="1:5" x14ac:dyDescent="0.25">
      <c r="A551">
        <v>3</v>
      </c>
      <c r="B551">
        <v>-4.5333333333333302E-2</v>
      </c>
      <c r="D551">
        <v>1</v>
      </c>
      <c r="E551">
        <f t="shared" si="8"/>
        <v>4.0615477118338829E-2</v>
      </c>
    </row>
    <row r="552" spans="1:5" x14ac:dyDescent="0.25">
      <c r="A552">
        <v>3</v>
      </c>
      <c r="B552">
        <v>0.23130841121495299</v>
      </c>
      <c r="D552">
        <v>1</v>
      </c>
      <c r="E552">
        <f t="shared" si="8"/>
        <v>4.0615477118338829E-2</v>
      </c>
    </row>
    <row r="553" spans="1:5" x14ac:dyDescent="0.25">
      <c r="A553">
        <v>3</v>
      </c>
      <c r="B553">
        <v>0.17990654205607501</v>
      </c>
      <c r="D553">
        <v>1</v>
      </c>
      <c r="E553">
        <f t="shared" si="8"/>
        <v>4.0615477118338829E-2</v>
      </c>
    </row>
    <row r="554" spans="1:5" x14ac:dyDescent="0.25">
      <c r="A554">
        <v>3</v>
      </c>
      <c r="B554">
        <v>2.4E-2</v>
      </c>
      <c r="D554">
        <v>1</v>
      </c>
      <c r="E554">
        <f t="shared" si="8"/>
        <v>4.0615477118338829E-2</v>
      </c>
    </row>
    <row r="555" spans="1:5" x14ac:dyDescent="0.25">
      <c r="A555">
        <v>3</v>
      </c>
      <c r="B555">
        <v>0.255255255255255</v>
      </c>
      <c r="D555">
        <v>1</v>
      </c>
      <c r="E555">
        <f t="shared" si="8"/>
        <v>4.0615477118338829E-2</v>
      </c>
    </row>
    <row r="556" spans="1:5" x14ac:dyDescent="0.25">
      <c r="A556">
        <v>3</v>
      </c>
      <c r="B556">
        <v>1.4018691588785E-2</v>
      </c>
      <c r="D556">
        <v>1</v>
      </c>
      <c r="E556">
        <f t="shared" si="8"/>
        <v>4.0615477118338829E-2</v>
      </c>
    </row>
    <row r="557" spans="1:5" x14ac:dyDescent="0.25">
      <c r="A557">
        <v>3</v>
      </c>
      <c r="B557">
        <v>0.1002331002331</v>
      </c>
      <c r="D557">
        <v>1</v>
      </c>
      <c r="E557">
        <f t="shared" si="8"/>
        <v>4.0615477118338829E-2</v>
      </c>
    </row>
    <row r="558" spans="1:5" x14ac:dyDescent="0.25">
      <c r="A558">
        <v>3</v>
      </c>
      <c r="B558">
        <v>9.6000000000000002E-2</v>
      </c>
      <c r="D558">
        <v>1</v>
      </c>
      <c r="E558">
        <f t="shared" si="8"/>
        <v>4.0615477118338829E-2</v>
      </c>
    </row>
    <row r="559" spans="1:5" x14ac:dyDescent="0.25">
      <c r="A559">
        <v>3</v>
      </c>
      <c r="B559">
        <v>-7.1999999999999995E-2</v>
      </c>
      <c r="D559">
        <v>1</v>
      </c>
      <c r="E559">
        <f t="shared" si="8"/>
        <v>4.0615477118338829E-2</v>
      </c>
    </row>
    <row r="560" spans="1:5" x14ac:dyDescent="0.25">
      <c r="A560">
        <v>3</v>
      </c>
      <c r="B560">
        <v>0.20599999999999999</v>
      </c>
      <c r="D560">
        <v>1</v>
      </c>
      <c r="E560">
        <f t="shared" si="8"/>
        <v>4.0615477118338829E-2</v>
      </c>
    </row>
    <row r="561" spans="1:5" x14ac:dyDescent="0.25">
      <c r="A561">
        <v>3</v>
      </c>
      <c r="B561">
        <v>-9.3240093240093205E-2</v>
      </c>
      <c r="D561">
        <v>1</v>
      </c>
      <c r="E561">
        <f t="shared" si="8"/>
        <v>4.0615477118338829E-2</v>
      </c>
    </row>
    <row r="562" spans="1:5" x14ac:dyDescent="0.25">
      <c r="A562">
        <v>3</v>
      </c>
      <c r="B562">
        <v>0.63513513513513498</v>
      </c>
      <c r="D562">
        <v>1</v>
      </c>
      <c r="E562">
        <f t="shared" si="8"/>
        <v>4.0615477118338829E-2</v>
      </c>
    </row>
    <row r="563" spans="1:5" x14ac:dyDescent="0.25">
      <c r="A563">
        <v>3</v>
      </c>
      <c r="B563">
        <v>-8.7087087087087095E-2</v>
      </c>
      <c r="D563">
        <v>1</v>
      </c>
      <c r="E563">
        <f t="shared" si="8"/>
        <v>4.0615477118338829E-2</v>
      </c>
    </row>
    <row r="564" spans="1:5" x14ac:dyDescent="0.25">
      <c r="A564">
        <v>3</v>
      </c>
      <c r="B564">
        <v>1</v>
      </c>
      <c r="D564">
        <v>1</v>
      </c>
      <c r="E564">
        <f t="shared" si="8"/>
        <v>4.0615477118338829E-2</v>
      </c>
    </row>
    <row r="565" spans="1:5" x14ac:dyDescent="0.25">
      <c r="A565">
        <v>3</v>
      </c>
      <c r="B565">
        <v>-4.8000000000000001E-2</v>
      </c>
      <c r="D565">
        <v>1</v>
      </c>
      <c r="E565">
        <f t="shared" si="8"/>
        <v>4.0615477118338829E-2</v>
      </c>
    </row>
    <row r="566" spans="1:5" x14ac:dyDescent="0.25">
      <c r="A566">
        <v>3</v>
      </c>
      <c r="B566">
        <v>-4.7904191616766498E-2</v>
      </c>
      <c r="D566">
        <v>1</v>
      </c>
      <c r="E566">
        <f t="shared" si="8"/>
        <v>4.0615477118338829E-2</v>
      </c>
    </row>
    <row r="567" spans="1:5" x14ac:dyDescent="0.25">
      <c r="A567">
        <v>3</v>
      </c>
      <c r="B567">
        <v>-7.4999999999999997E-2</v>
      </c>
      <c r="D567">
        <v>1</v>
      </c>
      <c r="E567">
        <f t="shared" si="8"/>
        <v>4.0615477118338829E-2</v>
      </c>
    </row>
    <row r="568" spans="1:5" x14ac:dyDescent="0.25">
      <c r="A568">
        <v>3</v>
      </c>
      <c r="B568">
        <v>-1.4E-2</v>
      </c>
      <c r="D568">
        <v>1</v>
      </c>
      <c r="E568">
        <f t="shared" si="8"/>
        <v>4.0615477118338829E-2</v>
      </c>
    </row>
    <row r="569" spans="1:5" x14ac:dyDescent="0.25">
      <c r="A569">
        <v>3</v>
      </c>
      <c r="B569">
        <v>2.1021021021020998E-2</v>
      </c>
      <c r="D569">
        <v>1</v>
      </c>
      <c r="E569">
        <f t="shared" si="8"/>
        <v>4.0615477118338829E-2</v>
      </c>
    </row>
    <row r="570" spans="1:5" x14ac:dyDescent="0.25">
      <c r="A570">
        <v>3</v>
      </c>
      <c r="B570">
        <v>0.141666666666667</v>
      </c>
      <c r="D570">
        <v>1</v>
      </c>
      <c r="E570">
        <f t="shared" si="8"/>
        <v>4.0615477118338829E-2</v>
      </c>
    </row>
    <row r="571" spans="1:5" x14ac:dyDescent="0.25">
      <c r="A571">
        <v>3</v>
      </c>
      <c r="B571">
        <v>-1.8666666666666699E-2</v>
      </c>
      <c r="D571">
        <v>1</v>
      </c>
      <c r="E571">
        <f t="shared" si="8"/>
        <v>4.0615477118338829E-2</v>
      </c>
    </row>
    <row r="572" spans="1:5" x14ac:dyDescent="0.25">
      <c r="A572">
        <v>3</v>
      </c>
      <c r="B572">
        <v>4.1958041958042001E-2</v>
      </c>
      <c r="D572">
        <v>1</v>
      </c>
      <c r="E572">
        <f t="shared" si="8"/>
        <v>4.0615477118338829E-2</v>
      </c>
    </row>
    <row r="573" spans="1:5" x14ac:dyDescent="0.25">
      <c r="A573">
        <v>3</v>
      </c>
      <c r="B573">
        <v>-3.50467289719626E-2</v>
      </c>
      <c r="D573">
        <v>1</v>
      </c>
      <c r="E573">
        <f t="shared" si="8"/>
        <v>4.0615477118338829E-2</v>
      </c>
    </row>
    <row r="574" spans="1:5" x14ac:dyDescent="0.25">
      <c r="A574">
        <v>3</v>
      </c>
      <c r="B574">
        <v>-5.82750582750583E-2</v>
      </c>
      <c r="D574">
        <v>1</v>
      </c>
      <c r="E574">
        <f t="shared" si="8"/>
        <v>4.0615477118338829E-2</v>
      </c>
    </row>
    <row r="575" spans="1:5" x14ac:dyDescent="0.25">
      <c r="A575">
        <v>3</v>
      </c>
      <c r="B575">
        <v>0.33500000000000002</v>
      </c>
      <c r="D575">
        <v>1</v>
      </c>
      <c r="E575">
        <f t="shared" si="8"/>
        <v>4.0615477118338829E-2</v>
      </c>
    </row>
    <row r="576" spans="1:5" x14ac:dyDescent="0.25">
      <c r="A576">
        <v>3</v>
      </c>
      <c r="B576">
        <v>0.54933333333333301</v>
      </c>
      <c r="D576">
        <v>1</v>
      </c>
      <c r="E576">
        <f t="shared" si="8"/>
        <v>4.0615477118338829E-2</v>
      </c>
    </row>
    <row r="577" spans="1:5" x14ac:dyDescent="0.25">
      <c r="A577">
        <v>3</v>
      </c>
      <c r="B577">
        <v>-5.3613053613053602E-2</v>
      </c>
      <c r="D577">
        <v>1</v>
      </c>
      <c r="E577">
        <f t="shared" si="8"/>
        <v>4.0615477118338829E-2</v>
      </c>
    </row>
    <row r="578" spans="1:5" x14ac:dyDescent="0.25">
      <c r="A578">
        <v>3</v>
      </c>
      <c r="B578">
        <v>0.29599999999999999</v>
      </c>
      <c r="D578">
        <v>1</v>
      </c>
      <c r="E578">
        <f t="shared" si="8"/>
        <v>4.0615477118338829E-2</v>
      </c>
    </row>
    <row r="579" spans="1:5" x14ac:dyDescent="0.25">
      <c r="A579">
        <v>3</v>
      </c>
      <c r="B579">
        <v>-0.11</v>
      </c>
      <c r="D579">
        <v>1</v>
      </c>
      <c r="E579">
        <f t="shared" ref="E579:E642" si="9">_xlfn.NORM.DIST(D579, I$4,I$7,FALSE)</f>
        <v>4.0615477118338829E-2</v>
      </c>
    </row>
    <row r="580" spans="1:5" x14ac:dyDescent="0.25">
      <c r="A580">
        <v>3</v>
      </c>
      <c r="B580">
        <v>5.1999999999999998E-2</v>
      </c>
      <c r="D580">
        <v>1</v>
      </c>
      <c r="E580">
        <f t="shared" si="9"/>
        <v>4.0615477118338829E-2</v>
      </c>
    </row>
    <row r="581" spans="1:5" x14ac:dyDescent="0.25">
      <c r="A581">
        <v>3</v>
      </c>
      <c r="B581">
        <v>-8.1081081081081099E-2</v>
      </c>
      <c r="D581">
        <v>1</v>
      </c>
      <c r="E581">
        <f t="shared" si="9"/>
        <v>4.0615477118338829E-2</v>
      </c>
    </row>
    <row r="582" spans="1:5" x14ac:dyDescent="0.25">
      <c r="A582">
        <v>3</v>
      </c>
      <c r="B582">
        <v>-3.6036036036036001E-2</v>
      </c>
      <c r="D582">
        <v>1</v>
      </c>
      <c r="E582">
        <f t="shared" si="9"/>
        <v>4.0615477118338829E-2</v>
      </c>
    </row>
    <row r="583" spans="1:5" x14ac:dyDescent="0.25">
      <c r="A583">
        <v>3</v>
      </c>
      <c r="B583">
        <v>5.7057057057057103E-2</v>
      </c>
      <c r="D583">
        <v>1</v>
      </c>
      <c r="E583">
        <f t="shared" si="9"/>
        <v>4.0615477118338829E-2</v>
      </c>
    </row>
    <row r="584" spans="1:5" x14ac:dyDescent="0.25">
      <c r="A584">
        <v>3</v>
      </c>
      <c r="B584">
        <v>-5.3333333333333297E-3</v>
      </c>
      <c r="D584">
        <v>1</v>
      </c>
      <c r="E584">
        <f t="shared" si="9"/>
        <v>4.0615477118338829E-2</v>
      </c>
    </row>
    <row r="585" spans="1:5" x14ac:dyDescent="0.25">
      <c r="A585">
        <v>3</v>
      </c>
      <c r="B585">
        <v>-0.105263157894737</v>
      </c>
      <c r="D585">
        <v>1</v>
      </c>
      <c r="E585">
        <f t="shared" si="9"/>
        <v>4.0615477118338829E-2</v>
      </c>
    </row>
    <row r="586" spans="1:5" x14ac:dyDescent="0.25">
      <c r="A586">
        <v>3</v>
      </c>
      <c r="B586">
        <v>5.86666666666667E-2</v>
      </c>
      <c r="D586">
        <v>1</v>
      </c>
      <c r="E586">
        <f t="shared" si="9"/>
        <v>4.0615477118338829E-2</v>
      </c>
    </row>
    <row r="587" spans="1:5" x14ac:dyDescent="0.25">
      <c r="A587">
        <v>3</v>
      </c>
      <c r="B587">
        <v>4.5045045045045001E-2</v>
      </c>
      <c r="D587">
        <v>1</v>
      </c>
      <c r="E587">
        <f t="shared" si="9"/>
        <v>4.0615477118338829E-2</v>
      </c>
    </row>
    <row r="588" spans="1:5" x14ac:dyDescent="0.25">
      <c r="A588">
        <v>3</v>
      </c>
      <c r="B588">
        <v>0.12012012012011999</v>
      </c>
      <c r="D588">
        <v>1</v>
      </c>
      <c r="E588">
        <f t="shared" si="9"/>
        <v>4.0615477118338829E-2</v>
      </c>
    </row>
    <row r="589" spans="1:5" x14ac:dyDescent="0.25">
      <c r="A589">
        <v>3</v>
      </c>
      <c r="B589">
        <v>1.3333333333333299E-2</v>
      </c>
      <c r="D589">
        <v>1</v>
      </c>
      <c r="E589">
        <f t="shared" si="9"/>
        <v>4.0615477118338829E-2</v>
      </c>
    </row>
    <row r="590" spans="1:5" x14ac:dyDescent="0.25">
      <c r="A590">
        <v>3</v>
      </c>
      <c r="B590">
        <v>-7.0422535211267595E-2</v>
      </c>
      <c r="D590">
        <v>1</v>
      </c>
      <c r="E590">
        <f t="shared" si="9"/>
        <v>4.0615477118338829E-2</v>
      </c>
    </row>
    <row r="591" spans="1:5" x14ac:dyDescent="0.25">
      <c r="A591">
        <v>3</v>
      </c>
      <c r="B591">
        <v>7.1999999999999995E-2</v>
      </c>
      <c r="D591">
        <v>1</v>
      </c>
      <c r="E591">
        <f t="shared" si="9"/>
        <v>4.0615477118338829E-2</v>
      </c>
    </row>
    <row r="592" spans="1:5" x14ac:dyDescent="0.25">
      <c r="A592">
        <v>3</v>
      </c>
      <c r="B592">
        <v>-8.2000000000000003E-2</v>
      </c>
      <c r="D592">
        <v>1</v>
      </c>
      <c r="E592">
        <f t="shared" si="9"/>
        <v>4.0615477118338829E-2</v>
      </c>
    </row>
    <row r="593" spans="1:5" x14ac:dyDescent="0.25">
      <c r="A593">
        <v>3</v>
      </c>
      <c r="B593">
        <v>5.6000000000000001E-2</v>
      </c>
      <c r="D593">
        <v>1</v>
      </c>
      <c r="E593">
        <f t="shared" si="9"/>
        <v>4.0615477118338829E-2</v>
      </c>
    </row>
    <row r="594" spans="1:5" x14ac:dyDescent="0.25">
      <c r="A594">
        <v>3</v>
      </c>
      <c r="B594">
        <v>-0.16200000000000001</v>
      </c>
      <c r="D594">
        <v>1</v>
      </c>
      <c r="E594">
        <f t="shared" si="9"/>
        <v>4.0615477118338829E-2</v>
      </c>
    </row>
    <row r="595" spans="1:5" x14ac:dyDescent="0.25">
      <c r="A595">
        <v>3</v>
      </c>
      <c r="B595">
        <v>-0.54</v>
      </c>
      <c r="D595">
        <v>1</v>
      </c>
      <c r="E595">
        <f t="shared" si="9"/>
        <v>4.0615477118338829E-2</v>
      </c>
    </row>
    <row r="596" spans="1:5" x14ac:dyDescent="0.25">
      <c r="A596">
        <v>3</v>
      </c>
      <c r="B596">
        <v>-0.78523489932885904</v>
      </c>
      <c r="D596">
        <v>1</v>
      </c>
      <c r="E596">
        <f t="shared" si="9"/>
        <v>4.0615477118338829E-2</v>
      </c>
    </row>
    <row r="597" spans="1:5" x14ac:dyDescent="0.25">
      <c r="A597">
        <v>3</v>
      </c>
      <c r="B597">
        <v>-2.3310023310023301E-3</v>
      </c>
      <c r="D597">
        <v>1</v>
      </c>
      <c r="E597">
        <f t="shared" si="9"/>
        <v>4.0615477118338829E-2</v>
      </c>
    </row>
    <row r="598" spans="1:5" x14ac:dyDescent="0.25">
      <c r="A598">
        <v>3</v>
      </c>
      <c r="B598">
        <v>-0.5</v>
      </c>
      <c r="D598">
        <v>1</v>
      </c>
      <c r="E598">
        <f t="shared" si="9"/>
        <v>4.0615477118338829E-2</v>
      </c>
    </row>
    <row r="599" spans="1:5" x14ac:dyDescent="0.25">
      <c r="A599">
        <v>3</v>
      </c>
      <c r="B599">
        <v>0.162162162162162</v>
      </c>
      <c r="D599">
        <v>1</v>
      </c>
      <c r="E599">
        <f t="shared" si="9"/>
        <v>4.0615477118338829E-2</v>
      </c>
    </row>
    <row r="600" spans="1:5" x14ac:dyDescent="0.25">
      <c r="A600">
        <v>3</v>
      </c>
      <c r="B600">
        <v>0.107226107226107</v>
      </c>
      <c r="D600">
        <v>1</v>
      </c>
      <c r="E600">
        <f t="shared" si="9"/>
        <v>4.0615477118338829E-2</v>
      </c>
    </row>
    <row r="601" spans="1:5" x14ac:dyDescent="0.25">
      <c r="A601">
        <v>3</v>
      </c>
      <c r="B601">
        <v>-1.8018018018018001E-2</v>
      </c>
      <c r="D601">
        <v>1</v>
      </c>
      <c r="E601">
        <f t="shared" si="9"/>
        <v>4.0615477118338829E-2</v>
      </c>
    </row>
    <row r="602" spans="1:5" x14ac:dyDescent="0.25">
      <c r="A602">
        <v>3</v>
      </c>
      <c r="B602">
        <v>7.8078078078078095E-2</v>
      </c>
      <c r="D602">
        <v>1</v>
      </c>
      <c r="E602">
        <f t="shared" si="9"/>
        <v>4.0615477118338829E-2</v>
      </c>
    </row>
    <row r="603" spans="1:5" x14ac:dyDescent="0.25">
      <c r="A603">
        <v>3</v>
      </c>
      <c r="B603">
        <v>2.4E-2</v>
      </c>
      <c r="D603">
        <v>1</v>
      </c>
      <c r="E603">
        <f t="shared" si="9"/>
        <v>4.0615477118338829E-2</v>
      </c>
    </row>
    <row r="604" spans="1:5" x14ac:dyDescent="0.25">
      <c r="A604">
        <v>3</v>
      </c>
      <c r="B604">
        <v>0.116766467065868</v>
      </c>
      <c r="D604">
        <v>1</v>
      </c>
      <c r="E604">
        <f t="shared" si="9"/>
        <v>4.0615477118338829E-2</v>
      </c>
    </row>
    <row r="605" spans="1:5" x14ac:dyDescent="0.25">
      <c r="A605">
        <v>3</v>
      </c>
      <c r="B605">
        <v>-4.26666666666667E-2</v>
      </c>
      <c r="D605">
        <v>1</v>
      </c>
      <c r="E605">
        <f t="shared" si="9"/>
        <v>4.0615477118338829E-2</v>
      </c>
    </row>
    <row r="606" spans="1:5" x14ac:dyDescent="0.25">
      <c r="A606">
        <v>3</v>
      </c>
      <c r="B606">
        <v>2.09580838323353E-2</v>
      </c>
      <c r="D606">
        <v>1</v>
      </c>
      <c r="E606">
        <f t="shared" si="9"/>
        <v>4.0615477118338829E-2</v>
      </c>
    </row>
    <row r="607" spans="1:5" x14ac:dyDescent="0.25">
      <c r="A607">
        <v>3</v>
      </c>
      <c r="B607">
        <v>-9.3333333333333296E-2</v>
      </c>
      <c r="D607">
        <v>1</v>
      </c>
      <c r="E607">
        <f t="shared" si="9"/>
        <v>4.0615477118338829E-2</v>
      </c>
    </row>
    <row r="608" spans="1:5" x14ac:dyDescent="0.25">
      <c r="A608">
        <v>3</v>
      </c>
      <c r="B608">
        <v>1.6E-2</v>
      </c>
      <c r="D608">
        <v>1</v>
      </c>
      <c r="E608">
        <f t="shared" si="9"/>
        <v>4.0615477118338829E-2</v>
      </c>
    </row>
    <row r="609" spans="1:5" x14ac:dyDescent="0.25">
      <c r="A609">
        <v>3</v>
      </c>
      <c r="B609">
        <v>4.0000000000000001E-3</v>
      </c>
      <c r="D609">
        <v>1</v>
      </c>
      <c r="E609">
        <f t="shared" si="9"/>
        <v>4.0615477118338829E-2</v>
      </c>
    </row>
    <row r="610" spans="1:5" x14ac:dyDescent="0.25">
      <c r="A610">
        <v>3</v>
      </c>
      <c r="B610">
        <v>-5.1999999999999998E-2</v>
      </c>
      <c r="D610">
        <v>1</v>
      </c>
      <c r="E610">
        <f t="shared" si="9"/>
        <v>4.0615477118338829E-2</v>
      </c>
    </row>
    <row r="611" spans="1:5" x14ac:dyDescent="0.25">
      <c r="A611">
        <v>3</v>
      </c>
      <c r="B611">
        <v>-3.3033033033033003E-2</v>
      </c>
      <c r="D611">
        <v>1</v>
      </c>
      <c r="E611">
        <f t="shared" si="9"/>
        <v>4.0615477118338829E-2</v>
      </c>
    </row>
    <row r="612" spans="1:5" x14ac:dyDescent="0.25">
      <c r="A612">
        <v>3</v>
      </c>
      <c r="B612">
        <v>-0.108</v>
      </c>
      <c r="D612">
        <v>1</v>
      </c>
      <c r="E612">
        <f t="shared" si="9"/>
        <v>4.0615477118338829E-2</v>
      </c>
    </row>
    <row r="613" spans="1:5" x14ac:dyDescent="0.25">
      <c r="A613">
        <v>3</v>
      </c>
      <c r="B613">
        <v>-2.4024024024024E-2</v>
      </c>
      <c r="D613">
        <v>1</v>
      </c>
      <c r="E613">
        <f t="shared" si="9"/>
        <v>4.0615477118338829E-2</v>
      </c>
    </row>
    <row r="614" spans="1:5" x14ac:dyDescent="0.25">
      <c r="A614">
        <v>3</v>
      </c>
      <c r="B614">
        <v>-9.7902097902097904E-2</v>
      </c>
      <c r="D614">
        <v>1</v>
      </c>
      <c r="E614">
        <f t="shared" si="9"/>
        <v>4.0615477118338829E-2</v>
      </c>
    </row>
    <row r="615" spans="1:5" x14ac:dyDescent="0.25">
      <c r="A615">
        <v>3</v>
      </c>
      <c r="B615">
        <v>0.21</v>
      </c>
      <c r="D615">
        <v>1</v>
      </c>
      <c r="E615">
        <f t="shared" si="9"/>
        <v>4.0615477118338829E-2</v>
      </c>
    </row>
    <row r="616" spans="1:5" x14ac:dyDescent="0.25">
      <c r="A616">
        <v>3</v>
      </c>
      <c r="B616">
        <v>7.4592074592074606E-2</v>
      </c>
      <c r="D616">
        <v>1</v>
      </c>
      <c r="E616">
        <f t="shared" si="9"/>
        <v>4.0615477118338829E-2</v>
      </c>
    </row>
    <row r="617" spans="1:5" x14ac:dyDescent="0.25">
      <c r="A617">
        <v>3</v>
      </c>
      <c r="B617">
        <v>0.45744680851063801</v>
      </c>
      <c r="D617">
        <v>1</v>
      </c>
      <c r="E617">
        <f t="shared" si="9"/>
        <v>4.0615477118338829E-2</v>
      </c>
    </row>
    <row r="618" spans="1:5" x14ac:dyDescent="0.25">
      <c r="A618">
        <v>3</v>
      </c>
      <c r="B618">
        <v>1</v>
      </c>
      <c r="D618">
        <v>1</v>
      </c>
      <c r="E618">
        <f t="shared" si="9"/>
        <v>4.0615477118338829E-2</v>
      </c>
    </row>
    <row r="619" spans="1:5" x14ac:dyDescent="0.25">
      <c r="A619">
        <v>3</v>
      </c>
      <c r="B619">
        <v>5.3333333333333297E-3</v>
      </c>
      <c r="D619">
        <v>1</v>
      </c>
      <c r="E619">
        <f t="shared" si="9"/>
        <v>4.0615477118338829E-2</v>
      </c>
    </row>
    <row r="620" spans="1:5" x14ac:dyDescent="0.25">
      <c r="A620">
        <v>3</v>
      </c>
      <c r="B620">
        <v>9.0909090909090898E-2</v>
      </c>
      <c r="D620">
        <v>1</v>
      </c>
      <c r="E620">
        <f t="shared" si="9"/>
        <v>4.0615477118338829E-2</v>
      </c>
    </row>
    <row r="621" spans="1:5" x14ac:dyDescent="0.25">
      <c r="A621">
        <v>3</v>
      </c>
      <c r="B621">
        <v>-0.13866666666666699</v>
      </c>
      <c r="D621">
        <v>1</v>
      </c>
      <c r="E621">
        <f t="shared" si="9"/>
        <v>4.0615477118338829E-2</v>
      </c>
    </row>
    <row r="622" spans="1:5" x14ac:dyDescent="0.25">
      <c r="A622">
        <v>3</v>
      </c>
      <c r="B622">
        <v>0.22800000000000001</v>
      </c>
      <c r="D622">
        <v>1</v>
      </c>
      <c r="E622">
        <f t="shared" si="9"/>
        <v>4.0615477118338829E-2</v>
      </c>
    </row>
    <row r="623" spans="1:5" x14ac:dyDescent="0.25">
      <c r="A623">
        <v>3</v>
      </c>
      <c r="B623">
        <v>0.53613053613053596</v>
      </c>
      <c r="D623">
        <v>1</v>
      </c>
      <c r="E623">
        <f t="shared" si="9"/>
        <v>4.0615477118338829E-2</v>
      </c>
    </row>
    <row r="624" spans="1:5" x14ac:dyDescent="0.25">
      <c r="A624">
        <v>3</v>
      </c>
      <c r="B624">
        <v>-0.18618618618618599</v>
      </c>
      <c r="D624">
        <v>1</v>
      </c>
      <c r="E624">
        <f t="shared" si="9"/>
        <v>4.0615477118338829E-2</v>
      </c>
    </row>
    <row r="625" spans="1:5" x14ac:dyDescent="0.25">
      <c r="A625">
        <v>3</v>
      </c>
      <c r="B625">
        <v>0.36</v>
      </c>
      <c r="D625">
        <v>1</v>
      </c>
      <c r="E625">
        <f t="shared" si="9"/>
        <v>4.0615477118338829E-2</v>
      </c>
    </row>
    <row r="626" spans="1:5" x14ac:dyDescent="0.25">
      <c r="A626">
        <v>3</v>
      </c>
      <c r="B626">
        <v>-6.6666666666666693E-2</v>
      </c>
      <c r="D626">
        <v>1</v>
      </c>
      <c r="E626">
        <f t="shared" si="9"/>
        <v>4.0615477118338829E-2</v>
      </c>
    </row>
    <row r="627" spans="1:5" x14ac:dyDescent="0.25">
      <c r="A627">
        <v>3</v>
      </c>
      <c r="B627">
        <v>0.502</v>
      </c>
      <c r="D627">
        <v>1</v>
      </c>
      <c r="E627">
        <f t="shared" si="9"/>
        <v>4.0615477118338829E-2</v>
      </c>
    </row>
    <row r="628" spans="1:5" x14ac:dyDescent="0.25">
      <c r="A628">
        <v>3</v>
      </c>
      <c r="B628">
        <v>0.58399999999999996</v>
      </c>
      <c r="D628">
        <v>1</v>
      </c>
      <c r="E628">
        <f t="shared" si="9"/>
        <v>4.0615477118338829E-2</v>
      </c>
    </row>
    <row r="629" spans="1:5" x14ac:dyDescent="0.25">
      <c r="A629">
        <v>3</v>
      </c>
      <c r="B629">
        <v>-0.135135135135135</v>
      </c>
      <c r="D629">
        <v>1</v>
      </c>
      <c r="E629">
        <f t="shared" si="9"/>
        <v>4.0615477118338829E-2</v>
      </c>
    </row>
    <row r="630" spans="1:5" x14ac:dyDescent="0.25">
      <c r="A630">
        <v>3</v>
      </c>
      <c r="B630">
        <v>0.47319347319347299</v>
      </c>
      <c r="D630">
        <v>1</v>
      </c>
      <c r="E630">
        <f t="shared" si="9"/>
        <v>4.0615477118338829E-2</v>
      </c>
    </row>
    <row r="631" spans="1:5" x14ac:dyDescent="0.25">
      <c r="A631">
        <v>3</v>
      </c>
      <c r="B631">
        <v>0.293333333333333</v>
      </c>
      <c r="D631">
        <v>1</v>
      </c>
      <c r="E631">
        <f t="shared" si="9"/>
        <v>4.0615477118338829E-2</v>
      </c>
    </row>
    <row r="632" spans="1:5" x14ac:dyDescent="0.25">
      <c r="A632">
        <v>3</v>
      </c>
      <c r="B632">
        <v>-0.18933333333333299</v>
      </c>
      <c r="D632">
        <v>1</v>
      </c>
      <c r="E632">
        <f t="shared" si="9"/>
        <v>4.0615477118338829E-2</v>
      </c>
    </row>
    <row r="633" spans="1:5" x14ac:dyDescent="0.25">
      <c r="A633">
        <v>3</v>
      </c>
      <c r="B633">
        <v>0.36499999999999999</v>
      </c>
      <c r="D633">
        <v>1</v>
      </c>
      <c r="E633">
        <f t="shared" si="9"/>
        <v>4.0615477118338829E-2</v>
      </c>
    </row>
    <row r="634" spans="1:5" x14ac:dyDescent="0.25">
      <c r="A634">
        <v>3</v>
      </c>
      <c r="B634">
        <v>0.461666666666667</v>
      </c>
      <c r="D634">
        <v>1</v>
      </c>
      <c r="E634">
        <f t="shared" si="9"/>
        <v>4.0615477118338829E-2</v>
      </c>
    </row>
    <row r="635" spans="1:5" x14ac:dyDescent="0.25">
      <c r="A635">
        <v>3</v>
      </c>
      <c r="B635">
        <v>0.46153846153846201</v>
      </c>
      <c r="D635">
        <v>1</v>
      </c>
      <c r="E635">
        <f t="shared" si="9"/>
        <v>4.0615477118338829E-2</v>
      </c>
    </row>
    <row r="636" spans="1:5" x14ac:dyDescent="0.25">
      <c r="A636">
        <v>3</v>
      </c>
      <c r="B636">
        <v>-9.6000000000000002E-2</v>
      </c>
      <c r="D636">
        <v>1</v>
      </c>
      <c r="E636">
        <f t="shared" si="9"/>
        <v>4.0615477118338829E-2</v>
      </c>
    </row>
    <row r="637" spans="1:5" x14ac:dyDescent="0.25">
      <c r="A637">
        <v>3</v>
      </c>
      <c r="B637">
        <v>1</v>
      </c>
      <c r="D637">
        <v>1</v>
      </c>
      <c r="E637">
        <f t="shared" si="9"/>
        <v>4.0615477118338829E-2</v>
      </c>
    </row>
    <row r="638" spans="1:5" x14ac:dyDescent="0.25">
      <c r="A638">
        <v>3</v>
      </c>
      <c r="B638">
        <v>-0.100467289719626</v>
      </c>
      <c r="D638">
        <v>1</v>
      </c>
      <c r="E638">
        <f t="shared" si="9"/>
        <v>4.0615477118338829E-2</v>
      </c>
    </row>
    <row r="639" spans="1:5" x14ac:dyDescent="0.25">
      <c r="A639">
        <v>3</v>
      </c>
      <c r="B639">
        <v>-4.2042042042041997E-2</v>
      </c>
      <c r="D639">
        <v>1</v>
      </c>
      <c r="E639">
        <f t="shared" si="9"/>
        <v>4.0615477118338829E-2</v>
      </c>
    </row>
    <row r="640" spans="1:5" x14ac:dyDescent="0.25">
      <c r="A640">
        <v>3</v>
      </c>
      <c r="B640">
        <v>-2.80373831775701E-2</v>
      </c>
      <c r="D640">
        <v>1</v>
      </c>
      <c r="E640">
        <f t="shared" si="9"/>
        <v>4.0615477118338829E-2</v>
      </c>
    </row>
    <row r="641" spans="1:5" x14ac:dyDescent="0.25">
      <c r="A641">
        <v>3</v>
      </c>
      <c r="B641">
        <v>-0.123123123123123</v>
      </c>
      <c r="D641">
        <v>1</v>
      </c>
      <c r="E641">
        <f t="shared" si="9"/>
        <v>4.0615477118338829E-2</v>
      </c>
    </row>
    <row r="642" spans="1:5" x14ac:dyDescent="0.25">
      <c r="A642">
        <v>3</v>
      </c>
      <c r="B642">
        <v>5.1051051051051101E-2</v>
      </c>
      <c r="D642">
        <v>1</v>
      </c>
      <c r="E642">
        <f t="shared" si="9"/>
        <v>4.0615477118338829E-2</v>
      </c>
    </row>
    <row r="643" spans="1:5" x14ac:dyDescent="0.25">
      <c r="A643">
        <v>3</v>
      </c>
      <c r="B643">
        <v>-0.06</v>
      </c>
      <c r="D643">
        <v>1</v>
      </c>
      <c r="E643">
        <f t="shared" ref="E643:E706" si="10">_xlfn.NORM.DIST(D643, I$4,I$7,FALSE)</f>
        <v>4.0615477118338829E-2</v>
      </c>
    </row>
    <row r="644" spans="1:5" x14ac:dyDescent="0.25">
      <c r="A644">
        <v>3</v>
      </c>
      <c r="B644">
        <v>9.0090090090090107E-3</v>
      </c>
      <c r="D644">
        <v>1</v>
      </c>
      <c r="E644">
        <f t="shared" si="10"/>
        <v>4.0615477118338829E-2</v>
      </c>
    </row>
    <row r="645" spans="1:5" x14ac:dyDescent="0.25">
      <c r="A645">
        <v>3</v>
      </c>
      <c r="B645">
        <v>-0.17333333333333301</v>
      </c>
      <c r="D645">
        <v>1</v>
      </c>
      <c r="E645">
        <f t="shared" si="10"/>
        <v>4.0615477118338829E-2</v>
      </c>
    </row>
    <row r="646" spans="1:5" x14ac:dyDescent="0.25">
      <c r="A646">
        <v>3</v>
      </c>
      <c r="B646">
        <v>-0.191142191142191</v>
      </c>
      <c r="D646">
        <v>1</v>
      </c>
      <c r="E646">
        <f t="shared" si="10"/>
        <v>4.0615477118338829E-2</v>
      </c>
    </row>
    <row r="647" spans="1:5" x14ac:dyDescent="0.25">
      <c r="A647">
        <v>3</v>
      </c>
      <c r="B647">
        <v>8.0000000000000002E-3</v>
      </c>
      <c r="D647">
        <v>1</v>
      </c>
      <c r="E647">
        <f t="shared" si="10"/>
        <v>4.0615477118338829E-2</v>
      </c>
    </row>
    <row r="648" spans="1:5" x14ac:dyDescent="0.25">
      <c r="A648">
        <v>3</v>
      </c>
      <c r="B648">
        <v>-0.09</v>
      </c>
      <c r="D648">
        <v>1</v>
      </c>
      <c r="E648">
        <f t="shared" si="10"/>
        <v>4.0615477118338829E-2</v>
      </c>
    </row>
    <row r="649" spans="1:5" x14ac:dyDescent="0.25">
      <c r="A649">
        <v>3</v>
      </c>
      <c r="B649">
        <v>-5.3333333333333302E-2</v>
      </c>
      <c r="D649">
        <v>1</v>
      </c>
      <c r="E649">
        <f t="shared" si="10"/>
        <v>4.0615477118338829E-2</v>
      </c>
    </row>
    <row r="650" spans="1:5" x14ac:dyDescent="0.25">
      <c r="A650">
        <v>3</v>
      </c>
      <c r="B650">
        <v>8.3832335329341298E-2</v>
      </c>
      <c r="D650">
        <v>1</v>
      </c>
      <c r="E650">
        <f t="shared" si="10"/>
        <v>4.0615477118338829E-2</v>
      </c>
    </row>
    <row r="651" spans="1:5" x14ac:dyDescent="0.25">
      <c r="A651">
        <v>3</v>
      </c>
      <c r="B651">
        <v>2.7972027972028E-2</v>
      </c>
      <c r="D651">
        <v>1</v>
      </c>
      <c r="E651">
        <f t="shared" si="10"/>
        <v>4.0615477118338829E-2</v>
      </c>
    </row>
    <row r="652" spans="1:5" x14ac:dyDescent="0.25">
      <c r="A652">
        <v>3</v>
      </c>
      <c r="B652">
        <v>-0.17199999999999999</v>
      </c>
      <c r="D652">
        <v>1</v>
      </c>
      <c r="E652">
        <f t="shared" si="10"/>
        <v>4.0615477118338829E-2</v>
      </c>
    </row>
    <row r="653" spans="1:5" x14ac:dyDescent="0.25">
      <c r="A653">
        <v>3</v>
      </c>
      <c r="B653">
        <v>-6.25E-2</v>
      </c>
      <c r="D653">
        <v>1</v>
      </c>
      <c r="E653">
        <f t="shared" si="10"/>
        <v>4.0615477118338829E-2</v>
      </c>
    </row>
    <row r="654" spans="1:5" x14ac:dyDescent="0.25">
      <c r="A654">
        <v>3</v>
      </c>
      <c r="B654">
        <v>4.2000000000000003E-2</v>
      </c>
      <c r="D654">
        <v>1</v>
      </c>
      <c r="E654">
        <f t="shared" si="10"/>
        <v>4.0615477118338829E-2</v>
      </c>
    </row>
    <row r="655" spans="1:5" x14ac:dyDescent="0.25">
      <c r="A655">
        <v>3</v>
      </c>
      <c r="B655">
        <v>0.18</v>
      </c>
      <c r="D655">
        <v>1</v>
      </c>
      <c r="E655">
        <f t="shared" si="10"/>
        <v>4.0615477118338829E-2</v>
      </c>
    </row>
    <row r="656" spans="1:5" x14ac:dyDescent="0.25">
      <c r="A656">
        <v>3</v>
      </c>
      <c r="B656">
        <v>0.43269230769230799</v>
      </c>
      <c r="D656">
        <v>1</v>
      </c>
      <c r="E656">
        <f t="shared" si="10"/>
        <v>4.0615477118338829E-2</v>
      </c>
    </row>
    <row r="657" spans="1:5" x14ac:dyDescent="0.25">
      <c r="A657">
        <v>3</v>
      </c>
      <c r="B657">
        <v>1</v>
      </c>
      <c r="D657">
        <v>1</v>
      </c>
      <c r="E657">
        <f t="shared" si="10"/>
        <v>4.0615477118338829E-2</v>
      </c>
    </row>
    <row r="658" spans="1:5" x14ac:dyDescent="0.25">
      <c r="A658">
        <v>3</v>
      </c>
      <c r="B658">
        <v>0.36266666666666703</v>
      </c>
      <c r="D658">
        <v>1</v>
      </c>
      <c r="E658">
        <f t="shared" si="10"/>
        <v>4.0615477118338829E-2</v>
      </c>
    </row>
    <row r="659" spans="1:5" x14ac:dyDescent="0.25">
      <c r="A659">
        <v>3</v>
      </c>
      <c r="B659">
        <v>0.27027027027027001</v>
      </c>
      <c r="D659">
        <v>1</v>
      </c>
      <c r="E659">
        <f t="shared" si="10"/>
        <v>4.0615477118338829E-2</v>
      </c>
    </row>
    <row r="660" spans="1:5" x14ac:dyDescent="0.25">
      <c r="A660">
        <v>3</v>
      </c>
      <c r="B660">
        <v>0.47199999999999998</v>
      </c>
      <c r="D660">
        <v>1</v>
      </c>
      <c r="E660">
        <f t="shared" si="10"/>
        <v>4.0615477118338829E-2</v>
      </c>
    </row>
    <row r="661" spans="1:5" x14ac:dyDescent="0.25">
      <c r="A661">
        <v>3</v>
      </c>
      <c r="B661">
        <v>0.39393939393939398</v>
      </c>
      <c r="D661">
        <v>1</v>
      </c>
      <c r="E661">
        <f t="shared" si="10"/>
        <v>4.0615477118338829E-2</v>
      </c>
    </row>
    <row r="662" spans="1:5" x14ac:dyDescent="0.25">
      <c r="A662">
        <v>3</v>
      </c>
      <c r="B662">
        <v>-2.9940119760479E-3</v>
      </c>
      <c r="D662">
        <v>1</v>
      </c>
      <c r="E662">
        <f t="shared" si="10"/>
        <v>4.0615477118338829E-2</v>
      </c>
    </row>
    <row r="663" spans="1:5" x14ac:dyDescent="0.25">
      <c r="A663">
        <v>3</v>
      </c>
      <c r="B663">
        <v>0.40400000000000003</v>
      </c>
      <c r="D663">
        <v>1</v>
      </c>
      <c r="E663">
        <f t="shared" si="10"/>
        <v>4.0615477118338829E-2</v>
      </c>
    </row>
    <row r="664" spans="1:5" x14ac:dyDescent="0.25">
      <c r="A664">
        <v>3</v>
      </c>
      <c r="B664">
        <v>0.54666666666666697</v>
      </c>
      <c r="D664">
        <v>1</v>
      </c>
      <c r="E664">
        <f t="shared" si="10"/>
        <v>4.0615477118338829E-2</v>
      </c>
    </row>
    <row r="665" spans="1:5" x14ac:dyDescent="0.25">
      <c r="A665">
        <v>3</v>
      </c>
      <c r="B665">
        <v>1.2012012012012E-2</v>
      </c>
      <c r="D665">
        <v>1</v>
      </c>
      <c r="E665">
        <f t="shared" si="10"/>
        <v>4.0615477118338829E-2</v>
      </c>
    </row>
    <row r="666" spans="1:5" x14ac:dyDescent="0.25">
      <c r="A666">
        <v>3</v>
      </c>
      <c r="B666">
        <v>0.39600000000000002</v>
      </c>
      <c r="D666">
        <v>1</v>
      </c>
      <c r="E666">
        <f t="shared" si="10"/>
        <v>4.0615477118338829E-2</v>
      </c>
    </row>
    <row r="667" spans="1:5" x14ac:dyDescent="0.25">
      <c r="A667">
        <v>3</v>
      </c>
      <c r="B667">
        <v>0.08</v>
      </c>
      <c r="D667">
        <v>1</v>
      </c>
      <c r="E667">
        <f t="shared" si="10"/>
        <v>4.0615477118338829E-2</v>
      </c>
    </row>
    <row r="668" spans="1:5" x14ac:dyDescent="0.25">
      <c r="A668">
        <v>3</v>
      </c>
      <c r="B668">
        <v>0.74166666666666703</v>
      </c>
      <c r="D668">
        <v>1</v>
      </c>
      <c r="E668">
        <f t="shared" si="10"/>
        <v>4.0615477118338829E-2</v>
      </c>
    </row>
    <row r="669" spans="1:5" x14ac:dyDescent="0.25">
      <c r="A669">
        <v>3</v>
      </c>
      <c r="B669">
        <v>0.66400000000000003</v>
      </c>
      <c r="D669">
        <v>1</v>
      </c>
      <c r="E669">
        <f t="shared" si="10"/>
        <v>4.0615477118338829E-2</v>
      </c>
    </row>
    <row r="670" spans="1:5" x14ac:dyDescent="0.25">
      <c r="A670">
        <v>3</v>
      </c>
      <c r="B670">
        <v>0.53066666666666695</v>
      </c>
      <c r="D670">
        <v>1</v>
      </c>
      <c r="E670">
        <f t="shared" si="10"/>
        <v>4.0615477118338829E-2</v>
      </c>
    </row>
    <row r="671" spans="1:5" x14ac:dyDescent="0.25">
      <c r="A671">
        <v>3</v>
      </c>
      <c r="B671">
        <v>3.9039039039038999E-2</v>
      </c>
      <c r="D671">
        <v>1</v>
      </c>
      <c r="E671">
        <f t="shared" si="10"/>
        <v>4.0615477118338829E-2</v>
      </c>
    </row>
    <row r="672" spans="1:5" x14ac:dyDescent="0.25">
      <c r="A672">
        <v>3</v>
      </c>
      <c r="B672">
        <v>0.252</v>
      </c>
      <c r="D672">
        <v>1</v>
      </c>
      <c r="E672">
        <f t="shared" si="10"/>
        <v>4.0615477118338829E-2</v>
      </c>
    </row>
    <row r="673" spans="1:5" x14ac:dyDescent="0.25">
      <c r="A673">
        <v>3</v>
      </c>
      <c r="B673">
        <v>1</v>
      </c>
      <c r="D673">
        <v>1</v>
      </c>
      <c r="E673">
        <f t="shared" si="10"/>
        <v>4.0615477118338829E-2</v>
      </c>
    </row>
    <row r="674" spans="1:5" x14ac:dyDescent="0.25">
      <c r="A674">
        <v>3</v>
      </c>
      <c r="B674">
        <v>-2.7027027027027001E-2</v>
      </c>
      <c r="D674">
        <v>1</v>
      </c>
      <c r="E674">
        <f t="shared" si="10"/>
        <v>4.0615477118338829E-2</v>
      </c>
    </row>
    <row r="675" spans="1:5" x14ac:dyDescent="0.25">
      <c r="A675">
        <v>3</v>
      </c>
      <c r="B675">
        <v>0.14371257485029901</v>
      </c>
      <c r="D675">
        <v>1</v>
      </c>
      <c r="E675">
        <f t="shared" si="10"/>
        <v>4.0615477118338829E-2</v>
      </c>
    </row>
    <row r="676" spans="1:5" x14ac:dyDescent="0.25">
      <c r="A676">
        <v>3</v>
      </c>
      <c r="B676">
        <v>6.3084112149532703E-2</v>
      </c>
      <c r="D676">
        <v>1</v>
      </c>
      <c r="E676">
        <f t="shared" si="10"/>
        <v>4.0615477118338829E-2</v>
      </c>
    </row>
    <row r="677" spans="1:5" x14ac:dyDescent="0.25">
      <c r="A677">
        <v>3</v>
      </c>
      <c r="B677">
        <v>-3.9039039039038999E-2</v>
      </c>
      <c r="D677">
        <v>1</v>
      </c>
      <c r="E677">
        <f t="shared" si="10"/>
        <v>4.0615477118338829E-2</v>
      </c>
    </row>
    <row r="678" spans="1:5" x14ac:dyDescent="0.25">
      <c r="A678">
        <v>3</v>
      </c>
      <c r="B678">
        <v>0.126126126126126</v>
      </c>
      <c r="D678">
        <v>1</v>
      </c>
      <c r="E678">
        <f t="shared" si="10"/>
        <v>4.0615477118338829E-2</v>
      </c>
    </row>
    <row r="679" spans="1:5" x14ac:dyDescent="0.25">
      <c r="A679">
        <v>3</v>
      </c>
      <c r="B679">
        <v>5.86666666666667E-2</v>
      </c>
      <c r="D679">
        <v>1</v>
      </c>
      <c r="E679">
        <f t="shared" si="10"/>
        <v>4.0615477118338829E-2</v>
      </c>
    </row>
    <row r="680" spans="1:5" x14ac:dyDescent="0.25">
      <c r="A680">
        <v>3</v>
      </c>
      <c r="B680">
        <v>0.17799999999999999</v>
      </c>
      <c r="D680">
        <v>1</v>
      </c>
      <c r="E680">
        <f t="shared" si="10"/>
        <v>4.0615477118338829E-2</v>
      </c>
    </row>
    <row r="681" spans="1:5" x14ac:dyDescent="0.25">
      <c r="A681">
        <v>3</v>
      </c>
      <c r="B681">
        <v>9.6096096096096095E-2</v>
      </c>
      <c r="D681">
        <v>1</v>
      </c>
      <c r="E681">
        <f t="shared" si="10"/>
        <v>4.0615477118338829E-2</v>
      </c>
    </row>
    <row r="682" spans="1:5" x14ac:dyDescent="0.25">
      <c r="A682">
        <v>3</v>
      </c>
      <c r="B682">
        <v>0.14018691588785001</v>
      </c>
      <c r="D682">
        <v>1</v>
      </c>
      <c r="E682">
        <f t="shared" si="10"/>
        <v>4.0615477118338829E-2</v>
      </c>
    </row>
    <row r="683" spans="1:5" x14ac:dyDescent="0.25">
      <c r="A683">
        <v>3</v>
      </c>
      <c r="B683">
        <v>-1.0666666666666699E-2</v>
      </c>
      <c r="D683">
        <v>1</v>
      </c>
      <c r="E683">
        <f t="shared" si="10"/>
        <v>4.0615477118338829E-2</v>
      </c>
    </row>
    <row r="684" spans="1:5" x14ac:dyDescent="0.25">
      <c r="A684">
        <v>3</v>
      </c>
      <c r="B684">
        <v>0.151869158878505</v>
      </c>
      <c r="D684">
        <v>1</v>
      </c>
      <c r="E684">
        <f t="shared" si="10"/>
        <v>4.0615477118338829E-2</v>
      </c>
    </row>
    <row r="685" spans="1:5" x14ac:dyDescent="0.25">
      <c r="A685">
        <v>3</v>
      </c>
      <c r="B685">
        <v>4.2042042042041997E-2</v>
      </c>
      <c r="D685">
        <v>1</v>
      </c>
      <c r="E685">
        <f t="shared" si="10"/>
        <v>4.0615477118338829E-2</v>
      </c>
    </row>
    <row r="686" spans="1:5" x14ac:dyDescent="0.25">
      <c r="A686">
        <v>3</v>
      </c>
      <c r="B686">
        <v>8.0000000000000002E-3</v>
      </c>
      <c r="D686">
        <v>1</v>
      </c>
      <c r="E686">
        <f t="shared" si="10"/>
        <v>4.0615477118338829E-2</v>
      </c>
    </row>
    <row r="687" spans="1:5" x14ac:dyDescent="0.25">
      <c r="A687">
        <v>3</v>
      </c>
      <c r="B687">
        <v>7.2429906542056097E-2</v>
      </c>
      <c r="D687">
        <v>1</v>
      </c>
      <c r="E687">
        <f t="shared" si="10"/>
        <v>4.0615477118338829E-2</v>
      </c>
    </row>
    <row r="688" spans="1:5" x14ac:dyDescent="0.25">
      <c r="A688">
        <v>3</v>
      </c>
      <c r="B688">
        <v>-8.7999999999999995E-2</v>
      </c>
      <c r="D688">
        <v>1</v>
      </c>
      <c r="E688">
        <f t="shared" si="10"/>
        <v>4.0615477118338829E-2</v>
      </c>
    </row>
    <row r="689" spans="1:5" x14ac:dyDescent="0.25">
      <c r="A689">
        <v>3</v>
      </c>
      <c r="B689">
        <v>-8.7999999999999995E-2</v>
      </c>
      <c r="D689">
        <v>1</v>
      </c>
      <c r="E689">
        <f t="shared" si="10"/>
        <v>4.0615477118338829E-2</v>
      </c>
    </row>
    <row r="690" spans="1:5" x14ac:dyDescent="0.25">
      <c r="A690">
        <v>3</v>
      </c>
      <c r="B690">
        <v>9.00900900900901E-2</v>
      </c>
      <c r="D690">
        <v>1</v>
      </c>
      <c r="E690">
        <f t="shared" si="10"/>
        <v>4.0615477118338829E-2</v>
      </c>
    </row>
    <row r="691" spans="1:5" x14ac:dyDescent="0.25">
      <c r="A691">
        <v>3</v>
      </c>
      <c r="B691">
        <v>-5.1666666666666701E-2</v>
      </c>
      <c r="D691">
        <v>1</v>
      </c>
      <c r="E691">
        <f t="shared" si="10"/>
        <v>4.0615477118338829E-2</v>
      </c>
    </row>
    <row r="692" spans="1:5" x14ac:dyDescent="0.25">
      <c r="A692">
        <v>3</v>
      </c>
      <c r="B692">
        <v>8.4000000000000005E-2</v>
      </c>
      <c r="D692">
        <v>1</v>
      </c>
      <c r="E692">
        <f t="shared" si="10"/>
        <v>4.0615477118338829E-2</v>
      </c>
    </row>
    <row r="693" spans="1:5" x14ac:dyDescent="0.25">
      <c r="A693">
        <v>3</v>
      </c>
      <c r="B693">
        <v>-4.6666666666666697E-2</v>
      </c>
      <c r="D693">
        <v>1</v>
      </c>
      <c r="E693">
        <f t="shared" si="10"/>
        <v>4.0615477118338829E-2</v>
      </c>
    </row>
    <row r="694" spans="1:5" x14ac:dyDescent="0.25">
      <c r="A694">
        <v>3</v>
      </c>
      <c r="B694">
        <v>0.123831775700935</v>
      </c>
      <c r="D694">
        <v>1</v>
      </c>
      <c r="E694">
        <f t="shared" si="10"/>
        <v>4.0615477118338829E-2</v>
      </c>
    </row>
    <row r="695" spans="1:5" x14ac:dyDescent="0.25">
      <c r="A695">
        <v>3</v>
      </c>
      <c r="B695">
        <v>-5.1282051282051301E-2</v>
      </c>
      <c r="D695">
        <v>1</v>
      </c>
      <c r="E695">
        <f t="shared" si="10"/>
        <v>4.0615477118338829E-2</v>
      </c>
    </row>
    <row r="696" spans="1:5" x14ac:dyDescent="0.25">
      <c r="A696">
        <v>3</v>
      </c>
      <c r="B696">
        <v>0.33400000000000002</v>
      </c>
      <c r="D696">
        <v>1</v>
      </c>
      <c r="E696">
        <f t="shared" si="10"/>
        <v>4.0615477118338829E-2</v>
      </c>
    </row>
    <row r="697" spans="1:5" x14ac:dyDescent="0.25">
      <c r="A697">
        <v>3</v>
      </c>
      <c r="B697">
        <v>0.16800000000000001</v>
      </c>
      <c r="D697">
        <v>1</v>
      </c>
      <c r="E697">
        <f t="shared" si="10"/>
        <v>4.0615477118338829E-2</v>
      </c>
    </row>
    <row r="698" spans="1:5" x14ac:dyDescent="0.25">
      <c r="A698">
        <v>3</v>
      </c>
      <c r="B698">
        <v>0.121495327102804</v>
      </c>
      <c r="D698">
        <v>1</v>
      </c>
      <c r="E698">
        <f t="shared" si="10"/>
        <v>4.0615477118338829E-2</v>
      </c>
    </row>
    <row r="699" spans="1:5" x14ac:dyDescent="0.25">
      <c r="A699">
        <v>3</v>
      </c>
      <c r="B699">
        <v>0.44055944055944102</v>
      </c>
      <c r="D699">
        <v>1</v>
      </c>
      <c r="E699">
        <f t="shared" si="10"/>
        <v>4.0615477118338829E-2</v>
      </c>
    </row>
    <row r="700" spans="1:5" x14ac:dyDescent="0.25">
      <c r="A700">
        <v>3</v>
      </c>
      <c r="B700">
        <v>-3.5999999999999997E-2</v>
      </c>
      <c r="D700">
        <v>1</v>
      </c>
      <c r="E700">
        <f t="shared" si="10"/>
        <v>4.0615477118338829E-2</v>
      </c>
    </row>
    <row r="701" spans="1:5" x14ac:dyDescent="0.25">
      <c r="A701">
        <v>3</v>
      </c>
      <c r="B701">
        <v>0.391608391608392</v>
      </c>
      <c r="D701">
        <v>1</v>
      </c>
      <c r="E701">
        <f t="shared" si="10"/>
        <v>4.0615477118338829E-2</v>
      </c>
    </row>
    <row r="702" spans="1:5" x14ac:dyDescent="0.25">
      <c r="A702">
        <v>3</v>
      </c>
      <c r="B702">
        <v>-7.7669902912621394E-2</v>
      </c>
      <c r="D702">
        <v>1</v>
      </c>
      <c r="E702">
        <f t="shared" si="10"/>
        <v>4.0615477118338829E-2</v>
      </c>
    </row>
    <row r="703" spans="1:5" x14ac:dyDescent="0.25">
      <c r="A703">
        <v>3</v>
      </c>
      <c r="B703">
        <v>0.45333333333333298</v>
      </c>
      <c r="D703">
        <v>1</v>
      </c>
      <c r="E703">
        <f t="shared" si="10"/>
        <v>4.0615477118338829E-2</v>
      </c>
    </row>
    <row r="704" spans="1:5" x14ac:dyDescent="0.25">
      <c r="A704">
        <v>3</v>
      </c>
      <c r="B704">
        <v>8.2000000000000003E-2</v>
      </c>
      <c r="D704">
        <v>1</v>
      </c>
      <c r="E704">
        <f t="shared" si="10"/>
        <v>4.0615477118338829E-2</v>
      </c>
    </row>
    <row r="705" spans="1:5" x14ac:dyDescent="0.25">
      <c r="A705">
        <v>3</v>
      </c>
      <c r="B705">
        <v>0.10666666666666701</v>
      </c>
      <c r="D705">
        <v>1</v>
      </c>
      <c r="E705">
        <f t="shared" si="10"/>
        <v>4.0615477118338829E-2</v>
      </c>
    </row>
    <row r="706" spans="1:5" x14ac:dyDescent="0.25">
      <c r="A706">
        <v>3</v>
      </c>
      <c r="B706">
        <v>0.78787878787878796</v>
      </c>
      <c r="D706">
        <v>1</v>
      </c>
      <c r="E706">
        <f t="shared" si="10"/>
        <v>4.0615477118338829E-2</v>
      </c>
    </row>
    <row r="707" spans="1:5" x14ac:dyDescent="0.25">
      <c r="A707">
        <v>3</v>
      </c>
      <c r="B707">
        <v>0.32666666666666699</v>
      </c>
      <c r="D707">
        <v>1</v>
      </c>
      <c r="E707">
        <f t="shared" ref="E707:E770" si="11">_xlfn.NORM.DIST(D707, I$4,I$7,FALSE)</f>
        <v>4.0615477118338829E-2</v>
      </c>
    </row>
    <row r="708" spans="1:5" x14ac:dyDescent="0.25">
      <c r="A708">
        <v>3</v>
      </c>
      <c r="B708">
        <v>1</v>
      </c>
      <c r="D708">
        <v>1</v>
      </c>
      <c r="E708">
        <f t="shared" si="11"/>
        <v>4.0615477118338829E-2</v>
      </c>
    </row>
    <row r="709" spans="1:5" x14ac:dyDescent="0.25">
      <c r="A709">
        <v>3</v>
      </c>
      <c r="B709">
        <v>-9.0090090090090107E-3</v>
      </c>
      <c r="D709">
        <v>1</v>
      </c>
      <c r="E709">
        <f t="shared" si="11"/>
        <v>4.0615477118338829E-2</v>
      </c>
    </row>
    <row r="710" spans="1:5" x14ac:dyDescent="0.25">
      <c r="A710">
        <v>3</v>
      </c>
      <c r="B710">
        <v>-8.0000000000000002E-3</v>
      </c>
      <c r="D710">
        <v>1</v>
      </c>
      <c r="E710">
        <f t="shared" si="11"/>
        <v>4.0615477118338829E-2</v>
      </c>
    </row>
    <row r="711" spans="1:5" x14ac:dyDescent="0.25">
      <c r="A711">
        <v>3</v>
      </c>
      <c r="B711">
        <v>2.9940119760479E-3</v>
      </c>
      <c r="D711">
        <v>1</v>
      </c>
      <c r="E711">
        <f t="shared" si="11"/>
        <v>4.0615477118338829E-2</v>
      </c>
    </row>
    <row r="712" spans="1:5" x14ac:dyDescent="0.25">
      <c r="A712">
        <v>3</v>
      </c>
      <c r="B712">
        <v>-7.4850299401197598E-2</v>
      </c>
      <c r="D712">
        <v>1</v>
      </c>
      <c r="E712">
        <f t="shared" si="11"/>
        <v>4.0615477118338829E-2</v>
      </c>
    </row>
    <row r="713" spans="1:5" x14ac:dyDescent="0.25">
      <c r="A713">
        <v>3</v>
      </c>
      <c r="B713">
        <v>5.4054054054054099E-2</v>
      </c>
      <c r="D713">
        <v>1</v>
      </c>
      <c r="E713">
        <f t="shared" si="11"/>
        <v>4.0615477118338829E-2</v>
      </c>
    </row>
    <row r="714" spans="1:5" x14ac:dyDescent="0.25">
      <c r="A714">
        <v>3</v>
      </c>
      <c r="B714">
        <v>-4.1916167664670698E-2</v>
      </c>
      <c r="D714">
        <v>1</v>
      </c>
      <c r="E714">
        <f t="shared" si="11"/>
        <v>4.0615477118338829E-2</v>
      </c>
    </row>
    <row r="715" spans="1:5" x14ac:dyDescent="0.25">
      <c r="A715">
        <v>3</v>
      </c>
      <c r="B715">
        <v>-1.0666666666666699E-2</v>
      </c>
      <c r="D715">
        <v>1</v>
      </c>
      <c r="E715">
        <f t="shared" si="11"/>
        <v>4.0615477118338829E-2</v>
      </c>
    </row>
    <row r="716" spans="1:5" x14ac:dyDescent="0.25">
      <c r="A716">
        <v>3</v>
      </c>
      <c r="B716">
        <v>-0.149700598802395</v>
      </c>
      <c r="D716">
        <v>1</v>
      </c>
      <c r="E716">
        <f t="shared" si="11"/>
        <v>4.0615477118338829E-2</v>
      </c>
    </row>
    <row r="717" spans="1:5" x14ac:dyDescent="0.25">
      <c r="A717">
        <v>3</v>
      </c>
      <c r="B717">
        <v>0.11888111888111901</v>
      </c>
      <c r="D717">
        <v>1</v>
      </c>
      <c r="E717">
        <f t="shared" si="11"/>
        <v>4.0615477118338829E-2</v>
      </c>
    </row>
    <row r="718" spans="1:5" x14ac:dyDescent="0.25">
      <c r="A718">
        <v>3</v>
      </c>
      <c r="B718">
        <v>-0.114114114114114</v>
      </c>
      <c r="D718">
        <v>1</v>
      </c>
      <c r="E718">
        <f t="shared" si="11"/>
        <v>4.0615477118338829E-2</v>
      </c>
    </row>
    <row r="719" spans="1:5" x14ac:dyDescent="0.25">
      <c r="A719">
        <v>3</v>
      </c>
      <c r="B719">
        <v>7.8078078078078095E-2</v>
      </c>
      <c r="D719">
        <v>1</v>
      </c>
      <c r="E719">
        <f t="shared" si="11"/>
        <v>4.0615477118338829E-2</v>
      </c>
    </row>
    <row r="720" spans="1:5" x14ac:dyDescent="0.25">
      <c r="A720">
        <v>3</v>
      </c>
      <c r="B720">
        <v>-0.13173652694610799</v>
      </c>
      <c r="D720">
        <v>1</v>
      </c>
      <c r="E720">
        <f t="shared" si="11"/>
        <v>4.0615477118338829E-2</v>
      </c>
    </row>
    <row r="721" spans="1:5" x14ac:dyDescent="0.25">
      <c r="A721">
        <v>3</v>
      </c>
      <c r="B721">
        <v>5.1051051051051101E-2</v>
      </c>
      <c r="D721">
        <v>1</v>
      </c>
      <c r="E721">
        <f t="shared" si="11"/>
        <v>4.0615477118338829E-2</v>
      </c>
    </row>
    <row r="722" spans="1:5" x14ac:dyDescent="0.25">
      <c r="A722">
        <v>3</v>
      </c>
      <c r="B722">
        <v>-6.6666666666666693E-2</v>
      </c>
      <c r="D722">
        <v>1</v>
      </c>
      <c r="E722">
        <f t="shared" si="11"/>
        <v>4.0615477118338829E-2</v>
      </c>
    </row>
    <row r="723" spans="1:5" x14ac:dyDescent="0.25">
      <c r="A723">
        <v>3</v>
      </c>
      <c r="B723">
        <v>0.128504672897196</v>
      </c>
      <c r="D723">
        <v>1</v>
      </c>
      <c r="E723">
        <f t="shared" si="11"/>
        <v>4.0615477118338829E-2</v>
      </c>
    </row>
    <row r="724" spans="1:5" x14ac:dyDescent="0.25">
      <c r="A724">
        <v>3</v>
      </c>
      <c r="B724">
        <v>-8.0000000000000002E-3</v>
      </c>
      <c r="D724">
        <v>1</v>
      </c>
      <c r="E724">
        <f t="shared" si="11"/>
        <v>4.0615477118338829E-2</v>
      </c>
    </row>
    <row r="725" spans="1:5" x14ac:dyDescent="0.25">
      <c r="A725">
        <v>3</v>
      </c>
      <c r="B725">
        <v>0.11915887850467299</v>
      </c>
      <c r="D725">
        <v>1</v>
      </c>
      <c r="E725">
        <f t="shared" si="11"/>
        <v>4.0615477118338829E-2</v>
      </c>
    </row>
    <row r="726" spans="1:5" x14ac:dyDescent="0.25">
      <c r="A726">
        <v>3</v>
      </c>
      <c r="B726">
        <v>3.5000000000000003E-2</v>
      </c>
      <c r="D726">
        <v>1</v>
      </c>
      <c r="E726">
        <f t="shared" si="11"/>
        <v>4.0615477118338829E-2</v>
      </c>
    </row>
    <row r="727" spans="1:5" x14ac:dyDescent="0.25">
      <c r="A727">
        <v>3</v>
      </c>
      <c r="B727">
        <v>0.15</v>
      </c>
      <c r="D727">
        <v>1</v>
      </c>
      <c r="E727">
        <f t="shared" si="11"/>
        <v>4.0615477118338829E-2</v>
      </c>
    </row>
    <row r="728" spans="1:5" x14ac:dyDescent="0.25">
      <c r="A728">
        <v>3</v>
      </c>
      <c r="B728">
        <v>-4.6620046620046603E-2</v>
      </c>
      <c r="D728">
        <v>1</v>
      </c>
      <c r="E728">
        <f t="shared" si="11"/>
        <v>4.0615477118338829E-2</v>
      </c>
    </row>
    <row r="729" spans="1:5" x14ac:dyDescent="0.25">
      <c r="A729">
        <v>3</v>
      </c>
      <c r="B729">
        <v>0.17333333333333301</v>
      </c>
      <c r="D729">
        <v>1</v>
      </c>
      <c r="E729">
        <f t="shared" si="11"/>
        <v>4.0615477118338829E-2</v>
      </c>
    </row>
    <row r="730" spans="1:5" x14ac:dyDescent="0.25">
      <c r="A730">
        <v>3</v>
      </c>
      <c r="B730">
        <v>9.4E-2</v>
      </c>
      <c r="D730">
        <v>1</v>
      </c>
      <c r="E730">
        <f t="shared" si="11"/>
        <v>4.0615477118338829E-2</v>
      </c>
    </row>
    <row r="731" spans="1:5" x14ac:dyDescent="0.25">
      <c r="A731">
        <v>3</v>
      </c>
      <c r="B731">
        <v>0.17948717948717899</v>
      </c>
      <c r="D731">
        <v>1</v>
      </c>
      <c r="E731">
        <f t="shared" si="11"/>
        <v>4.0615477118338829E-2</v>
      </c>
    </row>
    <row r="732" spans="1:5" x14ac:dyDescent="0.25">
      <c r="A732">
        <v>3</v>
      </c>
      <c r="B732">
        <v>5.3333333333333302E-2</v>
      </c>
      <c r="D732">
        <v>1</v>
      </c>
      <c r="E732">
        <f t="shared" si="11"/>
        <v>4.0615477118338829E-2</v>
      </c>
    </row>
    <row r="733" spans="1:5" x14ac:dyDescent="0.25">
      <c r="A733">
        <v>3</v>
      </c>
      <c r="B733">
        <v>0.25407925407925402</v>
      </c>
      <c r="D733">
        <v>1</v>
      </c>
      <c r="E733">
        <f t="shared" si="11"/>
        <v>4.0615477118338829E-2</v>
      </c>
    </row>
    <row r="734" spans="1:5" x14ac:dyDescent="0.25">
      <c r="A734">
        <v>3</v>
      </c>
      <c r="B734">
        <v>0.14685314685314699</v>
      </c>
      <c r="D734">
        <v>1</v>
      </c>
      <c r="E734">
        <f t="shared" si="11"/>
        <v>4.0615477118338829E-2</v>
      </c>
    </row>
    <row r="735" spans="1:5" x14ac:dyDescent="0.25">
      <c r="A735">
        <v>3</v>
      </c>
      <c r="B735">
        <v>4.8000000000000001E-2</v>
      </c>
      <c r="D735">
        <v>1</v>
      </c>
      <c r="E735">
        <f t="shared" si="11"/>
        <v>4.0615477118338829E-2</v>
      </c>
    </row>
    <row r="736" spans="1:5" x14ac:dyDescent="0.25">
      <c r="A736">
        <v>3</v>
      </c>
      <c r="B736">
        <v>0.43055555555555602</v>
      </c>
      <c r="D736">
        <v>1</v>
      </c>
      <c r="E736">
        <f t="shared" si="11"/>
        <v>4.0615477118338829E-2</v>
      </c>
    </row>
    <row r="737" spans="1:5" x14ac:dyDescent="0.25">
      <c r="A737">
        <v>3</v>
      </c>
      <c r="B737">
        <v>-0.36666666666666697</v>
      </c>
      <c r="D737">
        <v>1</v>
      </c>
      <c r="E737">
        <f t="shared" si="11"/>
        <v>4.0615477118338829E-2</v>
      </c>
    </row>
    <row r="738" spans="1:5" x14ac:dyDescent="0.25">
      <c r="A738">
        <v>3</v>
      </c>
      <c r="B738">
        <v>0.40533333333333299</v>
      </c>
      <c r="D738">
        <v>1</v>
      </c>
      <c r="E738">
        <f t="shared" si="11"/>
        <v>4.0615477118338829E-2</v>
      </c>
    </row>
    <row r="739" spans="1:5" x14ac:dyDescent="0.25">
      <c r="A739">
        <v>3</v>
      </c>
      <c r="B739">
        <v>-0.252</v>
      </c>
      <c r="D739">
        <v>1</v>
      </c>
      <c r="E739">
        <f t="shared" si="11"/>
        <v>4.0615477118338829E-2</v>
      </c>
    </row>
    <row r="740" spans="1:5" x14ac:dyDescent="0.25">
      <c r="A740">
        <v>3</v>
      </c>
      <c r="B740">
        <v>0.40533333333333299</v>
      </c>
      <c r="D740">
        <v>1</v>
      </c>
      <c r="E740">
        <f t="shared" si="11"/>
        <v>4.0615477118338829E-2</v>
      </c>
    </row>
    <row r="741" spans="1:5" x14ac:dyDescent="0.25">
      <c r="A741">
        <v>3</v>
      </c>
      <c r="B741">
        <v>-0.18</v>
      </c>
      <c r="D741">
        <v>1</v>
      </c>
      <c r="E741">
        <f t="shared" si="11"/>
        <v>4.0615477118338829E-2</v>
      </c>
    </row>
    <row r="742" spans="1:5" x14ac:dyDescent="0.25">
      <c r="A742">
        <v>3</v>
      </c>
      <c r="B742">
        <v>0.3</v>
      </c>
      <c r="D742">
        <v>1</v>
      </c>
      <c r="E742">
        <f t="shared" si="11"/>
        <v>4.0615477118338829E-2</v>
      </c>
    </row>
    <row r="743" spans="1:5" x14ac:dyDescent="0.25">
      <c r="A743">
        <v>3</v>
      </c>
      <c r="B743">
        <v>-0.23478260869565201</v>
      </c>
      <c r="D743">
        <v>1</v>
      </c>
      <c r="E743">
        <f t="shared" si="11"/>
        <v>4.0615477118338829E-2</v>
      </c>
    </row>
    <row r="744" spans="1:5" x14ac:dyDescent="0.25">
      <c r="A744">
        <v>3</v>
      </c>
      <c r="B744">
        <v>0.42</v>
      </c>
      <c r="D744">
        <v>1</v>
      </c>
      <c r="E744">
        <f t="shared" si="11"/>
        <v>4.0615477118338829E-2</v>
      </c>
    </row>
    <row r="745" spans="1:5" x14ac:dyDescent="0.25">
      <c r="A745">
        <v>3</v>
      </c>
      <c r="B745">
        <v>0.35747663551401898</v>
      </c>
      <c r="D745">
        <v>1</v>
      </c>
      <c r="E745">
        <f t="shared" si="11"/>
        <v>4.0615477118338829E-2</v>
      </c>
    </row>
    <row r="746" spans="1:5" x14ac:dyDescent="0.25">
      <c r="A746">
        <v>3</v>
      </c>
      <c r="B746">
        <v>-0.29729729729729698</v>
      </c>
      <c r="D746">
        <v>1</v>
      </c>
      <c r="E746">
        <f t="shared" si="11"/>
        <v>4.0615477118338829E-2</v>
      </c>
    </row>
    <row r="747" spans="1:5" x14ac:dyDescent="0.25">
      <c r="A747">
        <v>3</v>
      </c>
      <c r="B747">
        <v>0.11</v>
      </c>
      <c r="D747">
        <v>1</v>
      </c>
      <c r="E747">
        <f t="shared" si="11"/>
        <v>4.0615477118338829E-2</v>
      </c>
    </row>
    <row r="748" spans="1:5" x14ac:dyDescent="0.25">
      <c r="A748">
        <v>3</v>
      </c>
      <c r="B748">
        <v>0.48499999999999999</v>
      </c>
      <c r="D748">
        <v>1</v>
      </c>
      <c r="E748">
        <f t="shared" si="11"/>
        <v>4.0615477118338829E-2</v>
      </c>
    </row>
    <row r="749" spans="1:5" x14ac:dyDescent="0.25">
      <c r="A749">
        <v>3</v>
      </c>
      <c r="B749">
        <v>8.3333333333333301E-2</v>
      </c>
      <c r="D749">
        <v>1</v>
      </c>
      <c r="E749">
        <f t="shared" si="11"/>
        <v>4.0615477118338829E-2</v>
      </c>
    </row>
    <row r="750" spans="1:5" x14ac:dyDescent="0.25">
      <c r="A750">
        <v>3</v>
      </c>
      <c r="B750">
        <v>-0.135135135135135</v>
      </c>
      <c r="D750">
        <v>1</v>
      </c>
      <c r="E750">
        <f t="shared" si="11"/>
        <v>4.0615477118338829E-2</v>
      </c>
    </row>
    <row r="751" spans="1:5" x14ac:dyDescent="0.25">
      <c r="A751">
        <v>3</v>
      </c>
      <c r="B751">
        <v>1</v>
      </c>
      <c r="D751">
        <v>1</v>
      </c>
      <c r="E751">
        <f t="shared" si="11"/>
        <v>4.0615477118338829E-2</v>
      </c>
    </row>
    <row r="752" spans="1:5" x14ac:dyDescent="0.25">
      <c r="A752">
        <v>3</v>
      </c>
      <c r="B752">
        <v>-0.135135135135135</v>
      </c>
      <c r="D752">
        <v>2</v>
      </c>
      <c r="E752">
        <f t="shared" si="11"/>
        <v>4.2223641135053967E-2</v>
      </c>
    </row>
    <row r="753" spans="1:5" x14ac:dyDescent="0.25">
      <c r="A753">
        <v>3</v>
      </c>
      <c r="B753">
        <v>0</v>
      </c>
      <c r="D753">
        <v>2</v>
      </c>
      <c r="E753">
        <f t="shared" si="11"/>
        <v>4.2223641135053967E-2</v>
      </c>
    </row>
    <row r="754" spans="1:5" x14ac:dyDescent="0.25">
      <c r="A754">
        <v>3</v>
      </c>
      <c r="B754">
        <v>3.59281437125748E-2</v>
      </c>
      <c r="D754">
        <v>2</v>
      </c>
      <c r="E754">
        <f t="shared" si="11"/>
        <v>4.2223641135053967E-2</v>
      </c>
    </row>
    <row r="755" spans="1:5" x14ac:dyDescent="0.25">
      <c r="A755">
        <v>3</v>
      </c>
      <c r="B755">
        <v>0</v>
      </c>
      <c r="D755">
        <v>2</v>
      </c>
      <c r="E755">
        <f t="shared" si="11"/>
        <v>4.2223641135053967E-2</v>
      </c>
    </row>
    <row r="756" spans="1:5" x14ac:dyDescent="0.25">
      <c r="A756">
        <v>3</v>
      </c>
      <c r="B756">
        <v>-8.0000000000000002E-3</v>
      </c>
      <c r="D756">
        <v>2</v>
      </c>
      <c r="E756">
        <f t="shared" si="11"/>
        <v>4.2223641135053967E-2</v>
      </c>
    </row>
    <row r="757" spans="1:5" x14ac:dyDescent="0.25">
      <c r="A757">
        <v>3</v>
      </c>
      <c r="B757">
        <v>2.9333333333333302E-2</v>
      </c>
      <c r="D757">
        <v>2</v>
      </c>
      <c r="E757">
        <f t="shared" si="11"/>
        <v>4.2223641135053967E-2</v>
      </c>
    </row>
    <row r="758" spans="1:5" x14ac:dyDescent="0.25">
      <c r="A758">
        <v>3</v>
      </c>
      <c r="B758">
        <v>0</v>
      </c>
      <c r="D758">
        <v>2</v>
      </c>
      <c r="E758">
        <f t="shared" si="11"/>
        <v>4.2223641135053967E-2</v>
      </c>
    </row>
    <row r="759" spans="1:5" x14ac:dyDescent="0.25">
      <c r="A759">
        <v>3</v>
      </c>
      <c r="B759">
        <v>3.9719626168224297E-2</v>
      </c>
      <c r="D759">
        <v>2</v>
      </c>
      <c r="E759">
        <f t="shared" si="11"/>
        <v>4.2223641135053967E-2</v>
      </c>
    </row>
    <row r="760" spans="1:5" x14ac:dyDescent="0.25">
      <c r="A760">
        <v>3</v>
      </c>
      <c r="B760">
        <v>9.8666666666666694E-2</v>
      </c>
      <c r="D760">
        <v>2</v>
      </c>
      <c r="E760">
        <f t="shared" si="11"/>
        <v>4.2223641135053967E-2</v>
      </c>
    </row>
    <row r="761" spans="1:5" x14ac:dyDescent="0.25">
      <c r="A761">
        <v>3</v>
      </c>
      <c r="B761">
        <v>0.16355140186915901</v>
      </c>
      <c r="D761">
        <v>2</v>
      </c>
      <c r="E761">
        <f t="shared" si="11"/>
        <v>4.2223641135053967E-2</v>
      </c>
    </row>
    <row r="762" spans="1:5" x14ac:dyDescent="0.25">
      <c r="A762">
        <v>3</v>
      </c>
      <c r="B762">
        <v>3.6036036036036001E-2</v>
      </c>
      <c r="D762">
        <v>2</v>
      </c>
      <c r="E762">
        <f t="shared" si="11"/>
        <v>4.2223641135053967E-2</v>
      </c>
    </row>
    <row r="763" spans="1:5" x14ac:dyDescent="0.25">
      <c r="A763">
        <v>3</v>
      </c>
      <c r="B763">
        <v>0.15466666666666701</v>
      </c>
      <c r="D763">
        <v>2</v>
      </c>
      <c r="E763">
        <f t="shared" si="11"/>
        <v>4.2223641135053967E-2</v>
      </c>
    </row>
    <row r="764" spans="1:5" x14ac:dyDescent="0.25">
      <c r="A764">
        <v>3</v>
      </c>
      <c r="B764">
        <v>9.5571095571095596E-2</v>
      </c>
      <c r="D764">
        <v>2</v>
      </c>
      <c r="E764">
        <f t="shared" si="11"/>
        <v>4.2223641135053967E-2</v>
      </c>
    </row>
    <row r="765" spans="1:5" x14ac:dyDescent="0.25">
      <c r="A765">
        <v>3</v>
      </c>
      <c r="B765">
        <v>0.21445221445221399</v>
      </c>
      <c r="D765">
        <v>2</v>
      </c>
      <c r="E765">
        <f t="shared" si="11"/>
        <v>4.2223641135053967E-2</v>
      </c>
    </row>
    <row r="766" spans="1:5" x14ac:dyDescent="0.25">
      <c r="A766">
        <v>3</v>
      </c>
      <c r="B766">
        <v>0.12012012012011999</v>
      </c>
      <c r="D766">
        <v>2</v>
      </c>
      <c r="E766">
        <f t="shared" si="11"/>
        <v>4.2223641135053967E-2</v>
      </c>
    </row>
    <row r="767" spans="1:5" x14ac:dyDescent="0.25">
      <c r="A767">
        <v>3</v>
      </c>
      <c r="B767">
        <v>0.21</v>
      </c>
      <c r="D767">
        <v>2</v>
      </c>
      <c r="E767">
        <f t="shared" si="11"/>
        <v>4.2223641135053967E-2</v>
      </c>
    </row>
    <row r="768" spans="1:5" x14ac:dyDescent="0.25">
      <c r="A768">
        <v>3</v>
      </c>
      <c r="B768">
        <v>4.5333333333333302E-2</v>
      </c>
      <c r="D768">
        <v>2</v>
      </c>
      <c r="E768">
        <f t="shared" si="11"/>
        <v>4.2223641135053967E-2</v>
      </c>
    </row>
    <row r="769" spans="1:5" x14ac:dyDescent="0.25">
      <c r="A769">
        <v>3</v>
      </c>
      <c r="B769">
        <v>0.104790419161677</v>
      </c>
      <c r="D769">
        <v>2</v>
      </c>
      <c r="E769">
        <f t="shared" si="11"/>
        <v>4.2223641135053967E-2</v>
      </c>
    </row>
    <row r="770" spans="1:5" x14ac:dyDescent="0.25">
      <c r="A770">
        <v>3</v>
      </c>
      <c r="B770">
        <v>-4.2056074766355103E-2</v>
      </c>
      <c r="D770">
        <v>2</v>
      </c>
      <c r="E770">
        <f t="shared" si="11"/>
        <v>4.2223641135053967E-2</v>
      </c>
    </row>
    <row r="771" spans="1:5" x14ac:dyDescent="0.25">
      <c r="A771">
        <v>3</v>
      </c>
      <c r="B771">
        <v>0.19230769230769201</v>
      </c>
      <c r="D771">
        <v>2</v>
      </c>
      <c r="E771">
        <f t="shared" ref="E771:E834" si="12">_xlfn.NORM.DIST(D771, I$4,I$7,FALSE)</f>
        <v>4.2223641135053967E-2</v>
      </c>
    </row>
    <row r="772" spans="1:5" x14ac:dyDescent="0.25">
      <c r="A772">
        <v>3</v>
      </c>
      <c r="B772">
        <v>-0.266666666666667</v>
      </c>
      <c r="D772">
        <v>2</v>
      </c>
      <c r="E772">
        <f t="shared" si="12"/>
        <v>4.2223641135053967E-2</v>
      </c>
    </row>
    <row r="773" spans="1:5" x14ac:dyDescent="0.25">
      <c r="A773">
        <v>3</v>
      </c>
      <c r="B773">
        <v>0.101333333333333</v>
      </c>
      <c r="D773">
        <v>2</v>
      </c>
      <c r="E773">
        <f t="shared" si="12"/>
        <v>4.2223641135053967E-2</v>
      </c>
    </row>
    <row r="774" spans="1:5" x14ac:dyDescent="0.25">
      <c r="A774">
        <v>3</v>
      </c>
      <c r="B774">
        <v>-0.104</v>
      </c>
      <c r="D774">
        <v>2</v>
      </c>
      <c r="E774">
        <f t="shared" si="12"/>
        <v>4.2223641135053967E-2</v>
      </c>
    </row>
    <row r="775" spans="1:5" x14ac:dyDescent="0.25">
      <c r="A775">
        <v>3</v>
      </c>
      <c r="B775">
        <v>7.7102803738317793E-2</v>
      </c>
      <c r="D775">
        <v>2</v>
      </c>
      <c r="E775">
        <f t="shared" si="12"/>
        <v>4.2223641135053967E-2</v>
      </c>
    </row>
    <row r="776" spans="1:5" x14ac:dyDescent="0.25">
      <c r="A776">
        <v>3</v>
      </c>
      <c r="B776">
        <v>4.8000000000000001E-2</v>
      </c>
      <c r="D776">
        <v>2</v>
      </c>
      <c r="E776">
        <f t="shared" si="12"/>
        <v>4.2223641135053967E-2</v>
      </c>
    </row>
    <row r="777" spans="1:5" x14ac:dyDescent="0.25">
      <c r="A777">
        <v>3</v>
      </c>
      <c r="B777">
        <v>1</v>
      </c>
      <c r="D777">
        <v>2</v>
      </c>
      <c r="E777">
        <f t="shared" si="12"/>
        <v>4.2223641135053967E-2</v>
      </c>
    </row>
    <row r="778" spans="1:5" x14ac:dyDescent="0.25">
      <c r="A778">
        <v>3</v>
      </c>
      <c r="B778">
        <v>0.13400000000000001</v>
      </c>
      <c r="D778">
        <v>2</v>
      </c>
      <c r="E778">
        <f t="shared" si="12"/>
        <v>4.2223641135053967E-2</v>
      </c>
    </row>
    <row r="779" spans="1:5" x14ac:dyDescent="0.25">
      <c r="A779">
        <v>3</v>
      </c>
      <c r="B779">
        <v>0.125874125874126</v>
      </c>
      <c r="D779">
        <v>2</v>
      </c>
      <c r="E779">
        <f t="shared" si="12"/>
        <v>4.2223641135053967E-2</v>
      </c>
    </row>
    <row r="780" spans="1:5" x14ac:dyDescent="0.25">
      <c r="A780">
        <v>3</v>
      </c>
      <c r="B780">
        <v>-9.8802395209580798E-2</v>
      </c>
      <c r="D780">
        <v>2</v>
      </c>
      <c r="E780">
        <f t="shared" si="12"/>
        <v>4.2223641135053967E-2</v>
      </c>
    </row>
    <row r="781" spans="1:5" x14ac:dyDescent="0.25">
      <c r="A781">
        <v>3</v>
      </c>
      <c r="B781">
        <v>7.0000000000000007E-2</v>
      </c>
      <c r="D781">
        <v>2</v>
      </c>
      <c r="E781">
        <f t="shared" si="12"/>
        <v>4.2223641135053967E-2</v>
      </c>
    </row>
    <row r="782" spans="1:5" x14ac:dyDescent="0.25">
      <c r="A782">
        <v>3</v>
      </c>
      <c r="B782">
        <v>-5.06666666666667E-2</v>
      </c>
      <c r="D782">
        <v>2</v>
      </c>
      <c r="E782">
        <f t="shared" si="12"/>
        <v>4.2223641135053967E-2</v>
      </c>
    </row>
    <row r="783" spans="1:5" x14ac:dyDescent="0.25">
      <c r="A783">
        <v>3</v>
      </c>
      <c r="B783">
        <v>2.66666666666667E-3</v>
      </c>
      <c r="D783">
        <v>2</v>
      </c>
      <c r="E783">
        <f t="shared" si="12"/>
        <v>4.2223641135053967E-2</v>
      </c>
    </row>
    <row r="784" spans="1:5" x14ac:dyDescent="0.25">
      <c r="A784">
        <v>3</v>
      </c>
      <c r="B784">
        <v>0.16504854368932001</v>
      </c>
      <c r="D784">
        <v>2</v>
      </c>
      <c r="E784">
        <f t="shared" si="12"/>
        <v>4.2223641135053967E-2</v>
      </c>
    </row>
    <row r="785" spans="1:5" x14ac:dyDescent="0.25">
      <c r="A785">
        <v>3</v>
      </c>
      <c r="B785">
        <v>-3.2000000000000001E-2</v>
      </c>
      <c r="D785">
        <v>2</v>
      </c>
      <c r="E785">
        <f t="shared" si="12"/>
        <v>4.2223641135053967E-2</v>
      </c>
    </row>
    <row r="786" spans="1:5" x14ac:dyDescent="0.25">
      <c r="A786">
        <v>3</v>
      </c>
      <c r="B786">
        <v>-1.8018018018018001E-2</v>
      </c>
      <c r="D786">
        <v>2</v>
      </c>
      <c r="E786">
        <f t="shared" si="12"/>
        <v>4.2223641135053967E-2</v>
      </c>
    </row>
    <row r="787" spans="1:5" x14ac:dyDescent="0.25">
      <c r="A787">
        <v>3</v>
      </c>
      <c r="B787">
        <v>3.0030030030029999E-3</v>
      </c>
      <c r="D787">
        <v>2</v>
      </c>
      <c r="E787">
        <f t="shared" si="12"/>
        <v>4.2223641135053967E-2</v>
      </c>
    </row>
    <row r="788" spans="1:5" x14ac:dyDescent="0.25">
      <c r="A788">
        <v>3</v>
      </c>
      <c r="B788">
        <v>-0.174174174174174</v>
      </c>
      <c r="D788">
        <v>2</v>
      </c>
      <c r="E788">
        <f t="shared" si="12"/>
        <v>4.2223641135053967E-2</v>
      </c>
    </row>
    <row r="789" spans="1:5" x14ac:dyDescent="0.25">
      <c r="A789">
        <v>3</v>
      </c>
      <c r="B789">
        <v>-6.9930069930069894E-2</v>
      </c>
      <c r="D789">
        <v>2</v>
      </c>
      <c r="E789">
        <f t="shared" si="12"/>
        <v>4.2223641135053967E-2</v>
      </c>
    </row>
    <row r="790" spans="1:5" x14ac:dyDescent="0.25">
      <c r="A790">
        <v>3</v>
      </c>
      <c r="B790">
        <v>-6.5868263473053898E-2</v>
      </c>
      <c r="D790">
        <v>2</v>
      </c>
      <c r="E790">
        <f t="shared" si="12"/>
        <v>4.2223641135053967E-2</v>
      </c>
    </row>
    <row r="791" spans="1:5" x14ac:dyDescent="0.25">
      <c r="A791">
        <v>3</v>
      </c>
      <c r="B791">
        <v>-0.101333333333333</v>
      </c>
      <c r="D791">
        <v>2</v>
      </c>
      <c r="E791">
        <f t="shared" si="12"/>
        <v>4.2223641135053967E-2</v>
      </c>
    </row>
    <row r="792" spans="1:5" x14ac:dyDescent="0.25">
      <c r="A792">
        <v>3</v>
      </c>
      <c r="B792">
        <v>-8.2666666666666694E-2</v>
      </c>
      <c r="D792">
        <v>2</v>
      </c>
      <c r="E792">
        <f t="shared" si="12"/>
        <v>4.2223641135053967E-2</v>
      </c>
    </row>
    <row r="793" spans="1:5" x14ac:dyDescent="0.25">
      <c r="A793">
        <v>3</v>
      </c>
      <c r="B793">
        <v>-0.13519813519813501</v>
      </c>
      <c r="D793">
        <v>2</v>
      </c>
      <c r="E793">
        <f t="shared" si="12"/>
        <v>4.2223641135053967E-2</v>
      </c>
    </row>
    <row r="794" spans="1:5" x14ac:dyDescent="0.25">
      <c r="A794">
        <v>3</v>
      </c>
      <c r="B794">
        <v>-0.10666666666666701</v>
      </c>
      <c r="D794">
        <v>2</v>
      </c>
      <c r="E794">
        <f t="shared" si="12"/>
        <v>4.2223641135053967E-2</v>
      </c>
    </row>
    <row r="795" spans="1:5" x14ac:dyDescent="0.25">
      <c r="A795">
        <v>3</v>
      </c>
      <c r="B795">
        <v>-0.12266666666666701</v>
      </c>
      <c r="D795">
        <v>2</v>
      </c>
      <c r="E795">
        <f t="shared" si="12"/>
        <v>4.2223641135053967E-2</v>
      </c>
    </row>
    <row r="796" spans="1:5" x14ac:dyDescent="0.25">
      <c r="A796">
        <v>3</v>
      </c>
      <c r="B796">
        <v>-5.06666666666667E-2</v>
      </c>
      <c r="D796">
        <v>2</v>
      </c>
      <c r="E796">
        <f t="shared" si="12"/>
        <v>4.2223641135053967E-2</v>
      </c>
    </row>
    <row r="797" spans="1:5" x14ac:dyDescent="0.25">
      <c r="A797">
        <v>3</v>
      </c>
      <c r="B797">
        <v>-2.1333333333333301E-2</v>
      </c>
      <c r="D797">
        <v>2</v>
      </c>
      <c r="E797">
        <f t="shared" si="12"/>
        <v>4.2223641135053967E-2</v>
      </c>
    </row>
    <row r="798" spans="1:5" x14ac:dyDescent="0.25">
      <c r="A798">
        <v>3</v>
      </c>
      <c r="B798">
        <v>-2.9333333333333302E-2</v>
      </c>
      <c r="D798">
        <v>2</v>
      </c>
      <c r="E798">
        <f t="shared" si="12"/>
        <v>4.2223641135053967E-2</v>
      </c>
    </row>
    <row r="799" spans="1:5" x14ac:dyDescent="0.25">
      <c r="A799">
        <v>3</v>
      </c>
      <c r="B799">
        <v>3.27102803738318E-2</v>
      </c>
      <c r="D799">
        <v>2</v>
      </c>
      <c r="E799">
        <f t="shared" si="12"/>
        <v>4.2223641135053967E-2</v>
      </c>
    </row>
    <row r="800" spans="1:5" x14ac:dyDescent="0.25">
      <c r="A800">
        <v>3</v>
      </c>
      <c r="B800">
        <v>-7.9254079254079193E-2</v>
      </c>
      <c r="D800">
        <v>2</v>
      </c>
      <c r="E800">
        <f t="shared" si="12"/>
        <v>4.2223641135053967E-2</v>
      </c>
    </row>
    <row r="801" spans="1:5" x14ac:dyDescent="0.25">
      <c r="A801">
        <v>3</v>
      </c>
      <c r="B801">
        <v>1.63551401869159E-2</v>
      </c>
      <c r="D801">
        <v>2</v>
      </c>
      <c r="E801">
        <f t="shared" si="12"/>
        <v>4.2223641135053967E-2</v>
      </c>
    </row>
    <row r="802" spans="1:5" x14ac:dyDescent="0.25">
      <c r="A802">
        <v>3</v>
      </c>
      <c r="B802">
        <v>-0.32758620689655199</v>
      </c>
      <c r="D802">
        <v>2</v>
      </c>
      <c r="E802">
        <f t="shared" si="12"/>
        <v>4.2223641135053967E-2</v>
      </c>
    </row>
    <row r="803" spans="1:5" x14ac:dyDescent="0.25">
      <c r="A803">
        <v>3</v>
      </c>
      <c r="B803">
        <v>-7.2429906542056097E-2</v>
      </c>
      <c r="D803">
        <v>2</v>
      </c>
      <c r="E803">
        <f t="shared" si="12"/>
        <v>4.2223641135053967E-2</v>
      </c>
    </row>
    <row r="804" spans="1:5" x14ac:dyDescent="0.25">
      <c r="A804">
        <v>3</v>
      </c>
      <c r="B804">
        <v>-0.10489510489510501</v>
      </c>
      <c r="D804">
        <v>2</v>
      </c>
      <c r="E804">
        <f t="shared" si="12"/>
        <v>4.2223641135053967E-2</v>
      </c>
    </row>
    <row r="805" spans="1:5" x14ac:dyDescent="0.25">
      <c r="A805">
        <v>3</v>
      </c>
      <c r="B805">
        <v>3.03030303030303E-2</v>
      </c>
      <c r="D805">
        <v>2</v>
      </c>
      <c r="E805">
        <f t="shared" si="12"/>
        <v>4.2223641135053967E-2</v>
      </c>
    </row>
    <row r="806" spans="1:5" x14ac:dyDescent="0.25">
      <c r="A806">
        <v>3</v>
      </c>
      <c r="B806">
        <v>-3.03738317757009E-2</v>
      </c>
      <c r="D806">
        <v>2</v>
      </c>
      <c r="E806">
        <f t="shared" si="12"/>
        <v>4.2223641135053967E-2</v>
      </c>
    </row>
    <row r="807" spans="1:5" x14ac:dyDescent="0.25">
      <c r="A807">
        <v>3</v>
      </c>
      <c r="B807">
        <v>-5.3333333333333302E-2</v>
      </c>
      <c r="D807">
        <v>2</v>
      </c>
      <c r="E807">
        <f t="shared" si="12"/>
        <v>4.2223641135053967E-2</v>
      </c>
    </row>
    <row r="808" spans="1:5" x14ac:dyDescent="0.25">
      <c r="A808">
        <v>3</v>
      </c>
      <c r="B808">
        <v>-4.1333333333333298E-2</v>
      </c>
      <c r="D808">
        <v>2</v>
      </c>
      <c r="E808">
        <f t="shared" si="12"/>
        <v>4.2223641135053967E-2</v>
      </c>
    </row>
    <row r="809" spans="1:5" x14ac:dyDescent="0.25">
      <c r="A809">
        <v>3</v>
      </c>
      <c r="B809">
        <v>-0.13317757009345799</v>
      </c>
      <c r="D809">
        <v>2</v>
      </c>
      <c r="E809">
        <f t="shared" si="12"/>
        <v>4.2223641135053967E-2</v>
      </c>
    </row>
    <row r="810" spans="1:5" x14ac:dyDescent="0.25">
      <c r="A810">
        <v>3</v>
      </c>
      <c r="B810">
        <v>-7.4592074592074606E-2</v>
      </c>
      <c r="D810">
        <v>2</v>
      </c>
      <c r="E810">
        <f t="shared" si="12"/>
        <v>4.2223641135053967E-2</v>
      </c>
    </row>
    <row r="811" spans="1:5" x14ac:dyDescent="0.25">
      <c r="A811">
        <v>3</v>
      </c>
      <c r="B811">
        <v>-6.6666666666666693E-2</v>
      </c>
      <c r="D811">
        <v>2</v>
      </c>
      <c r="E811">
        <f t="shared" si="12"/>
        <v>4.2223641135053967E-2</v>
      </c>
    </row>
    <row r="812" spans="1:5" x14ac:dyDescent="0.25">
      <c r="A812">
        <v>3</v>
      </c>
      <c r="B812">
        <v>2.8000000000000001E-2</v>
      </c>
      <c r="D812">
        <v>2</v>
      </c>
      <c r="E812">
        <f t="shared" si="12"/>
        <v>4.2223641135053967E-2</v>
      </c>
    </row>
    <row r="813" spans="1:5" x14ac:dyDescent="0.25">
      <c r="A813">
        <v>3</v>
      </c>
      <c r="B813">
        <v>8.0000000000000002E-3</v>
      </c>
      <c r="D813">
        <v>2</v>
      </c>
      <c r="E813">
        <f t="shared" si="12"/>
        <v>4.2223641135053967E-2</v>
      </c>
    </row>
    <row r="814" spans="1:5" x14ac:dyDescent="0.25">
      <c r="A814">
        <v>3</v>
      </c>
      <c r="B814">
        <v>4.8000000000000001E-2</v>
      </c>
      <c r="D814">
        <v>2</v>
      </c>
      <c r="E814">
        <f t="shared" si="12"/>
        <v>4.2223641135053967E-2</v>
      </c>
    </row>
    <row r="815" spans="1:5" x14ac:dyDescent="0.25">
      <c r="A815">
        <v>3</v>
      </c>
      <c r="B815">
        <v>0.04</v>
      </c>
      <c r="D815">
        <v>2</v>
      </c>
      <c r="E815">
        <f t="shared" si="12"/>
        <v>4.2223641135053967E-2</v>
      </c>
    </row>
    <row r="816" spans="1:5" x14ac:dyDescent="0.25">
      <c r="A816">
        <v>3</v>
      </c>
      <c r="B816">
        <v>-0.10294117647058799</v>
      </c>
      <c r="D816">
        <v>2</v>
      </c>
      <c r="E816">
        <f t="shared" si="12"/>
        <v>4.2223641135053967E-2</v>
      </c>
    </row>
    <row r="817" spans="1:5" x14ac:dyDescent="0.25">
      <c r="A817">
        <v>3</v>
      </c>
      <c r="B817">
        <v>-0.05</v>
      </c>
      <c r="D817">
        <v>2</v>
      </c>
      <c r="E817">
        <f t="shared" si="12"/>
        <v>4.2223641135053967E-2</v>
      </c>
    </row>
    <row r="818" spans="1:5" x14ac:dyDescent="0.25">
      <c r="A818">
        <v>3</v>
      </c>
      <c r="B818">
        <v>0.71590909090909105</v>
      </c>
      <c r="D818">
        <v>2</v>
      </c>
      <c r="E818">
        <f t="shared" si="12"/>
        <v>4.2223641135053967E-2</v>
      </c>
    </row>
    <row r="819" spans="1:5" x14ac:dyDescent="0.25">
      <c r="A819">
        <v>3</v>
      </c>
      <c r="B819">
        <v>0.76333333333333298</v>
      </c>
      <c r="D819">
        <v>2</v>
      </c>
      <c r="E819">
        <f t="shared" si="12"/>
        <v>4.2223641135053967E-2</v>
      </c>
    </row>
    <row r="820" spans="1:5" x14ac:dyDescent="0.25">
      <c r="A820">
        <v>3</v>
      </c>
      <c r="B820">
        <v>2.4E-2</v>
      </c>
      <c r="D820">
        <v>2</v>
      </c>
      <c r="E820">
        <f t="shared" si="12"/>
        <v>4.2223641135053967E-2</v>
      </c>
    </row>
    <row r="821" spans="1:5" x14ac:dyDescent="0.25">
      <c r="A821">
        <v>3</v>
      </c>
      <c r="B821">
        <v>0.66</v>
      </c>
      <c r="D821">
        <v>2</v>
      </c>
      <c r="E821">
        <f t="shared" si="12"/>
        <v>4.2223641135053967E-2</v>
      </c>
    </row>
    <row r="822" spans="1:5" x14ac:dyDescent="0.25">
      <c r="A822">
        <v>3</v>
      </c>
      <c r="B822">
        <v>1</v>
      </c>
      <c r="D822">
        <v>2</v>
      </c>
      <c r="E822">
        <f t="shared" si="12"/>
        <v>4.2223641135053967E-2</v>
      </c>
    </row>
    <row r="823" spans="1:5" x14ac:dyDescent="0.25">
      <c r="A823">
        <v>3</v>
      </c>
      <c r="B823">
        <v>-0.151898734177215</v>
      </c>
      <c r="D823">
        <v>2</v>
      </c>
      <c r="E823">
        <f t="shared" si="12"/>
        <v>4.2223641135053967E-2</v>
      </c>
    </row>
    <row r="824" spans="1:5" x14ac:dyDescent="0.25">
      <c r="A824">
        <v>3</v>
      </c>
      <c r="B824">
        <v>2.7027027027027001E-2</v>
      </c>
      <c r="D824">
        <v>2</v>
      </c>
      <c r="E824">
        <f t="shared" si="12"/>
        <v>4.2223641135053967E-2</v>
      </c>
    </row>
    <row r="825" spans="1:5" x14ac:dyDescent="0.25">
      <c r="A825">
        <v>3</v>
      </c>
      <c r="B825">
        <v>0.14432989690721601</v>
      </c>
      <c r="D825">
        <v>2</v>
      </c>
      <c r="E825">
        <f t="shared" si="12"/>
        <v>4.2223641135053967E-2</v>
      </c>
    </row>
    <row r="826" spans="1:5" x14ac:dyDescent="0.25">
      <c r="A826">
        <v>3</v>
      </c>
      <c r="B826">
        <v>0.115384615384615</v>
      </c>
      <c r="D826">
        <v>2</v>
      </c>
      <c r="E826">
        <f t="shared" si="12"/>
        <v>4.2223641135053967E-2</v>
      </c>
    </row>
    <row r="827" spans="1:5" x14ac:dyDescent="0.25">
      <c r="A827">
        <v>3</v>
      </c>
      <c r="B827">
        <v>1</v>
      </c>
      <c r="D827">
        <v>2</v>
      </c>
      <c r="E827">
        <f t="shared" si="12"/>
        <v>4.2223641135053967E-2</v>
      </c>
    </row>
    <row r="828" spans="1:5" x14ac:dyDescent="0.25">
      <c r="A828">
        <v>3</v>
      </c>
      <c r="B828">
        <v>0.108108108108108</v>
      </c>
      <c r="D828">
        <v>2</v>
      </c>
      <c r="E828">
        <f t="shared" si="12"/>
        <v>4.2223641135053967E-2</v>
      </c>
    </row>
    <row r="829" spans="1:5" x14ac:dyDescent="0.25">
      <c r="A829">
        <v>3</v>
      </c>
      <c r="B829">
        <v>0</v>
      </c>
      <c r="D829">
        <v>2</v>
      </c>
      <c r="E829">
        <f t="shared" si="12"/>
        <v>4.2223641135053967E-2</v>
      </c>
    </row>
    <row r="830" spans="1:5" x14ac:dyDescent="0.25">
      <c r="A830">
        <v>3</v>
      </c>
      <c r="B830">
        <v>-2.66666666666667E-2</v>
      </c>
      <c r="D830">
        <v>2</v>
      </c>
      <c r="E830">
        <f t="shared" si="12"/>
        <v>4.2223641135053967E-2</v>
      </c>
    </row>
    <row r="831" spans="1:5" x14ac:dyDescent="0.25">
      <c r="A831">
        <v>3</v>
      </c>
      <c r="B831">
        <v>2.9940119760479E-2</v>
      </c>
      <c r="D831">
        <v>2</v>
      </c>
      <c r="E831">
        <f t="shared" si="12"/>
        <v>4.2223641135053967E-2</v>
      </c>
    </row>
    <row r="832" spans="1:5" x14ac:dyDescent="0.25">
      <c r="A832">
        <v>3</v>
      </c>
      <c r="B832">
        <v>3.6036036036036001E-2</v>
      </c>
      <c r="D832">
        <v>2</v>
      </c>
      <c r="E832">
        <f t="shared" si="12"/>
        <v>4.2223641135053967E-2</v>
      </c>
    </row>
    <row r="833" spans="1:5" x14ac:dyDescent="0.25">
      <c r="A833">
        <v>3</v>
      </c>
      <c r="B833">
        <v>6.2874251497005998E-2</v>
      </c>
      <c r="D833">
        <v>2</v>
      </c>
      <c r="E833">
        <f t="shared" si="12"/>
        <v>4.2223641135053967E-2</v>
      </c>
    </row>
    <row r="834" spans="1:5" x14ac:dyDescent="0.25">
      <c r="A834">
        <v>3</v>
      </c>
      <c r="B834">
        <v>4.4289044289044302E-2</v>
      </c>
      <c r="D834">
        <v>2</v>
      </c>
      <c r="E834">
        <f t="shared" si="12"/>
        <v>4.2223641135053967E-2</v>
      </c>
    </row>
    <row r="835" spans="1:5" x14ac:dyDescent="0.25">
      <c r="A835">
        <v>3</v>
      </c>
      <c r="B835">
        <v>6.3063063063063099E-2</v>
      </c>
      <c r="D835">
        <v>2</v>
      </c>
      <c r="E835">
        <f t="shared" ref="E835:E898" si="13">_xlfn.NORM.DIST(D835, I$4,I$7,FALSE)</f>
        <v>4.2223641135053967E-2</v>
      </c>
    </row>
    <row r="836" spans="1:5" x14ac:dyDescent="0.25">
      <c r="A836">
        <v>3</v>
      </c>
      <c r="B836">
        <v>0.162162162162162</v>
      </c>
      <c r="D836">
        <v>2</v>
      </c>
      <c r="E836">
        <f t="shared" si="13"/>
        <v>4.2223641135053967E-2</v>
      </c>
    </row>
    <row r="837" spans="1:5" x14ac:dyDescent="0.25">
      <c r="A837">
        <v>3</v>
      </c>
      <c r="B837">
        <v>9.3240093240093205E-2</v>
      </c>
      <c r="D837">
        <v>2</v>
      </c>
      <c r="E837">
        <f t="shared" si="13"/>
        <v>4.2223641135053967E-2</v>
      </c>
    </row>
    <row r="838" spans="1:5" x14ac:dyDescent="0.25">
      <c r="A838">
        <v>3</v>
      </c>
      <c r="B838">
        <v>9.8666666666666694E-2</v>
      </c>
      <c r="D838">
        <v>2</v>
      </c>
      <c r="E838">
        <f t="shared" si="13"/>
        <v>4.2223641135053967E-2</v>
      </c>
    </row>
    <row r="839" spans="1:5" x14ac:dyDescent="0.25">
      <c r="A839">
        <v>3</v>
      </c>
      <c r="B839">
        <v>0.13213213213213201</v>
      </c>
      <c r="D839">
        <v>2</v>
      </c>
      <c r="E839">
        <f t="shared" si="13"/>
        <v>4.2223641135053967E-2</v>
      </c>
    </row>
    <row r="840" spans="1:5" x14ac:dyDescent="0.25">
      <c r="A840">
        <v>3</v>
      </c>
      <c r="B840">
        <v>3.7333333333333302E-2</v>
      </c>
      <c r="D840">
        <v>2</v>
      </c>
      <c r="E840">
        <f t="shared" si="13"/>
        <v>4.2223641135053967E-2</v>
      </c>
    </row>
    <row r="841" spans="1:5" x14ac:dyDescent="0.25">
      <c r="A841">
        <v>3</v>
      </c>
      <c r="B841">
        <v>0.19</v>
      </c>
      <c r="D841">
        <v>2</v>
      </c>
      <c r="E841">
        <f t="shared" si="13"/>
        <v>4.2223641135053967E-2</v>
      </c>
    </row>
    <row r="842" spans="1:5" x14ac:dyDescent="0.25">
      <c r="A842">
        <v>3</v>
      </c>
      <c r="B842">
        <v>-7.4766355140186896E-2</v>
      </c>
      <c r="D842">
        <v>2</v>
      </c>
      <c r="E842">
        <f t="shared" si="13"/>
        <v>4.2223641135053967E-2</v>
      </c>
    </row>
    <row r="843" spans="1:5" x14ac:dyDescent="0.25">
      <c r="A843">
        <v>3</v>
      </c>
      <c r="B843">
        <v>0.42533333333333301</v>
      </c>
      <c r="D843">
        <v>2</v>
      </c>
      <c r="E843">
        <f t="shared" si="13"/>
        <v>4.2223641135053967E-2</v>
      </c>
    </row>
    <row r="844" spans="1:5" x14ac:dyDescent="0.25">
      <c r="A844">
        <v>3</v>
      </c>
      <c r="B844">
        <v>1.4E-2</v>
      </c>
      <c r="D844">
        <v>2</v>
      </c>
      <c r="E844">
        <f t="shared" si="13"/>
        <v>4.2223641135053967E-2</v>
      </c>
    </row>
    <row r="845" spans="1:5" x14ac:dyDescent="0.25">
      <c r="A845">
        <v>3</v>
      </c>
      <c r="B845">
        <v>0.394666666666667</v>
      </c>
      <c r="D845">
        <v>2</v>
      </c>
      <c r="E845">
        <f t="shared" si="13"/>
        <v>4.2223641135053967E-2</v>
      </c>
    </row>
    <row r="846" spans="1:5" x14ac:dyDescent="0.25">
      <c r="A846">
        <v>3</v>
      </c>
      <c r="B846">
        <v>-0.04</v>
      </c>
      <c r="D846">
        <v>2</v>
      </c>
      <c r="E846">
        <f t="shared" si="13"/>
        <v>4.2223641135053967E-2</v>
      </c>
    </row>
    <row r="847" spans="1:5" x14ac:dyDescent="0.25">
      <c r="A847">
        <v>3</v>
      </c>
      <c r="B847">
        <v>-0.12533333333333299</v>
      </c>
      <c r="D847">
        <v>2</v>
      </c>
      <c r="E847">
        <f t="shared" si="13"/>
        <v>4.2223641135053967E-2</v>
      </c>
    </row>
    <row r="848" spans="1:5" x14ac:dyDescent="0.25">
      <c r="A848">
        <v>3</v>
      </c>
      <c r="B848">
        <v>0.43113772455089799</v>
      </c>
      <c r="D848">
        <v>2</v>
      </c>
      <c r="E848">
        <f t="shared" si="13"/>
        <v>4.2223641135053967E-2</v>
      </c>
    </row>
    <row r="849" spans="1:5" x14ac:dyDescent="0.25">
      <c r="A849">
        <v>3</v>
      </c>
      <c r="B849">
        <v>-0.114</v>
      </c>
      <c r="D849">
        <v>2</v>
      </c>
      <c r="E849">
        <f t="shared" si="13"/>
        <v>4.2223641135053967E-2</v>
      </c>
    </row>
    <row r="850" spans="1:5" x14ac:dyDescent="0.25">
      <c r="A850">
        <v>3</v>
      </c>
      <c r="B850">
        <v>0.59199999999999997</v>
      </c>
      <c r="D850">
        <v>2</v>
      </c>
      <c r="E850">
        <f t="shared" si="13"/>
        <v>4.2223641135053967E-2</v>
      </c>
    </row>
    <row r="851" spans="1:5" x14ac:dyDescent="0.25">
      <c r="A851">
        <v>3</v>
      </c>
      <c r="B851">
        <v>4.7904191616766498E-2</v>
      </c>
      <c r="D851">
        <v>2</v>
      </c>
      <c r="E851">
        <f t="shared" si="13"/>
        <v>4.2223641135053967E-2</v>
      </c>
    </row>
    <row r="852" spans="1:5" x14ac:dyDescent="0.25">
      <c r="A852">
        <v>3</v>
      </c>
      <c r="B852">
        <v>0.55944055944055904</v>
      </c>
      <c r="D852">
        <v>2</v>
      </c>
      <c r="E852">
        <f t="shared" si="13"/>
        <v>4.2223641135053967E-2</v>
      </c>
    </row>
    <row r="853" spans="1:5" x14ac:dyDescent="0.25">
      <c r="A853">
        <v>3</v>
      </c>
      <c r="B853">
        <v>5.5E-2</v>
      </c>
      <c r="D853">
        <v>2</v>
      </c>
      <c r="E853">
        <f t="shared" si="13"/>
        <v>4.2223641135053967E-2</v>
      </c>
    </row>
    <row r="854" spans="1:5" x14ac:dyDescent="0.25">
      <c r="A854">
        <v>3</v>
      </c>
      <c r="B854">
        <v>-0.115</v>
      </c>
      <c r="D854">
        <v>2</v>
      </c>
      <c r="E854">
        <f t="shared" si="13"/>
        <v>4.2223641135053967E-2</v>
      </c>
    </row>
    <row r="855" spans="1:5" x14ac:dyDescent="0.25">
      <c r="A855">
        <v>3</v>
      </c>
      <c r="B855">
        <v>0.61066666666666702</v>
      </c>
      <c r="D855">
        <v>2</v>
      </c>
      <c r="E855">
        <f t="shared" si="13"/>
        <v>4.2223641135053967E-2</v>
      </c>
    </row>
    <row r="856" spans="1:5" x14ac:dyDescent="0.25">
      <c r="A856">
        <v>3</v>
      </c>
      <c r="B856">
        <v>-3.5999999999999997E-2</v>
      </c>
      <c r="D856">
        <v>2</v>
      </c>
      <c r="E856">
        <f t="shared" si="13"/>
        <v>4.2223641135053967E-2</v>
      </c>
    </row>
    <row r="857" spans="1:5" x14ac:dyDescent="0.25">
      <c r="A857">
        <v>3</v>
      </c>
      <c r="B857">
        <v>0.796875</v>
      </c>
      <c r="D857">
        <v>2</v>
      </c>
      <c r="E857">
        <f t="shared" si="13"/>
        <v>4.2223641135053967E-2</v>
      </c>
    </row>
    <row r="858" spans="1:5" x14ac:dyDescent="0.25">
      <c r="A858">
        <v>3</v>
      </c>
      <c r="B858">
        <v>-0.30933333333333302</v>
      </c>
      <c r="D858">
        <v>2</v>
      </c>
      <c r="E858">
        <f t="shared" si="13"/>
        <v>4.2223641135053967E-2</v>
      </c>
    </row>
    <row r="859" spans="1:5" x14ac:dyDescent="0.25">
      <c r="A859">
        <v>3</v>
      </c>
      <c r="B859">
        <v>0.66588785046729004</v>
      </c>
      <c r="D859">
        <v>2</v>
      </c>
      <c r="E859">
        <f t="shared" si="13"/>
        <v>4.2223641135053967E-2</v>
      </c>
    </row>
    <row r="860" spans="1:5" x14ac:dyDescent="0.25">
      <c r="A860">
        <v>3</v>
      </c>
      <c r="B860">
        <v>7.5268817204301106E-2</v>
      </c>
      <c r="D860">
        <v>2</v>
      </c>
      <c r="E860">
        <f t="shared" si="13"/>
        <v>4.2223641135053967E-2</v>
      </c>
    </row>
    <row r="861" spans="1:5" x14ac:dyDescent="0.25">
      <c r="A861">
        <v>3</v>
      </c>
      <c r="B861">
        <v>0.80400000000000005</v>
      </c>
      <c r="D861">
        <v>2</v>
      </c>
      <c r="E861">
        <f t="shared" si="13"/>
        <v>4.2223641135053967E-2</v>
      </c>
    </row>
    <row r="862" spans="1:5" x14ac:dyDescent="0.25">
      <c r="A862">
        <v>3</v>
      </c>
      <c r="B862">
        <v>-0.27733333333333299</v>
      </c>
      <c r="D862">
        <v>2</v>
      </c>
      <c r="E862">
        <f t="shared" si="13"/>
        <v>4.2223641135053967E-2</v>
      </c>
    </row>
    <row r="863" spans="1:5" x14ac:dyDescent="0.25">
      <c r="A863">
        <v>3</v>
      </c>
      <c r="B863">
        <v>1</v>
      </c>
      <c r="D863">
        <v>2</v>
      </c>
      <c r="E863">
        <f t="shared" si="13"/>
        <v>4.2223641135053967E-2</v>
      </c>
    </row>
    <row r="864" spans="1:5" x14ac:dyDescent="0.25">
      <c r="A864">
        <v>3</v>
      </c>
      <c r="B864">
        <v>-2.6737967914438499E-2</v>
      </c>
      <c r="D864">
        <v>2</v>
      </c>
      <c r="E864">
        <f t="shared" si="13"/>
        <v>4.2223641135053967E-2</v>
      </c>
    </row>
    <row r="865" spans="1:5" x14ac:dyDescent="0.25">
      <c r="A865">
        <v>3</v>
      </c>
      <c r="B865">
        <v>1</v>
      </c>
      <c r="D865">
        <v>2</v>
      </c>
      <c r="E865">
        <f t="shared" si="13"/>
        <v>4.2223641135053967E-2</v>
      </c>
    </row>
    <row r="866" spans="1:5" x14ac:dyDescent="0.25">
      <c r="A866">
        <v>3</v>
      </c>
      <c r="B866">
        <v>-0.117117117117117</v>
      </c>
      <c r="D866">
        <v>2</v>
      </c>
      <c r="E866">
        <f t="shared" si="13"/>
        <v>4.2223641135053967E-2</v>
      </c>
    </row>
    <row r="867" spans="1:5" x14ac:dyDescent="0.25">
      <c r="A867">
        <v>3</v>
      </c>
      <c r="B867">
        <v>-0.116766467065868</v>
      </c>
      <c r="D867">
        <v>2</v>
      </c>
      <c r="E867">
        <f t="shared" si="13"/>
        <v>4.2223641135053967E-2</v>
      </c>
    </row>
    <row r="868" spans="1:5" x14ac:dyDescent="0.25">
      <c r="A868">
        <v>3</v>
      </c>
      <c r="B868">
        <v>-8.4084084084084104E-2</v>
      </c>
      <c r="D868">
        <v>2</v>
      </c>
      <c r="E868">
        <f t="shared" si="13"/>
        <v>4.2223641135053967E-2</v>
      </c>
    </row>
    <row r="869" spans="1:5" x14ac:dyDescent="0.25">
      <c r="A869">
        <v>3</v>
      </c>
      <c r="B869">
        <v>-0.12533333333333299</v>
      </c>
      <c r="D869">
        <v>2</v>
      </c>
      <c r="E869">
        <f t="shared" si="13"/>
        <v>4.2223641135053967E-2</v>
      </c>
    </row>
    <row r="870" spans="1:5" x14ac:dyDescent="0.25">
      <c r="A870">
        <v>3</v>
      </c>
      <c r="B870">
        <v>-7.4666666666666701E-2</v>
      </c>
      <c r="D870">
        <v>2</v>
      </c>
      <c r="E870">
        <f t="shared" si="13"/>
        <v>4.2223641135053967E-2</v>
      </c>
    </row>
    <row r="871" spans="1:5" x14ac:dyDescent="0.25">
      <c r="A871">
        <v>3</v>
      </c>
      <c r="B871">
        <v>-6.9333333333333302E-2</v>
      </c>
      <c r="D871">
        <v>2</v>
      </c>
      <c r="E871">
        <f t="shared" si="13"/>
        <v>4.2223641135053967E-2</v>
      </c>
    </row>
    <row r="872" spans="1:5" x14ac:dyDescent="0.25">
      <c r="A872">
        <v>3</v>
      </c>
      <c r="B872">
        <v>-5.06666666666667E-2</v>
      </c>
      <c r="D872">
        <v>2</v>
      </c>
      <c r="E872">
        <f t="shared" si="13"/>
        <v>4.2223641135053967E-2</v>
      </c>
    </row>
    <row r="873" spans="1:5" x14ac:dyDescent="0.25">
      <c r="A873">
        <v>3</v>
      </c>
      <c r="B873">
        <v>-7.4766355140186896E-2</v>
      </c>
      <c r="D873">
        <v>2</v>
      </c>
      <c r="E873">
        <f t="shared" si="13"/>
        <v>4.2223641135053967E-2</v>
      </c>
    </row>
    <row r="874" spans="1:5" x14ac:dyDescent="0.25">
      <c r="A874">
        <v>3</v>
      </c>
      <c r="B874">
        <v>-8.0838323353293398E-2</v>
      </c>
      <c r="D874">
        <v>2</v>
      </c>
      <c r="E874">
        <f t="shared" si="13"/>
        <v>4.2223641135053967E-2</v>
      </c>
    </row>
    <row r="875" spans="1:5" x14ac:dyDescent="0.25">
      <c r="A875">
        <v>3</v>
      </c>
      <c r="B875">
        <v>1.7999999999999999E-2</v>
      </c>
      <c r="D875">
        <v>2</v>
      </c>
      <c r="E875">
        <f t="shared" si="13"/>
        <v>4.2223641135053967E-2</v>
      </c>
    </row>
    <row r="876" spans="1:5" x14ac:dyDescent="0.25">
      <c r="A876">
        <v>3</v>
      </c>
      <c r="B876">
        <v>-0.154205607476636</v>
      </c>
      <c r="D876">
        <v>2</v>
      </c>
      <c r="E876">
        <f t="shared" si="13"/>
        <v>4.2223641135053967E-2</v>
      </c>
    </row>
    <row r="877" spans="1:5" x14ac:dyDescent="0.25">
      <c r="A877">
        <v>3</v>
      </c>
      <c r="B877">
        <v>5.0898203592814398E-2</v>
      </c>
      <c r="D877">
        <v>2</v>
      </c>
      <c r="E877">
        <f t="shared" si="13"/>
        <v>4.2223641135053967E-2</v>
      </c>
    </row>
    <row r="878" spans="1:5" x14ac:dyDescent="0.25">
      <c r="A878">
        <v>3</v>
      </c>
      <c r="B878">
        <v>-9.7902097902097904E-2</v>
      </c>
      <c r="D878">
        <v>2</v>
      </c>
      <c r="E878">
        <f t="shared" si="13"/>
        <v>4.2223641135053967E-2</v>
      </c>
    </row>
    <row r="879" spans="1:5" x14ac:dyDescent="0.25">
      <c r="A879">
        <v>3</v>
      </c>
      <c r="B879">
        <v>-1.86915887850467E-2</v>
      </c>
      <c r="D879">
        <v>2</v>
      </c>
      <c r="E879">
        <f t="shared" si="13"/>
        <v>4.2223641135053967E-2</v>
      </c>
    </row>
    <row r="880" spans="1:5" x14ac:dyDescent="0.25">
      <c r="A880">
        <v>3</v>
      </c>
      <c r="B880">
        <v>-0.08</v>
      </c>
      <c r="D880">
        <v>2</v>
      </c>
      <c r="E880">
        <f t="shared" si="13"/>
        <v>4.2223641135053967E-2</v>
      </c>
    </row>
    <row r="881" spans="1:5" x14ac:dyDescent="0.25">
      <c r="A881">
        <v>3</v>
      </c>
      <c r="B881">
        <v>5.86666666666667E-2</v>
      </c>
      <c r="D881">
        <v>2</v>
      </c>
      <c r="E881">
        <f t="shared" si="13"/>
        <v>4.2223641135053967E-2</v>
      </c>
    </row>
    <row r="882" spans="1:5" x14ac:dyDescent="0.25">
      <c r="A882">
        <v>3</v>
      </c>
      <c r="B882">
        <v>-0.11</v>
      </c>
      <c r="D882">
        <v>2</v>
      </c>
      <c r="E882">
        <f t="shared" si="13"/>
        <v>4.2223641135053967E-2</v>
      </c>
    </row>
    <row r="883" spans="1:5" x14ac:dyDescent="0.25">
      <c r="A883">
        <v>3</v>
      </c>
      <c r="B883">
        <v>-9.7902097902097904E-2</v>
      </c>
      <c r="D883">
        <v>2</v>
      </c>
      <c r="E883">
        <f t="shared" si="13"/>
        <v>4.2223641135053967E-2</v>
      </c>
    </row>
    <row r="884" spans="1:5" x14ac:dyDescent="0.25">
      <c r="A884">
        <v>3</v>
      </c>
      <c r="B884">
        <v>-0.177570093457944</v>
      </c>
      <c r="D884">
        <v>2</v>
      </c>
      <c r="E884">
        <f t="shared" si="13"/>
        <v>4.2223641135053967E-2</v>
      </c>
    </row>
    <row r="885" spans="1:5" x14ac:dyDescent="0.25">
      <c r="A885">
        <v>3</v>
      </c>
      <c r="B885">
        <v>-3.5999999999999997E-2</v>
      </c>
      <c r="D885">
        <v>2</v>
      </c>
      <c r="E885">
        <f t="shared" si="13"/>
        <v>4.2223641135053967E-2</v>
      </c>
    </row>
    <row r="886" spans="1:5" x14ac:dyDescent="0.25">
      <c r="A886">
        <v>3</v>
      </c>
      <c r="B886">
        <v>6.6666666666666697E-3</v>
      </c>
      <c r="D886">
        <v>2</v>
      </c>
      <c r="E886">
        <f t="shared" si="13"/>
        <v>4.2223641135053967E-2</v>
      </c>
    </row>
    <row r="887" spans="1:5" x14ac:dyDescent="0.25">
      <c r="A887">
        <v>3</v>
      </c>
      <c r="B887">
        <v>2.3310023310023301E-3</v>
      </c>
      <c r="D887">
        <v>2</v>
      </c>
      <c r="E887">
        <f t="shared" si="13"/>
        <v>4.2223641135053967E-2</v>
      </c>
    </row>
    <row r="888" spans="1:5" x14ac:dyDescent="0.25">
      <c r="A888">
        <v>3</v>
      </c>
      <c r="B888">
        <v>8.0000000000000002E-3</v>
      </c>
      <c r="D888">
        <v>2</v>
      </c>
      <c r="E888">
        <f t="shared" si="13"/>
        <v>4.2223641135053967E-2</v>
      </c>
    </row>
    <row r="889" spans="1:5" x14ac:dyDescent="0.25">
      <c r="A889">
        <v>3</v>
      </c>
      <c r="B889">
        <v>2.09580838323353E-2</v>
      </c>
      <c r="D889">
        <v>2</v>
      </c>
      <c r="E889">
        <f t="shared" si="13"/>
        <v>4.2223641135053967E-2</v>
      </c>
    </row>
    <row r="890" spans="1:5" x14ac:dyDescent="0.25">
      <c r="A890">
        <v>3</v>
      </c>
      <c r="B890">
        <v>-0.111888111888112</v>
      </c>
      <c r="D890">
        <v>2</v>
      </c>
      <c r="E890">
        <f t="shared" si="13"/>
        <v>4.2223641135053967E-2</v>
      </c>
    </row>
    <row r="891" spans="1:5" x14ac:dyDescent="0.25">
      <c r="A891">
        <v>3</v>
      </c>
      <c r="B891">
        <v>0.47</v>
      </c>
      <c r="D891">
        <v>2</v>
      </c>
      <c r="E891">
        <f t="shared" si="13"/>
        <v>4.2223641135053967E-2</v>
      </c>
    </row>
    <row r="892" spans="1:5" x14ac:dyDescent="0.25">
      <c r="A892">
        <v>3</v>
      </c>
      <c r="B892">
        <v>-1.4492753623188401E-2</v>
      </c>
      <c r="D892">
        <v>2</v>
      </c>
      <c r="E892">
        <f t="shared" si="13"/>
        <v>4.2223641135053967E-2</v>
      </c>
    </row>
    <row r="893" spans="1:5" x14ac:dyDescent="0.25">
      <c r="A893">
        <v>3</v>
      </c>
      <c r="B893">
        <v>0.74418604651162801</v>
      </c>
      <c r="D893">
        <v>2</v>
      </c>
      <c r="E893">
        <f t="shared" si="13"/>
        <v>4.2223641135053967E-2</v>
      </c>
    </row>
    <row r="894" spans="1:5" x14ac:dyDescent="0.25">
      <c r="A894">
        <v>3</v>
      </c>
      <c r="B894">
        <v>0.19600000000000001</v>
      </c>
      <c r="D894">
        <v>2</v>
      </c>
      <c r="E894">
        <f t="shared" si="13"/>
        <v>4.2223641135053967E-2</v>
      </c>
    </row>
    <row r="895" spans="1:5" x14ac:dyDescent="0.25">
      <c r="A895">
        <v>3</v>
      </c>
      <c r="B895">
        <v>0.68925233644859796</v>
      </c>
      <c r="D895">
        <v>2</v>
      </c>
      <c r="E895">
        <f t="shared" si="13"/>
        <v>4.2223641135053967E-2</v>
      </c>
    </row>
    <row r="896" spans="1:5" x14ac:dyDescent="0.25">
      <c r="A896">
        <v>3</v>
      </c>
      <c r="B896">
        <v>0.114114114114114</v>
      </c>
      <c r="D896">
        <v>2</v>
      </c>
      <c r="E896">
        <f t="shared" si="13"/>
        <v>4.2223641135053967E-2</v>
      </c>
    </row>
    <row r="897" spans="1:5" x14ac:dyDescent="0.25">
      <c r="A897">
        <v>3</v>
      </c>
      <c r="B897">
        <v>1</v>
      </c>
      <c r="D897">
        <v>2</v>
      </c>
      <c r="E897">
        <f t="shared" si="13"/>
        <v>4.2223641135053967E-2</v>
      </c>
    </row>
    <row r="898" spans="1:5" x14ac:dyDescent="0.25">
      <c r="A898">
        <v>3</v>
      </c>
      <c r="B898">
        <v>0.14285714285714299</v>
      </c>
      <c r="D898">
        <v>2</v>
      </c>
      <c r="E898">
        <f t="shared" si="13"/>
        <v>4.2223641135053967E-2</v>
      </c>
    </row>
    <row r="899" spans="1:5" x14ac:dyDescent="0.25">
      <c r="A899">
        <v>3</v>
      </c>
      <c r="B899">
        <v>-0.108108108108108</v>
      </c>
      <c r="D899">
        <v>2</v>
      </c>
      <c r="E899">
        <f t="shared" ref="E899:E962" si="14">_xlfn.NORM.DIST(D899, I$4,I$7,FALSE)</f>
        <v>4.2223641135053967E-2</v>
      </c>
    </row>
    <row r="900" spans="1:5" x14ac:dyDescent="0.25">
      <c r="A900">
        <v>3</v>
      </c>
      <c r="B900">
        <v>-0.16800000000000001</v>
      </c>
      <c r="D900">
        <v>2</v>
      </c>
      <c r="E900">
        <f t="shared" si="14"/>
        <v>4.2223641135053967E-2</v>
      </c>
    </row>
    <row r="901" spans="1:5" x14ac:dyDescent="0.25">
      <c r="A901">
        <v>3</v>
      </c>
      <c r="B901">
        <v>-5.0955414012738898E-2</v>
      </c>
      <c r="D901">
        <v>2</v>
      </c>
      <c r="E901">
        <f t="shared" si="14"/>
        <v>4.2223641135053967E-2</v>
      </c>
    </row>
    <row r="902" spans="1:5" x14ac:dyDescent="0.25">
      <c r="A902">
        <v>3</v>
      </c>
      <c r="B902">
        <v>3.9039039039038999E-2</v>
      </c>
      <c r="D902">
        <v>2</v>
      </c>
      <c r="E902">
        <f t="shared" si="14"/>
        <v>4.2223641135053967E-2</v>
      </c>
    </row>
    <row r="903" spans="1:5" x14ac:dyDescent="0.25">
      <c r="A903">
        <v>3</v>
      </c>
      <c r="B903">
        <v>0.58933333333333304</v>
      </c>
      <c r="D903">
        <v>2</v>
      </c>
      <c r="E903">
        <f t="shared" si="14"/>
        <v>4.2223641135053967E-2</v>
      </c>
    </row>
    <row r="904" spans="1:5" x14ac:dyDescent="0.25">
      <c r="A904">
        <v>3</v>
      </c>
      <c r="B904">
        <v>1</v>
      </c>
      <c r="D904">
        <v>2</v>
      </c>
      <c r="E904">
        <f t="shared" si="14"/>
        <v>4.2223641135053967E-2</v>
      </c>
    </row>
    <row r="905" spans="1:5" x14ac:dyDescent="0.25">
      <c r="A905">
        <v>3</v>
      </c>
      <c r="B905">
        <v>0.162162162162162</v>
      </c>
      <c r="D905">
        <v>2</v>
      </c>
      <c r="E905">
        <f t="shared" si="14"/>
        <v>4.2223641135053967E-2</v>
      </c>
    </row>
    <row r="906" spans="1:5" x14ac:dyDescent="0.25">
      <c r="A906">
        <v>3</v>
      </c>
      <c r="B906">
        <v>-1.79640718562874E-2</v>
      </c>
      <c r="D906">
        <v>2</v>
      </c>
      <c r="E906">
        <f t="shared" si="14"/>
        <v>4.2223641135053967E-2</v>
      </c>
    </row>
    <row r="907" spans="1:5" x14ac:dyDescent="0.25">
      <c r="A907">
        <v>3</v>
      </c>
      <c r="B907">
        <v>-8.9820359281437105E-3</v>
      </c>
      <c r="D907">
        <v>2</v>
      </c>
      <c r="E907">
        <f t="shared" si="14"/>
        <v>4.2223641135053967E-2</v>
      </c>
    </row>
    <row r="908" spans="1:5" x14ac:dyDescent="0.25">
      <c r="A908">
        <v>3</v>
      </c>
      <c r="B908">
        <v>7.1999999999999995E-2</v>
      </c>
      <c r="D908">
        <v>2</v>
      </c>
      <c r="E908">
        <f t="shared" si="14"/>
        <v>4.2223641135053967E-2</v>
      </c>
    </row>
    <row r="909" spans="1:5" x14ac:dyDescent="0.25">
      <c r="A909">
        <v>3</v>
      </c>
      <c r="B909">
        <v>8.1081081081081099E-2</v>
      </c>
      <c r="D909">
        <v>2</v>
      </c>
      <c r="E909">
        <f t="shared" si="14"/>
        <v>4.2223641135053967E-2</v>
      </c>
    </row>
    <row r="910" spans="1:5" x14ac:dyDescent="0.25">
      <c r="A910">
        <v>3</v>
      </c>
      <c r="B910">
        <v>6.75990675990676E-2</v>
      </c>
      <c r="D910">
        <v>2</v>
      </c>
      <c r="E910">
        <f t="shared" si="14"/>
        <v>4.2223641135053967E-2</v>
      </c>
    </row>
    <row r="911" spans="1:5" x14ac:dyDescent="0.25">
      <c r="A911">
        <v>3</v>
      </c>
      <c r="B911">
        <v>7.9254079254079193E-2</v>
      </c>
      <c r="D911">
        <v>2</v>
      </c>
      <c r="E911">
        <f t="shared" si="14"/>
        <v>4.2223641135053967E-2</v>
      </c>
    </row>
    <row r="912" spans="1:5" x14ac:dyDescent="0.25">
      <c r="A912">
        <v>3</v>
      </c>
      <c r="B912">
        <v>-1.3333333333333299E-2</v>
      </c>
      <c r="D912">
        <v>2</v>
      </c>
      <c r="E912">
        <f t="shared" si="14"/>
        <v>4.2223641135053967E-2</v>
      </c>
    </row>
    <row r="913" spans="1:5" x14ac:dyDescent="0.25">
      <c r="A913">
        <v>3</v>
      </c>
      <c r="B913">
        <v>0.08</v>
      </c>
      <c r="D913">
        <v>2</v>
      </c>
      <c r="E913">
        <f t="shared" si="14"/>
        <v>4.2223641135053967E-2</v>
      </c>
    </row>
    <row r="914" spans="1:5" x14ac:dyDescent="0.25">
      <c r="A914">
        <v>3</v>
      </c>
      <c r="B914">
        <v>-2.4024024024024E-2</v>
      </c>
      <c r="D914">
        <v>2</v>
      </c>
      <c r="E914">
        <f t="shared" si="14"/>
        <v>4.2223641135053967E-2</v>
      </c>
    </row>
    <row r="915" spans="1:5" x14ac:dyDescent="0.25">
      <c r="A915">
        <v>3</v>
      </c>
      <c r="B915">
        <v>-0.117333333333333</v>
      </c>
      <c r="D915">
        <v>2</v>
      </c>
      <c r="E915">
        <f t="shared" si="14"/>
        <v>4.2223641135053967E-2</v>
      </c>
    </row>
    <row r="916" spans="1:5" x14ac:dyDescent="0.25">
      <c r="A916">
        <v>3</v>
      </c>
      <c r="B916">
        <v>2.9333333333333302E-2</v>
      </c>
      <c r="D916">
        <v>2</v>
      </c>
      <c r="E916">
        <f t="shared" si="14"/>
        <v>4.2223641135053967E-2</v>
      </c>
    </row>
    <row r="917" spans="1:5" x14ac:dyDescent="0.25">
      <c r="A917">
        <v>3</v>
      </c>
      <c r="B917">
        <v>-3.4965034965035002E-2</v>
      </c>
      <c r="D917">
        <v>2</v>
      </c>
      <c r="E917">
        <f t="shared" si="14"/>
        <v>4.2223641135053967E-2</v>
      </c>
    </row>
    <row r="918" spans="1:5" x14ac:dyDescent="0.25">
      <c r="A918">
        <v>3</v>
      </c>
      <c r="B918">
        <v>5.1282051282051301E-2</v>
      </c>
      <c r="D918">
        <v>2</v>
      </c>
      <c r="E918">
        <f t="shared" si="14"/>
        <v>4.2223641135053967E-2</v>
      </c>
    </row>
    <row r="919" spans="1:5" x14ac:dyDescent="0.25">
      <c r="A919">
        <v>3</v>
      </c>
      <c r="B919">
        <v>-7.4766355140186896E-2</v>
      </c>
      <c r="D919">
        <v>2</v>
      </c>
      <c r="E919">
        <f t="shared" si="14"/>
        <v>4.2223641135053967E-2</v>
      </c>
    </row>
    <row r="920" spans="1:5" x14ac:dyDescent="0.25">
      <c r="A920">
        <v>3</v>
      </c>
      <c r="B920">
        <v>0.12</v>
      </c>
      <c r="D920">
        <v>2</v>
      </c>
      <c r="E920">
        <f t="shared" si="14"/>
        <v>4.2223641135053967E-2</v>
      </c>
    </row>
    <row r="921" spans="1:5" x14ac:dyDescent="0.25">
      <c r="A921">
        <v>3</v>
      </c>
      <c r="B921">
        <v>0.133333333333333</v>
      </c>
      <c r="D921">
        <v>2</v>
      </c>
      <c r="E921">
        <f t="shared" si="14"/>
        <v>4.2223641135053967E-2</v>
      </c>
    </row>
    <row r="922" spans="1:5" x14ac:dyDescent="0.25">
      <c r="A922">
        <v>3</v>
      </c>
      <c r="B922">
        <v>0.391666666666667</v>
      </c>
      <c r="D922">
        <v>2</v>
      </c>
      <c r="E922">
        <f t="shared" si="14"/>
        <v>4.2223641135053967E-2</v>
      </c>
    </row>
    <row r="923" spans="1:5" x14ac:dyDescent="0.25">
      <c r="A923">
        <v>3</v>
      </c>
      <c r="B923">
        <v>6.8000000000000005E-2</v>
      </c>
      <c r="D923">
        <v>2</v>
      </c>
      <c r="E923">
        <f t="shared" si="14"/>
        <v>4.2223641135053967E-2</v>
      </c>
    </row>
    <row r="924" spans="1:5" x14ac:dyDescent="0.25">
      <c r="A924">
        <v>3</v>
      </c>
      <c r="B924">
        <v>-1.3698630136986301E-2</v>
      </c>
      <c r="D924">
        <v>2</v>
      </c>
      <c r="E924">
        <f t="shared" si="14"/>
        <v>4.2223641135053967E-2</v>
      </c>
    </row>
    <row r="925" spans="1:5" x14ac:dyDescent="0.25">
      <c r="A925">
        <v>3</v>
      </c>
      <c r="B925">
        <v>0.31733333333333302</v>
      </c>
      <c r="D925">
        <v>2</v>
      </c>
      <c r="E925">
        <f t="shared" si="14"/>
        <v>4.2223641135053967E-2</v>
      </c>
    </row>
    <row r="926" spans="1:5" x14ac:dyDescent="0.25">
      <c r="A926">
        <v>3</v>
      </c>
      <c r="B926">
        <v>-6.6666666666666697E-3</v>
      </c>
      <c r="D926">
        <v>2</v>
      </c>
      <c r="E926">
        <f t="shared" si="14"/>
        <v>4.2223641135053967E-2</v>
      </c>
    </row>
    <row r="927" spans="1:5" x14ac:dyDescent="0.25">
      <c r="A927">
        <v>3</v>
      </c>
      <c r="B927">
        <v>0.490566037735849</v>
      </c>
      <c r="D927">
        <v>2</v>
      </c>
      <c r="E927">
        <f t="shared" si="14"/>
        <v>4.2223641135053967E-2</v>
      </c>
    </row>
    <row r="928" spans="1:5" x14ac:dyDescent="0.25">
      <c r="A928">
        <v>3</v>
      </c>
      <c r="B928">
        <v>-4.1666666666666699E-2</v>
      </c>
      <c r="D928">
        <v>2</v>
      </c>
      <c r="E928">
        <f t="shared" si="14"/>
        <v>4.2223641135053967E-2</v>
      </c>
    </row>
    <row r="929" spans="1:5" x14ac:dyDescent="0.25">
      <c r="A929">
        <v>3</v>
      </c>
      <c r="B929">
        <v>0.394859813084112</v>
      </c>
      <c r="D929">
        <v>2</v>
      </c>
      <c r="E929">
        <f t="shared" si="14"/>
        <v>4.2223641135053967E-2</v>
      </c>
    </row>
    <row r="930" spans="1:5" x14ac:dyDescent="0.25">
      <c r="A930">
        <v>3</v>
      </c>
      <c r="B930">
        <v>9.3023255813953501E-2</v>
      </c>
      <c r="D930">
        <v>2</v>
      </c>
      <c r="E930">
        <f t="shared" si="14"/>
        <v>4.2223641135053967E-2</v>
      </c>
    </row>
    <row r="931" spans="1:5" x14ac:dyDescent="0.25">
      <c r="A931">
        <v>3</v>
      </c>
      <c r="B931">
        <v>0.37062937062937101</v>
      </c>
      <c r="D931">
        <v>2</v>
      </c>
      <c r="E931">
        <f t="shared" si="14"/>
        <v>4.2223641135053967E-2</v>
      </c>
    </row>
    <row r="932" spans="1:5" x14ac:dyDescent="0.25">
      <c r="A932">
        <v>3</v>
      </c>
      <c r="B932">
        <v>0.11915887850467299</v>
      </c>
      <c r="D932">
        <v>2</v>
      </c>
      <c r="E932">
        <f t="shared" si="14"/>
        <v>4.2223641135053967E-2</v>
      </c>
    </row>
    <row r="933" spans="1:5" x14ac:dyDescent="0.25">
      <c r="A933">
        <v>3</v>
      </c>
      <c r="B933">
        <v>0.492307692307692</v>
      </c>
      <c r="D933">
        <v>2</v>
      </c>
      <c r="E933">
        <f t="shared" si="14"/>
        <v>4.2223641135053967E-2</v>
      </c>
    </row>
    <row r="934" spans="1:5" x14ac:dyDescent="0.25">
      <c r="A934">
        <v>3</v>
      </c>
      <c r="B934">
        <v>-2.8000000000000001E-2</v>
      </c>
      <c r="D934">
        <v>2</v>
      </c>
      <c r="E934">
        <f t="shared" si="14"/>
        <v>4.2223641135053967E-2</v>
      </c>
    </row>
    <row r="935" spans="1:5" x14ac:dyDescent="0.25">
      <c r="A935">
        <v>3</v>
      </c>
      <c r="B935">
        <v>0.415584415584416</v>
      </c>
      <c r="D935">
        <v>2</v>
      </c>
      <c r="E935">
        <f t="shared" si="14"/>
        <v>4.2223641135053967E-2</v>
      </c>
    </row>
    <row r="936" spans="1:5" x14ac:dyDescent="0.25">
      <c r="A936">
        <v>3</v>
      </c>
      <c r="B936">
        <v>-7.5999999999999998E-2</v>
      </c>
      <c r="D936">
        <v>2</v>
      </c>
      <c r="E936">
        <f t="shared" si="14"/>
        <v>4.2223641135053967E-2</v>
      </c>
    </row>
    <row r="937" spans="1:5" x14ac:dyDescent="0.25">
      <c r="A937">
        <v>3</v>
      </c>
      <c r="B937">
        <v>0.60599999999999998</v>
      </c>
      <c r="D937">
        <v>2</v>
      </c>
      <c r="E937">
        <f t="shared" si="14"/>
        <v>4.2223641135053967E-2</v>
      </c>
    </row>
    <row r="938" spans="1:5" x14ac:dyDescent="0.25">
      <c r="A938">
        <v>3</v>
      </c>
      <c r="B938">
        <v>0.28799999999999998</v>
      </c>
      <c r="D938">
        <v>2</v>
      </c>
      <c r="E938">
        <f t="shared" si="14"/>
        <v>4.2223641135053967E-2</v>
      </c>
    </row>
    <row r="939" spans="1:5" x14ac:dyDescent="0.25">
      <c r="A939">
        <v>3</v>
      </c>
      <c r="B939">
        <v>-0.144859813084112</v>
      </c>
      <c r="D939">
        <v>2</v>
      </c>
      <c r="E939">
        <f t="shared" si="14"/>
        <v>4.2223641135053967E-2</v>
      </c>
    </row>
    <row r="940" spans="1:5" x14ac:dyDescent="0.25">
      <c r="A940">
        <v>3</v>
      </c>
      <c r="B940">
        <v>0.59799999999999998</v>
      </c>
      <c r="D940">
        <v>2</v>
      </c>
      <c r="E940">
        <f t="shared" si="14"/>
        <v>4.2223641135053967E-2</v>
      </c>
    </row>
    <row r="941" spans="1:5" x14ac:dyDescent="0.25">
      <c r="A941">
        <v>3</v>
      </c>
      <c r="B941">
        <v>0.61599999999999999</v>
      </c>
      <c r="D941">
        <v>2</v>
      </c>
      <c r="E941">
        <f t="shared" si="14"/>
        <v>4.2223641135053967E-2</v>
      </c>
    </row>
    <row r="942" spans="1:5" x14ac:dyDescent="0.25">
      <c r="A942">
        <v>3</v>
      </c>
      <c r="B942">
        <v>1</v>
      </c>
      <c r="D942">
        <v>2</v>
      </c>
      <c r="E942">
        <f t="shared" si="14"/>
        <v>4.2223641135053967E-2</v>
      </c>
    </row>
    <row r="943" spans="1:5" x14ac:dyDescent="0.25">
      <c r="A943">
        <v>3</v>
      </c>
      <c r="B943">
        <v>0.483333333333333</v>
      </c>
      <c r="D943">
        <v>2</v>
      </c>
      <c r="E943">
        <f t="shared" si="14"/>
        <v>4.2223641135053967E-2</v>
      </c>
    </row>
    <row r="944" spans="1:5" x14ac:dyDescent="0.25">
      <c r="A944">
        <v>3</v>
      </c>
      <c r="B944">
        <v>0</v>
      </c>
      <c r="D944">
        <v>2</v>
      </c>
      <c r="E944">
        <f t="shared" si="14"/>
        <v>4.2223641135053967E-2</v>
      </c>
    </row>
    <row r="945" spans="1:5" x14ac:dyDescent="0.25">
      <c r="A945">
        <v>3</v>
      </c>
      <c r="B945">
        <v>7.5075075075075104E-2</v>
      </c>
      <c r="D945">
        <v>2</v>
      </c>
      <c r="E945">
        <f t="shared" si="14"/>
        <v>4.2223641135053967E-2</v>
      </c>
    </row>
    <row r="946" spans="1:5" x14ac:dyDescent="0.25">
      <c r="A946">
        <v>3</v>
      </c>
      <c r="B946">
        <v>5.7057057057057103E-2</v>
      </c>
      <c r="D946">
        <v>2</v>
      </c>
      <c r="E946">
        <f t="shared" si="14"/>
        <v>4.2223641135053967E-2</v>
      </c>
    </row>
    <row r="947" spans="1:5" x14ac:dyDescent="0.25">
      <c r="A947">
        <v>3</v>
      </c>
      <c r="B947">
        <v>-3.46666666666667E-2</v>
      </c>
      <c r="D947">
        <v>2</v>
      </c>
      <c r="E947">
        <f t="shared" si="14"/>
        <v>4.2223641135053967E-2</v>
      </c>
    </row>
    <row r="948" spans="1:5" x14ac:dyDescent="0.25">
      <c r="A948">
        <v>3</v>
      </c>
      <c r="B948">
        <v>-5.6000000000000001E-2</v>
      </c>
      <c r="D948">
        <v>2</v>
      </c>
      <c r="E948">
        <f t="shared" si="14"/>
        <v>4.2223641135053967E-2</v>
      </c>
    </row>
    <row r="949" spans="1:5" x14ac:dyDescent="0.25">
      <c r="A949">
        <v>3</v>
      </c>
      <c r="B949">
        <v>-0.17664670658682599</v>
      </c>
      <c r="D949">
        <v>2</v>
      </c>
      <c r="E949">
        <f t="shared" si="14"/>
        <v>4.2223641135053967E-2</v>
      </c>
    </row>
    <row r="950" spans="1:5" x14ac:dyDescent="0.25">
      <c r="A950">
        <v>3</v>
      </c>
      <c r="B950">
        <v>0.04</v>
      </c>
      <c r="D950">
        <v>2</v>
      </c>
      <c r="E950">
        <f t="shared" si="14"/>
        <v>4.2223641135053967E-2</v>
      </c>
    </row>
    <row r="951" spans="1:5" x14ac:dyDescent="0.25">
      <c r="A951">
        <v>3</v>
      </c>
      <c r="B951">
        <v>-4.8048048048047999E-2</v>
      </c>
      <c r="D951">
        <v>2</v>
      </c>
      <c r="E951">
        <f t="shared" si="14"/>
        <v>4.2223641135053967E-2</v>
      </c>
    </row>
    <row r="952" spans="1:5" x14ac:dyDescent="0.25">
      <c r="A952">
        <v>3</v>
      </c>
      <c r="B952">
        <v>0.126126126126126</v>
      </c>
      <c r="D952">
        <v>2</v>
      </c>
      <c r="E952">
        <f t="shared" si="14"/>
        <v>4.2223641135053967E-2</v>
      </c>
    </row>
    <row r="953" spans="1:5" x14ac:dyDescent="0.25">
      <c r="A953">
        <v>3</v>
      </c>
      <c r="B953">
        <v>-3.0030030030029999E-3</v>
      </c>
      <c r="D953">
        <v>2</v>
      </c>
      <c r="E953">
        <f t="shared" si="14"/>
        <v>4.2223641135053967E-2</v>
      </c>
    </row>
    <row r="954" spans="1:5" x14ac:dyDescent="0.25">
      <c r="A954">
        <v>3</v>
      </c>
      <c r="B954">
        <v>-8.0000000000000002E-3</v>
      </c>
      <c r="D954">
        <v>2</v>
      </c>
      <c r="E954">
        <f t="shared" si="14"/>
        <v>4.2223641135053967E-2</v>
      </c>
    </row>
    <row r="955" spans="1:5" x14ac:dyDescent="0.25">
      <c r="A955">
        <v>3</v>
      </c>
      <c r="B955">
        <v>-2.4E-2</v>
      </c>
      <c r="D955">
        <v>2</v>
      </c>
      <c r="E955">
        <f t="shared" si="14"/>
        <v>4.2223641135053967E-2</v>
      </c>
    </row>
    <row r="956" spans="1:5" x14ac:dyDescent="0.25">
      <c r="A956">
        <v>3</v>
      </c>
      <c r="B956">
        <v>-0.10666666666666701</v>
      </c>
      <c r="D956">
        <v>2</v>
      </c>
      <c r="E956">
        <f t="shared" si="14"/>
        <v>4.2223641135053967E-2</v>
      </c>
    </row>
    <row r="957" spans="1:5" x14ac:dyDescent="0.25">
      <c r="A957">
        <v>3</v>
      </c>
      <c r="B957">
        <v>3.7333333333333302E-2</v>
      </c>
      <c r="D957">
        <v>2</v>
      </c>
      <c r="E957">
        <f t="shared" si="14"/>
        <v>4.2223641135053967E-2</v>
      </c>
    </row>
    <row r="958" spans="1:5" x14ac:dyDescent="0.25">
      <c r="A958">
        <v>3</v>
      </c>
      <c r="B958">
        <v>-2.7027027027027001E-2</v>
      </c>
      <c r="D958">
        <v>2</v>
      </c>
      <c r="E958">
        <f t="shared" si="14"/>
        <v>4.2223641135053967E-2</v>
      </c>
    </row>
    <row r="959" spans="1:5" x14ac:dyDescent="0.25">
      <c r="A959">
        <v>3</v>
      </c>
      <c r="B959">
        <v>-8.6448598130841103E-2</v>
      </c>
      <c r="D959">
        <v>2</v>
      </c>
      <c r="E959">
        <f t="shared" si="14"/>
        <v>4.2223641135053967E-2</v>
      </c>
    </row>
    <row r="960" spans="1:5" x14ac:dyDescent="0.25">
      <c r="A960">
        <v>3</v>
      </c>
      <c r="B960">
        <v>6.6066066066066104E-2</v>
      </c>
      <c r="D960">
        <v>2</v>
      </c>
      <c r="E960">
        <f t="shared" si="14"/>
        <v>4.2223641135053967E-2</v>
      </c>
    </row>
    <row r="961" spans="1:5" x14ac:dyDescent="0.25">
      <c r="A961">
        <v>3</v>
      </c>
      <c r="B961">
        <v>-5.3613053613053602E-2</v>
      </c>
      <c r="D961">
        <v>2</v>
      </c>
      <c r="E961">
        <f t="shared" si="14"/>
        <v>4.2223641135053967E-2</v>
      </c>
    </row>
    <row r="962" spans="1:5" x14ac:dyDescent="0.25">
      <c r="A962">
        <v>3</v>
      </c>
      <c r="B962">
        <v>6.9930069930069904E-3</v>
      </c>
      <c r="D962">
        <v>2</v>
      </c>
      <c r="E962">
        <f t="shared" si="14"/>
        <v>4.2223641135053967E-2</v>
      </c>
    </row>
    <row r="963" spans="1:5" x14ac:dyDescent="0.25">
      <c r="A963">
        <v>3</v>
      </c>
      <c r="B963">
        <v>-8.8578088578088604E-2</v>
      </c>
      <c r="D963">
        <v>2</v>
      </c>
      <c r="E963">
        <f t="shared" ref="E963:E1026" si="15">_xlfn.NORM.DIST(D963, I$4,I$7,FALSE)</f>
        <v>4.2223641135053967E-2</v>
      </c>
    </row>
    <row r="964" spans="1:5" x14ac:dyDescent="0.25">
      <c r="A964">
        <v>3</v>
      </c>
      <c r="B964">
        <v>0.101333333333333</v>
      </c>
      <c r="D964">
        <v>2</v>
      </c>
      <c r="E964">
        <f t="shared" si="15"/>
        <v>4.2223641135053967E-2</v>
      </c>
    </row>
    <row r="965" spans="1:5" x14ac:dyDescent="0.25">
      <c r="A965">
        <v>3</v>
      </c>
      <c r="B965">
        <v>7.1999999999999995E-2</v>
      </c>
      <c r="D965">
        <v>2</v>
      </c>
      <c r="E965">
        <f t="shared" si="15"/>
        <v>4.2223641135053967E-2</v>
      </c>
    </row>
    <row r="966" spans="1:5" x14ac:dyDescent="0.25">
      <c r="A966">
        <v>3</v>
      </c>
      <c r="B966">
        <v>0.22</v>
      </c>
      <c r="D966">
        <v>2</v>
      </c>
      <c r="E966">
        <f t="shared" si="15"/>
        <v>4.2223641135053967E-2</v>
      </c>
    </row>
    <row r="967" spans="1:5" x14ac:dyDescent="0.25">
      <c r="A967">
        <v>3</v>
      </c>
      <c r="B967">
        <v>3.2000000000000001E-2</v>
      </c>
      <c r="D967">
        <v>2</v>
      </c>
      <c r="E967">
        <f t="shared" si="15"/>
        <v>4.2223641135053967E-2</v>
      </c>
    </row>
    <row r="968" spans="1:5" x14ac:dyDescent="0.25">
      <c r="A968">
        <v>3</v>
      </c>
      <c r="B968">
        <v>0.28571428571428598</v>
      </c>
      <c r="D968">
        <v>2</v>
      </c>
      <c r="E968">
        <f t="shared" si="15"/>
        <v>4.2223641135053967E-2</v>
      </c>
    </row>
    <row r="969" spans="1:5" x14ac:dyDescent="0.25">
      <c r="A969">
        <v>3</v>
      </c>
      <c r="B969">
        <v>2.3364485981308401E-3</v>
      </c>
      <c r="D969">
        <v>2</v>
      </c>
      <c r="E969">
        <f t="shared" si="15"/>
        <v>4.2223641135053967E-2</v>
      </c>
    </row>
    <row r="970" spans="1:5" x14ac:dyDescent="0.25">
      <c r="A970">
        <v>3</v>
      </c>
      <c r="B970">
        <v>0.114219114219114</v>
      </c>
      <c r="D970">
        <v>2</v>
      </c>
      <c r="E970">
        <f t="shared" si="15"/>
        <v>4.2223641135053967E-2</v>
      </c>
    </row>
    <row r="971" spans="1:5" x14ac:dyDescent="0.25">
      <c r="A971">
        <v>3</v>
      </c>
      <c r="B971">
        <v>0.21212121212121199</v>
      </c>
      <c r="D971">
        <v>2</v>
      </c>
      <c r="E971">
        <f t="shared" si="15"/>
        <v>4.2223641135053967E-2</v>
      </c>
    </row>
    <row r="972" spans="1:5" x14ac:dyDescent="0.25">
      <c r="A972">
        <v>3</v>
      </c>
      <c r="B972">
        <v>-0.13986013986014001</v>
      </c>
      <c r="D972">
        <v>2</v>
      </c>
      <c r="E972">
        <f t="shared" si="15"/>
        <v>4.2223641135053967E-2</v>
      </c>
    </row>
    <row r="973" spans="1:5" x14ac:dyDescent="0.25">
      <c r="A973">
        <v>3</v>
      </c>
      <c r="B973">
        <v>7.4666666666666701E-2</v>
      </c>
      <c r="D973">
        <v>2</v>
      </c>
      <c r="E973">
        <f t="shared" si="15"/>
        <v>4.2223641135053967E-2</v>
      </c>
    </row>
    <row r="974" spans="1:5" x14ac:dyDescent="0.25">
      <c r="A974">
        <v>3</v>
      </c>
      <c r="B974">
        <v>0.13829787234042601</v>
      </c>
      <c r="D974">
        <v>2</v>
      </c>
      <c r="E974">
        <f t="shared" si="15"/>
        <v>4.2223641135053967E-2</v>
      </c>
    </row>
    <row r="975" spans="1:5" x14ac:dyDescent="0.25">
      <c r="A975">
        <v>3</v>
      </c>
      <c r="B975">
        <v>9.8802395209580798E-2</v>
      </c>
      <c r="D975">
        <v>2</v>
      </c>
      <c r="E975">
        <f t="shared" si="15"/>
        <v>4.2223641135053967E-2</v>
      </c>
    </row>
    <row r="976" spans="1:5" x14ac:dyDescent="0.25">
      <c r="A976">
        <v>3</v>
      </c>
      <c r="B976">
        <v>-0.14599999999999999</v>
      </c>
      <c r="D976">
        <v>2</v>
      </c>
      <c r="E976">
        <f t="shared" si="15"/>
        <v>4.2223641135053967E-2</v>
      </c>
    </row>
    <row r="977" spans="1:5" x14ac:dyDescent="0.25">
      <c r="A977">
        <v>3</v>
      </c>
      <c r="B977">
        <v>0.34131736526946099</v>
      </c>
      <c r="D977">
        <v>2</v>
      </c>
      <c r="E977">
        <f t="shared" si="15"/>
        <v>4.2223641135053967E-2</v>
      </c>
    </row>
    <row r="978" spans="1:5" x14ac:dyDescent="0.25">
      <c r="A978">
        <v>3</v>
      </c>
      <c r="B978">
        <v>0.42857142857142899</v>
      </c>
      <c r="D978">
        <v>2</v>
      </c>
      <c r="E978">
        <f t="shared" si="15"/>
        <v>4.2223641135053967E-2</v>
      </c>
    </row>
    <row r="979" spans="1:5" x14ac:dyDescent="0.25">
      <c r="A979">
        <v>3</v>
      </c>
      <c r="B979">
        <v>1</v>
      </c>
      <c r="D979">
        <v>2</v>
      </c>
      <c r="E979">
        <f t="shared" si="15"/>
        <v>4.2223641135053967E-2</v>
      </c>
    </row>
    <row r="980" spans="1:5" x14ac:dyDescent="0.25">
      <c r="A980">
        <v>3</v>
      </c>
      <c r="B980">
        <v>0.31182795698924698</v>
      </c>
      <c r="D980">
        <v>2</v>
      </c>
      <c r="E980">
        <f t="shared" si="15"/>
        <v>4.2223641135053967E-2</v>
      </c>
    </row>
    <row r="981" spans="1:5" x14ac:dyDescent="0.25">
      <c r="A981">
        <v>3</v>
      </c>
      <c r="B981">
        <v>0.61666666666666703</v>
      </c>
      <c r="D981">
        <v>2</v>
      </c>
      <c r="E981">
        <f t="shared" si="15"/>
        <v>4.2223641135053967E-2</v>
      </c>
    </row>
    <row r="982" spans="1:5" x14ac:dyDescent="0.25">
      <c r="A982">
        <v>3</v>
      </c>
      <c r="B982">
        <v>-2.9333333333333302E-2</v>
      </c>
      <c r="D982">
        <v>2</v>
      </c>
      <c r="E982">
        <f t="shared" si="15"/>
        <v>4.2223641135053967E-2</v>
      </c>
    </row>
    <row r="983" spans="1:5" x14ac:dyDescent="0.25">
      <c r="A983">
        <v>3</v>
      </c>
      <c r="B983">
        <v>0.61599999999999999</v>
      </c>
      <c r="D983">
        <v>2</v>
      </c>
      <c r="E983">
        <f t="shared" si="15"/>
        <v>4.2223641135053967E-2</v>
      </c>
    </row>
    <row r="984" spans="1:5" x14ac:dyDescent="0.25">
      <c r="A984">
        <v>3</v>
      </c>
      <c r="B984">
        <v>0.66400000000000003</v>
      </c>
      <c r="D984">
        <v>2</v>
      </c>
      <c r="E984">
        <f t="shared" si="15"/>
        <v>4.2223641135053967E-2</v>
      </c>
    </row>
    <row r="985" spans="1:5" x14ac:dyDescent="0.25">
      <c r="A985">
        <v>3</v>
      </c>
      <c r="B985">
        <v>0.41599999999999998</v>
      </c>
      <c r="D985">
        <v>2</v>
      </c>
      <c r="E985">
        <f t="shared" si="15"/>
        <v>4.2223641135053967E-2</v>
      </c>
    </row>
    <row r="986" spans="1:5" x14ac:dyDescent="0.25">
      <c r="A986">
        <v>3</v>
      </c>
      <c r="B986">
        <v>2.4024024024024E-2</v>
      </c>
      <c r="D986">
        <v>2</v>
      </c>
      <c r="E986">
        <f t="shared" si="15"/>
        <v>4.2223641135053967E-2</v>
      </c>
    </row>
    <row r="987" spans="1:5" x14ac:dyDescent="0.25">
      <c r="A987">
        <v>3</v>
      </c>
      <c r="B987">
        <v>0.48</v>
      </c>
      <c r="D987">
        <v>2</v>
      </c>
      <c r="E987">
        <f t="shared" si="15"/>
        <v>4.2223641135053967E-2</v>
      </c>
    </row>
    <row r="988" spans="1:5" x14ac:dyDescent="0.25">
      <c r="A988">
        <v>3</v>
      </c>
      <c r="B988">
        <v>0.48148148148148101</v>
      </c>
      <c r="D988">
        <v>2</v>
      </c>
      <c r="E988">
        <f t="shared" si="15"/>
        <v>4.2223641135053967E-2</v>
      </c>
    </row>
    <row r="989" spans="1:5" x14ac:dyDescent="0.25">
      <c r="A989">
        <v>3</v>
      </c>
      <c r="B989">
        <v>1</v>
      </c>
      <c r="D989">
        <v>2</v>
      </c>
      <c r="E989">
        <f t="shared" si="15"/>
        <v>4.2223641135053967E-2</v>
      </c>
    </row>
    <row r="990" spans="1:5" x14ac:dyDescent="0.25">
      <c r="A990">
        <v>3</v>
      </c>
      <c r="B990">
        <v>-2.1021021021020998E-2</v>
      </c>
      <c r="D990">
        <v>2</v>
      </c>
      <c r="E990">
        <f t="shared" si="15"/>
        <v>4.2223641135053967E-2</v>
      </c>
    </row>
    <row r="991" spans="1:5" x14ac:dyDescent="0.25">
      <c r="A991">
        <v>3</v>
      </c>
      <c r="B991">
        <v>0.162162162162162</v>
      </c>
      <c r="D991">
        <v>2</v>
      </c>
      <c r="E991">
        <f t="shared" si="15"/>
        <v>4.2223641135053967E-2</v>
      </c>
    </row>
    <row r="992" spans="1:5" x14ac:dyDescent="0.25">
      <c r="A992">
        <v>3</v>
      </c>
      <c r="B992">
        <v>-6.6066066066066104E-2</v>
      </c>
      <c r="D992">
        <v>2</v>
      </c>
      <c r="E992">
        <f t="shared" si="15"/>
        <v>4.2223641135053967E-2</v>
      </c>
    </row>
    <row r="993" spans="1:5" x14ac:dyDescent="0.25">
      <c r="A993">
        <v>3</v>
      </c>
      <c r="B993">
        <v>6.9069069069069094E-2</v>
      </c>
      <c r="D993">
        <v>2</v>
      </c>
      <c r="E993">
        <f t="shared" si="15"/>
        <v>4.2223641135053967E-2</v>
      </c>
    </row>
    <row r="994" spans="1:5" x14ac:dyDescent="0.25">
      <c r="A994">
        <v>3</v>
      </c>
      <c r="B994">
        <v>2.66666666666667E-3</v>
      </c>
      <c r="D994">
        <v>2</v>
      </c>
      <c r="E994">
        <f t="shared" si="15"/>
        <v>4.2223641135053967E-2</v>
      </c>
    </row>
    <row r="995" spans="1:5" x14ac:dyDescent="0.25">
      <c r="A995">
        <v>3</v>
      </c>
      <c r="B995">
        <v>6.0060060060060101E-2</v>
      </c>
      <c r="D995">
        <v>2</v>
      </c>
      <c r="E995">
        <f t="shared" si="15"/>
        <v>4.2223641135053967E-2</v>
      </c>
    </row>
    <row r="996" spans="1:5" x14ac:dyDescent="0.25">
      <c r="A996">
        <v>3</v>
      </c>
      <c r="B996">
        <v>-0.125874125874126</v>
      </c>
      <c r="D996">
        <v>2</v>
      </c>
      <c r="E996">
        <f t="shared" si="15"/>
        <v>4.2223641135053967E-2</v>
      </c>
    </row>
    <row r="997" spans="1:5" x14ac:dyDescent="0.25">
      <c r="A997">
        <v>3</v>
      </c>
      <c r="B997">
        <v>2.69461077844311E-2</v>
      </c>
      <c r="D997">
        <v>2</v>
      </c>
      <c r="E997">
        <f t="shared" si="15"/>
        <v>4.2223641135053967E-2</v>
      </c>
    </row>
    <row r="998" spans="1:5" x14ac:dyDescent="0.25">
      <c r="A998">
        <v>3</v>
      </c>
      <c r="B998">
        <v>0.10489510489510501</v>
      </c>
      <c r="D998">
        <v>2</v>
      </c>
      <c r="E998">
        <f t="shared" si="15"/>
        <v>4.2223641135053967E-2</v>
      </c>
    </row>
    <row r="999" spans="1:5" x14ac:dyDescent="0.25">
      <c r="A999">
        <v>3</v>
      </c>
      <c r="B999">
        <v>5.0898203592814398E-2</v>
      </c>
      <c r="D999">
        <v>3</v>
      </c>
      <c r="E999">
        <f t="shared" si="15"/>
        <v>4.3362046056062392E-2</v>
      </c>
    </row>
    <row r="1000" spans="1:5" x14ac:dyDescent="0.25">
      <c r="A1000">
        <v>3</v>
      </c>
      <c r="B1000">
        <v>0.16</v>
      </c>
      <c r="D1000">
        <v>3</v>
      </c>
      <c r="E1000">
        <f t="shared" si="15"/>
        <v>4.3362046056062392E-2</v>
      </c>
    </row>
    <row r="1001" spans="1:5" x14ac:dyDescent="0.25">
      <c r="A1001">
        <v>3</v>
      </c>
      <c r="B1001">
        <v>-1.6E-2</v>
      </c>
      <c r="D1001">
        <v>3</v>
      </c>
      <c r="E1001">
        <f t="shared" si="15"/>
        <v>4.3362046056062392E-2</v>
      </c>
    </row>
    <row r="1002" spans="1:5" x14ac:dyDescent="0.25">
      <c r="A1002">
        <v>3</v>
      </c>
      <c r="B1002">
        <v>-2.3364485981308401E-3</v>
      </c>
      <c r="D1002">
        <v>3</v>
      </c>
      <c r="E1002">
        <f t="shared" si="15"/>
        <v>4.3362046056062392E-2</v>
      </c>
    </row>
    <row r="1003" spans="1:5" x14ac:dyDescent="0.25">
      <c r="A1003">
        <v>3</v>
      </c>
      <c r="B1003">
        <v>-1.6E-2</v>
      </c>
      <c r="D1003">
        <v>3</v>
      </c>
      <c r="E1003">
        <f t="shared" si="15"/>
        <v>4.3362046056062392E-2</v>
      </c>
    </row>
    <row r="1004" spans="1:5" x14ac:dyDescent="0.25">
      <c r="A1004">
        <v>3</v>
      </c>
      <c r="B1004">
        <v>-0.117333333333333</v>
      </c>
      <c r="D1004">
        <v>3</v>
      </c>
      <c r="E1004">
        <f t="shared" si="15"/>
        <v>4.3362046056062392E-2</v>
      </c>
    </row>
    <row r="1005" spans="1:5" x14ac:dyDescent="0.25">
      <c r="A1005">
        <v>3</v>
      </c>
      <c r="B1005">
        <v>6.5268065268065306E-2</v>
      </c>
      <c r="D1005">
        <v>3</v>
      </c>
      <c r="E1005">
        <f t="shared" si="15"/>
        <v>4.3362046056062392E-2</v>
      </c>
    </row>
    <row r="1006" spans="1:5" x14ac:dyDescent="0.25">
      <c r="A1006">
        <v>3</v>
      </c>
      <c r="B1006">
        <v>-0.125748502994012</v>
      </c>
      <c r="D1006">
        <v>3</v>
      </c>
      <c r="E1006">
        <f t="shared" si="15"/>
        <v>4.3362046056062392E-2</v>
      </c>
    </row>
    <row r="1007" spans="1:5" x14ac:dyDescent="0.25">
      <c r="A1007">
        <v>3</v>
      </c>
      <c r="B1007">
        <v>2.1333333333333301E-2</v>
      </c>
      <c r="D1007">
        <v>3</v>
      </c>
      <c r="E1007">
        <f t="shared" si="15"/>
        <v>4.3362046056062392E-2</v>
      </c>
    </row>
    <row r="1008" spans="1:5" x14ac:dyDescent="0.25">
      <c r="A1008">
        <v>3</v>
      </c>
      <c r="B1008">
        <v>-1.3333333333333299E-2</v>
      </c>
      <c r="D1008">
        <v>3</v>
      </c>
      <c r="E1008">
        <f t="shared" si="15"/>
        <v>4.3362046056062392E-2</v>
      </c>
    </row>
    <row r="1009" spans="1:5" x14ac:dyDescent="0.25">
      <c r="A1009">
        <v>3</v>
      </c>
      <c r="B1009">
        <v>-0.14399999999999999</v>
      </c>
      <c r="D1009">
        <v>3</v>
      </c>
      <c r="E1009">
        <f t="shared" si="15"/>
        <v>4.3362046056062392E-2</v>
      </c>
    </row>
    <row r="1010" spans="1:5" x14ac:dyDescent="0.25">
      <c r="A1010">
        <v>3</v>
      </c>
      <c r="B1010">
        <v>-4.2042042042041997E-2</v>
      </c>
      <c r="D1010">
        <v>3</v>
      </c>
      <c r="E1010">
        <f t="shared" si="15"/>
        <v>4.3362046056062392E-2</v>
      </c>
    </row>
    <row r="1011" spans="1:5" x14ac:dyDescent="0.25">
      <c r="A1011">
        <v>3</v>
      </c>
      <c r="B1011">
        <v>-9.8000000000000004E-2</v>
      </c>
      <c r="D1011">
        <v>3</v>
      </c>
      <c r="E1011">
        <f t="shared" si="15"/>
        <v>4.3362046056062392E-2</v>
      </c>
    </row>
    <row r="1012" spans="1:5" x14ac:dyDescent="0.25">
      <c r="A1012">
        <v>3</v>
      </c>
      <c r="B1012">
        <v>3.46666666666667E-2</v>
      </c>
      <c r="D1012">
        <v>3</v>
      </c>
      <c r="E1012">
        <f t="shared" si="15"/>
        <v>4.3362046056062392E-2</v>
      </c>
    </row>
    <row r="1013" spans="1:5" x14ac:dyDescent="0.25">
      <c r="A1013">
        <v>3</v>
      </c>
      <c r="B1013">
        <v>-0.121495327102804</v>
      </c>
      <c r="D1013">
        <v>3</v>
      </c>
      <c r="E1013">
        <f t="shared" si="15"/>
        <v>4.3362046056062392E-2</v>
      </c>
    </row>
    <row r="1014" spans="1:5" x14ac:dyDescent="0.25">
      <c r="A1014">
        <v>3</v>
      </c>
      <c r="B1014">
        <v>-1.0638297872340399E-2</v>
      </c>
      <c r="D1014">
        <v>3</v>
      </c>
      <c r="E1014">
        <f t="shared" si="15"/>
        <v>4.3362046056062392E-2</v>
      </c>
    </row>
    <row r="1015" spans="1:5" x14ac:dyDescent="0.25">
      <c r="A1015">
        <v>3</v>
      </c>
      <c r="B1015">
        <v>-8.4112149532710304E-2</v>
      </c>
      <c r="D1015">
        <v>3</v>
      </c>
      <c r="E1015">
        <f t="shared" si="15"/>
        <v>4.3362046056062392E-2</v>
      </c>
    </row>
    <row r="1016" spans="1:5" x14ac:dyDescent="0.25">
      <c r="A1016">
        <v>3</v>
      </c>
      <c r="B1016">
        <v>0.14499999999999999</v>
      </c>
      <c r="D1016">
        <v>3</v>
      </c>
      <c r="E1016">
        <f t="shared" si="15"/>
        <v>4.3362046056062392E-2</v>
      </c>
    </row>
    <row r="1017" spans="1:5" x14ac:dyDescent="0.25">
      <c r="A1017">
        <v>3</v>
      </c>
      <c r="B1017">
        <v>-0.22666666666666699</v>
      </c>
      <c r="D1017">
        <v>3</v>
      </c>
      <c r="E1017">
        <f t="shared" si="15"/>
        <v>4.3362046056062392E-2</v>
      </c>
    </row>
    <row r="1018" spans="1:5" x14ac:dyDescent="0.25">
      <c r="A1018">
        <v>3</v>
      </c>
      <c r="B1018">
        <v>0</v>
      </c>
      <c r="D1018">
        <v>3</v>
      </c>
      <c r="E1018">
        <f t="shared" si="15"/>
        <v>4.3362046056062392E-2</v>
      </c>
    </row>
    <row r="1019" spans="1:5" x14ac:dyDescent="0.25">
      <c r="A1019">
        <v>3</v>
      </c>
      <c r="B1019">
        <v>-0.16384180790960501</v>
      </c>
      <c r="D1019">
        <v>3</v>
      </c>
      <c r="E1019">
        <f t="shared" si="15"/>
        <v>4.3362046056062392E-2</v>
      </c>
    </row>
    <row r="1020" spans="1:5" x14ac:dyDescent="0.25">
      <c r="A1020">
        <v>3</v>
      </c>
      <c r="B1020">
        <v>0.345345345345345</v>
      </c>
      <c r="D1020">
        <v>3</v>
      </c>
      <c r="E1020">
        <f t="shared" si="15"/>
        <v>4.3362046056062392E-2</v>
      </c>
    </row>
    <row r="1021" spans="1:5" x14ac:dyDescent="0.25">
      <c r="A1021">
        <v>3</v>
      </c>
      <c r="B1021">
        <v>-1</v>
      </c>
      <c r="D1021">
        <v>3</v>
      </c>
      <c r="E1021">
        <f t="shared" si="15"/>
        <v>4.3362046056062392E-2</v>
      </c>
    </row>
    <row r="1022" spans="1:5" x14ac:dyDescent="0.25">
      <c r="A1022">
        <v>3</v>
      </c>
      <c r="B1022">
        <v>2.4E-2</v>
      </c>
      <c r="D1022">
        <v>3</v>
      </c>
      <c r="E1022">
        <f t="shared" si="15"/>
        <v>4.3362046056062392E-2</v>
      </c>
    </row>
    <row r="1023" spans="1:5" x14ac:dyDescent="0.25">
      <c r="A1023">
        <v>3</v>
      </c>
      <c r="B1023">
        <v>8.1081081081081099E-2</v>
      </c>
      <c r="D1023">
        <v>3</v>
      </c>
      <c r="E1023">
        <f t="shared" si="15"/>
        <v>4.3362046056062392E-2</v>
      </c>
    </row>
    <row r="1024" spans="1:5" x14ac:dyDescent="0.25">
      <c r="A1024">
        <v>3</v>
      </c>
      <c r="B1024">
        <v>1.8666666666666699E-2</v>
      </c>
      <c r="D1024">
        <v>3</v>
      </c>
      <c r="E1024">
        <f t="shared" si="15"/>
        <v>4.3362046056062392E-2</v>
      </c>
    </row>
    <row r="1025" spans="1:5" x14ac:dyDescent="0.25">
      <c r="A1025">
        <v>3</v>
      </c>
      <c r="B1025">
        <v>4.6666666666666697E-2</v>
      </c>
      <c r="D1025">
        <v>3</v>
      </c>
      <c r="E1025">
        <f t="shared" si="15"/>
        <v>4.3362046056062392E-2</v>
      </c>
    </row>
    <row r="1026" spans="1:5" x14ac:dyDescent="0.25">
      <c r="A1026">
        <v>3</v>
      </c>
      <c r="B1026">
        <v>1.5015015015014999E-2</v>
      </c>
      <c r="D1026">
        <v>3</v>
      </c>
      <c r="E1026">
        <f t="shared" si="15"/>
        <v>4.3362046056062392E-2</v>
      </c>
    </row>
    <row r="1027" spans="1:5" x14ac:dyDescent="0.25">
      <c r="A1027">
        <v>3</v>
      </c>
      <c r="B1027">
        <v>7.5999999999999998E-2</v>
      </c>
      <c r="D1027">
        <v>3</v>
      </c>
      <c r="E1027">
        <f t="shared" ref="E1027:E1090" si="16">_xlfn.NORM.DIST(D1027, I$4,I$7,FALSE)</f>
        <v>4.3362046056062392E-2</v>
      </c>
    </row>
    <row r="1028" spans="1:5" x14ac:dyDescent="0.25">
      <c r="A1028">
        <v>3</v>
      </c>
      <c r="B1028">
        <v>-0.23776223776223801</v>
      </c>
      <c r="D1028">
        <v>3</v>
      </c>
      <c r="E1028">
        <f t="shared" si="16"/>
        <v>4.3362046056062392E-2</v>
      </c>
    </row>
    <row r="1029" spans="1:5" x14ac:dyDescent="0.25">
      <c r="A1029">
        <v>3</v>
      </c>
      <c r="B1029">
        <v>4.5333333333333302E-2</v>
      </c>
      <c r="D1029">
        <v>3</v>
      </c>
      <c r="E1029">
        <f t="shared" si="16"/>
        <v>4.3362046056062392E-2</v>
      </c>
    </row>
    <row r="1030" spans="1:5" x14ac:dyDescent="0.25">
      <c r="A1030">
        <v>3</v>
      </c>
      <c r="B1030">
        <v>-0.29799999999999999</v>
      </c>
      <c r="D1030">
        <v>3</v>
      </c>
      <c r="E1030">
        <f t="shared" si="16"/>
        <v>4.3362046056062392E-2</v>
      </c>
    </row>
    <row r="1031" spans="1:5" x14ac:dyDescent="0.25">
      <c r="A1031">
        <v>3</v>
      </c>
      <c r="B1031">
        <v>-0.55038759689922501</v>
      </c>
      <c r="D1031">
        <v>3</v>
      </c>
      <c r="E1031">
        <f t="shared" si="16"/>
        <v>4.3362046056062392E-2</v>
      </c>
    </row>
    <row r="1032" spans="1:5" x14ac:dyDescent="0.25">
      <c r="A1032">
        <v>3</v>
      </c>
      <c r="B1032">
        <v>-0.59281437125748504</v>
      </c>
      <c r="D1032">
        <v>3</v>
      </c>
      <c r="E1032">
        <f t="shared" si="16"/>
        <v>4.3362046056062392E-2</v>
      </c>
    </row>
    <row r="1033" spans="1:5" x14ac:dyDescent="0.25">
      <c r="A1033">
        <v>3</v>
      </c>
      <c r="B1033">
        <v>-0.72</v>
      </c>
      <c r="D1033">
        <v>3</v>
      </c>
      <c r="E1033">
        <f t="shared" si="16"/>
        <v>4.3362046056062392E-2</v>
      </c>
    </row>
    <row r="1034" spans="1:5" x14ac:dyDescent="0.25">
      <c r="A1034">
        <v>3</v>
      </c>
      <c r="B1034">
        <v>9.0090090090090107E-3</v>
      </c>
      <c r="D1034">
        <v>3</v>
      </c>
      <c r="E1034">
        <f t="shared" si="16"/>
        <v>4.3362046056062392E-2</v>
      </c>
    </row>
    <row r="1035" spans="1:5" x14ac:dyDescent="0.25">
      <c r="A1035">
        <v>3</v>
      </c>
      <c r="B1035">
        <v>-1</v>
      </c>
      <c r="D1035">
        <v>3</v>
      </c>
      <c r="E1035">
        <f t="shared" si="16"/>
        <v>4.3362046056062392E-2</v>
      </c>
    </row>
    <row r="1036" spans="1:5" x14ac:dyDescent="0.25">
      <c r="A1036">
        <v>3</v>
      </c>
      <c r="B1036">
        <v>-1</v>
      </c>
      <c r="D1036">
        <v>3</v>
      </c>
      <c r="E1036">
        <f t="shared" si="16"/>
        <v>4.3362046056062392E-2</v>
      </c>
    </row>
    <row r="1037" spans="1:5" x14ac:dyDescent="0.25">
      <c r="A1037">
        <v>3</v>
      </c>
      <c r="B1037">
        <v>1.5015015015014999E-2</v>
      </c>
      <c r="D1037">
        <v>3</v>
      </c>
      <c r="E1037">
        <f t="shared" si="16"/>
        <v>4.3362046056062392E-2</v>
      </c>
    </row>
    <row r="1038" spans="1:5" x14ac:dyDescent="0.25">
      <c r="A1038">
        <v>3</v>
      </c>
      <c r="B1038">
        <v>-7.8078078078078095E-2</v>
      </c>
      <c r="D1038">
        <v>3</v>
      </c>
      <c r="E1038">
        <f t="shared" si="16"/>
        <v>4.3362046056062392E-2</v>
      </c>
    </row>
    <row r="1039" spans="1:5" x14ac:dyDescent="0.25">
      <c r="A1039">
        <v>3</v>
      </c>
      <c r="B1039">
        <v>-8.0000000000000002E-3</v>
      </c>
      <c r="D1039">
        <v>3</v>
      </c>
      <c r="E1039">
        <f t="shared" si="16"/>
        <v>4.3362046056062392E-2</v>
      </c>
    </row>
    <row r="1040" spans="1:5" x14ac:dyDescent="0.25">
      <c r="A1040">
        <v>3</v>
      </c>
      <c r="B1040">
        <v>-0.116766467065868</v>
      </c>
      <c r="D1040">
        <v>3</v>
      </c>
      <c r="E1040">
        <f t="shared" si="16"/>
        <v>4.3362046056062392E-2</v>
      </c>
    </row>
    <row r="1041" spans="1:5" x14ac:dyDescent="0.25">
      <c r="A1041">
        <v>3</v>
      </c>
      <c r="B1041">
        <v>5.86666666666667E-2</v>
      </c>
      <c r="D1041">
        <v>3</v>
      </c>
      <c r="E1041">
        <f t="shared" si="16"/>
        <v>4.3362046056062392E-2</v>
      </c>
    </row>
    <row r="1042" spans="1:5" x14ac:dyDescent="0.25">
      <c r="A1042">
        <v>3</v>
      </c>
      <c r="B1042">
        <v>6.2937062937062901E-2</v>
      </c>
      <c r="D1042">
        <v>3</v>
      </c>
      <c r="E1042">
        <f t="shared" si="16"/>
        <v>4.3362046056062392E-2</v>
      </c>
    </row>
    <row r="1043" spans="1:5" x14ac:dyDescent="0.25">
      <c r="A1043">
        <v>3</v>
      </c>
      <c r="B1043">
        <v>-9.00900900900901E-2</v>
      </c>
      <c r="D1043">
        <v>3</v>
      </c>
      <c r="E1043">
        <f t="shared" si="16"/>
        <v>4.3362046056062392E-2</v>
      </c>
    </row>
    <row r="1044" spans="1:5" x14ac:dyDescent="0.25">
      <c r="A1044">
        <v>3</v>
      </c>
      <c r="B1044">
        <v>0.17599999999999999</v>
      </c>
      <c r="D1044">
        <v>3</v>
      </c>
      <c r="E1044">
        <f t="shared" si="16"/>
        <v>4.3362046056062392E-2</v>
      </c>
    </row>
    <row r="1045" spans="1:5" x14ac:dyDescent="0.25">
      <c r="A1045">
        <v>3</v>
      </c>
      <c r="B1045">
        <v>-1.49700598802395E-2</v>
      </c>
      <c r="D1045">
        <v>3</v>
      </c>
      <c r="E1045">
        <f t="shared" si="16"/>
        <v>4.3362046056062392E-2</v>
      </c>
    </row>
    <row r="1046" spans="1:5" x14ac:dyDescent="0.25">
      <c r="A1046">
        <v>3</v>
      </c>
      <c r="B1046">
        <v>0.17289719626168201</v>
      </c>
      <c r="D1046">
        <v>3</v>
      </c>
      <c r="E1046">
        <f t="shared" si="16"/>
        <v>4.3362046056062392E-2</v>
      </c>
    </row>
    <row r="1047" spans="1:5" x14ac:dyDescent="0.25">
      <c r="A1047">
        <v>3</v>
      </c>
      <c r="B1047">
        <v>-5.7057057057057103E-2</v>
      </c>
      <c r="D1047">
        <v>3</v>
      </c>
      <c r="E1047">
        <f t="shared" si="16"/>
        <v>4.3362046056062392E-2</v>
      </c>
    </row>
    <row r="1048" spans="1:5" x14ac:dyDescent="0.25">
      <c r="A1048">
        <v>3</v>
      </c>
      <c r="B1048">
        <v>0.42</v>
      </c>
      <c r="D1048">
        <v>3</v>
      </c>
      <c r="E1048">
        <f t="shared" si="16"/>
        <v>4.3362046056062392E-2</v>
      </c>
    </row>
    <row r="1049" spans="1:5" x14ac:dyDescent="0.25">
      <c r="A1049">
        <v>3</v>
      </c>
      <c r="B1049">
        <v>0.36363636363636398</v>
      </c>
      <c r="D1049">
        <v>3</v>
      </c>
      <c r="E1049">
        <f t="shared" si="16"/>
        <v>4.3362046056062392E-2</v>
      </c>
    </row>
    <row r="1050" spans="1:5" x14ac:dyDescent="0.25">
      <c r="A1050">
        <v>3</v>
      </c>
      <c r="B1050">
        <v>-0.152</v>
      </c>
      <c r="D1050">
        <v>3</v>
      </c>
      <c r="E1050">
        <f t="shared" si="16"/>
        <v>4.3362046056062392E-2</v>
      </c>
    </row>
    <row r="1051" spans="1:5" x14ac:dyDescent="0.25">
      <c r="A1051">
        <v>3</v>
      </c>
      <c r="B1051">
        <v>0.317647058823529</v>
      </c>
      <c r="D1051">
        <v>3</v>
      </c>
      <c r="E1051">
        <f t="shared" si="16"/>
        <v>4.3362046056062392E-2</v>
      </c>
    </row>
    <row r="1052" spans="1:5" x14ac:dyDescent="0.25">
      <c r="A1052">
        <v>3</v>
      </c>
      <c r="B1052">
        <v>-0.160839160839161</v>
      </c>
      <c r="D1052">
        <v>3</v>
      </c>
      <c r="E1052">
        <f t="shared" si="16"/>
        <v>4.3362046056062392E-2</v>
      </c>
    </row>
    <row r="1053" spans="1:5" x14ac:dyDescent="0.25">
      <c r="A1053">
        <v>3</v>
      </c>
      <c r="B1053">
        <v>6.6066066066066104E-2</v>
      </c>
      <c r="D1053">
        <v>3</v>
      </c>
      <c r="E1053">
        <f t="shared" si="16"/>
        <v>4.3362046056062392E-2</v>
      </c>
    </row>
    <row r="1054" spans="1:5" x14ac:dyDescent="0.25">
      <c r="A1054">
        <v>3</v>
      </c>
      <c r="B1054">
        <v>-5.4054054054054099E-2</v>
      </c>
      <c r="D1054">
        <v>3</v>
      </c>
      <c r="E1054">
        <f t="shared" si="16"/>
        <v>4.3362046056062392E-2</v>
      </c>
    </row>
    <row r="1055" spans="1:5" x14ac:dyDescent="0.25">
      <c r="A1055">
        <v>3</v>
      </c>
      <c r="B1055">
        <v>-0.12266666666666701</v>
      </c>
      <c r="D1055">
        <v>3</v>
      </c>
      <c r="E1055">
        <f t="shared" si="16"/>
        <v>4.3362046056062392E-2</v>
      </c>
    </row>
    <row r="1056" spans="1:5" x14ac:dyDescent="0.25">
      <c r="A1056">
        <v>3</v>
      </c>
      <c r="B1056">
        <v>2.1333333333333301E-2</v>
      </c>
      <c r="D1056">
        <v>3</v>
      </c>
      <c r="E1056">
        <f t="shared" si="16"/>
        <v>4.3362046056062392E-2</v>
      </c>
    </row>
    <row r="1057" spans="1:5" x14ac:dyDescent="0.25">
      <c r="A1057">
        <v>3</v>
      </c>
      <c r="B1057">
        <v>1.6E-2</v>
      </c>
      <c r="D1057">
        <v>3</v>
      </c>
      <c r="E1057">
        <f t="shared" si="16"/>
        <v>4.3362046056062392E-2</v>
      </c>
    </row>
    <row r="1058" spans="1:5" x14ac:dyDescent="0.25">
      <c r="A1058">
        <v>3</v>
      </c>
      <c r="B1058">
        <v>3.59281437125748E-2</v>
      </c>
      <c r="D1058">
        <v>3</v>
      </c>
      <c r="E1058">
        <f t="shared" si="16"/>
        <v>4.3362046056062392E-2</v>
      </c>
    </row>
    <row r="1059" spans="1:5" x14ac:dyDescent="0.25">
      <c r="A1059">
        <v>3</v>
      </c>
      <c r="B1059">
        <v>2.1021021021020998E-2</v>
      </c>
      <c r="D1059">
        <v>3</v>
      </c>
      <c r="E1059">
        <f t="shared" si="16"/>
        <v>4.3362046056062392E-2</v>
      </c>
    </row>
    <row r="1060" spans="1:5" x14ac:dyDescent="0.25">
      <c r="A1060">
        <v>3</v>
      </c>
      <c r="B1060">
        <v>1.8666666666666699E-2</v>
      </c>
      <c r="D1060">
        <v>3</v>
      </c>
      <c r="E1060">
        <f t="shared" si="16"/>
        <v>4.3362046056062392E-2</v>
      </c>
    </row>
    <row r="1061" spans="1:5" x14ac:dyDescent="0.25">
      <c r="A1061">
        <v>3</v>
      </c>
      <c r="B1061">
        <v>-2.7027027027027001E-2</v>
      </c>
      <c r="D1061">
        <v>3</v>
      </c>
      <c r="E1061">
        <f t="shared" si="16"/>
        <v>4.3362046056062392E-2</v>
      </c>
    </row>
    <row r="1062" spans="1:5" x14ac:dyDescent="0.25">
      <c r="A1062">
        <v>3</v>
      </c>
      <c r="B1062">
        <v>6.3084112149532703E-2</v>
      </c>
      <c r="D1062">
        <v>3</v>
      </c>
      <c r="E1062">
        <f t="shared" si="16"/>
        <v>4.3362046056062392E-2</v>
      </c>
    </row>
    <row r="1063" spans="1:5" x14ac:dyDescent="0.25">
      <c r="A1063">
        <v>3</v>
      </c>
      <c r="B1063">
        <v>-6.8862275449101798E-2</v>
      </c>
      <c r="D1063">
        <v>3</v>
      </c>
      <c r="E1063">
        <f t="shared" si="16"/>
        <v>4.3362046056062392E-2</v>
      </c>
    </row>
    <row r="1064" spans="1:5" x14ac:dyDescent="0.25">
      <c r="A1064">
        <v>3</v>
      </c>
      <c r="B1064">
        <v>-4.5045045045045001E-2</v>
      </c>
      <c r="D1064">
        <v>3</v>
      </c>
      <c r="E1064">
        <f t="shared" si="16"/>
        <v>4.3362046056062392E-2</v>
      </c>
    </row>
    <row r="1065" spans="1:5" x14ac:dyDescent="0.25">
      <c r="A1065">
        <v>3</v>
      </c>
      <c r="B1065">
        <v>-0.04</v>
      </c>
      <c r="D1065">
        <v>3</v>
      </c>
      <c r="E1065">
        <f t="shared" si="16"/>
        <v>4.3362046056062392E-2</v>
      </c>
    </row>
    <row r="1066" spans="1:5" x14ac:dyDescent="0.25">
      <c r="A1066">
        <v>3</v>
      </c>
      <c r="B1066">
        <v>-3.0030030030029999E-2</v>
      </c>
      <c r="D1066">
        <v>3</v>
      </c>
      <c r="E1066">
        <f t="shared" si="16"/>
        <v>4.3362046056062392E-2</v>
      </c>
    </row>
    <row r="1067" spans="1:5" x14ac:dyDescent="0.25">
      <c r="A1067">
        <v>3</v>
      </c>
      <c r="B1067">
        <v>-4.8000000000000001E-2</v>
      </c>
      <c r="D1067">
        <v>3</v>
      </c>
      <c r="E1067">
        <f t="shared" si="16"/>
        <v>4.3362046056062392E-2</v>
      </c>
    </row>
    <row r="1068" spans="1:5" x14ac:dyDescent="0.25">
      <c r="A1068">
        <v>3</v>
      </c>
      <c r="B1068">
        <v>-2.4E-2</v>
      </c>
      <c r="D1068">
        <v>3</v>
      </c>
      <c r="E1068">
        <f t="shared" si="16"/>
        <v>4.3362046056062392E-2</v>
      </c>
    </row>
    <row r="1069" spans="1:5" x14ac:dyDescent="0.25">
      <c r="A1069">
        <v>3</v>
      </c>
      <c r="B1069">
        <v>-6.9333333333333302E-2</v>
      </c>
      <c r="D1069">
        <v>3</v>
      </c>
      <c r="E1069">
        <f t="shared" si="16"/>
        <v>4.3362046056062392E-2</v>
      </c>
    </row>
    <row r="1070" spans="1:5" x14ac:dyDescent="0.25">
      <c r="A1070">
        <v>3</v>
      </c>
      <c r="B1070">
        <v>-0.15384615384615399</v>
      </c>
      <c r="D1070">
        <v>3</v>
      </c>
      <c r="E1070">
        <f t="shared" si="16"/>
        <v>4.3362046056062392E-2</v>
      </c>
    </row>
    <row r="1071" spans="1:5" x14ac:dyDescent="0.25">
      <c r="A1071">
        <v>3</v>
      </c>
      <c r="B1071">
        <v>-0.12533333333333299</v>
      </c>
      <c r="D1071">
        <v>3</v>
      </c>
      <c r="E1071">
        <f t="shared" si="16"/>
        <v>4.3362046056062392E-2</v>
      </c>
    </row>
    <row r="1072" spans="1:5" x14ac:dyDescent="0.25">
      <c r="A1072">
        <v>3</v>
      </c>
      <c r="B1072">
        <v>-1.3986013986014E-2</v>
      </c>
      <c r="D1072">
        <v>3</v>
      </c>
      <c r="E1072">
        <f t="shared" si="16"/>
        <v>4.3362046056062392E-2</v>
      </c>
    </row>
    <row r="1073" spans="1:5" x14ac:dyDescent="0.25">
      <c r="A1073">
        <v>3</v>
      </c>
      <c r="B1073">
        <v>-6.6000000000000003E-2</v>
      </c>
      <c r="D1073">
        <v>3</v>
      </c>
      <c r="E1073">
        <f t="shared" si="16"/>
        <v>4.3362046056062392E-2</v>
      </c>
    </row>
    <row r="1074" spans="1:5" x14ac:dyDescent="0.25">
      <c r="A1074">
        <v>3</v>
      </c>
      <c r="B1074">
        <v>-5.3999999999999999E-2</v>
      </c>
      <c r="D1074">
        <v>3</v>
      </c>
      <c r="E1074">
        <f t="shared" si="16"/>
        <v>4.3362046056062392E-2</v>
      </c>
    </row>
    <row r="1075" spans="1:5" x14ac:dyDescent="0.25">
      <c r="A1075">
        <v>3</v>
      </c>
      <c r="B1075">
        <v>-0.141666666666667</v>
      </c>
      <c r="D1075">
        <v>3</v>
      </c>
      <c r="E1075">
        <f t="shared" si="16"/>
        <v>4.3362046056062392E-2</v>
      </c>
    </row>
    <row r="1076" spans="1:5" x14ac:dyDescent="0.25">
      <c r="A1076">
        <v>3</v>
      </c>
      <c r="B1076">
        <v>-0.13551401869158899</v>
      </c>
      <c r="D1076">
        <v>3</v>
      </c>
      <c r="E1076">
        <f t="shared" si="16"/>
        <v>4.3362046056062392E-2</v>
      </c>
    </row>
    <row r="1077" spans="1:5" x14ac:dyDescent="0.25">
      <c r="A1077">
        <v>3</v>
      </c>
      <c r="B1077">
        <v>1.1655011655011699E-2</v>
      </c>
      <c r="D1077">
        <v>3</v>
      </c>
      <c r="E1077">
        <f t="shared" si="16"/>
        <v>4.3362046056062392E-2</v>
      </c>
    </row>
    <row r="1078" spans="1:5" x14ac:dyDescent="0.25">
      <c r="A1078">
        <v>3</v>
      </c>
      <c r="B1078">
        <v>4.5333333333333302E-2</v>
      </c>
      <c r="D1078">
        <v>3</v>
      </c>
      <c r="E1078">
        <f t="shared" si="16"/>
        <v>4.3362046056062392E-2</v>
      </c>
    </row>
    <row r="1079" spans="1:5" x14ac:dyDescent="0.25">
      <c r="A1079">
        <v>3</v>
      </c>
      <c r="B1079">
        <v>0.184579439252336</v>
      </c>
      <c r="D1079">
        <v>3</v>
      </c>
      <c r="E1079">
        <f t="shared" si="16"/>
        <v>4.3362046056062392E-2</v>
      </c>
    </row>
    <row r="1080" spans="1:5" x14ac:dyDescent="0.25">
      <c r="A1080">
        <v>3</v>
      </c>
      <c r="B1080">
        <v>-7.4666666666666701E-2</v>
      </c>
      <c r="D1080">
        <v>3</v>
      </c>
      <c r="E1080">
        <f t="shared" si="16"/>
        <v>4.3362046056062392E-2</v>
      </c>
    </row>
    <row r="1081" spans="1:5" x14ac:dyDescent="0.25">
      <c r="A1081">
        <v>3</v>
      </c>
      <c r="B1081">
        <v>0.16588785046728999</v>
      </c>
      <c r="D1081">
        <v>3</v>
      </c>
      <c r="E1081">
        <f t="shared" si="16"/>
        <v>4.3362046056062392E-2</v>
      </c>
    </row>
    <row r="1082" spans="1:5" x14ac:dyDescent="0.25">
      <c r="A1082">
        <v>3</v>
      </c>
      <c r="B1082">
        <v>-0.18918918918918901</v>
      </c>
      <c r="D1082">
        <v>3</v>
      </c>
      <c r="E1082">
        <f t="shared" si="16"/>
        <v>4.3362046056062392E-2</v>
      </c>
    </row>
    <row r="1083" spans="1:5" x14ac:dyDescent="0.25">
      <c r="A1083">
        <v>3</v>
      </c>
      <c r="B1083">
        <v>0.34246575342465801</v>
      </c>
      <c r="D1083">
        <v>3</v>
      </c>
      <c r="E1083">
        <f t="shared" si="16"/>
        <v>4.3362046056062392E-2</v>
      </c>
    </row>
    <row r="1084" spans="1:5" x14ac:dyDescent="0.25">
      <c r="A1084">
        <v>3</v>
      </c>
      <c r="B1084">
        <v>0.63166666666666704</v>
      </c>
      <c r="D1084">
        <v>3</v>
      </c>
      <c r="E1084">
        <f t="shared" si="16"/>
        <v>4.3362046056062392E-2</v>
      </c>
    </row>
    <row r="1085" spans="1:5" x14ac:dyDescent="0.25">
      <c r="A1085">
        <v>3</v>
      </c>
      <c r="B1085">
        <v>-0.32467532467532501</v>
      </c>
      <c r="D1085">
        <v>3</v>
      </c>
      <c r="E1085">
        <f t="shared" si="16"/>
        <v>4.3362046056062392E-2</v>
      </c>
    </row>
    <row r="1086" spans="1:5" x14ac:dyDescent="0.25">
      <c r="A1086">
        <v>3</v>
      </c>
      <c r="B1086">
        <v>0.442</v>
      </c>
      <c r="D1086">
        <v>3</v>
      </c>
      <c r="E1086">
        <f t="shared" si="16"/>
        <v>4.3362046056062392E-2</v>
      </c>
    </row>
    <row r="1087" spans="1:5" x14ac:dyDescent="0.25">
      <c r="A1087">
        <v>3</v>
      </c>
      <c r="B1087">
        <v>0.10989010989011</v>
      </c>
      <c r="D1087">
        <v>3</v>
      </c>
      <c r="E1087">
        <f t="shared" si="16"/>
        <v>4.3362046056062392E-2</v>
      </c>
    </row>
    <row r="1088" spans="1:5" x14ac:dyDescent="0.25">
      <c r="A1088">
        <v>3</v>
      </c>
      <c r="B1088">
        <v>1</v>
      </c>
      <c r="D1088">
        <v>3</v>
      </c>
      <c r="E1088">
        <f t="shared" si="16"/>
        <v>4.3362046056062392E-2</v>
      </c>
    </row>
    <row r="1089" spans="1:5" x14ac:dyDescent="0.25">
      <c r="A1089">
        <v>3</v>
      </c>
      <c r="B1089">
        <v>-0.126</v>
      </c>
      <c r="D1089">
        <v>3</v>
      </c>
      <c r="E1089">
        <f t="shared" si="16"/>
        <v>4.3362046056062392E-2</v>
      </c>
    </row>
    <row r="1090" spans="1:5" x14ac:dyDescent="0.25">
      <c r="A1090">
        <v>3</v>
      </c>
      <c r="B1090">
        <v>0</v>
      </c>
      <c r="D1090">
        <v>3</v>
      </c>
      <c r="E1090">
        <f t="shared" si="16"/>
        <v>4.3362046056062392E-2</v>
      </c>
    </row>
    <row r="1091" spans="1:5" x14ac:dyDescent="0.25">
      <c r="A1091">
        <v>3</v>
      </c>
      <c r="B1091">
        <v>-0.111888111888112</v>
      </c>
      <c r="D1091">
        <v>3</v>
      </c>
      <c r="E1091">
        <f t="shared" ref="E1091:E1154" si="17">_xlfn.NORM.DIST(D1091, I$4,I$7,FALSE)</f>
        <v>4.3362046056062392E-2</v>
      </c>
    </row>
    <row r="1092" spans="1:5" x14ac:dyDescent="0.25">
      <c r="A1092">
        <v>3</v>
      </c>
      <c r="B1092">
        <v>-0.443037974683544</v>
      </c>
      <c r="D1092">
        <v>3</v>
      </c>
      <c r="E1092">
        <f t="shared" si="17"/>
        <v>4.3362046056062392E-2</v>
      </c>
    </row>
    <row r="1093" spans="1:5" x14ac:dyDescent="0.25">
      <c r="A1093">
        <v>3</v>
      </c>
      <c r="B1093">
        <v>-0.10666666666666701</v>
      </c>
      <c r="D1093">
        <v>3</v>
      </c>
      <c r="E1093">
        <f t="shared" si="17"/>
        <v>4.3362046056062392E-2</v>
      </c>
    </row>
    <row r="1094" spans="1:5" x14ac:dyDescent="0.25">
      <c r="A1094">
        <v>3</v>
      </c>
      <c r="B1094">
        <v>3.6036036036036001E-2</v>
      </c>
      <c r="D1094">
        <v>3</v>
      </c>
      <c r="E1094">
        <f t="shared" si="17"/>
        <v>4.3362046056062392E-2</v>
      </c>
    </row>
    <row r="1095" spans="1:5" x14ac:dyDescent="0.25">
      <c r="A1095">
        <v>3</v>
      </c>
      <c r="B1095">
        <v>-0.21621621621621601</v>
      </c>
      <c r="D1095">
        <v>3</v>
      </c>
      <c r="E1095">
        <f t="shared" si="17"/>
        <v>4.3362046056062392E-2</v>
      </c>
    </row>
    <row r="1096" spans="1:5" x14ac:dyDescent="0.25">
      <c r="A1096">
        <v>3</v>
      </c>
      <c r="B1096">
        <v>0.152</v>
      </c>
      <c r="D1096">
        <v>3</v>
      </c>
      <c r="E1096">
        <f t="shared" si="17"/>
        <v>4.3362046056062392E-2</v>
      </c>
    </row>
    <row r="1097" spans="1:5" x14ac:dyDescent="0.25">
      <c r="A1097">
        <v>3</v>
      </c>
      <c r="B1097">
        <v>0.119760479041916</v>
      </c>
      <c r="D1097">
        <v>3</v>
      </c>
      <c r="E1097">
        <f t="shared" si="17"/>
        <v>4.3362046056062392E-2</v>
      </c>
    </row>
    <row r="1098" spans="1:5" x14ac:dyDescent="0.25">
      <c r="A1098">
        <v>3</v>
      </c>
      <c r="B1098">
        <v>5.6886227544910198E-2</v>
      </c>
      <c r="D1098">
        <v>3</v>
      </c>
      <c r="E1098">
        <f t="shared" si="17"/>
        <v>4.3362046056062392E-2</v>
      </c>
    </row>
    <row r="1099" spans="1:5" x14ac:dyDescent="0.25">
      <c r="A1099">
        <v>3</v>
      </c>
      <c r="B1099">
        <v>2.9333333333333302E-2</v>
      </c>
      <c r="D1099">
        <v>3</v>
      </c>
      <c r="E1099">
        <f t="shared" si="17"/>
        <v>4.3362046056062392E-2</v>
      </c>
    </row>
    <row r="1100" spans="1:5" x14ac:dyDescent="0.25">
      <c r="A1100">
        <v>3</v>
      </c>
      <c r="B1100">
        <v>5.1051051051051101E-2</v>
      </c>
      <c r="D1100">
        <v>3</v>
      </c>
      <c r="E1100">
        <f t="shared" si="17"/>
        <v>4.3362046056062392E-2</v>
      </c>
    </row>
    <row r="1101" spans="1:5" x14ac:dyDescent="0.25">
      <c r="A1101">
        <v>3</v>
      </c>
      <c r="B1101">
        <v>9.00900900900901E-2</v>
      </c>
      <c r="D1101">
        <v>3</v>
      </c>
      <c r="E1101">
        <f t="shared" si="17"/>
        <v>4.3362046056062392E-2</v>
      </c>
    </row>
    <row r="1102" spans="1:5" x14ac:dyDescent="0.25">
      <c r="A1102">
        <v>3</v>
      </c>
      <c r="B1102">
        <v>8.6247086247086199E-2</v>
      </c>
      <c r="D1102">
        <v>3</v>
      </c>
      <c r="E1102">
        <f t="shared" si="17"/>
        <v>4.3362046056062392E-2</v>
      </c>
    </row>
    <row r="1103" spans="1:5" x14ac:dyDescent="0.25">
      <c r="A1103">
        <v>3</v>
      </c>
      <c r="B1103">
        <v>9.3093093093093104E-2</v>
      </c>
      <c r="D1103">
        <v>3</v>
      </c>
      <c r="E1103">
        <f t="shared" si="17"/>
        <v>4.3362046056062392E-2</v>
      </c>
    </row>
    <row r="1104" spans="1:5" x14ac:dyDescent="0.25">
      <c r="A1104">
        <v>3</v>
      </c>
      <c r="B1104">
        <v>0.24941724941724899</v>
      </c>
      <c r="D1104">
        <v>3</v>
      </c>
      <c r="E1104">
        <f t="shared" si="17"/>
        <v>4.3362046056062392E-2</v>
      </c>
    </row>
    <row r="1105" spans="1:5" x14ac:dyDescent="0.25">
      <c r="A1105">
        <v>3</v>
      </c>
      <c r="B1105">
        <v>3.9719626168224297E-2</v>
      </c>
      <c r="D1105">
        <v>3</v>
      </c>
      <c r="E1105">
        <f t="shared" si="17"/>
        <v>4.3362046056062392E-2</v>
      </c>
    </row>
    <row r="1106" spans="1:5" x14ac:dyDescent="0.25">
      <c r="A1106">
        <v>3</v>
      </c>
      <c r="B1106">
        <v>0.29429429429429399</v>
      </c>
      <c r="D1106">
        <v>3</v>
      </c>
      <c r="E1106">
        <f t="shared" si="17"/>
        <v>4.3362046056062392E-2</v>
      </c>
    </row>
    <row r="1107" spans="1:5" x14ac:dyDescent="0.25">
      <c r="A1107">
        <v>3</v>
      </c>
      <c r="B1107">
        <v>6.6666666666666693E-2</v>
      </c>
      <c r="D1107">
        <v>3</v>
      </c>
      <c r="E1107">
        <f t="shared" si="17"/>
        <v>4.3362046056062392E-2</v>
      </c>
    </row>
    <row r="1108" spans="1:5" x14ac:dyDescent="0.25">
      <c r="A1108">
        <v>3</v>
      </c>
      <c r="B1108">
        <v>0.117117117117117</v>
      </c>
      <c r="D1108">
        <v>3</v>
      </c>
      <c r="E1108">
        <f t="shared" si="17"/>
        <v>4.3362046056062392E-2</v>
      </c>
    </row>
    <row r="1109" spans="1:5" x14ac:dyDescent="0.25">
      <c r="A1109">
        <v>3</v>
      </c>
      <c r="B1109">
        <v>5.8000000000000003E-2</v>
      </c>
      <c r="D1109">
        <v>3</v>
      </c>
      <c r="E1109">
        <f t="shared" si="17"/>
        <v>4.3362046056062392E-2</v>
      </c>
    </row>
    <row r="1110" spans="1:5" x14ac:dyDescent="0.25">
      <c r="A1110">
        <v>3</v>
      </c>
      <c r="B1110">
        <v>0.165333333333333</v>
      </c>
      <c r="D1110">
        <v>3</v>
      </c>
      <c r="E1110">
        <f t="shared" si="17"/>
        <v>4.3362046056062392E-2</v>
      </c>
    </row>
    <row r="1111" spans="1:5" x14ac:dyDescent="0.25">
      <c r="A1111">
        <v>3</v>
      </c>
      <c r="B1111">
        <v>9.6000000000000002E-2</v>
      </c>
      <c r="D1111">
        <v>3</v>
      </c>
      <c r="E1111">
        <f t="shared" si="17"/>
        <v>4.3362046056062392E-2</v>
      </c>
    </row>
    <row r="1112" spans="1:5" x14ac:dyDescent="0.25">
      <c r="A1112">
        <v>3</v>
      </c>
      <c r="B1112">
        <v>0.20512820512820501</v>
      </c>
      <c r="D1112">
        <v>3</v>
      </c>
      <c r="E1112">
        <f t="shared" si="17"/>
        <v>4.3362046056062392E-2</v>
      </c>
    </row>
    <row r="1113" spans="1:5" x14ac:dyDescent="0.25">
      <c r="A1113">
        <v>3</v>
      </c>
      <c r="B1113">
        <v>0.13785046728972</v>
      </c>
      <c r="D1113">
        <v>3</v>
      </c>
      <c r="E1113">
        <f t="shared" si="17"/>
        <v>4.3362046056062392E-2</v>
      </c>
    </row>
    <row r="1114" spans="1:5" x14ac:dyDescent="0.25">
      <c r="A1114">
        <v>3</v>
      </c>
      <c r="B1114">
        <v>0.20266666666666699</v>
      </c>
      <c r="D1114">
        <v>3</v>
      </c>
      <c r="E1114">
        <f t="shared" si="17"/>
        <v>4.3362046056062392E-2</v>
      </c>
    </row>
    <row r="1115" spans="1:5" x14ac:dyDescent="0.25">
      <c r="A1115">
        <v>3</v>
      </c>
      <c r="B1115">
        <v>9.6000000000000002E-2</v>
      </c>
      <c r="D1115">
        <v>3</v>
      </c>
      <c r="E1115">
        <f t="shared" si="17"/>
        <v>4.3362046056062392E-2</v>
      </c>
    </row>
    <row r="1116" spans="1:5" x14ac:dyDescent="0.25">
      <c r="A1116">
        <v>3</v>
      </c>
      <c r="B1116">
        <v>0.18562874251497</v>
      </c>
      <c r="D1116">
        <v>3</v>
      </c>
      <c r="E1116">
        <f t="shared" si="17"/>
        <v>4.3362046056062392E-2</v>
      </c>
    </row>
    <row r="1117" spans="1:5" x14ac:dyDescent="0.25">
      <c r="A1117">
        <v>3</v>
      </c>
      <c r="B1117">
        <v>0.56000000000000005</v>
      </c>
      <c r="D1117">
        <v>3</v>
      </c>
      <c r="E1117">
        <f t="shared" si="17"/>
        <v>4.3362046056062392E-2</v>
      </c>
    </row>
    <row r="1118" spans="1:5" x14ac:dyDescent="0.25">
      <c r="A1118">
        <v>3</v>
      </c>
      <c r="B1118">
        <v>-2.4E-2</v>
      </c>
      <c r="D1118">
        <v>3</v>
      </c>
      <c r="E1118">
        <f t="shared" si="17"/>
        <v>4.3362046056062392E-2</v>
      </c>
    </row>
    <row r="1119" spans="1:5" x14ac:dyDescent="0.25">
      <c r="A1119">
        <v>3</v>
      </c>
      <c r="B1119">
        <v>0.71261682242990698</v>
      </c>
      <c r="D1119">
        <v>3</v>
      </c>
      <c r="E1119">
        <f t="shared" si="17"/>
        <v>4.3362046056062392E-2</v>
      </c>
    </row>
    <row r="1120" spans="1:5" x14ac:dyDescent="0.25">
      <c r="A1120">
        <v>3</v>
      </c>
      <c r="B1120">
        <v>0.115</v>
      </c>
      <c r="D1120">
        <v>3</v>
      </c>
      <c r="E1120">
        <f t="shared" si="17"/>
        <v>4.3362046056062392E-2</v>
      </c>
    </row>
    <row r="1121" spans="1:5" x14ac:dyDescent="0.25">
      <c r="A1121">
        <v>3</v>
      </c>
      <c r="B1121">
        <v>0.43123543123543101</v>
      </c>
      <c r="D1121">
        <v>3</v>
      </c>
      <c r="E1121">
        <f t="shared" si="17"/>
        <v>4.3362046056062392E-2</v>
      </c>
    </row>
    <row r="1122" spans="1:5" x14ac:dyDescent="0.25">
      <c r="A1122">
        <v>3</v>
      </c>
      <c r="B1122">
        <v>0.61538461538461497</v>
      </c>
      <c r="D1122">
        <v>3</v>
      </c>
      <c r="E1122">
        <f t="shared" si="17"/>
        <v>4.3362046056062392E-2</v>
      </c>
    </row>
    <row r="1123" spans="1:5" x14ac:dyDescent="0.25">
      <c r="A1123">
        <v>3</v>
      </c>
      <c r="B1123">
        <v>0.18</v>
      </c>
      <c r="D1123">
        <v>3</v>
      </c>
      <c r="E1123">
        <f t="shared" si="17"/>
        <v>4.3362046056062392E-2</v>
      </c>
    </row>
    <row r="1124" spans="1:5" x14ac:dyDescent="0.25">
      <c r="A1124">
        <v>3</v>
      </c>
      <c r="B1124">
        <v>1</v>
      </c>
      <c r="D1124">
        <v>3</v>
      </c>
      <c r="E1124">
        <f t="shared" si="17"/>
        <v>4.3362046056062392E-2</v>
      </c>
    </row>
    <row r="1125" spans="1:5" x14ac:dyDescent="0.25">
      <c r="A1125">
        <v>3</v>
      </c>
      <c r="B1125">
        <v>8.7912087912087905E-2</v>
      </c>
      <c r="D1125">
        <v>3</v>
      </c>
      <c r="E1125">
        <f t="shared" si="17"/>
        <v>4.3362046056062392E-2</v>
      </c>
    </row>
    <row r="1126" spans="1:5" x14ac:dyDescent="0.25">
      <c r="A1126">
        <v>3</v>
      </c>
      <c r="B1126">
        <v>0.16161616161616199</v>
      </c>
      <c r="D1126">
        <v>3</v>
      </c>
      <c r="E1126">
        <f t="shared" si="17"/>
        <v>4.3362046056062392E-2</v>
      </c>
    </row>
    <row r="1127" spans="1:5" x14ac:dyDescent="0.25">
      <c r="A1127">
        <v>3</v>
      </c>
      <c r="B1127">
        <v>-7.1856287425149698E-2</v>
      </c>
      <c r="D1127">
        <v>3</v>
      </c>
      <c r="E1127">
        <f t="shared" si="17"/>
        <v>4.3362046056062392E-2</v>
      </c>
    </row>
    <row r="1128" spans="1:5" x14ac:dyDescent="0.25">
      <c r="A1128">
        <v>3</v>
      </c>
      <c r="B1128">
        <v>-0.111888111888112</v>
      </c>
      <c r="D1128">
        <v>3</v>
      </c>
      <c r="E1128">
        <f t="shared" si="17"/>
        <v>4.3362046056062392E-2</v>
      </c>
    </row>
    <row r="1129" spans="1:5" x14ac:dyDescent="0.25">
      <c r="A1129">
        <v>3</v>
      </c>
      <c r="B1129">
        <v>0.164556962025316</v>
      </c>
      <c r="D1129">
        <v>3</v>
      </c>
      <c r="E1129">
        <f t="shared" si="17"/>
        <v>4.3362046056062392E-2</v>
      </c>
    </row>
    <row r="1130" spans="1:5" x14ac:dyDescent="0.25">
      <c r="A1130">
        <v>3</v>
      </c>
      <c r="B1130">
        <v>-0.14399999999999999</v>
      </c>
      <c r="D1130">
        <v>3</v>
      </c>
      <c r="E1130">
        <f t="shared" si="17"/>
        <v>4.3362046056062392E-2</v>
      </c>
    </row>
    <row r="1131" spans="1:5" x14ac:dyDescent="0.25">
      <c r="A1131">
        <v>3</v>
      </c>
      <c r="B1131">
        <v>0.59599999999999997</v>
      </c>
      <c r="D1131">
        <v>3</v>
      </c>
      <c r="E1131">
        <f t="shared" si="17"/>
        <v>4.3362046056062392E-2</v>
      </c>
    </row>
    <row r="1132" spans="1:5" x14ac:dyDescent="0.25">
      <c r="A1132">
        <v>3</v>
      </c>
      <c r="B1132">
        <v>-0.17717717717717699</v>
      </c>
      <c r="D1132">
        <v>3</v>
      </c>
      <c r="E1132">
        <f t="shared" si="17"/>
        <v>4.3362046056062392E-2</v>
      </c>
    </row>
    <row r="1133" spans="1:5" x14ac:dyDescent="0.25">
      <c r="A1133">
        <v>3</v>
      </c>
      <c r="B1133">
        <v>1</v>
      </c>
      <c r="D1133">
        <v>3</v>
      </c>
      <c r="E1133">
        <f t="shared" si="17"/>
        <v>4.3362046056062392E-2</v>
      </c>
    </row>
    <row r="1134" spans="1:5" x14ac:dyDescent="0.25">
      <c r="A1134">
        <v>3</v>
      </c>
      <c r="B1134">
        <v>-0.13813813813813799</v>
      </c>
      <c r="D1134">
        <v>3</v>
      </c>
      <c r="E1134">
        <f t="shared" si="17"/>
        <v>4.3362046056062392E-2</v>
      </c>
    </row>
    <row r="1135" spans="1:5" x14ac:dyDescent="0.25">
      <c r="A1135">
        <v>3</v>
      </c>
      <c r="B1135">
        <v>-0.104790419161677</v>
      </c>
      <c r="D1135">
        <v>3</v>
      </c>
      <c r="E1135">
        <f t="shared" si="17"/>
        <v>4.3362046056062392E-2</v>
      </c>
    </row>
    <row r="1136" spans="1:5" x14ac:dyDescent="0.25">
      <c r="A1136">
        <v>3</v>
      </c>
      <c r="B1136">
        <v>-0.17066666666666699</v>
      </c>
      <c r="D1136">
        <v>3</v>
      </c>
      <c r="E1136">
        <f t="shared" si="17"/>
        <v>4.3362046056062392E-2</v>
      </c>
    </row>
    <row r="1137" spans="1:5" x14ac:dyDescent="0.25">
      <c r="A1137">
        <v>3</v>
      </c>
      <c r="B1137">
        <v>-0.117117117117117</v>
      </c>
      <c r="D1137">
        <v>3</v>
      </c>
      <c r="E1137">
        <f t="shared" si="17"/>
        <v>4.3362046056062392E-2</v>
      </c>
    </row>
    <row r="1138" spans="1:5" x14ac:dyDescent="0.25">
      <c r="A1138">
        <v>3</v>
      </c>
      <c r="B1138">
        <v>-0.116550116550117</v>
      </c>
      <c r="D1138">
        <v>3</v>
      </c>
      <c r="E1138">
        <f t="shared" si="17"/>
        <v>4.3362046056062392E-2</v>
      </c>
    </row>
    <row r="1139" spans="1:5" x14ac:dyDescent="0.25">
      <c r="A1139">
        <v>3</v>
      </c>
      <c r="B1139">
        <v>-1.16822429906542E-2</v>
      </c>
      <c r="D1139">
        <v>3</v>
      </c>
      <c r="E1139">
        <f t="shared" si="17"/>
        <v>4.3362046056062392E-2</v>
      </c>
    </row>
    <row r="1140" spans="1:5" x14ac:dyDescent="0.25">
      <c r="A1140">
        <v>3</v>
      </c>
      <c r="B1140">
        <v>-0.215568862275449</v>
      </c>
      <c r="D1140">
        <v>3</v>
      </c>
      <c r="E1140">
        <f t="shared" si="17"/>
        <v>4.3362046056062392E-2</v>
      </c>
    </row>
    <row r="1141" spans="1:5" x14ac:dyDescent="0.25">
      <c r="A1141">
        <v>3</v>
      </c>
      <c r="B1141">
        <v>-9.0666666666666701E-2</v>
      </c>
      <c r="D1141">
        <v>3</v>
      </c>
      <c r="E1141">
        <f t="shared" si="17"/>
        <v>4.3362046056062392E-2</v>
      </c>
    </row>
    <row r="1142" spans="1:5" x14ac:dyDescent="0.25">
      <c r="A1142">
        <v>3</v>
      </c>
      <c r="B1142">
        <v>-0.16800000000000001</v>
      </c>
      <c r="D1142">
        <v>3</v>
      </c>
      <c r="E1142">
        <f t="shared" si="17"/>
        <v>4.3362046056062392E-2</v>
      </c>
    </row>
    <row r="1143" spans="1:5" x14ac:dyDescent="0.25">
      <c r="A1143">
        <v>3</v>
      </c>
      <c r="B1143">
        <v>-4.5045045045045001E-2</v>
      </c>
      <c r="D1143">
        <v>3</v>
      </c>
      <c r="E1143">
        <f t="shared" si="17"/>
        <v>4.3362046056062392E-2</v>
      </c>
    </row>
    <row r="1144" spans="1:5" x14ac:dyDescent="0.25">
      <c r="A1144">
        <v>3</v>
      </c>
      <c r="B1144">
        <v>-0.192</v>
      </c>
      <c r="D1144">
        <v>3</v>
      </c>
      <c r="E1144">
        <f t="shared" si="17"/>
        <v>4.3362046056062392E-2</v>
      </c>
    </row>
    <row r="1145" spans="1:5" x14ac:dyDescent="0.25">
      <c r="A1145">
        <v>3</v>
      </c>
      <c r="B1145">
        <v>-2.5999999999999999E-2</v>
      </c>
      <c r="D1145">
        <v>3</v>
      </c>
      <c r="E1145">
        <f t="shared" si="17"/>
        <v>4.3362046056062392E-2</v>
      </c>
    </row>
    <row r="1146" spans="1:5" x14ac:dyDescent="0.25">
      <c r="A1146">
        <v>3</v>
      </c>
      <c r="B1146">
        <v>-0.15269461077844301</v>
      </c>
      <c r="D1146">
        <v>3</v>
      </c>
      <c r="E1146">
        <f t="shared" si="17"/>
        <v>4.3362046056062392E-2</v>
      </c>
    </row>
    <row r="1147" spans="1:5" x14ac:dyDescent="0.25">
      <c r="A1147">
        <v>3</v>
      </c>
      <c r="B1147">
        <v>2.4024024024024E-2</v>
      </c>
      <c r="D1147">
        <v>3</v>
      </c>
      <c r="E1147">
        <f t="shared" si="17"/>
        <v>4.3362046056062392E-2</v>
      </c>
    </row>
    <row r="1148" spans="1:5" x14ac:dyDescent="0.25">
      <c r="A1148">
        <v>3</v>
      </c>
      <c r="B1148">
        <v>-0.20166666666666699</v>
      </c>
      <c r="D1148">
        <v>3</v>
      </c>
      <c r="E1148">
        <f t="shared" si="17"/>
        <v>4.3362046056062392E-2</v>
      </c>
    </row>
    <row r="1149" spans="1:5" x14ac:dyDescent="0.25">
      <c r="A1149">
        <v>3</v>
      </c>
      <c r="B1149">
        <v>-2.9940119760479E-3</v>
      </c>
      <c r="D1149">
        <v>3</v>
      </c>
      <c r="E1149">
        <f t="shared" si="17"/>
        <v>4.3362046056062392E-2</v>
      </c>
    </row>
    <row r="1150" spans="1:5" x14ac:dyDescent="0.25">
      <c r="A1150">
        <v>3</v>
      </c>
      <c r="B1150">
        <v>-1.2E-2</v>
      </c>
      <c r="D1150">
        <v>3</v>
      </c>
      <c r="E1150">
        <f t="shared" si="17"/>
        <v>4.3362046056062392E-2</v>
      </c>
    </row>
    <row r="1151" spans="1:5" x14ac:dyDescent="0.25">
      <c r="A1151">
        <v>3</v>
      </c>
      <c r="B1151">
        <v>-3.2000000000000001E-2</v>
      </c>
      <c r="D1151">
        <v>3</v>
      </c>
      <c r="E1151">
        <f t="shared" si="17"/>
        <v>4.3362046056062392E-2</v>
      </c>
    </row>
    <row r="1152" spans="1:5" x14ac:dyDescent="0.25">
      <c r="A1152">
        <v>3</v>
      </c>
      <c r="B1152">
        <v>-5.86666666666667E-2</v>
      </c>
      <c r="D1152">
        <v>3</v>
      </c>
      <c r="E1152">
        <f t="shared" si="17"/>
        <v>4.3362046056062392E-2</v>
      </c>
    </row>
    <row r="1153" spans="1:5" x14ac:dyDescent="0.25">
      <c r="A1153">
        <v>3</v>
      </c>
      <c r="B1153">
        <v>-0.13207547169811301</v>
      </c>
      <c r="D1153">
        <v>3</v>
      </c>
      <c r="E1153">
        <f t="shared" si="17"/>
        <v>4.3362046056062392E-2</v>
      </c>
    </row>
    <row r="1154" spans="1:5" x14ac:dyDescent="0.25">
      <c r="A1154">
        <v>3</v>
      </c>
      <c r="B1154">
        <v>-6.6000000000000003E-2</v>
      </c>
      <c r="D1154">
        <v>3</v>
      </c>
      <c r="E1154">
        <f t="shared" si="17"/>
        <v>4.3362046056062392E-2</v>
      </c>
    </row>
    <row r="1155" spans="1:5" x14ac:dyDescent="0.25">
      <c r="A1155">
        <v>3</v>
      </c>
      <c r="B1155">
        <v>-0.213114754098361</v>
      </c>
      <c r="D1155">
        <v>3</v>
      </c>
      <c r="E1155">
        <f t="shared" ref="E1155:E1218" si="18">_xlfn.NORM.DIST(D1155, I$4,I$7,FALSE)</f>
        <v>4.3362046056062392E-2</v>
      </c>
    </row>
    <row r="1156" spans="1:5" x14ac:dyDescent="0.25">
      <c r="A1156">
        <v>3</v>
      </c>
      <c r="B1156">
        <v>7.7333333333333296E-2</v>
      </c>
      <c r="D1156">
        <v>3</v>
      </c>
      <c r="E1156">
        <f t="shared" si="18"/>
        <v>4.3362046056062392E-2</v>
      </c>
    </row>
    <row r="1157" spans="1:5" x14ac:dyDescent="0.25">
      <c r="A1157">
        <v>3</v>
      </c>
      <c r="B1157">
        <v>-6.3084112149532703E-2</v>
      </c>
      <c r="D1157">
        <v>3</v>
      </c>
      <c r="E1157">
        <f t="shared" si="18"/>
        <v>4.3362046056062392E-2</v>
      </c>
    </row>
    <row r="1158" spans="1:5" x14ac:dyDescent="0.25">
      <c r="A1158">
        <v>3</v>
      </c>
      <c r="B1158">
        <v>-0.229333333333333</v>
      </c>
      <c r="D1158">
        <v>3</v>
      </c>
      <c r="E1158">
        <f t="shared" si="18"/>
        <v>4.3362046056062392E-2</v>
      </c>
    </row>
    <row r="1159" spans="1:5" x14ac:dyDescent="0.25">
      <c r="A1159">
        <v>3</v>
      </c>
      <c r="B1159">
        <v>-2.10280373831776E-2</v>
      </c>
      <c r="D1159">
        <v>3</v>
      </c>
      <c r="E1159">
        <f t="shared" si="18"/>
        <v>4.3362046056062392E-2</v>
      </c>
    </row>
    <row r="1160" spans="1:5" x14ac:dyDescent="0.25">
      <c r="A1160">
        <v>3</v>
      </c>
      <c r="B1160">
        <v>-0.21962616822429901</v>
      </c>
      <c r="D1160">
        <v>3</v>
      </c>
      <c r="E1160">
        <f t="shared" si="18"/>
        <v>4.3362046056062392E-2</v>
      </c>
    </row>
    <row r="1161" spans="1:5" x14ac:dyDescent="0.25">
      <c r="A1161">
        <v>3</v>
      </c>
      <c r="B1161">
        <v>0.12345679012345701</v>
      </c>
      <c r="D1161">
        <v>3</v>
      </c>
      <c r="E1161">
        <f t="shared" si="18"/>
        <v>4.3362046056062392E-2</v>
      </c>
    </row>
    <row r="1162" spans="1:5" x14ac:dyDescent="0.25">
      <c r="A1162">
        <v>3</v>
      </c>
      <c r="B1162">
        <v>-0.28799999999999998</v>
      </c>
      <c r="D1162">
        <v>3</v>
      </c>
      <c r="E1162">
        <f t="shared" si="18"/>
        <v>4.3362046056062392E-2</v>
      </c>
    </row>
    <row r="1163" spans="1:5" x14ac:dyDescent="0.25">
      <c r="A1163">
        <v>3</v>
      </c>
      <c r="B1163">
        <v>1.66666666666667E-3</v>
      </c>
      <c r="D1163">
        <v>3</v>
      </c>
      <c r="E1163">
        <f t="shared" si="18"/>
        <v>4.3362046056062392E-2</v>
      </c>
    </row>
    <row r="1164" spans="1:5" x14ac:dyDescent="0.25">
      <c r="A1164">
        <v>3</v>
      </c>
      <c r="B1164">
        <v>-7.9545454545454503E-2</v>
      </c>
      <c r="D1164">
        <v>3</v>
      </c>
      <c r="E1164">
        <f t="shared" si="18"/>
        <v>4.3362046056062392E-2</v>
      </c>
    </row>
    <row r="1165" spans="1:5" x14ac:dyDescent="0.25">
      <c r="A1165">
        <v>3</v>
      </c>
      <c r="B1165">
        <v>4.3956043956044001E-2</v>
      </c>
      <c r="D1165">
        <v>3</v>
      </c>
      <c r="E1165">
        <f t="shared" si="18"/>
        <v>4.3362046056062392E-2</v>
      </c>
    </row>
    <row r="1166" spans="1:5" x14ac:dyDescent="0.25">
      <c r="A1166">
        <v>3</v>
      </c>
      <c r="B1166">
        <v>6.9565217391304293E-2</v>
      </c>
      <c r="D1166">
        <v>3</v>
      </c>
      <c r="E1166">
        <f t="shared" si="18"/>
        <v>4.3362046056062392E-2</v>
      </c>
    </row>
    <row r="1167" spans="1:5" x14ac:dyDescent="0.25">
      <c r="A1167">
        <v>3</v>
      </c>
      <c r="B1167">
        <v>0.05</v>
      </c>
      <c r="D1167">
        <v>3</v>
      </c>
      <c r="E1167">
        <f t="shared" si="18"/>
        <v>4.3362046056062392E-2</v>
      </c>
    </row>
    <row r="1168" spans="1:5" x14ac:dyDescent="0.25">
      <c r="A1168">
        <v>3</v>
      </c>
      <c r="B1168">
        <v>1</v>
      </c>
      <c r="D1168">
        <v>3</v>
      </c>
      <c r="E1168">
        <f t="shared" si="18"/>
        <v>4.3362046056062392E-2</v>
      </c>
    </row>
    <row r="1169" spans="1:5" x14ac:dyDescent="0.25">
      <c r="A1169">
        <v>3</v>
      </c>
      <c r="B1169">
        <v>0</v>
      </c>
      <c r="D1169">
        <v>3</v>
      </c>
      <c r="E1169">
        <f t="shared" si="18"/>
        <v>4.3362046056062392E-2</v>
      </c>
    </row>
    <row r="1170" spans="1:5" x14ac:dyDescent="0.25">
      <c r="A1170">
        <v>3</v>
      </c>
      <c r="B1170">
        <v>4.4999999999999998E-2</v>
      </c>
      <c r="D1170">
        <v>3</v>
      </c>
      <c r="E1170">
        <f t="shared" si="18"/>
        <v>4.3362046056062392E-2</v>
      </c>
    </row>
    <row r="1171" spans="1:5" x14ac:dyDescent="0.25">
      <c r="A1171">
        <v>3</v>
      </c>
      <c r="B1171">
        <v>-0.32432432432432401</v>
      </c>
      <c r="D1171">
        <v>3</v>
      </c>
      <c r="E1171">
        <f t="shared" si="18"/>
        <v>4.3362046056062392E-2</v>
      </c>
    </row>
    <row r="1172" spans="1:5" x14ac:dyDescent="0.25">
      <c r="A1172">
        <v>3</v>
      </c>
      <c r="B1172">
        <v>-8.0213903743315496E-2</v>
      </c>
      <c r="D1172">
        <v>3</v>
      </c>
      <c r="E1172">
        <f t="shared" si="18"/>
        <v>4.3362046056062392E-2</v>
      </c>
    </row>
    <row r="1173" spans="1:5" x14ac:dyDescent="0.25">
      <c r="A1173">
        <v>3</v>
      </c>
      <c r="B1173">
        <v>1</v>
      </c>
      <c r="D1173">
        <v>3</v>
      </c>
      <c r="E1173">
        <f t="shared" si="18"/>
        <v>4.3362046056062392E-2</v>
      </c>
    </row>
    <row r="1174" spans="1:5" x14ac:dyDescent="0.25">
      <c r="A1174">
        <v>3</v>
      </c>
      <c r="B1174">
        <v>-0.135135135135135</v>
      </c>
      <c r="D1174">
        <v>3</v>
      </c>
      <c r="E1174">
        <f t="shared" si="18"/>
        <v>4.3362046056062392E-2</v>
      </c>
    </row>
    <row r="1175" spans="1:5" x14ac:dyDescent="0.25">
      <c r="A1175">
        <v>3</v>
      </c>
      <c r="B1175">
        <v>9.6096096096096095E-2</v>
      </c>
      <c r="D1175">
        <v>3</v>
      </c>
      <c r="E1175">
        <f t="shared" si="18"/>
        <v>4.3362046056062392E-2</v>
      </c>
    </row>
    <row r="1176" spans="1:5" x14ac:dyDescent="0.25">
      <c r="A1176">
        <v>3</v>
      </c>
      <c r="B1176">
        <v>-6.6066066066066104E-2</v>
      </c>
      <c r="D1176">
        <v>3</v>
      </c>
      <c r="E1176">
        <f t="shared" si="18"/>
        <v>4.3362046056062392E-2</v>
      </c>
    </row>
    <row r="1177" spans="1:5" x14ac:dyDescent="0.25">
      <c r="A1177">
        <v>3</v>
      </c>
      <c r="B1177">
        <v>4.5045045045045001E-2</v>
      </c>
      <c r="D1177">
        <v>3</v>
      </c>
      <c r="E1177">
        <f t="shared" si="18"/>
        <v>4.3362046056062392E-2</v>
      </c>
    </row>
    <row r="1178" spans="1:5" x14ac:dyDescent="0.25">
      <c r="A1178">
        <v>3</v>
      </c>
      <c r="B1178">
        <v>-5.7057057057057103E-2</v>
      </c>
      <c r="D1178">
        <v>3</v>
      </c>
      <c r="E1178">
        <f t="shared" si="18"/>
        <v>4.3362046056062392E-2</v>
      </c>
    </row>
    <row r="1179" spans="1:5" x14ac:dyDescent="0.25">
      <c r="A1179">
        <v>3</v>
      </c>
      <c r="B1179">
        <v>8.0000000000000002E-3</v>
      </c>
      <c r="D1179">
        <v>3</v>
      </c>
      <c r="E1179">
        <f t="shared" si="18"/>
        <v>4.3362046056062392E-2</v>
      </c>
    </row>
    <row r="1180" spans="1:5" x14ac:dyDescent="0.25">
      <c r="A1180">
        <v>3</v>
      </c>
      <c r="B1180">
        <v>-1.8018018018018001E-2</v>
      </c>
      <c r="D1180">
        <v>3</v>
      </c>
      <c r="E1180">
        <f t="shared" si="18"/>
        <v>4.3362046056062392E-2</v>
      </c>
    </row>
    <row r="1181" spans="1:5" x14ac:dyDescent="0.25">
      <c r="A1181">
        <v>3</v>
      </c>
      <c r="B1181">
        <v>1.6E-2</v>
      </c>
      <c r="D1181">
        <v>3</v>
      </c>
      <c r="E1181">
        <f t="shared" si="18"/>
        <v>4.3362046056062392E-2</v>
      </c>
    </row>
    <row r="1182" spans="1:5" x14ac:dyDescent="0.25">
      <c r="A1182">
        <v>3</v>
      </c>
      <c r="B1182">
        <v>-0.133333333333333</v>
      </c>
      <c r="D1182">
        <v>3</v>
      </c>
      <c r="E1182">
        <f t="shared" si="18"/>
        <v>4.3362046056062392E-2</v>
      </c>
    </row>
    <row r="1183" spans="1:5" x14ac:dyDescent="0.25">
      <c r="A1183">
        <v>3</v>
      </c>
      <c r="B1183">
        <v>4.5045045045045001E-2</v>
      </c>
      <c r="D1183">
        <v>3</v>
      </c>
      <c r="E1183">
        <f t="shared" si="18"/>
        <v>4.3362046056062392E-2</v>
      </c>
    </row>
    <row r="1184" spans="1:5" x14ac:dyDescent="0.25">
      <c r="A1184">
        <v>3</v>
      </c>
      <c r="B1184">
        <v>-9.0909090909090898E-2</v>
      </c>
      <c r="D1184">
        <v>3</v>
      </c>
      <c r="E1184">
        <f t="shared" si="18"/>
        <v>4.3362046056062392E-2</v>
      </c>
    </row>
    <row r="1185" spans="1:5" x14ac:dyDescent="0.25">
      <c r="A1185">
        <v>3</v>
      </c>
      <c r="B1185">
        <v>8.2666666666666694E-2</v>
      </c>
      <c r="D1185">
        <v>3</v>
      </c>
      <c r="E1185">
        <f t="shared" si="18"/>
        <v>4.3362046056062392E-2</v>
      </c>
    </row>
    <row r="1186" spans="1:5" x14ac:dyDescent="0.25">
      <c r="A1186">
        <v>3</v>
      </c>
      <c r="B1186">
        <v>-2.66666666666667E-2</v>
      </c>
      <c r="D1186">
        <v>3</v>
      </c>
      <c r="E1186">
        <f t="shared" si="18"/>
        <v>4.3362046056062392E-2</v>
      </c>
    </row>
    <row r="1187" spans="1:5" x14ac:dyDescent="0.25">
      <c r="A1187">
        <v>3</v>
      </c>
      <c r="B1187">
        <v>0.17249417249417201</v>
      </c>
      <c r="D1187">
        <v>3</v>
      </c>
      <c r="E1187">
        <f t="shared" si="18"/>
        <v>4.3362046056062392E-2</v>
      </c>
    </row>
    <row r="1188" spans="1:5" x14ac:dyDescent="0.25">
      <c r="A1188">
        <v>3</v>
      </c>
      <c r="B1188">
        <v>-0.08</v>
      </c>
      <c r="D1188">
        <v>3</v>
      </c>
      <c r="E1188">
        <f t="shared" si="18"/>
        <v>4.3362046056062392E-2</v>
      </c>
    </row>
    <row r="1189" spans="1:5" x14ac:dyDescent="0.25">
      <c r="A1189">
        <v>3</v>
      </c>
      <c r="B1189">
        <v>0.3</v>
      </c>
      <c r="D1189">
        <v>3</v>
      </c>
      <c r="E1189">
        <f t="shared" si="18"/>
        <v>4.3362046056062392E-2</v>
      </c>
    </row>
    <row r="1190" spans="1:5" x14ac:dyDescent="0.25">
      <c r="A1190">
        <v>3</v>
      </c>
      <c r="B1190">
        <v>-3.2000000000000001E-2</v>
      </c>
      <c r="D1190">
        <v>3</v>
      </c>
      <c r="E1190">
        <f t="shared" si="18"/>
        <v>4.3362046056062392E-2</v>
      </c>
    </row>
    <row r="1191" spans="1:5" x14ac:dyDescent="0.25">
      <c r="A1191">
        <v>3</v>
      </c>
      <c r="B1191">
        <v>0.47199999999999998</v>
      </c>
      <c r="D1191">
        <v>3</v>
      </c>
      <c r="E1191">
        <f t="shared" si="18"/>
        <v>4.3362046056062392E-2</v>
      </c>
    </row>
    <row r="1192" spans="1:5" x14ac:dyDescent="0.25">
      <c r="A1192">
        <v>3</v>
      </c>
      <c r="B1192">
        <v>0.52447552447552404</v>
      </c>
      <c r="D1192">
        <v>3</v>
      </c>
      <c r="E1192">
        <f t="shared" si="18"/>
        <v>4.3362046056062392E-2</v>
      </c>
    </row>
    <row r="1193" spans="1:5" x14ac:dyDescent="0.25">
      <c r="A1193">
        <v>3</v>
      </c>
      <c r="B1193">
        <v>-5.1282051282051301E-2</v>
      </c>
      <c r="D1193">
        <v>3</v>
      </c>
      <c r="E1193">
        <f t="shared" si="18"/>
        <v>4.3362046056062392E-2</v>
      </c>
    </row>
    <row r="1194" spans="1:5" x14ac:dyDescent="0.25">
      <c r="A1194">
        <v>3</v>
      </c>
      <c r="B1194">
        <v>0.41866666666666702</v>
      </c>
      <c r="D1194">
        <v>3</v>
      </c>
      <c r="E1194">
        <f t="shared" si="18"/>
        <v>4.3362046056062392E-2</v>
      </c>
    </row>
    <row r="1195" spans="1:5" x14ac:dyDescent="0.25">
      <c r="A1195">
        <v>3</v>
      </c>
      <c r="B1195">
        <v>0.10199999999999999</v>
      </c>
      <c r="D1195">
        <v>3</v>
      </c>
      <c r="E1195">
        <f t="shared" si="18"/>
        <v>4.3362046056062392E-2</v>
      </c>
    </row>
    <row r="1196" spans="1:5" x14ac:dyDescent="0.25">
      <c r="A1196">
        <v>3</v>
      </c>
      <c r="B1196">
        <v>0.473333333333333</v>
      </c>
      <c r="D1196">
        <v>3</v>
      </c>
      <c r="E1196">
        <f t="shared" si="18"/>
        <v>4.3362046056062392E-2</v>
      </c>
    </row>
    <row r="1197" spans="1:5" x14ac:dyDescent="0.25">
      <c r="A1197">
        <v>3</v>
      </c>
      <c r="B1197">
        <v>7.7333333333333296E-2</v>
      </c>
      <c r="D1197">
        <v>3</v>
      </c>
      <c r="E1197">
        <f t="shared" si="18"/>
        <v>4.3362046056062392E-2</v>
      </c>
    </row>
    <row r="1198" spans="1:5" x14ac:dyDescent="0.25">
      <c r="A1198">
        <v>3</v>
      </c>
      <c r="B1198">
        <v>0.61448598130841103</v>
      </c>
      <c r="D1198">
        <v>3</v>
      </c>
      <c r="E1198">
        <f t="shared" si="18"/>
        <v>4.3362046056062392E-2</v>
      </c>
    </row>
    <row r="1199" spans="1:5" x14ac:dyDescent="0.25">
      <c r="A1199">
        <v>3</v>
      </c>
      <c r="B1199">
        <v>6.0747663551401897E-2</v>
      </c>
      <c r="D1199">
        <v>3</v>
      </c>
      <c r="E1199">
        <f t="shared" si="18"/>
        <v>4.3362046056062392E-2</v>
      </c>
    </row>
    <row r="1200" spans="1:5" x14ac:dyDescent="0.25">
      <c r="A1200">
        <v>3</v>
      </c>
      <c r="B1200">
        <v>0.69499999999999995</v>
      </c>
      <c r="D1200">
        <v>3</v>
      </c>
      <c r="E1200">
        <f t="shared" si="18"/>
        <v>4.3362046056062392E-2</v>
      </c>
    </row>
    <row r="1201" spans="1:5" x14ac:dyDescent="0.25">
      <c r="A1201">
        <v>3</v>
      </c>
      <c r="B1201">
        <v>0.37878787878787901</v>
      </c>
      <c r="D1201">
        <v>3</v>
      </c>
      <c r="E1201">
        <f t="shared" si="18"/>
        <v>4.3362046056062392E-2</v>
      </c>
    </row>
    <row r="1202" spans="1:5" x14ac:dyDescent="0.25">
      <c r="A1202">
        <v>3</v>
      </c>
      <c r="B1202">
        <v>1</v>
      </c>
      <c r="D1202">
        <v>3</v>
      </c>
      <c r="E1202">
        <f t="shared" si="18"/>
        <v>4.3362046056062392E-2</v>
      </c>
    </row>
    <row r="1203" spans="1:5" x14ac:dyDescent="0.25">
      <c r="A1203">
        <v>3</v>
      </c>
      <c r="B1203">
        <v>0.61363636363636398</v>
      </c>
      <c r="D1203">
        <v>3</v>
      </c>
      <c r="E1203">
        <f t="shared" si="18"/>
        <v>4.3362046056062392E-2</v>
      </c>
    </row>
    <row r="1204" spans="1:5" x14ac:dyDescent="0.25">
      <c r="A1204">
        <v>3</v>
      </c>
      <c r="B1204">
        <v>0.47</v>
      </c>
      <c r="D1204">
        <v>3</v>
      </c>
      <c r="E1204">
        <f t="shared" si="18"/>
        <v>4.3362046056062392E-2</v>
      </c>
    </row>
    <row r="1205" spans="1:5" x14ac:dyDescent="0.25">
      <c r="A1205">
        <v>3</v>
      </c>
      <c r="B1205">
        <v>-0.105105105105105</v>
      </c>
      <c r="D1205">
        <v>3</v>
      </c>
      <c r="E1205">
        <f t="shared" si="18"/>
        <v>4.3362046056062392E-2</v>
      </c>
    </row>
    <row r="1206" spans="1:5" x14ac:dyDescent="0.25">
      <c r="A1206">
        <v>3</v>
      </c>
      <c r="B1206">
        <v>0.11214953271028</v>
      </c>
      <c r="D1206">
        <v>3</v>
      </c>
      <c r="E1206">
        <f t="shared" si="18"/>
        <v>4.3362046056062392E-2</v>
      </c>
    </row>
    <row r="1207" spans="1:5" x14ac:dyDescent="0.25">
      <c r="A1207">
        <v>3</v>
      </c>
      <c r="B1207">
        <v>-3.0120481927710802E-2</v>
      </c>
      <c r="D1207">
        <v>3</v>
      </c>
      <c r="E1207">
        <f t="shared" si="18"/>
        <v>4.3362046056062392E-2</v>
      </c>
    </row>
    <row r="1208" spans="1:5" x14ac:dyDescent="0.25">
      <c r="A1208">
        <v>3</v>
      </c>
      <c r="B1208">
        <v>-0.51648351648351698</v>
      </c>
      <c r="D1208">
        <v>3</v>
      </c>
      <c r="E1208">
        <f t="shared" si="18"/>
        <v>4.3362046056062392E-2</v>
      </c>
    </row>
    <row r="1209" spans="1:5" x14ac:dyDescent="0.25">
      <c r="A1209">
        <v>3</v>
      </c>
      <c r="B1209">
        <v>0</v>
      </c>
      <c r="D1209">
        <v>3</v>
      </c>
      <c r="E1209">
        <f t="shared" si="18"/>
        <v>4.3362046056062392E-2</v>
      </c>
    </row>
    <row r="1210" spans="1:5" x14ac:dyDescent="0.25">
      <c r="A1210">
        <v>3</v>
      </c>
      <c r="B1210">
        <v>0.29940119760479</v>
      </c>
      <c r="D1210">
        <v>3</v>
      </c>
      <c r="E1210">
        <f t="shared" si="18"/>
        <v>4.3362046056062392E-2</v>
      </c>
    </row>
    <row r="1211" spans="1:5" x14ac:dyDescent="0.25">
      <c r="A1211">
        <v>3</v>
      </c>
      <c r="B1211">
        <v>1</v>
      </c>
      <c r="D1211">
        <v>3</v>
      </c>
      <c r="E1211">
        <f t="shared" si="18"/>
        <v>4.3362046056062392E-2</v>
      </c>
    </row>
    <row r="1212" spans="1:5" x14ac:dyDescent="0.25">
      <c r="A1212">
        <v>3</v>
      </c>
      <c r="B1212">
        <v>-0.12266666666666701</v>
      </c>
      <c r="D1212">
        <v>3</v>
      </c>
      <c r="E1212">
        <f t="shared" si="18"/>
        <v>4.3362046056062392E-2</v>
      </c>
    </row>
    <row r="1213" spans="1:5" x14ac:dyDescent="0.25">
      <c r="A1213">
        <v>3</v>
      </c>
      <c r="B1213">
        <v>-5.7057057057057103E-2</v>
      </c>
      <c r="D1213">
        <v>3</v>
      </c>
      <c r="E1213">
        <f t="shared" si="18"/>
        <v>4.3362046056062392E-2</v>
      </c>
    </row>
    <row r="1214" spans="1:5" x14ac:dyDescent="0.25">
      <c r="A1214">
        <v>3</v>
      </c>
      <c r="B1214">
        <v>-3.27102803738318E-2</v>
      </c>
      <c r="D1214">
        <v>3</v>
      </c>
      <c r="E1214">
        <f t="shared" si="18"/>
        <v>4.3362046056062392E-2</v>
      </c>
    </row>
    <row r="1215" spans="1:5" x14ac:dyDescent="0.25">
      <c r="A1215">
        <v>3</v>
      </c>
      <c r="B1215">
        <v>-8.4084084084084104E-2</v>
      </c>
      <c r="D1215">
        <v>3</v>
      </c>
      <c r="E1215">
        <f t="shared" si="18"/>
        <v>4.3362046056062392E-2</v>
      </c>
    </row>
    <row r="1216" spans="1:5" x14ac:dyDescent="0.25">
      <c r="A1216">
        <v>3</v>
      </c>
      <c r="B1216">
        <v>-5.9880239520958098E-2</v>
      </c>
      <c r="D1216">
        <v>3</v>
      </c>
      <c r="E1216">
        <f t="shared" si="18"/>
        <v>4.3362046056062392E-2</v>
      </c>
    </row>
    <row r="1217" spans="1:5" x14ac:dyDescent="0.25">
      <c r="A1217">
        <v>3</v>
      </c>
      <c r="B1217">
        <v>1.6E-2</v>
      </c>
      <c r="D1217">
        <v>3</v>
      </c>
      <c r="E1217">
        <f t="shared" si="18"/>
        <v>4.3362046056062392E-2</v>
      </c>
    </row>
    <row r="1218" spans="1:5" x14ac:dyDescent="0.25">
      <c r="A1218">
        <v>3</v>
      </c>
      <c r="B1218">
        <v>-0.108108108108108</v>
      </c>
      <c r="D1218">
        <v>3</v>
      </c>
      <c r="E1218">
        <f t="shared" si="18"/>
        <v>4.3362046056062392E-2</v>
      </c>
    </row>
    <row r="1219" spans="1:5" x14ac:dyDescent="0.25">
      <c r="A1219">
        <v>3</v>
      </c>
      <c r="B1219">
        <v>3.46666666666667E-2</v>
      </c>
      <c r="D1219">
        <v>3</v>
      </c>
      <c r="E1219">
        <f t="shared" ref="E1219:E1282" si="19">_xlfn.NORM.DIST(D1219, I$4,I$7,FALSE)</f>
        <v>4.3362046056062392E-2</v>
      </c>
    </row>
    <row r="1220" spans="1:5" x14ac:dyDescent="0.25">
      <c r="A1220">
        <v>3</v>
      </c>
      <c r="B1220">
        <v>-0.08</v>
      </c>
      <c r="D1220">
        <v>3</v>
      </c>
      <c r="E1220">
        <f t="shared" si="19"/>
        <v>4.3362046056062392E-2</v>
      </c>
    </row>
    <row r="1221" spans="1:5" x14ac:dyDescent="0.25">
      <c r="A1221">
        <v>3</v>
      </c>
      <c r="B1221">
        <v>-1.3333333333333299E-2</v>
      </c>
      <c r="D1221">
        <v>3</v>
      </c>
      <c r="E1221">
        <f t="shared" si="19"/>
        <v>4.3362046056062392E-2</v>
      </c>
    </row>
    <row r="1222" spans="1:5" x14ac:dyDescent="0.25">
      <c r="A1222">
        <v>3</v>
      </c>
      <c r="B1222">
        <v>3.0030030030029999E-3</v>
      </c>
      <c r="D1222">
        <v>3</v>
      </c>
      <c r="E1222">
        <f t="shared" si="19"/>
        <v>4.3362046056062392E-2</v>
      </c>
    </row>
    <row r="1223" spans="1:5" x14ac:dyDescent="0.25">
      <c r="A1223">
        <v>3</v>
      </c>
      <c r="B1223">
        <v>-6.75990675990676E-2</v>
      </c>
      <c r="D1223">
        <v>3</v>
      </c>
      <c r="E1223">
        <f t="shared" si="19"/>
        <v>4.3362046056062392E-2</v>
      </c>
    </row>
    <row r="1224" spans="1:5" x14ac:dyDescent="0.25">
      <c r="A1224">
        <v>3</v>
      </c>
      <c r="B1224">
        <v>-0.13</v>
      </c>
      <c r="D1224">
        <v>3</v>
      </c>
      <c r="E1224">
        <f t="shared" si="19"/>
        <v>4.3362046056062392E-2</v>
      </c>
    </row>
    <row r="1225" spans="1:5" x14ac:dyDescent="0.25">
      <c r="A1225">
        <v>3</v>
      </c>
      <c r="B1225">
        <v>3.03030303030303E-2</v>
      </c>
      <c r="D1225">
        <v>3</v>
      </c>
      <c r="E1225">
        <f t="shared" si="19"/>
        <v>4.3362046056062392E-2</v>
      </c>
    </row>
    <row r="1226" spans="1:5" x14ac:dyDescent="0.25">
      <c r="A1226">
        <v>3</v>
      </c>
      <c r="B1226">
        <v>-0.11915887850467299</v>
      </c>
      <c r="D1226">
        <v>3</v>
      </c>
      <c r="E1226">
        <f t="shared" si="19"/>
        <v>4.3362046056062392E-2</v>
      </c>
    </row>
    <row r="1227" spans="1:5" x14ac:dyDescent="0.25">
      <c r="A1227">
        <v>3</v>
      </c>
      <c r="B1227">
        <v>1.8018018018018001E-2</v>
      </c>
      <c r="D1227">
        <v>3</v>
      </c>
      <c r="E1227">
        <f t="shared" si="19"/>
        <v>4.3362046056062392E-2</v>
      </c>
    </row>
    <row r="1228" spans="1:5" x14ac:dyDescent="0.25">
      <c r="A1228">
        <v>3</v>
      </c>
      <c r="B1228">
        <v>-0.117333333333333</v>
      </c>
      <c r="D1228">
        <v>3</v>
      </c>
      <c r="E1228">
        <f t="shared" si="19"/>
        <v>4.3362046056062392E-2</v>
      </c>
    </row>
    <row r="1229" spans="1:5" x14ac:dyDescent="0.25">
      <c r="A1229">
        <v>3</v>
      </c>
      <c r="B1229">
        <v>5.83333333333333E-2</v>
      </c>
      <c r="D1229">
        <v>3</v>
      </c>
      <c r="E1229">
        <f t="shared" si="19"/>
        <v>4.3362046056062392E-2</v>
      </c>
    </row>
    <row r="1230" spans="1:5" x14ac:dyDescent="0.25">
      <c r="A1230">
        <v>3</v>
      </c>
      <c r="B1230">
        <v>-8.9820359281437105E-3</v>
      </c>
      <c r="D1230">
        <v>3</v>
      </c>
      <c r="E1230">
        <f t="shared" si="19"/>
        <v>4.3362046056062392E-2</v>
      </c>
    </row>
    <row r="1231" spans="1:5" x14ac:dyDescent="0.25">
      <c r="A1231">
        <v>3</v>
      </c>
      <c r="B1231">
        <v>3.1666666666666697E-2</v>
      </c>
      <c r="D1231">
        <v>3</v>
      </c>
      <c r="E1231">
        <f t="shared" si="19"/>
        <v>4.3362046056062392E-2</v>
      </c>
    </row>
    <row r="1232" spans="1:5" x14ac:dyDescent="0.25">
      <c r="A1232">
        <v>3</v>
      </c>
      <c r="B1232">
        <v>-4.4289044289044302E-2</v>
      </c>
      <c r="D1232">
        <v>3</v>
      </c>
      <c r="E1232">
        <f t="shared" si="19"/>
        <v>4.3362046056062392E-2</v>
      </c>
    </row>
    <row r="1233" spans="1:5" x14ac:dyDescent="0.25">
      <c r="A1233">
        <v>3</v>
      </c>
      <c r="B1233">
        <v>0.16167664670658699</v>
      </c>
      <c r="D1233">
        <v>4</v>
      </c>
      <c r="E1233">
        <f t="shared" si="19"/>
        <v>4.3989984930821201E-2</v>
      </c>
    </row>
    <row r="1234" spans="1:5" x14ac:dyDescent="0.25">
      <c r="A1234">
        <v>3</v>
      </c>
      <c r="B1234">
        <v>-0.10747663551401899</v>
      </c>
      <c r="D1234">
        <v>4</v>
      </c>
      <c r="E1234">
        <f t="shared" si="19"/>
        <v>4.3989984930821201E-2</v>
      </c>
    </row>
    <row r="1235" spans="1:5" x14ac:dyDescent="0.25">
      <c r="A1235">
        <v>3</v>
      </c>
      <c r="B1235">
        <v>0.17066666666666699</v>
      </c>
      <c r="D1235">
        <v>4</v>
      </c>
      <c r="E1235">
        <f t="shared" si="19"/>
        <v>4.3989984930821201E-2</v>
      </c>
    </row>
    <row r="1236" spans="1:5" x14ac:dyDescent="0.25">
      <c r="A1236">
        <v>3</v>
      </c>
      <c r="B1236">
        <v>0.24833333333333299</v>
      </c>
      <c r="D1236">
        <v>4</v>
      </c>
      <c r="E1236">
        <f t="shared" si="19"/>
        <v>4.3989984930821201E-2</v>
      </c>
    </row>
    <row r="1237" spans="1:5" x14ac:dyDescent="0.25">
      <c r="A1237">
        <v>3</v>
      </c>
      <c r="B1237">
        <v>-8.7999999999999995E-2</v>
      </c>
      <c r="D1237">
        <v>4</v>
      </c>
      <c r="E1237">
        <f t="shared" si="19"/>
        <v>4.3989984930821201E-2</v>
      </c>
    </row>
    <row r="1238" spans="1:5" x14ac:dyDescent="0.25">
      <c r="A1238">
        <v>3</v>
      </c>
      <c r="B1238">
        <v>0.32467532467532501</v>
      </c>
      <c r="D1238">
        <v>4</v>
      </c>
      <c r="E1238">
        <f t="shared" si="19"/>
        <v>4.3989984930821201E-2</v>
      </c>
    </row>
    <row r="1239" spans="1:5" x14ac:dyDescent="0.25">
      <c r="A1239">
        <v>3</v>
      </c>
      <c r="B1239">
        <v>-5.3333333333333297E-3</v>
      </c>
      <c r="D1239">
        <v>4</v>
      </c>
      <c r="E1239">
        <f t="shared" si="19"/>
        <v>4.3989984930821201E-2</v>
      </c>
    </row>
    <row r="1240" spans="1:5" x14ac:dyDescent="0.25">
      <c r="A1240">
        <v>3</v>
      </c>
      <c r="B1240">
        <v>0.44166666666666698</v>
      </c>
      <c r="D1240">
        <v>4</v>
      </c>
      <c r="E1240">
        <f t="shared" si="19"/>
        <v>4.3989984930821201E-2</v>
      </c>
    </row>
    <row r="1241" spans="1:5" x14ac:dyDescent="0.25">
      <c r="A1241">
        <v>3</v>
      </c>
      <c r="B1241">
        <v>1</v>
      </c>
      <c r="D1241">
        <v>4</v>
      </c>
      <c r="E1241">
        <f t="shared" si="19"/>
        <v>4.3989984930821201E-2</v>
      </c>
    </row>
    <row r="1242" spans="1:5" x14ac:dyDescent="0.25">
      <c r="A1242">
        <v>3</v>
      </c>
      <c r="B1242">
        <v>-5.8411214953271E-2</v>
      </c>
      <c r="D1242">
        <v>4</v>
      </c>
      <c r="E1242">
        <f t="shared" si="19"/>
        <v>4.3989984930821201E-2</v>
      </c>
    </row>
    <row r="1243" spans="1:5" x14ac:dyDescent="0.25">
      <c r="A1243">
        <v>3</v>
      </c>
      <c r="B1243">
        <v>0.135135135135135</v>
      </c>
      <c r="D1243">
        <v>4</v>
      </c>
      <c r="E1243">
        <f t="shared" si="19"/>
        <v>4.3989984930821201E-2</v>
      </c>
    </row>
    <row r="1244" spans="1:5" x14ac:dyDescent="0.25">
      <c r="A1244">
        <v>3</v>
      </c>
      <c r="B1244">
        <v>-0.104</v>
      </c>
      <c r="D1244">
        <v>4</v>
      </c>
      <c r="E1244">
        <f t="shared" si="19"/>
        <v>4.3989984930821201E-2</v>
      </c>
    </row>
    <row r="1245" spans="1:5" x14ac:dyDescent="0.25">
      <c r="A1245">
        <v>3</v>
      </c>
      <c r="B1245">
        <v>7.4666666666666701E-2</v>
      </c>
      <c r="D1245">
        <v>4</v>
      </c>
      <c r="E1245">
        <f t="shared" si="19"/>
        <v>4.3989984930821201E-2</v>
      </c>
    </row>
    <row r="1246" spans="1:5" x14ac:dyDescent="0.25">
      <c r="A1246">
        <v>3</v>
      </c>
      <c r="B1246">
        <v>5.3333333333333302E-2</v>
      </c>
      <c r="D1246">
        <v>4</v>
      </c>
      <c r="E1246">
        <f t="shared" si="19"/>
        <v>4.3989984930821201E-2</v>
      </c>
    </row>
    <row r="1247" spans="1:5" x14ac:dyDescent="0.25">
      <c r="A1247">
        <v>3</v>
      </c>
      <c r="B1247">
        <v>-6.5934065934065894E-2</v>
      </c>
      <c r="D1247">
        <v>4</v>
      </c>
      <c r="E1247">
        <f t="shared" si="19"/>
        <v>4.3989984930821201E-2</v>
      </c>
    </row>
    <row r="1248" spans="1:5" x14ac:dyDescent="0.25">
      <c r="A1248">
        <v>3</v>
      </c>
      <c r="B1248">
        <v>0.173913043478261</v>
      </c>
      <c r="D1248">
        <v>4</v>
      </c>
      <c r="E1248">
        <f t="shared" si="19"/>
        <v>4.3989984930821201E-2</v>
      </c>
    </row>
    <row r="1249" spans="1:5" x14ac:dyDescent="0.25">
      <c r="A1249">
        <v>3</v>
      </c>
      <c r="B1249">
        <v>1.49700598802395E-2</v>
      </c>
      <c r="D1249">
        <v>4</v>
      </c>
      <c r="E1249">
        <f t="shared" si="19"/>
        <v>4.3989984930821201E-2</v>
      </c>
    </row>
    <row r="1250" spans="1:5" x14ac:dyDescent="0.25">
      <c r="A1250">
        <v>3</v>
      </c>
      <c r="B1250">
        <v>1.8333333333333299E-2</v>
      </c>
      <c r="D1250">
        <v>4</v>
      </c>
      <c r="E1250">
        <f t="shared" si="19"/>
        <v>4.3989984930821201E-2</v>
      </c>
    </row>
    <row r="1251" spans="1:5" x14ac:dyDescent="0.25">
      <c r="A1251">
        <v>3</v>
      </c>
      <c r="B1251">
        <v>0.12</v>
      </c>
      <c r="D1251">
        <v>4</v>
      </c>
      <c r="E1251">
        <f t="shared" si="19"/>
        <v>4.3989984930821201E-2</v>
      </c>
    </row>
    <row r="1252" spans="1:5" x14ac:dyDescent="0.25">
      <c r="A1252">
        <v>3</v>
      </c>
      <c r="B1252">
        <v>1</v>
      </c>
      <c r="D1252">
        <v>4</v>
      </c>
      <c r="E1252">
        <f t="shared" si="19"/>
        <v>4.3989984930821201E-2</v>
      </c>
    </row>
    <row r="1253" spans="1:5" x14ac:dyDescent="0.25">
      <c r="A1253">
        <v>3</v>
      </c>
      <c r="B1253">
        <v>8.7087087087087095E-2</v>
      </c>
      <c r="D1253">
        <v>4</v>
      </c>
      <c r="E1253">
        <f t="shared" si="19"/>
        <v>4.3989984930821201E-2</v>
      </c>
    </row>
    <row r="1254" spans="1:5" x14ac:dyDescent="0.25">
      <c r="A1254">
        <v>3</v>
      </c>
      <c r="B1254">
        <v>-0.105263157894737</v>
      </c>
      <c r="D1254">
        <v>4</v>
      </c>
      <c r="E1254">
        <f t="shared" si="19"/>
        <v>4.3989984930821201E-2</v>
      </c>
    </row>
    <row r="1255" spans="1:5" x14ac:dyDescent="0.25">
      <c r="A1255">
        <v>3</v>
      </c>
      <c r="B1255">
        <v>2.1021021021020998E-2</v>
      </c>
      <c r="D1255">
        <v>4</v>
      </c>
      <c r="E1255">
        <f t="shared" si="19"/>
        <v>4.3989984930821201E-2</v>
      </c>
    </row>
    <row r="1256" spans="1:5" x14ac:dyDescent="0.25">
      <c r="A1256">
        <v>3</v>
      </c>
      <c r="B1256">
        <v>-5.9880239520958096E-3</v>
      </c>
      <c r="D1256">
        <v>4</v>
      </c>
      <c r="E1256">
        <f t="shared" si="19"/>
        <v>4.3989984930821201E-2</v>
      </c>
    </row>
    <row r="1257" spans="1:5" x14ac:dyDescent="0.25">
      <c r="A1257">
        <v>3</v>
      </c>
      <c r="B1257">
        <v>8.4084084084084104E-2</v>
      </c>
      <c r="D1257">
        <v>4</v>
      </c>
      <c r="E1257">
        <f t="shared" si="19"/>
        <v>4.3989984930821201E-2</v>
      </c>
    </row>
    <row r="1258" spans="1:5" x14ac:dyDescent="0.25">
      <c r="A1258">
        <v>3</v>
      </c>
      <c r="B1258">
        <v>5.4054054054054099E-2</v>
      </c>
      <c r="D1258">
        <v>4</v>
      </c>
      <c r="E1258">
        <f t="shared" si="19"/>
        <v>4.3989984930821201E-2</v>
      </c>
    </row>
    <row r="1259" spans="1:5" x14ac:dyDescent="0.25">
      <c r="A1259">
        <v>3</v>
      </c>
      <c r="B1259">
        <v>0.104</v>
      </c>
      <c r="D1259">
        <v>4</v>
      </c>
      <c r="E1259">
        <f t="shared" si="19"/>
        <v>4.3989984930821201E-2</v>
      </c>
    </row>
    <row r="1260" spans="1:5" x14ac:dyDescent="0.25">
      <c r="A1260">
        <v>3</v>
      </c>
      <c r="B1260">
        <v>4.8048048048047999E-2</v>
      </c>
      <c r="D1260">
        <v>4</v>
      </c>
      <c r="E1260">
        <f t="shared" si="19"/>
        <v>4.3989984930821201E-2</v>
      </c>
    </row>
    <row r="1261" spans="1:5" x14ac:dyDescent="0.25">
      <c r="A1261">
        <v>3</v>
      </c>
      <c r="B1261">
        <v>0.20266666666666699</v>
      </c>
      <c r="D1261">
        <v>4</v>
      </c>
      <c r="E1261">
        <f t="shared" si="19"/>
        <v>4.3989984930821201E-2</v>
      </c>
    </row>
    <row r="1262" spans="1:5" x14ac:dyDescent="0.25">
      <c r="A1262">
        <v>3</v>
      </c>
      <c r="B1262">
        <v>0.168224299065421</v>
      </c>
      <c r="D1262">
        <v>4</v>
      </c>
      <c r="E1262">
        <f t="shared" si="19"/>
        <v>4.3989984930821201E-2</v>
      </c>
    </row>
    <row r="1263" spans="1:5" x14ac:dyDescent="0.25">
      <c r="A1263">
        <v>3</v>
      </c>
      <c r="B1263">
        <v>2.7027027027027001E-2</v>
      </c>
      <c r="D1263">
        <v>4</v>
      </c>
      <c r="E1263">
        <f t="shared" si="19"/>
        <v>4.3989984930821201E-2</v>
      </c>
    </row>
    <row r="1264" spans="1:5" x14ac:dyDescent="0.25">
      <c r="A1264">
        <v>3</v>
      </c>
      <c r="B1264">
        <v>0.38927738927738897</v>
      </c>
      <c r="D1264">
        <v>4</v>
      </c>
      <c r="E1264">
        <f t="shared" si="19"/>
        <v>4.3989984930821201E-2</v>
      </c>
    </row>
    <row r="1265" spans="1:5" x14ac:dyDescent="0.25">
      <c r="A1265">
        <v>3</v>
      </c>
      <c r="B1265">
        <v>6.1333333333333302E-2</v>
      </c>
      <c r="D1265">
        <v>4</v>
      </c>
      <c r="E1265">
        <f t="shared" si="19"/>
        <v>4.3989984930821201E-2</v>
      </c>
    </row>
    <row r="1266" spans="1:5" x14ac:dyDescent="0.25">
      <c r="A1266">
        <v>3</v>
      </c>
      <c r="B1266">
        <v>0.42814371257485001</v>
      </c>
      <c r="D1266">
        <v>4</v>
      </c>
      <c r="E1266">
        <f t="shared" si="19"/>
        <v>4.3989984930821201E-2</v>
      </c>
    </row>
    <row r="1267" spans="1:5" x14ac:dyDescent="0.25">
      <c r="A1267">
        <v>3</v>
      </c>
      <c r="B1267">
        <v>-9.0666666666666701E-2</v>
      </c>
      <c r="D1267">
        <v>4</v>
      </c>
      <c r="E1267">
        <f t="shared" si="19"/>
        <v>4.3989984930821201E-2</v>
      </c>
    </row>
    <row r="1268" spans="1:5" x14ac:dyDescent="0.25">
      <c r="A1268">
        <v>3</v>
      </c>
      <c r="B1268">
        <v>0.432</v>
      </c>
      <c r="D1268">
        <v>4</v>
      </c>
      <c r="E1268">
        <f t="shared" si="19"/>
        <v>4.3989984930821201E-2</v>
      </c>
    </row>
    <row r="1269" spans="1:5" x14ac:dyDescent="0.25">
      <c r="A1269">
        <v>3</v>
      </c>
      <c r="B1269">
        <v>7.7333333333333296E-2</v>
      </c>
      <c r="D1269">
        <v>4</v>
      </c>
      <c r="E1269">
        <f t="shared" si="19"/>
        <v>4.3989984930821201E-2</v>
      </c>
    </row>
    <row r="1270" spans="1:5" x14ac:dyDescent="0.25">
      <c r="A1270">
        <v>3</v>
      </c>
      <c r="B1270">
        <v>0.75833333333333297</v>
      </c>
      <c r="D1270">
        <v>4</v>
      </c>
      <c r="E1270">
        <f t="shared" si="19"/>
        <v>4.3989984930821201E-2</v>
      </c>
    </row>
    <row r="1271" spans="1:5" x14ac:dyDescent="0.25">
      <c r="A1271">
        <v>3</v>
      </c>
      <c r="B1271">
        <v>9.8130841121495296E-2</v>
      </c>
      <c r="D1271">
        <v>4</v>
      </c>
      <c r="E1271">
        <f t="shared" si="19"/>
        <v>4.3989984930821201E-2</v>
      </c>
    </row>
    <row r="1272" spans="1:5" x14ac:dyDescent="0.25">
      <c r="A1272">
        <v>3</v>
      </c>
      <c r="B1272">
        <v>0.82133333333333303</v>
      </c>
      <c r="D1272">
        <v>4</v>
      </c>
      <c r="E1272">
        <f t="shared" si="19"/>
        <v>4.3989984930821201E-2</v>
      </c>
    </row>
    <row r="1273" spans="1:5" x14ac:dyDescent="0.25">
      <c r="A1273">
        <v>3</v>
      </c>
      <c r="B1273">
        <v>0.703962703962704</v>
      </c>
      <c r="D1273">
        <v>4</v>
      </c>
      <c r="E1273">
        <f t="shared" si="19"/>
        <v>4.3989984930821201E-2</v>
      </c>
    </row>
    <row r="1274" spans="1:5" x14ac:dyDescent="0.25">
      <c r="A1274">
        <v>3</v>
      </c>
      <c r="B1274">
        <v>3.46666666666667E-2</v>
      </c>
      <c r="D1274">
        <v>4</v>
      </c>
      <c r="E1274">
        <f t="shared" si="19"/>
        <v>4.3989984930821201E-2</v>
      </c>
    </row>
    <row r="1275" spans="1:5" x14ac:dyDescent="0.25">
      <c r="A1275">
        <v>3</v>
      </c>
      <c r="B1275">
        <v>0.63500000000000001</v>
      </c>
      <c r="D1275">
        <v>4</v>
      </c>
      <c r="E1275">
        <f t="shared" si="19"/>
        <v>4.3989984930821201E-2</v>
      </c>
    </row>
    <row r="1276" spans="1:5" x14ac:dyDescent="0.25">
      <c r="A1276">
        <v>3</v>
      </c>
      <c r="B1276">
        <v>0.6</v>
      </c>
      <c r="D1276">
        <v>4</v>
      </c>
      <c r="E1276">
        <f t="shared" si="19"/>
        <v>4.3989984930821201E-2</v>
      </c>
    </row>
    <row r="1277" spans="1:5" x14ac:dyDescent="0.25">
      <c r="A1277">
        <v>3</v>
      </c>
      <c r="B1277">
        <v>4.5045045045045001E-2</v>
      </c>
      <c r="D1277">
        <v>4</v>
      </c>
      <c r="E1277">
        <f t="shared" si="19"/>
        <v>4.3989984930821201E-2</v>
      </c>
    </row>
    <row r="1278" spans="1:5" x14ac:dyDescent="0.25">
      <c r="A1278">
        <v>3</v>
      </c>
      <c r="B1278">
        <v>0.33600000000000002</v>
      </c>
      <c r="D1278">
        <v>4</v>
      </c>
      <c r="E1278">
        <f t="shared" si="19"/>
        <v>4.3989984930821201E-2</v>
      </c>
    </row>
    <row r="1279" spans="1:5" x14ac:dyDescent="0.25">
      <c r="A1279">
        <v>3</v>
      </c>
      <c r="B1279">
        <v>0.710666666666667</v>
      </c>
      <c r="D1279">
        <v>4</v>
      </c>
      <c r="E1279">
        <f t="shared" si="19"/>
        <v>4.3989984930821201E-2</v>
      </c>
    </row>
    <row r="1280" spans="1:5" x14ac:dyDescent="0.25">
      <c r="A1280">
        <v>3</v>
      </c>
      <c r="B1280">
        <v>-0.105263157894737</v>
      </c>
      <c r="D1280">
        <v>4</v>
      </c>
      <c r="E1280">
        <f t="shared" si="19"/>
        <v>4.3989984930821201E-2</v>
      </c>
    </row>
    <row r="1281" spans="1:5" x14ac:dyDescent="0.25">
      <c r="A1281">
        <v>3</v>
      </c>
      <c r="B1281">
        <v>0.57599999999999996</v>
      </c>
      <c r="D1281">
        <v>4</v>
      </c>
      <c r="E1281">
        <f t="shared" si="19"/>
        <v>4.3989984930821201E-2</v>
      </c>
    </row>
    <row r="1282" spans="1:5" x14ac:dyDescent="0.25">
      <c r="A1282">
        <v>3</v>
      </c>
      <c r="B1282">
        <v>-5.9701492537313397E-2</v>
      </c>
      <c r="D1282">
        <v>4</v>
      </c>
      <c r="E1282">
        <f t="shared" si="19"/>
        <v>4.3989984930821201E-2</v>
      </c>
    </row>
    <row r="1283" spans="1:5" x14ac:dyDescent="0.25">
      <c r="A1283">
        <v>3</v>
      </c>
      <c r="B1283">
        <v>1</v>
      </c>
      <c r="D1283">
        <v>4</v>
      </c>
      <c r="E1283">
        <f t="shared" ref="E1283:E1346" si="20">_xlfn.NORM.DIST(D1283, I$4,I$7,FALSE)</f>
        <v>4.3989984930821201E-2</v>
      </c>
    </row>
    <row r="1284" spans="1:5" x14ac:dyDescent="0.25">
      <c r="A1284">
        <v>3</v>
      </c>
      <c r="B1284">
        <v>-0.28738317757009302</v>
      </c>
      <c r="D1284">
        <v>4</v>
      </c>
      <c r="E1284">
        <f t="shared" si="20"/>
        <v>4.3989984930821201E-2</v>
      </c>
    </row>
    <row r="1285" spans="1:5" x14ac:dyDescent="0.25">
      <c r="A1285">
        <v>3</v>
      </c>
      <c r="B1285">
        <v>-4.2042042042041997E-2</v>
      </c>
      <c r="D1285">
        <v>4</v>
      </c>
      <c r="E1285">
        <f t="shared" si="20"/>
        <v>4.3989984930821201E-2</v>
      </c>
    </row>
    <row r="1286" spans="1:5" x14ac:dyDescent="0.25">
      <c r="A1286">
        <v>3</v>
      </c>
      <c r="B1286">
        <v>4.5999999999999999E-2</v>
      </c>
      <c r="D1286">
        <v>4</v>
      </c>
      <c r="E1286">
        <f t="shared" si="20"/>
        <v>4.3989984930821201E-2</v>
      </c>
    </row>
    <row r="1287" spans="1:5" x14ac:dyDescent="0.25">
      <c r="A1287">
        <v>3</v>
      </c>
      <c r="B1287">
        <v>1</v>
      </c>
      <c r="D1287">
        <v>4</v>
      </c>
      <c r="E1287">
        <f t="shared" si="20"/>
        <v>4.3989984930821201E-2</v>
      </c>
    </row>
    <row r="1288" spans="1:5" x14ac:dyDescent="0.25">
      <c r="A1288">
        <v>3</v>
      </c>
      <c r="B1288">
        <v>-4.5045045045045001E-2</v>
      </c>
      <c r="D1288">
        <v>4</v>
      </c>
      <c r="E1288">
        <f t="shared" si="20"/>
        <v>4.3989984930821201E-2</v>
      </c>
    </row>
    <row r="1289" spans="1:5" x14ac:dyDescent="0.25">
      <c r="A1289">
        <v>3</v>
      </c>
      <c r="B1289">
        <v>-8.7087087087087095E-2</v>
      </c>
      <c r="D1289">
        <v>4</v>
      </c>
      <c r="E1289">
        <f t="shared" si="20"/>
        <v>4.3989984930821201E-2</v>
      </c>
    </row>
    <row r="1290" spans="1:5" x14ac:dyDescent="0.25">
      <c r="A1290">
        <v>3</v>
      </c>
      <c r="B1290">
        <v>-9.8666666666666694E-2</v>
      </c>
      <c r="D1290">
        <v>4</v>
      </c>
      <c r="E1290">
        <f t="shared" si="20"/>
        <v>4.3989984930821201E-2</v>
      </c>
    </row>
    <row r="1291" spans="1:5" x14ac:dyDescent="0.25">
      <c r="A1291">
        <v>3</v>
      </c>
      <c r="B1291">
        <v>-0.12</v>
      </c>
      <c r="D1291">
        <v>4</v>
      </c>
      <c r="E1291">
        <f t="shared" si="20"/>
        <v>4.3989984930821201E-2</v>
      </c>
    </row>
    <row r="1292" spans="1:5" x14ac:dyDescent="0.25">
      <c r="A1292">
        <v>3</v>
      </c>
      <c r="B1292">
        <v>-4.8000000000000001E-2</v>
      </c>
      <c r="D1292">
        <v>4</v>
      </c>
      <c r="E1292">
        <f t="shared" si="20"/>
        <v>4.3989984930821201E-2</v>
      </c>
    </row>
    <row r="1293" spans="1:5" x14ac:dyDescent="0.25">
      <c r="A1293">
        <v>3</v>
      </c>
      <c r="B1293">
        <v>-6.9069069069069094E-2</v>
      </c>
      <c r="D1293">
        <v>4</v>
      </c>
      <c r="E1293">
        <f t="shared" si="20"/>
        <v>4.3989984930821201E-2</v>
      </c>
    </row>
    <row r="1294" spans="1:5" x14ac:dyDescent="0.25">
      <c r="A1294">
        <v>3</v>
      </c>
      <c r="B1294">
        <v>-6.1333333333333302E-2</v>
      </c>
      <c r="D1294">
        <v>4</v>
      </c>
      <c r="E1294">
        <f t="shared" si="20"/>
        <v>4.3989984930821201E-2</v>
      </c>
    </row>
    <row r="1295" spans="1:5" x14ac:dyDescent="0.25">
      <c r="A1295">
        <v>3</v>
      </c>
      <c r="B1295">
        <v>-2.1021021021020998E-2</v>
      </c>
      <c r="D1295">
        <v>4</v>
      </c>
      <c r="E1295">
        <f t="shared" si="20"/>
        <v>4.3989984930821201E-2</v>
      </c>
    </row>
    <row r="1296" spans="1:5" x14ac:dyDescent="0.25">
      <c r="A1296">
        <v>3</v>
      </c>
      <c r="B1296">
        <v>-5.3333333333333302E-2</v>
      </c>
      <c r="D1296">
        <v>4</v>
      </c>
      <c r="E1296">
        <f t="shared" si="20"/>
        <v>4.3989984930821201E-2</v>
      </c>
    </row>
    <row r="1297" spans="1:5" x14ac:dyDescent="0.25">
      <c r="A1297">
        <v>3</v>
      </c>
      <c r="B1297">
        <v>7.8E-2</v>
      </c>
      <c r="D1297">
        <v>4</v>
      </c>
      <c r="E1297">
        <f t="shared" si="20"/>
        <v>4.3989984930821201E-2</v>
      </c>
    </row>
    <row r="1298" spans="1:5" x14ac:dyDescent="0.25">
      <c r="A1298">
        <v>3</v>
      </c>
      <c r="B1298">
        <v>-0.13066666666666699</v>
      </c>
      <c r="D1298">
        <v>4</v>
      </c>
      <c r="E1298">
        <f t="shared" si="20"/>
        <v>4.3989984930821201E-2</v>
      </c>
    </row>
    <row r="1299" spans="1:5" x14ac:dyDescent="0.25">
      <c r="A1299">
        <v>3</v>
      </c>
      <c r="B1299">
        <v>-7.4666666666666701E-2</v>
      </c>
      <c r="D1299">
        <v>4</v>
      </c>
      <c r="E1299">
        <f t="shared" si="20"/>
        <v>4.3989984930821201E-2</v>
      </c>
    </row>
    <row r="1300" spans="1:5" x14ac:dyDescent="0.25">
      <c r="A1300">
        <v>3</v>
      </c>
      <c r="B1300">
        <v>8.0000000000000002E-3</v>
      </c>
      <c r="D1300">
        <v>4</v>
      </c>
      <c r="E1300">
        <f t="shared" si="20"/>
        <v>4.3989984930821201E-2</v>
      </c>
    </row>
    <row r="1301" spans="1:5" x14ac:dyDescent="0.25">
      <c r="A1301">
        <v>3</v>
      </c>
      <c r="B1301">
        <v>-3.29341317365269E-2</v>
      </c>
      <c r="D1301">
        <v>4</v>
      </c>
      <c r="E1301">
        <f t="shared" si="20"/>
        <v>4.3989984930821201E-2</v>
      </c>
    </row>
    <row r="1302" spans="1:5" x14ac:dyDescent="0.25">
      <c r="A1302">
        <v>3</v>
      </c>
      <c r="B1302">
        <v>-7.7102803738317793E-2</v>
      </c>
      <c r="D1302">
        <v>4</v>
      </c>
      <c r="E1302">
        <f t="shared" si="20"/>
        <v>4.3989984930821201E-2</v>
      </c>
    </row>
    <row r="1303" spans="1:5" x14ac:dyDescent="0.25">
      <c r="A1303">
        <v>3</v>
      </c>
      <c r="B1303">
        <v>-2.3364485981308401E-3</v>
      </c>
      <c r="D1303">
        <v>4</v>
      </c>
      <c r="E1303">
        <f t="shared" si="20"/>
        <v>4.3989984930821201E-2</v>
      </c>
    </row>
    <row r="1304" spans="1:5" x14ac:dyDescent="0.25">
      <c r="A1304">
        <v>3</v>
      </c>
      <c r="B1304">
        <v>8.3916083916083906E-2</v>
      </c>
      <c r="D1304">
        <v>4</v>
      </c>
      <c r="E1304">
        <f t="shared" si="20"/>
        <v>4.3989984930821201E-2</v>
      </c>
    </row>
    <row r="1305" spans="1:5" x14ac:dyDescent="0.25">
      <c r="A1305">
        <v>3</v>
      </c>
      <c r="B1305">
        <v>2.57009345794393E-2</v>
      </c>
      <c r="D1305">
        <v>4</v>
      </c>
      <c r="E1305">
        <f t="shared" si="20"/>
        <v>4.3989984930821201E-2</v>
      </c>
    </row>
    <row r="1306" spans="1:5" x14ac:dyDescent="0.25">
      <c r="A1306">
        <v>3</v>
      </c>
      <c r="B1306">
        <v>0.12</v>
      </c>
      <c r="D1306">
        <v>4</v>
      </c>
      <c r="E1306">
        <f t="shared" si="20"/>
        <v>4.3989984930821201E-2</v>
      </c>
    </row>
    <row r="1307" spans="1:5" x14ac:dyDescent="0.25">
      <c r="A1307">
        <v>3</v>
      </c>
      <c r="B1307">
        <v>-0.11888111888111901</v>
      </c>
      <c r="D1307">
        <v>4</v>
      </c>
      <c r="E1307">
        <f t="shared" si="20"/>
        <v>4.3989984930821201E-2</v>
      </c>
    </row>
    <row r="1308" spans="1:5" x14ac:dyDescent="0.25">
      <c r="A1308">
        <v>3</v>
      </c>
      <c r="B1308">
        <v>2.3364485981308401E-3</v>
      </c>
      <c r="D1308">
        <v>4</v>
      </c>
      <c r="E1308">
        <f t="shared" si="20"/>
        <v>4.3989984930821201E-2</v>
      </c>
    </row>
    <row r="1309" spans="1:5" x14ac:dyDescent="0.25">
      <c r="A1309">
        <v>3</v>
      </c>
      <c r="B1309">
        <v>2.4E-2</v>
      </c>
      <c r="D1309">
        <v>4</v>
      </c>
      <c r="E1309">
        <f t="shared" si="20"/>
        <v>4.3989984930821201E-2</v>
      </c>
    </row>
    <row r="1310" spans="1:5" x14ac:dyDescent="0.25">
      <c r="A1310">
        <v>3</v>
      </c>
      <c r="B1310">
        <v>0.16</v>
      </c>
      <c r="D1310">
        <v>4</v>
      </c>
      <c r="E1310">
        <f t="shared" si="20"/>
        <v>4.3989984930821201E-2</v>
      </c>
    </row>
    <row r="1311" spans="1:5" x14ac:dyDescent="0.25">
      <c r="A1311">
        <v>3</v>
      </c>
      <c r="B1311">
        <v>-9.4E-2</v>
      </c>
      <c r="D1311">
        <v>4</v>
      </c>
      <c r="E1311">
        <f t="shared" si="20"/>
        <v>4.3989984930821201E-2</v>
      </c>
    </row>
    <row r="1312" spans="1:5" x14ac:dyDescent="0.25">
      <c r="A1312">
        <v>3</v>
      </c>
      <c r="B1312">
        <v>0.22</v>
      </c>
      <c r="D1312">
        <v>4</v>
      </c>
      <c r="E1312">
        <f t="shared" si="20"/>
        <v>4.3989984930821201E-2</v>
      </c>
    </row>
    <row r="1313" spans="1:5" x14ac:dyDescent="0.25">
      <c r="A1313">
        <v>3</v>
      </c>
      <c r="B1313">
        <v>-0.45800000000000002</v>
      </c>
      <c r="D1313">
        <v>4</v>
      </c>
      <c r="E1313">
        <f t="shared" si="20"/>
        <v>4.3989984930821201E-2</v>
      </c>
    </row>
    <row r="1314" spans="1:5" x14ac:dyDescent="0.25">
      <c r="A1314">
        <v>3</v>
      </c>
      <c r="B1314">
        <v>0.216</v>
      </c>
      <c r="D1314">
        <v>4</v>
      </c>
      <c r="E1314">
        <f t="shared" si="20"/>
        <v>4.3989984930821201E-2</v>
      </c>
    </row>
    <row r="1315" spans="1:5" x14ac:dyDescent="0.25">
      <c r="A1315">
        <v>3</v>
      </c>
      <c r="B1315">
        <v>5.4054054054054099E-2</v>
      </c>
      <c r="D1315">
        <v>4</v>
      </c>
      <c r="E1315">
        <f t="shared" si="20"/>
        <v>4.3989984930821201E-2</v>
      </c>
    </row>
    <row r="1316" spans="1:5" x14ac:dyDescent="0.25">
      <c r="A1316">
        <v>3</v>
      </c>
      <c r="B1316">
        <v>0.23310023310023301</v>
      </c>
      <c r="D1316">
        <v>4</v>
      </c>
      <c r="E1316">
        <f t="shared" si="20"/>
        <v>4.3989984930821201E-2</v>
      </c>
    </row>
    <row r="1317" spans="1:5" x14ac:dyDescent="0.25">
      <c r="A1317">
        <v>3</v>
      </c>
      <c r="B1317">
        <v>0</v>
      </c>
      <c r="D1317">
        <v>4</v>
      </c>
      <c r="E1317">
        <f t="shared" si="20"/>
        <v>4.3989984930821201E-2</v>
      </c>
    </row>
    <row r="1318" spans="1:5" x14ac:dyDescent="0.25">
      <c r="A1318">
        <v>3</v>
      </c>
      <c r="B1318">
        <v>8.1081081081081099E-2</v>
      </c>
      <c r="D1318">
        <v>4</v>
      </c>
      <c r="E1318">
        <f t="shared" si="20"/>
        <v>4.3989984930821201E-2</v>
      </c>
    </row>
    <row r="1319" spans="1:5" x14ac:dyDescent="0.25">
      <c r="A1319">
        <v>3</v>
      </c>
      <c r="B1319">
        <v>-4.67289719626168E-2</v>
      </c>
      <c r="D1319">
        <v>4</v>
      </c>
      <c r="E1319">
        <f t="shared" si="20"/>
        <v>4.3989984930821201E-2</v>
      </c>
    </row>
    <row r="1320" spans="1:5" x14ac:dyDescent="0.25">
      <c r="A1320">
        <v>3</v>
      </c>
      <c r="B1320">
        <v>0.21</v>
      </c>
      <c r="D1320">
        <v>4</v>
      </c>
      <c r="E1320">
        <f t="shared" si="20"/>
        <v>4.3989984930821201E-2</v>
      </c>
    </row>
    <row r="1321" spans="1:5" x14ac:dyDescent="0.25">
      <c r="A1321">
        <v>3</v>
      </c>
      <c r="B1321">
        <v>-0.30769230769230799</v>
      </c>
      <c r="D1321">
        <v>4</v>
      </c>
      <c r="E1321">
        <f t="shared" si="20"/>
        <v>4.3989984930821201E-2</v>
      </c>
    </row>
    <row r="1322" spans="1:5" x14ac:dyDescent="0.25">
      <c r="A1322">
        <v>3</v>
      </c>
      <c r="B1322">
        <v>-5.3333333333333297E-3</v>
      </c>
      <c r="D1322">
        <v>4</v>
      </c>
      <c r="E1322">
        <f t="shared" si="20"/>
        <v>4.3989984930821201E-2</v>
      </c>
    </row>
    <row r="1323" spans="1:5" x14ac:dyDescent="0.25">
      <c r="A1323">
        <v>3</v>
      </c>
      <c r="B1323">
        <v>0.24324324324324301</v>
      </c>
      <c r="D1323">
        <v>4</v>
      </c>
      <c r="E1323">
        <f t="shared" si="20"/>
        <v>4.3989984930821201E-2</v>
      </c>
    </row>
    <row r="1324" spans="1:5" x14ac:dyDescent="0.25">
      <c r="A1324">
        <v>3</v>
      </c>
      <c r="B1324">
        <v>0.18018018018018001</v>
      </c>
      <c r="D1324">
        <v>4</v>
      </c>
      <c r="E1324">
        <f t="shared" si="20"/>
        <v>4.3989984930821201E-2</v>
      </c>
    </row>
    <row r="1325" spans="1:5" x14ac:dyDescent="0.25">
      <c r="A1325">
        <v>3</v>
      </c>
      <c r="B1325">
        <v>0.135135135135135</v>
      </c>
      <c r="D1325">
        <v>4</v>
      </c>
      <c r="E1325">
        <f t="shared" si="20"/>
        <v>4.3989984930821201E-2</v>
      </c>
    </row>
    <row r="1326" spans="1:5" x14ac:dyDescent="0.25">
      <c r="A1326">
        <v>3</v>
      </c>
      <c r="B1326">
        <v>0.144859813084112</v>
      </c>
      <c r="D1326">
        <v>4</v>
      </c>
      <c r="E1326">
        <f t="shared" si="20"/>
        <v>4.3989984930821201E-2</v>
      </c>
    </row>
    <row r="1327" spans="1:5" x14ac:dyDescent="0.25">
      <c r="A1327">
        <v>3</v>
      </c>
      <c r="B1327">
        <v>7.2072072072072099E-2</v>
      </c>
      <c r="D1327">
        <v>4</v>
      </c>
      <c r="E1327">
        <f t="shared" si="20"/>
        <v>4.3989984930821201E-2</v>
      </c>
    </row>
    <row r="1328" spans="1:5" x14ac:dyDescent="0.25">
      <c r="A1328">
        <v>3</v>
      </c>
      <c r="B1328">
        <v>0.18862275449101801</v>
      </c>
      <c r="D1328">
        <v>4</v>
      </c>
      <c r="E1328">
        <f t="shared" si="20"/>
        <v>4.3989984930821201E-2</v>
      </c>
    </row>
    <row r="1329" spans="1:5" x14ac:dyDescent="0.25">
      <c r="A1329">
        <v>3</v>
      </c>
      <c r="B1329">
        <v>3.9039039039038999E-2</v>
      </c>
      <c r="D1329">
        <v>4</v>
      </c>
      <c r="E1329">
        <f t="shared" si="20"/>
        <v>4.3989984930821201E-2</v>
      </c>
    </row>
    <row r="1330" spans="1:5" x14ac:dyDescent="0.25">
      <c r="A1330">
        <v>3</v>
      </c>
      <c r="B1330">
        <v>0.13866666666666699</v>
      </c>
      <c r="D1330">
        <v>4</v>
      </c>
      <c r="E1330">
        <f t="shared" si="20"/>
        <v>4.3989984930821201E-2</v>
      </c>
    </row>
    <row r="1331" spans="1:5" x14ac:dyDescent="0.25">
      <c r="A1331">
        <v>3</v>
      </c>
      <c r="B1331">
        <v>-3.9719626168224297E-2</v>
      </c>
      <c r="D1331">
        <v>4</v>
      </c>
      <c r="E1331">
        <f t="shared" si="20"/>
        <v>4.3989984930821201E-2</v>
      </c>
    </row>
    <row r="1332" spans="1:5" x14ac:dyDescent="0.25">
      <c r="A1332">
        <v>3</v>
      </c>
      <c r="B1332">
        <v>0.13600000000000001</v>
      </c>
      <c r="D1332">
        <v>4</v>
      </c>
      <c r="E1332">
        <f t="shared" si="20"/>
        <v>4.3989984930821201E-2</v>
      </c>
    </row>
    <row r="1333" spans="1:5" x14ac:dyDescent="0.25">
      <c r="A1333">
        <v>3</v>
      </c>
      <c r="B1333">
        <v>-6.5420560747663503E-2</v>
      </c>
      <c r="D1333">
        <v>4</v>
      </c>
      <c r="E1333">
        <f t="shared" si="20"/>
        <v>4.3989984930821201E-2</v>
      </c>
    </row>
    <row r="1334" spans="1:5" x14ac:dyDescent="0.25">
      <c r="A1334">
        <v>3</v>
      </c>
      <c r="B1334">
        <v>0.14018691588785001</v>
      </c>
      <c r="D1334">
        <v>4</v>
      </c>
      <c r="E1334">
        <f t="shared" si="20"/>
        <v>4.3989984930821201E-2</v>
      </c>
    </row>
    <row r="1335" spans="1:5" x14ac:dyDescent="0.25">
      <c r="A1335">
        <v>3</v>
      </c>
      <c r="B1335">
        <v>0.184</v>
      </c>
      <c r="D1335">
        <v>4</v>
      </c>
      <c r="E1335">
        <f t="shared" si="20"/>
        <v>4.3989984930821201E-2</v>
      </c>
    </row>
    <row r="1336" spans="1:5" x14ac:dyDescent="0.25">
      <c r="A1336">
        <v>3</v>
      </c>
      <c r="B1336">
        <v>-7.7333333333333296E-2</v>
      </c>
      <c r="D1336">
        <v>4</v>
      </c>
      <c r="E1336">
        <f t="shared" si="20"/>
        <v>4.3989984930821201E-2</v>
      </c>
    </row>
    <row r="1337" spans="1:5" x14ac:dyDescent="0.25">
      <c r="A1337">
        <v>3</v>
      </c>
      <c r="B1337">
        <v>0.38</v>
      </c>
      <c r="D1337">
        <v>4</v>
      </c>
      <c r="E1337">
        <f t="shared" si="20"/>
        <v>4.3989984930821201E-2</v>
      </c>
    </row>
    <row r="1338" spans="1:5" x14ac:dyDescent="0.25">
      <c r="A1338">
        <v>3</v>
      </c>
      <c r="B1338">
        <v>-0.123123123123123</v>
      </c>
      <c r="D1338">
        <v>4</v>
      </c>
      <c r="E1338">
        <f t="shared" si="20"/>
        <v>4.3989984930821201E-2</v>
      </c>
    </row>
    <row r="1339" spans="1:5" x14ac:dyDescent="0.25">
      <c r="A1339">
        <v>3</v>
      </c>
      <c r="B1339">
        <v>0.32857142857142901</v>
      </c>
      <c r="D1339">
        <v>4</v>
      </c>
      <c r="E1339">
        <f t="shared" si="20"/>
        <v>4.3989984930821201E-2</v>
      </c>
    </row>
    <row r="1340" spans="1:5" x14ac:dyDescent="0.25">
      <c r="A1340">
        <v>3</v>
      </c>
      <c r="B1340">
        <v>-0.13166666666666699</v>
      </c>
      <c r="D1340">
        <v>4</v>
      </c>
      <c r="E1340">
        <f t="shared" si="20"/>
        <v>4.3989984930821201E-2</v>
      </c>
    </row>
    <row r="1341" spans="1:5" x14ac:dyDescent="0.25">
      <c r="A1341">
        <v>3</v>
      </c>
      <c r="B1341">
        <v>0.602739726027397</v>
      </c>
      <c r="D1341">
        <v>4</v>
      </c>
      <c r="E1341">
        <f t="shared" si="20"/>
        <v>4.3989984930821201E-2</v>
      </c>
    </row>
    <row r="1342" spans="1:5" x14ac:dyDescent="0.25">
      <c r="A1342">
        <v>3</v>
      </c>
      <c r="B1342">
        <v>0.43333333333333302</v>
      </c>
      <c r="D1342">
        <v>4</v>
      </c>
      <c r="E1342">
        <f t="shared" si="20"/>
        <v>4.3989984930821201E-2</v>
      </c>
    </row>
    <row r="1343" spans="1:5" x14ac:dyDescent="0.25">
      <c r="A1343">
        <v>3</v>
      </c>
      <c r="B1343">
        <v>0.35166666666666702</v>
      </c>
      <c r="D1343">
        <v>4</v>
      </c>
      <c r="E1343">
        <f t="shared" si="20"/>
        <v>4.3989984930821201E-2</v>
      </c>
    </row>
    <row r="1344" spans="1:5" x14ac:dyDescent="0.25">
      <c r="A1344">
        <v>3</v>
      </c>
      <c r="B1344">
        <v>0.33733333333333299</v>
      </c>
      <c r="D1344">
        <v>4</v>
      </c>
      <c r="E1344">
        <f t="shared" si="20"/>
        <v>4.3989984930821201E-2</v>
      </c>
    </row>
    <row r="1345" spans="1:5" x14ac:dyDescent="0.25">
      <c r="A1345">
        <v>3</v>
      </c>
      <c r="B1345">
        <v>0.349333333333333</v>
      </c>
      <c r="D1345">
        <v>4</v>
      </c>
      <c r="E1345">
        <f t="shared" si="20"/>
        <v>4.3989984930821201E-2</v>
      </c>
    </row>
    <row r="1346" spans="1:5" x14ac:dyDescent="0.25">
      <c r="A1346">
        <v>3</v>
      </c>
      <c r="B1346">
        <v>0.376</v>
      </c>
      <c r="D1346">
        <v>4</v>
      </c>
      <c r="E1346">
        <f t="shared" si="20"/>
        <v>4.3989984930821201E-2</v>
      </c>
    </row>
    <row r="1347" spans="1:5" x14ac:dyDescent="0.25">
      <c r="A1347">
        <v>3</v>
      </c>
      <c r="B1347">
        <v>0.27972027972028002</v>
      </c>
      <c r="D1347">
        <v>4</v>
      </c>
      <c r="E1347">
        <f t="shared" ref="E1347:E1410" si="21">_xlfn.NORM.DIST(D1347, I$4,I$7,FALSE)</f>
        <v>4.3989984930821201E-2</v>
      </c>
    </row>
    <row r="1348" spans="1:5" x14ac:dyDescent="0.25">
      <c r="A1348">
        <v>3</v>
      </c>
      <c r="B1348">
        <v>0.33600000000000002</v>
      </c>
      <c r="D1348">
        <v>4</v>
      </c>
      <c r="E1348">
        <f t="shared" si="21"/>
        <v>4.3989984930821201E-2</v>
      </c>
    </row>
    <row r="1349" spans="1:5" x14ac:dyDescent="0.25">
      <c r="A1349">
        <v>3</v>
      </c>
      <c r="B1349">
        <v>0.28738317757009302</v>
      </c>
      <c r="D1349">
        <v>4</v>
      </c>
      <c r="E1349">
        <f t="shared" si="21"/>
        <v>4.3989984930821201E-2</v>
      </c>
    </row>
    <row r="1350" spans="1:5" x14ac:dyDescent="0.25">
      <c r="A1350">
        <v>3</v>
      </c>
      <c r="B1350">
        <v>0.355140186915888</v>
      </c>
      <c r="D1350">
        <v>4</v>
      </c>
      <c r="E1350">
        <f t="shared" si="21"/>
        <v>4.3989984930821201E-2</v>
      </c>
    </row>
    <row r="1351" spans="1:5" x14ac:dyDescent="0.25">
      <c r="A1351">
        <v>3</v>
      </c>
      <c r="B1351">
        <v>0.46666666666666701</v>
      </c>
      <c r="D1351">
        <v>4</v>
      </c>
      <c r="E1351">
        <f t="shared" si="21"/>
        <v>4.3989984930821201E-2</v>
      </c>
    </row>
    <row r="1352" spans="1:5" x14ac:dyDescent="0.25">
      <c r="A1352">
        <v>3</v>
      </c>
      <c r="B1352">
        <v>1</v>
      </c>
      <c r="D1352">
        <v>4</v>
      </c>
      <c r="E1352">
        <f t="shared" si="21"/>
        <v>4.3989984930821201E-2</v>
      </c>
    </row>
    <row r="1353" spans="1:5" x14ac:dyDescent="0.25">
      <c r="A1353">
        <v>3</v>
      </c>
      <c r="B1353">
        <v>0.35399999999999998</v>
      </c>
      <c r="D1353">
        <v>4</v>
      </c>
      <c r="E1353">
        <f t="shared" si="21"/>
        <v>4.3989984930821201E-2</v>
      </c>
    </row>
    <row r="1354" spans="1:5" x14ac:dyDescent="0.25">
      <c r="A1354">
        <v>3</v>
      </c>
      <c r="B1354">
        <v>0.316</v>
      </c>
      <c r="D1354">
        <v>4</v>
      </c>
      <c r="E1354">
        <f t="shared" si="21"/>
        <v>4.3989984930821201E-2</v>
      </c>
    </row>
    <row r="1355" spans="1:5" x14ac:dyDescent="0.25">
      <c r="A1355">
        <v>3</v>
      </c>
      <c r="B1355">
        <v>2.69461077844311E-2</v>
      </c>
      <c r="D1355">
        <v>4</v>
      </c>
      <c r="E1355">
        <f t="shared" si="21"/>
        <v>4.3989984930821201E-2</v>
      </c>
    </row>
    <row r="1356" spans="1:5" x14ac:dyDescent="0.25">
      <c r="A1356">
        <v>3</v>
      </c>
      <c r="B1356">
        <v>0.27102803738317799</v>
      </c>
      <c r="D1356">
        <v>4</v>
      </c>
      <c r="E1356">
        <f t="shared" si="21"/>
        <v>4.3989984930821201E-2</v>
      </c>
    </row>
    <row r="1357" spans="1:5" x14ac:dyDescent="0.25">
      <c r="A1357">
        <v>3</v>
      </c>
      <c r="B1357">
        <v>1.63551401869159E-2</v>
      </c>
      <c r="D1357">
        <v>4</v>
      </c>
      <c r="E1357">
        <f t="shared" si="21"/>
        <v>4.3989984930821201E-2</v>
      </c>
    </row>
    <row r="1358" spans="1:5" x14ac:dyDescent="0.25">
      <c r="A1358">
        <v>3</v>
      </c>
      <c r="B1358">
        <v>-8.9820359281437105E-3</v>
      </c>
      <c r="D1358">
        <v>4</v>
      </c>
      <c r="E1358">
        <f t="shared" si="21"/>
        <v>4.3989984930821201E-2</v>
      </c>
    </row>
    <row r="1359" spans="1:5" x14ac:dyDescent="0.25">
      <c r="A1359">
        <v>3</v>
      </c>
      <c r="B1359">
        <v>0.146666666666667</v>
      </c>
      <c r="D1359">
        <v>4</v>
      </c>
      <c r="E1359">
        <f t="shared" si="21"/>
        <v>4.3989984930821201E-2</v>
      </c>
    </row>
    <row r="1360" spans="1:5" x14ac:dyDescent="0.25">
      <c r="A1360">
        <v>3</v>
      </c>
      <c r="B1360">
        <v>0.22600000000000001</v>
      </c>
      <c r="D1360">
        <v>4</v>
      </c>
      <c r="E1360">
        <f t="shared" si="21"/>
        <v>4.3989984930821201E-2</v>
      </c>
    </row>
    <row r="1361" spans="1:5" x14ac:dyDescent="0.25">
      <c r="A1361">
        <v>3</v>
      </c>
      <c r="B1361">
        <v>2.66666666666667E-3</v>
      </c>
      <c r="D1361">
        <v>4</v>
      </c>
      <c r="E1361">
        <f t="shared" si="21"/>
        <v>4.3989984930821201E-2</v>
      </c>
    </row>
    <row r="1362" spans="1:5" x14ac:dyDescent="0.25">
      <c r="A1362">
        <v>3</v>
      </c>
      <c r="B1362">
        <v>0.12666666666666701</v>
      </c>
      <c r="D1362">
        <v>4</v>
      </c>
      <c r="E1362">
        <f t="shared" si="21"/>
        <v>4.3989984930821201E-2</v>
      </c>
    </row>
    <row r="1363" spans="1:5" x14ac:dyDescent="0.25">
      <c r="A1363">
        <v>3</v>
      </c>
      <c r="B1363">
        <v>-0.341772151898734</v>
      </c>
      <c r="D1363">
        <v>4</v>
      </c>
      <c r="E1363">
        <f t="shared" si="21"/>
        <v>4.3989984930821201E-2</v>
      </c>
    </row>
    <row r="1364" spans="1:5" x14ac:dyDescent="0.25">
      <c r="A1364">
        <v>3</v>
      </c>
      <c r="B1364">
        <v>0.71751412429378503</v>
      </c>
      <c r="D1364">
        <v>4</v>
      </c>
      <c r="E1364">
        <f t="shared" si="21"/>
        <v>4.3989984930821201E-2</v>
      </c>
    </row>
    <row r="1365" spans="1:5" x14ac:dyDescent="0.25">
      <c r="A1365">
        <v>3</v>
      </c>
      <c r="B1365">
        <v>0.53066666666666695</v>
      </c>
      <c r="D1365">
        <v>4</v>
      </c>
      <c r="E1365">
        <f t="shared" si="21"/>
        <v>4.3989984930821201E-2</v>
      </c>
    </row>
    <row r="1366" spans="1:5" x14ac:dyDescent="0.25">
      <c r="A1366">
        <v>3</v>
      </c>
      <c r="B1366">
        <v>-3.46666666666667E-2</v>
      </c>
      <c r="D1366">
        <v>4</v>
      </c>
      <c r="E1366">
        <f t="shared" si="21"/>
        <v>4.3989984930821201E-2</v>
      </c>
    </row>
    <row r="1367" spans="1:5" x14ac:dyDescent="0.25">
      <c r="A1367">
        <v>3</v>
      </c>
      <c r="B1367">
        <v>0.78800000000000003</v>
      </c>
      <c r="D1367">
        <v>4</v>
      </c>
      <c r="E1367">
        <f t="shared" si="21"/>
        <v>4.3989984930821201E-2</v>
      </c>
    </row>
    <row r="1368" spans="1:5" x14ac:dyDescent="0.25">
      <c r="A1368">
        <v>3</v>
      </c>
      <c r="B1368">
        <v>1</v>
      </c>
      <c r="D1368">
        <v>4</v>
      </c>
      <c r="E1368">
        <f t="shared" si="21"/>
        <v>4.3989984930821201E-2</v>
      </c>
    </row>
    <row r="1369" spans="1:5" x14ac:dyDescent="0.25">
      <c r="A1369">
        <v>3</v>
      </c>
      <c r="B1369">
        <v>-5.0898203592814398E-2</v>
      </c>
      <c r="D1369">
        <v>4</v>
      </c>
      <c r="E1369">
        <f t="shared" si="21"/>
        <v>4.3989984930821201E-2</v>
      </c>
    </row>
    <row r="1370" spans="1:5" x14ac:dyDescent="0.25">
      <c r="A1370">
        <v>3</v>
      </c>
      <c r="B1370">
        <v>-1.79640718562874E-2</v>
      </c>
      <c r="D1370">
        <v>4</v>
      </c>
      <c r="E1370">
        <f t="shared" si="21"/>
        <v>4.3989984930821201E-2</v>
      </c>
    </row>
    <row r="1371" spans="1:5" x14ac:dyDescent="0.25">
      <c r="A1371">
        <v>3</v>
      </c>
      <c r="B1371">
        <v>-3.59281437125748E-2</v>
      </c>
      <c r="D1371">
        <v>4</v>
      </c>
      <c r="E1371">
        <f t="shared" si="21"/>
        <v>4.3989984930821201E-2</v>
      </c>
    </row>
    <row r="1372" spans="1:5" x14ac:dyDescent="0.25">
      <c r="A1372">
        <v>3</v>
      </c>
      <c r="B1372">
        <v>-5.6000000000000001E-2</v>
      </c>
      <c r="D1372">
        <v>4</v>
      </c>
      <c r="E1372">
        <f t="shared" si="21"/>
        <v>4.3989984930821201E-2</v>
      </c>
    </row>
    <row r="1373" spans="1:5" x14ac:dyDescent="0.25">
      <c r="A1373">
        <v>3</v>
      </c>
      <c r="B1373">
        <v>-8.2666666666666694E-2</v>
      </c>
      <c r="D1373">
        <v>4</v>
      </c>
      <c r="E1373">
        <f t="shared" si="21"/>
        <v>4.3989984930821201E-2</v>
      </c>
    </row>
    <row r="1374" spans="1:5" x14ac:dyDescent="0.25">
      <c r="A1374">
        <v>3</v>
      </c>
      <c r="B1374">
        <v>-6.9333333333333302E-2</v>
      </c>
      <c r="D1374">
        <v>4</v>
      </c>
      <c r="E1374">
        <f t="shared" si="21"/>
        <v>4.3989984930821201E-2</v>
      </c>
    </row>
    <row r="1375" spans="1:5" x14ac:dyDescent="0.25">
      <c r="A1375">
        <v>3</v>
      </c>
      <c r="B1375">
        <v>-6.3063063063063099E-2</v>
      </c>
      <c r="D1375">
        <v>4</v>
      </c>
      <c r="E1375">
        <f t="shared" si="21"/>
        <v>4.3989984930821201E-2</v>
      </c>
    </row>
    <row r="1376" spans="1:5" x14ac:dyDescent="0.25">
      <c r="A1376">
        <v>3</v>
      </c>
      <c r="B1376">
        <v>-5.3613053613053602E-2</v>
      </c>
      <c r="D1376">
        <v>4</v>
      </c>
      <c r="E1376">
        <f t="shared" si="21"/>
        <v>4.3989984930821201E-2</v>
      </c>
    </row>
    <row r="1377" spans="1:5" x14ac:dyDescent="0.25">
      <c r="A1377">
        <v>3</v>
      </c>
      <c r="B1377">
        <v>1.2012012012012E-2</v>
      </c>
      <c r="D1377">
        <v>4</v>
      </c>
      <c r="E1377">
        <f t="shared" si="21"/>
        <v>4.3989984930821201E-2</v>
      </c>
    </row>
    <row r="1378" spans="1:5" x14ac:dyDescent="0.25">
      <c r="A1378">
        <v>3</v>
      </c>
      <c r="B1378">
        <v>-4.6620046620046603E-2</v>
      </c>
      <c r="D1378">
        <v>4</v>
      </c>
      <c r="E1378">
        <f t="shared" si="21"/>
        <v>4.3989984930821201E-2</v>
      </c>
    </row>
    <row r="1379" spans="1:5" x14ac:dyDescent="0.25">
      <c r="A1379">
        <v>3</v>
      </c>
      <c r="B1379">
        <v>-2.4E-2</v>
      </c>
      <c r="D1379">
        <v>4</v>
      </c>
      <c r="E1379">
        <f t="shared" si="21"/>
        <v>4.3989984930821201E-2</v>
      </c>
    </row>
    <row r="1380" spans="1:5" x14ac:dyDescent="0.25">
      <c r="A1380">
        <v>3</v>
      </c>
      <c r="B1380">
        <v>4.4392523364486E-2</v>
      </c>
      <c r="D1380">
        <v>4</v>
      </c>
      <c r="E1380">
        <f t="shared" si="21"/>
        <v>4.3989984930821201E-2</v>
      </c>
    </row>
    <row r="1381" spans="1:5" x14ac:dyDescent="0.25">
      <c r="A1381">
        <v>3</v>
      </c>
      <c r="B1381">
        <v>-0.105105105105105</v>
      </c>
      <c r="D1381">
        <v>4</v>
      </c>
      <c r="E1381">
        <f t="shared" si="21"/>
        <v>4.3989984930821201E-2</v>
      </c>
    </row>
    <row r="1382" spans="1:5" x14ac:dyDescent="0.25">
      <c r="A1382">
        <v>3</v>
      </c>
      <c r="B1382">
        <v>6.6666666666666693E-2</v>
      </c>
      <c r="D1382">
        <v>4</v>
      </c>
      <c r="E1382">
        <f t="shared" si="21"/>
        <v>4.3989984930821201E-2</v>
      </c>
    </row>
    <row r="1383" spans="1:5" x14ac:dyDescent="0.25">
      <c r="A1383">
        <v>3</v>
      </c>
      <c r="B1383">
        <v>-1.6E-2</v>
      </c>
      <c r="D1383">
        <v>4</v>
      </c>
      <c r="E1383">
        <f t="shared" si="21"/>
        <v>4.3989984930821201E-2</v>
      </c>
    </row>
    <row r="1384" spans="1:5" x14ac:dyDescent="0.25">
      <c r="A1384">
        <v>3</v>
      </c>
      <c r="B1384">
        <v>0.164179104477612</v>
      </c>
      <c r="D1384">
        <v>4</v>
      </c>
      <c r="E1384">
        <f t="shared" si="21"/>
        <v>4.3989984930821201E-2</v>
      </c>
    </row>
    <row r="1385" spans="1:5" x14ac:dyDescent="0.25">
      <c r="A1385">
        <v>3</v>
      </c>
      <c r="B1385">
        <v>0.248</v>
      </c>
      <c r="D1385">
        <v>4</v>
      </c>
      <c r="E1385">
        <f t="shared" si="21"/>
        <v>4.3989984930821201E-2</v>
      </c>
    </row>
    <row r="1386" spans="1:5" x14ac:dyDescent="0.25">
      <c r="A1386">
        <v>3</v>
      </c>
      <c r="B1386">
        <v>-4.4392523364486E-2</v>
      </c>
      <c r="D1386">
        <v>4</v>
      </c>
      <c r="E1386">
        <f t="shared" si="21"/>
        <v>4.3989984930821201E-2</v>
      </c>
    </row>
    <row r="1387" spans="1:5" x14ac:dyDescent="0.25">
      <c r="A1387">
        <v>3</v>
      </c>
      <c r="B1387">
        <v>0.26933333333333298</v>
      </c>
      <c r="D1387">
        <v>4</v>
      </c>
      <c r="E1387">
        <f t="shared" si="21"/>
        <v>4.3989984930821201E-2</v>
      </c>
    </row>
    <row r="1388" spans="1:5" x14ac:dyDescent="0.25">
      <c r="A1388">
        <v>3</v>
      </c>
      <c r="B1388">
        <v>-0.117333333333333</v>
      </c>
      <c r="D1388">
        <v>4</v>
      </c>
      <c r="E1388">
        <f t="shared" si="21"/>
        <v>4.3989984930821201E-2</v>
      </c>
    </row>
    <row r="1389" spans="1:5" x14ac:dyDescent="0.25">
      <c r="A1389">
        <v>3</v>
      </c>
      <c r="B1389">
        <v>7.69230769230769E-2</v>
      </c>
      <c r="D1389">
        <v>4</v>
      </c>
      <c r="E1389">
        <f t="shared" si="21"/>
        <v>4.3989984930821201E-2</v>
      </c>
    </row>
    <row r="1390" spans="1:5" x14ac:dyDescent="0.25">
      <c r="A1390">
        <v>3</v>
      </c>
      <c r="B1390">
        <v>0.38461538461538503</v>
      </c>
      <c r="D1390">
        <v>4</v>
      </c>
      <c r="E1390">
        <f t="shared" si="21"/>
        <v>4.3989984930821201E-2</v>
      </c>
    </row>
    <row r="1391" spans="1:5" x14ac:dyDescent="0.25">
      <c r="A1391">
        <v>3</v>
      </c>
      <c r="B1391">
        <v>-2.5999999999999999E-2</v>
      </c>
      <c r="D1391">
        <v>4</v>
      </c>
      <c r="E1391">
        <f t="shared" si="21"/>
        <v>4.3989984930821201E-2</v>
      </c>
    </row>
    <row r="1392" spans="1:5" x14ac:dyDescent="0.25">
      <c r="A1392">
        <v>3</v>
      </c>
      <c r="B1392">
        <v>0.42599999999999999</v>
      </c>
      <c r="D1392">
        <v>4</v>
      </c>
      <c r="E1392">
        <f t="shared" si="21"/>
        <v>4.3989984930821201E-2</v>
      </c>
    </row>
    <row r="1393" spans="1:5" x14ac:dyDescent="0.25">
      <c r="A1393">
        <v>3</v>
      </c>
      <c r="B1393">
        <v>1</v>
      </c>
      <c r="D1393">
        <v>4</v>
      </c>
      <c r="E1393">
        <f t="shared" si="21"/>
        <v>4.3989984930821201E-2</v>
      </c>
    </row>
    <row r="1394" spans="1:5" x14ac:dyDescent="0.25">
      <c r="A1394">
        <v>3</v>
      </c>
      <c r="B1394">
        <v>-0.1002331002331</v>
      </c>
      <c r="D1394">
        <v>4</v>
      </c>
      <c r="E1394">
        <f t="shared" si="21"/>
        <v>4.3989984930821201E-2</v>
      </c>
    </row>
    <row r="1395" spans="1:5" x14ac:dyDescent="0.25">
      <c r="A1395">
        <v>3</v>
      </c>
      <c r="B1395">
        <v>-0.108108108108108</v>
      </c>
      <c r="D1395">
        <v>4</v>
      </c>
      <c r="E1395">
        <f t="shared" si="21"/>
        <v>4.3989984930821201E-2</v>
      </c>
    </row>
    <row r="1396" spans="1:5" x14ac:dyDescent="0.25">
      <c r="A1396">
        <v>3</v>
      </c>
      <c r="B1396">
        <v>8.4112149532710304E-2</v>
      </c>
      <c r="D1396">
        <v>4</v>
      </c>
      <c r="E1396">
        <f t="shared" si="21"/>
        <v>4.3989984930821201E-2</v>
      </c>
    </row>
    <row r="1397" spans="1:5" x14ac:dyDescent="0.25">
      <c r="A1397">
        <v>3</v>
      </c>
      <c r="B1397">
        <v>2.1021021021020998E-2</v>
      </c>
      <c r="D1397">
        <v>4</v>
      </c>
      <c r="E1397">
        <f t="shared" si="21"/>
        <v>4.3989984930821201E-2</v>
      </c>
    </row>
    <row r="1398" spans="1:5" x14ac:dyDescent="0.25">
      <c r="A1398">
        <v>3</v>
      </c>
      <c r="B1398">
        <v>4.2000000000000003E-2</v>
      </c>
      <c r="D1398">
        <v>4</v>
      </c>
      <c r="E1398">
        <f t="shared" si="21"/>
        <v>4.3989984930821201E-2</v>
      </c>
    </row>
    <row r="1399" spans="1:5" x14ac:dyDescent="0.25">
      <c r="A1399">
        <v>3</v>
      </c>
      <c r="B1399">
        <v>1.49700598802395E-2</v>
      </c>
      <c r="D1399">
        <v>4</v>
      </c>
      <c r="E1399">
        <f t="shared" si="21"/>
        <v>4.3989984930821201E-2</v>
      </c>
    </row>
    <row r="1400" spans="1:5" x14ac:dyDescent="0.25">
      <c r="A1400">
        <v>3</v>
      </c>
      <c r="B1400">
        <v>8.5333333333333303E-2</v>
      </c>
      <c r="D1400">
        <v>4</v>
      </c>
      <c r="E1400">
        <f t="shared" si="21"/>
        <v>4.3989984930821201E-2</v>
      </c>
    </row>
    <row r="1401" spans="1:5" x14ac:dyDescent="0.25">
      <c r="A1401">
        <v>3</v>
      </c>
      <c r="B1401">
        <v>-0.38095238095238099</v>
      </c>
      <c r="D1401">
        <v>4</v>
      </c>
      <c r="E1401">
        <f t="shared" si="21"/>
        <v>4.3989984930821201E-2</v>
      </c>
    </row>
    <row r="1402" spans="1:5" x14ac:dyDescent="0.25">
      <c r="A1402">
        <v>3</v>
      </c>
      <c r="B1402">
        <v>-0.03</v>
      </c>
      <c r="D1402">
        <v>4</v>
      </c>
      <c r="E1402">
        <f t="shared" si="21"/>
        <v>4.3989984930821201E-2</v>
      </c>
    </row>
    <row r="1403" spans="1:5" x14ac:dyDescent="0.25">
      <c r="A1403">
        <v>3</v>
      </c>
      <c r="B1403">
        <v>5.1051051051051101E-2</v>
      </c>
      <c r="D1403">
        <v>4</v>
      </c>
      <c r="E1403">
        <f t="shared" si="21"/>
        <v>4.3989984930821201E-2</v>
      </c>
    </row>
    <row r="1404" spans="1:5" x14ac:dyDescent="0.25">
      <c r="A1404">
        <v>3</v>
      </c>
      <c r="B1404">
        <v>-6.6666666666666693E-2</v>
      </c>
      <c r="D1404">
        <v>4</v>
      </c>
      <c r="E1404">
        <f t="shared" si="21"/>
        <v>4.3989984930821201E-2</v>
      </c>
    </row>
    <row r="1405" spans="1:5" x14ac:dyDescent="0.25">
      <c r="A1405">
        <v>3</v>
      </c>
      <c r="B1405">
        <v>-4.3999999999999997E-2</v>
      </c>
      <c r="D1405">
        <v>4</v>
      </c>
      <c r="E1405">
        <f t="shared" si="21"/>
        <v>4.3989984930821201E-2</v>
      </c>
    </row>
    <row r="1406" spans="1:5" x14ac:dyDescent="0.25">
      <c r="A1406">
        <v>3</v>
      </c>
      <c r="B1406">
        <v>4.26666666666667E-2</v>
      </c>
      <c r="D1406">
        <v>4</v>
      </c>
      <c r="E1406">
        <f t="shared" si="21"/>
        <v>4.3989984930821201E-2</v>
      </c>
    </row>
    <row r="1407" spans="1:5" x14ac:dyDescent="0.25">
      <c r="A1407">
        <v>3</v>
      </c>
      <c r="B1407">
        <v>-0.315</v>
      </c>
      <c r="D1407">
        <v>4</v>
      </c>
      <c r="E1407">
        <f t="shared" si="21"/>
        <v>4.3989984930821201E-2</v>
      </c>
    </row>
    <row r="1408" spans="1:5" x14ac:dyDescent="0.25">
      <c r="A1408">
        <v>3</v>
      </c>
      <c r="B1408">
        <v>3.3033033033033003E-2</v>
      </c>
      <c r="D1408">
        <v>4</v>
      </c>
      <c r="E1408">
        <f t="shared" si="21"/>
        <v>4.3989984930821201E-2</v>
      </c>
    </row>
    <row r="1409" spans="1:5" x14ac:dyDescent="0.25">
      <c r="A1409">
        <v>3</v>
      </c>
      <c r="B1409">
        <v>1</v>
      </c>
      <c r="D1409">
        <v>4</v>
      </c>
      <c r="E1409">
        <f t="shared" si="21"/>
        <v>4.3989984930821201E-2</v>
      </c>
    </row>
    <row r="1410" spans="1:5" x14ac:dyDescent="0.25">
      <c r="A1410">
        <v>3</v>
      </c>
      <c r="B1410">
        <v>2.4024024024024E-2</v>
      </c>
      <c r="D1410">
        <v>4</v>
      </c>
      <c r="E1410">
        <f t="shared" si="21"/>
        <v>4.3989984930821201E-2</v>
      </c>
    </row>
    <row r="1411" spans="1:5" x14ac:dyDescent="0.25">
      <c r="A1411">
        <v>3</v>
      </c>
      <c r="B1411">
        <v>0.108108108108108</v>
      </c>
      <c r="D1411">
        <v>4</v>
      </c>
      <c r="E1411">
        <f t="shared" ref="E1411:E1474" si="22">_xlfn.NORM.DIST(D1411, I$4,I$7,FALSE)</f>
        <v>4.3989984930821201E-2</v>
      </c>
    </row>
    <row r="1412" spans="1:5" x14ac:dyDescent="0.25">
      <c r="A1412">
        <v>3</v>
      </c>
      <c r="B1412">
        <v>7.1999999999999995E-2</v>
      </c>
      <c r="D1412">
        <v>4</v>
      </c>
      <c r="E1412">
        <f t="shared" si="22"/>
        <v>4.3989984930821201E-2</v>
      </c>
    </row>
    <row r="1413" spans="1:5" x14ac:dyDescent="0.25">
      <c r="A1413">
        <v>3</v>
      </c>
      <c r="B1413">
        <v>1.2012012012012E-2</v>
      </c>
      <c r="D1413">
        <v>4</v>
      </c>
      <c r="E1413">
        <f t="shared" si="22"/>
        <v>4.3989984930821201E-2</v>
      </c>
    </row>
    <row r="1414" spans="1:5" x14ac:dyDescent="0.25">
      <c r="A1414">
        <v>3</v>
      </c>
      <c r="B1414">
        <v>-5.1999999999999998E-2</v>
      </c>
      <c r="D1414">
        <v>4</v>
      </c>
      <c r="E1414">
        <f t="shared" si="22"/>
        <v>4.3989984930821201E-2</v>
      </c>
    </row>
    <row r="1415" spans="1:5" x14ac:dyDescent="0.25">
      <c r="A1415">
        <v>3</v>
      </c>
      <c r="B1415">
        <v>-6.9930069930069894E-2</v>
      </c>
      <c r="D1415">
        <v>4</v>
      </c>
      <c r="E1415">
        <f t="shared" si="22"/>
        <v>4.3989984930821201E-2</v>
      </c>
    </row>
    <row r="1416" spans="1:5" x14ac:dyDescent="0.25">
      <c r="A1416">
        <v>3</v>
      </c>
      <c r="B1416">
        <v>-0.152</v>
      </c>
      <c r="D1416">
        <v>4</v>
      </c>
      <c r="E1416">
        <f t="shared" si="22"/>
        <v>4.3989984930821201E-2</v>
      </c>
    </row>
    <row r="1417" spans="1:5" x14ac:dyDescent="0.25">
      <c r="A1417">
        <v>3</v>
      </c>
      <c r="B1417">
        <v>-0.04</v>
      </c>
      <c r="D1417">
        <v>4</v>
      </c>
      <c r="E1417">
        <f t="shared" si="22"/>
        <v>4.3989984930821201E-2</v>
      </c>
    </row>
    <row r="1418" spans="1:5" x14ac:dyDescent="0.25">
      <c r="A1418">
        <v>3</v>
      </c>
      <c r="B1418">
        <v>-0.114114114114114</v>
      </c>
      <c r="D1418">
        <v>4</v>
      </c>
      <c r="E1418">
        <f t="shared" si="22"/>
        <v>4.3989984930821201E-2</v>
      </c>
    </row>
    <row r="1419" spans="1:5" x14ac:dyDescent="0.25">
      <c r="A1419">
        <v>3</v>
      </c>
      <c r="B1419">
        <v>-0.08</v>
      </c>
      <c r="D1419">
        <v>4</v>
      </c>
      <c r="E1419">
        <f t="shared" si="22"/>
        <v>4.3989984930821201E-2</v>
      </c>
    </row>
    <row r="1420" spans="1:5" x14ac:dyDescent="0.25">
      <c r="A1420">
        <v>3</v>
      </c>
      <c r="B1420">
        <v>-6.6666666666666693E-2</v>
      </c>
      <c r="D1420">
        <v>4</v>
      </c>
      <c r="E1420">
        <f t="shared" si="22"/>
        <v>4.3989984930821201E-2</v>
      </c>
    </row>
    <row r="1421" spans="1:5" x14ac:dyDescent="0.25">
      <c r="A1421">
        <v>3</v>
      </c>
      <c r="B1421">
        <v>-1.6317016317016299E-2</v>
      </c>
      <c r="D1421">
        <v>4</v>
      </c>
      <c r="E1421">
        <f t="shared" si="22"/>
        <v>4.3989984930821201E-2</v>
      </c>
    </row>
    <row r="1422" spans="1:5" x14ac:dyDescent="0.25">
      <c r="A1422">
        <v>3</v>
      </c>
      <c r="B1422">
        <v>-2.4E-2</v>
      </c>
      <c r="D1422">
        <v>4</v>
      </c>
      <c r="E1422">
        <f t="shared" si="22"/>
        <v>4.3989984930821201E-2</v>
      </c>
    </row>
    <row r="1423" spans="1:5" x14ac:dyDescent="0.25">
      <c r="A1423">
        <v>3</v>
      </c>
      <c r="B1423">
        <v>1.3333333333333299E-2</v>
      </c>
      <c r="D1423">
        <v>4</v>
      </c>
      <c r="E1423">
        <f t="shared" si="22"/>
        <v>4.3989984930821201E-2</v>
      </c>
    </row>
    <row r="1424" spans="1:5" x14ac:dyDescent="0.25">
      <c r="A1424">
        <v>3</v>
      </c>
      <c r="B1424">
        <v>6.2937062937062901E-2</v>
      </c>
      <c r="D1424">
        <v>4</v>
      </c>
      <c r="E1424">
        <f t="shared" si="22"/>
        <v>4.3989984930821201E-2</v>
      </c>
    </row>
    <row r="1425" spans="1:5" x14ac:dyDescent="0.25">
      <c r="A1425">
        <v>3</v>
      </c>
      <c r="B1425">
        <v>2.39520958083832E-2</v>
      </c>
      <c r="D1425">
        <v>4</v>
      </c>
      <c r="E1425">
        <f t="shared" si="22"/>
        <v>4.3989984930821201E-2</v>
      </c>
    </row>
    <row r="1426" spans="1:5" x14ac:dyDescent="0.25">
      <c r="A1426">
        <v>3</v>
      </c>
      <c r="B1426">
        <v>6.2937062937062901E-2</v>
      </c>
      <c r="D1426">
        <v>4</v>
      </c>
      <c r="E1426">
        <f t="shared" si="22"/>
        <v>4.3989984930821201E-2</v>
      </c>
    </row>
    <row r="1427" spans="1:5" x14ac:dyDescent="0.25">
      <c r="A1427">
        <v>3</v>
      </c>
      <c r="B1427">
        <v>-2.39520958083832E-2</v>
      </c>
      <c r="D1427">
        <v>4</v>
      </c>
      <c r="E1427">
        <f t="shared" si="22"/>
        <v>4.3989984930821201E-2</v>
      </c>
    </row>
    <row r="1428" spans="1:5" x14ac:dyDescent="0.25">
      <c r="A1428">
        <v>3</v>
      </c>
      <c r="B1428">
        <v>8.5000000000000006E-2</v>
      </c>
      <c r="D1428">
        <v>4</v>
      </c>
      <c r="E1428">
        <f t="shared" si="22"/>
        <v>4.3989984930821201E-2</v>
      </c>
    </row>
    <row r="1429" spans="1:5" x14ac:dyDescent="0.25">
      <c r="A1429">
        <v>3</v>
      </c>
      <c r="B1429">
        <v>5.06666666666667E-2</v>
      </c>
      <c r="D1429">
        <v>4</v>
      </c>
      <c r="E1429">
        <f t="shared" si="22"/>
        <v>4.3989984930821201E-2</v>
      </c>
    </row>
    <row r="1430" spans="1:5" x14ac:dyDescent="0.25">
      <c r="A1430">
        <v>3</v>
      </c>
      <c r="B1430">
        <v>0.2</v>
      </c>
      <c r="D1430">
        <v>4</v>
      </c>
      <c r="E1430">
        <f t="shared" si="22"/>
        <v>4.3989984930821201E-2</v>
      </c>
    </row>
    <row r="1431" spans="1:5" x14ac:dyDescent="0.25">
      <c r="A1431">
        <v>3</v>
      </c>
      <c r="B1431">
        <v>0.342592592592593</v>
      </c>
      <c r="D1431">
        <v>4</v>
      </c>
      <c r="E1431">
        <f t="shared" si="22"/>
        <v>4.3989984930821201E-2</v>
      </c>
    </row>
    <row r="1432" spans="1:5" x14ac:dyDescent="0.25">
      <c r="A1432">
        <v>3</v>
      </c>
      <c r="B1432">
        <v>-0.165333333333333</v>
      </c>
      <c r="D1432">
        <v>4</v>
      </c>
      <c r="E1432">
        <f t="shared" si="22"/>
        <v>4.3989984930821201E-2</v>
      </c>
    </row>
    <row r="1433" spans="1:5" x14ac:dyDescent="0.25">
      <c r="A1433">
        <v>3</v>
      </c>
      <c r="B1433">
        <v>0.28999999999999998</v>
      </c>
      <c r="D1433">
        <v>4</v>
      </c>
      <c r="E1433">
        <f t="shared" si="22"/>
        <v>4.3989984930821201E-2</v>
      </c>
    </row>
    <row r="1434" spans="1:5" x14ac:dyDescent="0.25">
      <c r="A1434">
        <v>3</v>
      </c>
      <c r="B1434">
        <v>-0.17016317016317001</v>
      </c>
      <c r="D1434">
        <v>4</v>
      </c>
      <c r="E1434">
        <f t="shared" si="22"/>
        <v>4.3989984930821201E-2</v>
      </c>
    </row>
    <row r="1435" spans="1:5" x14ac:dyDescent="0.25">
      <c r="A1435">
        <v>3</v>
      </c>
      <c r="B1435">
        <v>0.58041958041957997</v>
      </c>
      <c r="D1435">
        <v>4</v>
      </c>
      <c r="E1435">
        <f t="shared" si="22"/>
        <v>4.3989984930821201E-2</v>
      </c>
    </row>
    <row r="1436" spans="1:5" x14ac:dyDescent="0.25">
      <c r="A1436">
        <v>3</v>
      </c>
      <c r="B1436">
        <v>0.58399999999999996</v>
      </c>
      <c r="D1436">
        <v>4</v>
      </c>
      <c r="E1436">
        <f t="shared" si="22"/>
        <v>4.3989984930821201E-2</v>
      </c>
    </row>
    <row r="1437" spans="1:5" x14ac:dyDescent="0.25">
      <c r="A1437">
        <v>3</v>
      </c>
      <c r="B1437">
        <v>-0.156177156177156</v>
      </c>
      <c r="D1437">
        <v>4</v>
      </c>
      <c r="E1437">
        <f t="shared" si="22"/>
        <v>4.3989984930821201E-2</v>
      </c>
    </row>
    <row r="1438" spans="1:5" x14ac:dyDescent="0.25">
      <c r="A1438">
        <v>3</v>
      </c>
      <c r="B1438">
        <v>0.66300366300366298</v>
      </c>
      <c r="D1438">
        <v>4</v>
      </c>
      <c r="E1438">
        <f t="shared" si="22"/>
        <v>4.3989984930821201E-2</v>
      </c>
    </row>
    <row r="1439" spans="1:5" x14ac:dyDescent="0.25">
      <c r="A1439">
        <v>3</v>
      </c>
      <c r="B1439">
        <v>1</v>
      </c>
      <c r="D1439">
        <v>4</v>
      </c>
      <c r="E1439">
        <f t="shared" si="22"/>
        <v>4.3989984930821201E-2</v>
      </c>
    </row>
    <row r="1440" spans="1:5" x14ac:dyDescent="0.25">
      <c r="A1440">
        <v>3</v>
      </c>
      <c r="B1440">
        <v>-0.152</v>
      </c>
      <c r="D1440">
        <v>4</v>
      </c>
      <c r="E1440">
        <f t="shared" si="22"/>
        <v>4.3989984930821201E-2</v>
      </c>
    </row>
    <row r="1441" spans="1:5" x14ac:dyDescent="0.25">
      <c r="A1441">
        <v>3</v>
      </c>
      <c r="B1441">
        <v>-0.09</v>
      </c>
      <c r="D1441">
        <v>4</v>
      </c>
      <c r="E1441">
        <f t="shared" si="22"/>
        <v>4.3989984930821201E-2</v>
      </c>
    </row>
    <row r="1442" spans="1:5" x14ac:dyDescent="0.25">
      <c r="A1442">
        <v>3</v>
      </c>
      <c r="B1442">
        <v>1.19760479041916E-2</v>
      </c>
      <c r="D1442">
        <v>4</v>
      </c>
      <c r="E1442">
        <f t="shared" si="22"/>
        <v>4.3989984930821201E-2</v>
      </c>
    </row>
    <row r="1443" spans="1:5" x14ac:dyDescent="0.25">
      <c r="A1443">
        <v>3</v>
      </c>
      <c r="B1443">
        <v>0.159574468085106</v>
      </c>
      <c r="D1443">
        <v>4</v>
      </c>
      <c r="E1443">
        <f t="shared" si="22"/>
        <v>4.3989984930821201E-2</v>
      </c>
    </row>
    <row r="1444" spans="1:5" x14ac:dyDescent="0.25">
      <c r="A1444">
        <v>3</v>
      </c>
      <c r="B1444">
        <v>1</v>
      </c>
      <c r="D1444">
        <v>4</v>
      </c>
      <c r="E1444">
        <f t="shared" si="22"/>
        <v>4.3989984930821201E-2</v>
      </c>
    </row>
    <row r="1445" spans="1:5" x14ac:dyDescent="0.25">
      <c r="A1445">
        <v>3</v>
      </c>
      <c r="B1445">
        <v>2.9940119760479E-2</v>
      </c>
      <c r="D1445">
        <v>4</v>
      </c>
      <c r="E1445">
        <f t="shared" si="22"/>
        <v>4.3989984930821201E-2</v>
      </c>
    </row>
    <row r="1446" spans="1:5" x14ac:dyDescent="0.25">
      <c r="A1446">
        <v>3</v>
      </c>
      <c r="B1446">
        <v>-0.162162162162162</v>
      </c>
      <c r="D1446">
        <v>4</v>
      </c>
      <c r="E1446">
        <f t="shared" si="22"/>
        <v>4.3989984930821201E-2</v>
      </c>
    </row>
    <row r="1447" spans="1:5" x14ac:dyDescent="0.25">
      <c r="A1447">
        <v>3</v>
      </c>
      <c r="B1447">
        <v>-6.9069069069069094E-2</v>
      </c>
      <c r="D1447">
        <v>4</v>
      </c>
      <c r="E1447">
        <f t="shared" si="22"/>
        <v>4.3989984930821201E-2</v>
      </c>
    </row>
    <row r="1448" spans="1:5" x14ac:dyDescent="0.25">
      <c r="A1448">
        <v>3</v>
      </c>
      <c r="B1448">
        <v>5.4054054054054099E-2</v>
      </c>
      <c r="D1448">
        <v>4</v>
      </c>
      <c r="E1448">
        <f t="shared" si="22"/>
        <v>4.3989984930821201E-2</v>
      </c>
    </row>
    <row r="1449" spans="1:5" x14ac:dyDescent="0.25">
      <c r="A1449">
        <v>3</v>
      </c>
      <c r="B1449">
        <v>-6.0060060060060101E-2</v>
      </c>
      <c r="D1449">
        <v>4</v>
      </c>
      <c r="E1449">
        <f t="shared" si="22"/>
        <v>4.3989984930821201E-2</v>
      </c>
    </row>
    <row r="1450" spans="1:5" x14ac:dyDescent="0.25">
      <c r="A1450">
        <v>3</v>
      </c>
      <c r="B1450">
        <v>6.0060060060060101E-2</v>
      </c>
      <c r="D1450">
        <v>4</v>
      </c>
      <c r="E1450">
        <f t="shared" si="22"/>
        <v>4.3989984930821201E-2</v>
      </c>
    </row>
    <row r="1451" spans="1:5" x14ac:dyDescent="0.25">
      <c r="A1451">
        <v>3</v>
      </c>
      <c r="B1451">
        <v>-7.5075075075075104E-2</v>
      </c>
      <c r="D1451">
        <v>4</v>
      </c>
      <c r="E1451">
        <f t="shared" si="22"/>
        <v>4.3989984930821201E-2</v>
      </c>
    </row>
    <row r="1452" spans="1:5" x14ac:dyDescent="0.25">
      <c r="A1452">
        <v>3</v>
      </c>
      <c r="B1452">
        <v>-2.1333333333333301E-2</v>
      </c>
      <c r="D1452">
        <v>4</v>
      </c>
      <c r="E1452">
        <f t="shared" si="22"/>
        <v>4.3989984930821201E-2</v>
      </c>
    </row>
    <row r="1453" spans="1:5" x14ac:dyDescent="0.25">
      <c r="A1453">
        <v>3</v>
      </c>
      <c r="B1453">
        <v>-5.86666666666667E-2</v>
      </c>
      <c r="D1453">
        <v>4</v>
      </c>
      <c r="E1453">
        <f t="shared" si="22"/>
        <v>4.3989984930821201E-2</v>
      </c>
    </row>
    <row r="1454" spans="1:5" x14ac:dyDescent="0.25">
      <c r="A1454">
        <v>3</v>
      </c>
      <c r="B1454">
        <v>-3.6036036036036001E-2</v>
      </c>
      <c r="D1454">
        <v>4</v>
      </c>
      <c r="E1454">
        <f t="shared" si="22"/>
        <v>4.3989984930821201E-2</v>
      </c>
    </row>
    <row r="1455" spans="1:5" x14ac:dyDescent="0.25">
      <c r="A1455">
        <v>3</v>
      </c>
      <c r="B1455">
        <v>-5.5944055944055902E-2</v>
      </c>
      <c r="D1455">
        <v>4</v>
      </c>
      <c r="E1455">
        <f t="shared" si="22"/>
        <v>4.3989984930821201E-2</v>
      </c>
    </row>
    <row r="1456" spans="1:5" x14ac:dyDescent="0.25">
      <c r="A1456">
        <v>3</v>
      </c>
      <c r="B1456">
        <v>-1.6317016317016299E-2</v>
      </c>
      <c r="D1456">
        <v>4</v>
      </c>
      <c r="E1456">
        <f t="shared" si="22"/>
        <v>4.3989984930821201E-2</v>
      </c>
    </row>
    <row r="1457" spans="1:5" x14ac:dyDescent="0.25">
      <c r="A1457">
        <v>3</v>
      </c>
      <c r="B1457">
        <v>-9.3457943925233603E-3</v>
      </c>
      <c r="D1457">
        <v>4</v>
      </c>
      <c r="E1457">
        <f t="shared" si="22"/>
        <v>4.3989984930821201E-2</v>
      </c>
    </row>
    <row r="1458" spans="1:5" x14ac:dyDescent="0.25">
      <c r="A1458">
        <v>3</v>
      </c>
      <c r="B1458">
        <v>-9.0909090909090898E-2</v>
      </c>
      <c r="D1458">
        <v>4</v>
      </c>
      <c r="E1458">
        <f t="shared" si="22"/>
        <v>4.3989984930821201E-2</v>
      </c>
    </row>
    <row r="1459" spans="1:5" x14ac:dyDescent="0.25">
      <c r="A1459">
        <v>3</v>
      </c>
      <c r="B1459">
        <v>9.3240093240093205E-3</v>
      </c>
      <c r="D1459">
        <v>4</v>
      </c>
      <c r="E1459">
        <f t="shared" si="22"/>
        <v>4.3989984930821201E-2</v>
      </c>
    </row>
    <row r="1460" spans="1:5" x14ac:dyDescent="0.25">
      <c r="A1460">
        <v>3</v>
      </c>
      <c r="B1460">
        <v>0.19</v>
      </c>
      <c r="D1460">
        <v>4</v>
      </c>
      <c r="E1460">
        <f t="shared" si="22"/>
        <v>4.3989984930821201E-2</v>
      </c>
    </row>
    <row r="1461" spans="1:5" x14ac:dyDescent="0.25">
      <c r="A1461">
        <v>3</v>
      </c>
      <c r="B1461">
        <v>2.8000000000000001E-2</v>
      </c>
      <c r="D1461">
        <v>4</v>
      </c>
      <c r="E1461">
        <f t="shared" si="22"/>
        <v>4.3989984930821201E-2</v>
      </c>
    </row>
    <row r="1462" spans="1:5" x14ac:dyDescent="0.25">
      <c r="A1462">
        <v>3</v>
      </c>
      <c r="B1462">
        <v>0.32786885245901598</v>
      </c>
      <c r="D1462">
        <v>4</v>
      </c>
      <c r="E1462">
        <f t="shared" si="22"/>
        <v>4.3989984930821201E-2</v>
      </c>
    </row>
    <row r="1463" spans="1:5" x14ac:dyDescent="0.25">
      <c r="A1463">
        <v>3</v>
      </c>
      <c r="B1463">
        <v>-7.6666666666666702E-2</v>
      </c>
      <c r="D1463">
        <v>4</v>
      </c>
      <c r="E1463">
        <f t="shared" si="22"/>
        <v>4.3989984930821201E-2</v>
      </c>
    </row>
    <row r="1464" spans="1:5" x14ac:dyDescent="0.25">
      <c r="A1464">
        <v>3</v>
      </c>
      <c r="B1464">
        <v>0.17717717717717699</v>
      </c>
      <c r="D1464">
        <v>4</v>
      </c>
      <c r="E1464">
        <f t="shared" si="22"/>
        <v>4.3989984930821201E-2</v>
      </c>
    </row>
    <row r="1465" spans="1:5" x14ac:dyDescent="0.25">
      <c r="A1465">
        <v>3</v>
      </c>
      <c r="B1465">
        <v>6.1333333333333302E-2</v>
      </c>
      <c r="D1465">
        <v>4</v>
      </c>
      <c r="E1465">
        <f t="shared" si="22"/>
        <v>4.3989984930821201E-2</v>
      </c>
    </row>
    <row r="1466" spans="1:5" x14ac:dyDescent="0.25">
      <c r="A1466">
        <v>3</v>
      </c>
      <c r="B1466">
        <v>4.26666666666667E-2</v>
      </c>
      <c r="D1466">
        <v>4</v>
      </c>
      <c r="E1466">
        <f t="shared" si="22"/>
        <v>4.3989984930821201E-2</v>
      </c>
    </row>
    <row r="1467" spans="1:5" x14ac:dyDescent="0.25">
      <c r="A1467">
        <v>3</v>
      </c>
      <c r="B1467">
        <v>-8.0000000000000002E-3</v>
      </c>
      <c r="D1467">
        <v>5</v>
      </c>
      <c r="E1467">
        <f t="shared" si="22"/>
        <v>4.4084693149242044E-2</v>
      </c>
    </row>
    <row r="1468" spans="1:5" x14ac:dyDescent="0.25">
      <c r="A1468">
        <v>3</v>
      </c>
      <c r="B1468">
        <v>8.8578088578088604E-2</v>
      </c>
      <c r="D1468">
        <v>5</v>
      </c>
      <c r="E1468">
        <f t="shared" si="22"/>
        <v>4.4084693149242044E-2</v>
      </c>
    </row>
    <row r="1469" spans="1:5" x14ac:dyDescent="0.25">
      <c r="A1469">
        <v>3</v>
      </c>
      <c r="B1469">
        <v>0.28395061728395099</v>
      </c>
      <c r="D1469">
        <v>5</v>
      </c>
      <c r="E1469">
        <f t="shared" si="22"/>
        <v>4.4084693149242044E-2</v>
      </c>
    </row>
    <row r="1470" spans="1:5" x14ac:dyDescent="0.25">
      <c r="A1470">
        <v>3</v>
      </c>
      <c r="B1470">
        <v>-0.13866666666666699</v>
      </c>
      <c r="D1470">
        <v>5</v>
      </c>
      <c r="E1470">
        <f t="shared" si="22"/>
        <v>4.4084693149242044E-2</v>
      </c>
    </row>
    <row r="1471" spans="1:5" x14ac:dyDescent="0.25">
      <c r="A1471">
        <v>3</v>
      </c>
      <c r="B1471">
        <v>0.25</v>
      </c>
      <c r="D1471">
        <v>5</v>
      </c>
      <c r="E1471">
        <f t="shared" si="22"/>
        <v>4.4084693149242044E-2</v>
      </c>
    </row>
    <row r="1472" spans="1:5" x14ac:dyDescent="0.25">
      <c r="A1472">
        <v>3</v>
      </c>
      <c r="B1472">
        <v>-0.165501165501166</v>
      </c>
      <c r="D1472">
        <v>5</v>
      </c>
      <c r="E1472">
        <f t="shared" si="22"/>
        <v>4.4084693149242044E-2</v>
      </c>
    </row>
    <row r="1473" spans="1:5" x14ac:dyDescent="0.25">
      <c r="A1473">
        <v>3</v>
      </c>
      <c r="B1473">
        <v>0.35299999999999998</v>
      </c>
      <c r="D1473">
        <v>5</v>
      </c>
      <c r="E1473">
        <f t="shared" si="22"/>
        <v>4.4084693149242044E-2</v>
      </c>
    </row>
    <row r="1474" spans="1:5" x14ac:dyDescent="0.25">
      <c r="A1474">
        <v>3</v>
      </c>
      <c r="B1474">
        <v>-1.16822429906542E-2</v>
      </c>
      <c r="D1474">
        <v>5</v>
      </c>
      <c r="E1474">
        <f t="shared" si="22"/>
        <v>4.4084693149242044E-2</v>
      </c>
    </row>
    <row r="1475" spans="1:5" x14ac:dyDescent="0.25">
      <c r="A1475">
        <v>3</v>
      </c>
      <c r="B1475">
        <v>0.53846153846153799</v>
      </c>
      <c r="D1475">
        <v>5</v>
      </c>
      <c r="E1475">
        <f t="shared" ref="E1475:E1538" si="23">_xlfn.NORM.DIST(D1475, I$4,I$7,FALSE)</f>
        <v>4.4084693149242044E-2</v>
      </c>
    </row>
    <row r="1476" spans="1:5" x14ac:dyDescent="0.25">
      <c r="A1476">
        <v>3</v>
      </c>
      <c r="B1476">
        <v>1</v>
      </c>
      <c r="D1476">
        <v>5</v>
      </c>
      <c r="E1476">
        <f t="shared" si="23"/>
        <v>4.4084693149242044E-2</v>
      </c>
    </row>
    <row r="1477" spans="1:5" x14ac:dyDescent="0.25">
      <c r="A1477">
        <v>3</v>
      </c>
      <c r="B1477">
        <v>1.6317016317016299E-2</v>
      </c>
      <c r="D1477">
        <v>5</v>
      </c>
      <c r="E1477">
        <f t="shared" si="23"/>
        <v>4.4084693149242044E-2</v>
      </c>
    </row>
    <row r="1478" spans="1:5" x14ac:dyDescent="0.25">
      <c r="A1478">
        <v>3</v>
      </c>
      <c r="B1478">
        <v>8.1081081081081099E-2</v>
      </c>
      <c r="D1478">
        <v>5</v>
      </c>
      <c r="E1478">
        <f t="shared" si="23"/>
        <v>4.4084693149242044E-2</v>
      </c>
    </row>
    <row r="1479" spans="1:5" x14ac:dyDescent="0.25">
      <c r="A1479">
        <v>3</v>
      </c>
      <c r="B1479">
        <v>-6.5268065268065306E-2</v>
      </c>
      <c r="D1479">
        <v>5</v>
      </c>
      <c r="E1479">
        <f t="shared" si="23"/>
        <v>4.4084693149242044E-2</v>
      </c>
    </row>
    <row r="1480" spans="1:5" x14ac:dyDescent="0.25">
      <c r="A1480">
        <v>3</v>
      </c>
      <c r="B1480">
        <v>-0.31168831168831201</v>
      </c>
      <c r="D1480">
        <v>5</v>
      </c>
      <c r="E1480">
        <f t="shared" si="23"/>
        <v>4.4084693149242044E-2</v>
      </c>
    </row>
    <row r="1481" spans="1:5" x14ac:dyDescent="0.25">
      <c r="A1481">
        <v>3</v>
      </c>
      <c r="B1481">
        <v>9.00900900900901E-2</v>
      </c>
      <c r="D1481">
        <v>5</v>
      </c>
      <c r="E1481">
        <f t="shared" si="23"/>
        <v>4.4084693149242044E-2</v>
      </c>
    </row>
    <row r="1482" spans="1:5" x14ac:dyDescent="0.25">
      <c r="A1482">
        <v>3</v>
      </c>
      <c r="B1482">
        <v>7.1666666666666698E-2</v>
      </c>
      <c r="D1482">
        <v>5</v>
      </c>
      <c r="E1482">
        <f t="shared" si="23"/>
        <v>4.4084693149242044E-2</v>
      </c>
    </row>
    <row r="1483" spans="1:5" x14ac:dyDescent="0.25">
      <c r="A1483">
        <v>3</v>
      </c>
      <c r="B1483">
        <v>-4.5999999999999999E-2</v>
      </c>
      <c r="D1483">
        <v>5</v>
      </c>
      <c r="E1483">
        <f t="shared" si="23"/>
        <v>4.4084693149242044E-2</v>
      </c>
    </row>
    <row r="1484" spans="1:5" x14ac:dyDescent="0.25">
      <c r="A1484">
        <v>3</v>
      </c>
      <c r="B1484">
        <v>0.108108108108108</v>
      </c>
      <c r="D1484">
        <v>5</v>
      </c>
      <c r="E1484">
        <f t="shared" si="23"/>
        <v>4.4084693149242044E-2</v>
      </c>
    </row>
    <row r="1485" spans="1:5" x14ac:dyDescent="0.25">
      <c r="A1485">
        <v>3</v>
      </c>
      <c r="B1485">
        <v>0.14018691588785001</v>
      </c>
      <c r="D1485">
        <v>5</v>
      </c>
      <c r="E1485">
        <f t="shared" si="23"/>
        <v>4.4084693149242044E-2</v>
      </c>
    </row>
    <row r="1486" spans="1:5" x14ac:dyDescent="0.25">
      <c r="A1486">
        <v>3</v>
      </c>
      <c r="B1486">
        <v>0.38</v>
      </c>
      <c r="D1486">
        <v>5</v>
      </c>
      <c r="E1486">
        <f t="shared" si="23"/>
        <v>4.4084693149242044E-2</v>
      </c>
    </row>
    <row r="1487" spans="1:5" x14ac:dyDescent="0.25">
      <c r="A1487">
        <v>3</v>
      </c>
      <c r="B1487">
        <v>0.29199999999999998</v>
      </c>
      <c r="D1487">
        <v>5</v>
      </c>
      <c r="E1487">
        <f t="shared" si="23"/>
        <v>4.4084693149242044E-2</v>
      </c>
    </row>
    <row r="1488" spans="1:5" x14ac:dyDescent="0.25">
      <c r="A1488">
        <v>3</v>
      </c>
      <c r="B1488">
        <v>0.14918414918414899</v>
      </c>
      <c r="D1488">
        <v>5</v>
      </c>
      <c r="E1488">
        <f t="shared" si="23"/>
        <v>4.4084693149242044E-2</v>
      </c>
    </row>
    <row r="1489" spans="1:5" x14ac:dyDescent="0.25">
      <c r="A1489">
        <v>3</v>
      </c>
      <c r="B1489">
        <v>2.7027027027027001E-2</v>
      </c>
      <c r="D1489">
        <v>5</v>
      </c>
      <c r="E1489">
        <f t="shared" si="23"/>
        <v>4.4084693149242044E-2</v>
      </c>
    </row>
    <row r="1490" spans="1:5" x14ac:dyDescent="0.25">
      <c r="A1490">
        <v>3</v>
      </c>
      <c r="B1490">
        <v>0.152</v>
      </c>
      <c r="D1490">
        <v>5</v>
      </c>
      <c r="E1490">
        <f t="shared" si="23"/>
        <v>4.4084693149242044E-2</v>
      </c>
    </row>
    <row r="1491" spans="1:5" x14ac:dyDescent="0.25">
      <c r="A1491">
        <v>3</v>
      </c>
      <c r="B1491">
        <v>-3.3033033033033003E-2</v>
      </c>
      <c r="D1491">
        <v>5</v>
      </c>
      <c r="E1491">
        <f t="shared" si="23"/>
        <v>4.4084693149242044E-2</v>
      </c>
    </row>
    <row r="1492" spans="1:5" x14ac:dyDescent="0.25">
      <c r="A1492">
        <v>3</v>
      </c>
      <c r="B1492">
        <v>0.15868263473053901</v>
      </c>
      <c r="D1492">
        <v>5</v>
      </c>
      <c r="E1492">
        <f t="shared" si="23"/>
        <v>4.4084693149242044E-2</v>
      </c>
    </row>
    <row r="1493" spans="1:5" x14ac:dyDescent="0.25">
      <c r="A1493">
        <v>3</v>
      </c>
      <c r="B1493">
        <v>6.6666666666666693E-2</v>
      </c>
      <c r="D1493">
        <v>5</v>
      </c>
      <c r="E1493">
        <f t="shared" si="23"/>
        <v>4.4084693149242044E-2</v>
      </c>
    </row>
    <row r="1494" spans="1:5" x14ac:dyDescent="0.25">
      <c r="A1494">
        <v>3</v>
      </c>
      <c r="B1494">
        <v>0.33</v>
      </c>
      <c r="D1494">
        <v>5</v>
      </c>
      <c r="E1494">
        <f t="shared" si="23"/>
        <v>4.4084693149242044E-2</v>
      </c>
    </row>
    <row r="1495" spans="1:5" x14ac:dyDescent="0.25">
      <c r="A1495">
        <v>3</v>
      </c>
      <c r="B1495">
        <v>-2.66666666666667E-3</v>
      </c>
      <c r="D1495">
        <v>5</v>
      </c>
      <c r="E1495">
        <f t="shared" si="23"/>
        <v>4.4084693149242044E-2</v>
      </c>
    </row>
    <row r="1496" spans="1:5" x14ac:dyDescent="0.25">
      <c r="A1496">
        <v>3</v>
      </c>
      <c r="B1496">
        <v>0.31733333333333302</v>
      </c>
      <c r="D1496">
        <v>5</v>
      </c>
      <c r="E1496">
        <f t="shared" si="23"/>
        <v>4.4084693149242044E-2</v>
      </c>
    </row>
    <row r="1497" spans="1:5" x14ac:dyDescent="0.25">
      <c r="A1497">
        <v>3</v>
      </c>
      <c r="B1497">
        <v>9.3333333333333296E-2</v>
      </c>
      <c r="D1497">
        <v>5</v>
      </c>
      <c r="E1497">
        <f t="shared" si="23"/>
        <v>4.4084693149242044E-2</v>
      </c>
    </row>
    <row r="1498" spans="1:5" x14ac:dyDescent="0.25">
      <c r="A1498">
        <v>3</v>
      </c>
      <c r="B1498">
        <v>0.33177570093457898</v>
      </c>
      <c r="D1498">
        <v>5</v>
      </c>
      <c r="E1498">
        <f t="shared" si="23"/>
        <v>4.4084693149242044E-2</v>
      </c>
    </row>
    <row r="1499" spans="1:5" x14ac:dyDescent="0.25">
      <c r="A1499">
        <v>3</v>
      </c>
      <c r="B1499">
        <v>0.44400000000000001</v>
      </c>
      <c r="D1499">
        <v>5</v>
      </c>
      <c r="E1499">
        <f t="shared" si="23"/>
        <v>4.4084693149242044E-2</v>
      </c>
    </row>
    <row r="1500" spans="1:5" x14ac:dyDescent="0.25">
      <c r="A1500">
        <v>3</v>
      </c>
      <c r="B1500">
        <v>7.4766355140186896E-2</v>
      </c>
      <c r="D1500">
        <v>5</v>
      </c>
      <c r="E1500">
        <f t="shared" si="23"/>
        <v>4.4084693149242044E-2</v>
      </c>
    </row>
    <row r="1501" spans="1:5" x14ac:dyDescent="0.25">
      <c r="A1501">
        <v>3</v>
      </c>
      <c r="B1501">
        <v>0.44289044289044299</v>
      </c>
      <c r="D1501">
        <v>5</v>
      </c>
      <c r="E1501">
        <f t="shared" si="23"/>
        <v>4.4084693149242044E-2</v>
      </c>
    </row>
    <row r="1502" spans="1:5" x14ac:dyDescent="0.25">
      <c r="A1502">
        <v>3</v>
      </c>
      <c r="B1502">
        <v>3.59281437125748E-2</v>
      </c>
      <c r="D1502">
        <v>5</v>
      </c>
      <c r="E1502">
        <f t="shared" si="23"/>
        <v>4.4084693149242044E-2</v>
      </c>
    </row>
    <row r="1503" spans="1:5" x14ac:dyDescent="0.25">
      <c r="A1503">
        <v>3</v>
      </c>
      <c r="B1503">
        <v>0.44</v>
      </c>
      <c r="D1503">
        <v>5</v>
      </c>
      <c r="E1503">
        <f t="shared" si="23"/>
        <v>4.4084693149242044E-2</v>
      </c>
    </row>
    <row r="1504" spans="1:5" x14ac:dyDescent="0.25">
      <c r="A1504">
        <v>3</v>
      </c>
      <c r="B1504">
        <v>8.4112149532710304E-2</v>
      </c>
      <c r="D1504">
        <v>5</v>
      </c>
      <c r="E1504">
        <f t="shared" si="23"/>
        <v>4.4084693149242044E-2</v>
      </c>
    </row>
    <row r="1505" spans="1:5" x14ac:dyDescent="0.25">
      <c r="A1505">
        <v>3</v>
      </c>
      <c r="B1505">
        <v>0.49333333333333301</v>
      </c>
      <c r="D1505">
        <v>5</v>
      </c>
      <c r="E1505">
        <f t="shared" si="23"/>
        <v>4.4084693149242044E-2</v>
      </c>
    </row>
    <row r="1506" spans="1:5" x14ac:dyDescent="0.25">
      <c r="A1506">
        <v>3</v>
      </c>
      <c r="B1506">
        <v>7.5075075075075104E-2</v>
      </c>
      <c r="D1506">
        <v>5</v>
      </c>
      <c r="E1506">
        <f t="shared" si="23"/>
        <v>4.4084693149242044E-2</v>
      </c>
    </row>
    <row r="1507" spans="1:5" x14ac:dyDescent="0.25">
      <c r="A1507">
        <v>3</v>
      </c>
      <c r="B1507">
        <v>0.401666666666667</v>
      </c>
      <c r="D1507">
        <v>5</v>
      </c>
      <c r="E1507">
        <f t="shared" si="23"/>
        <v>4.4084693149242044E-2</v>
      </c>
    </row>
    <row r="1508" spans="1:5" x14ac:dyDescent="0.25">
      <c r="A1508">
        <v>3</v>
      </c>
      <c r="B1508">
        <v>5.1999999999999998E-2</v>
      </c>
      <c r="D1508">
        <v>5</v>
      </c>
      <c r="E1508">
        <f t="shared" si="23"/>
        <v>4.4084693149242044E-2</v>
      </c>
    </row>
    <row r="1509" spans="1:5" x14ac:dyDescent="0.25">
      <c r="A1509">
        <v>3</v>
      </c>
      <c r="B1509">
        <v>0.64516129032258096</v>
      </c>
      <c r="D1509">
        <v>5</v>
      </c>
      <c r="E1509">
        <f t="shared" si="23"/>
        <v>4.4084693149242044E-2</v>
      </c>
    </row>
    <row r="1510" spans="1:5" x14ac:dyDescent="0.25">
      <c r="A1510">
        <v>3</v>
      </c>
      <c r="B1510">
        <v>5.60747663551402E-2</v>
      </c>
      <c r="D1510">
        <v>5</v>
      </c>
      <c r="E1510">
        <f t="shared" si="23"/>
        <v>4.4084693149242044E-2</v>
      </c>
    </row>
    <row r="1511" spans="1:5" x14ac:dyDescent="0.25">
      <c r="A1511">
        <v>3</v>
      </c>
      <c r="B1511">
        <v>0.65866666666666696</v>
      </c>
      <c r="D1511">
        <v>5</v>
      </c>
      <c r="E1511">
        <f t="shared" si="23"/>
        <v>4.4084693149242044E-2</v>
      </c>
    </row>
    <row r="1512" spans="1:5" x14ac:dyDescent="0.25">
      <c r="A1512">
        <v>3</v>
      </c>
      <c r="B1512">
        <v>0.109333333333333</v>
      </c>
      <c r="D1512">
        <v>5</v>
      </c>
      <c r="E1512">
        <f t="shared" si="23"/>
        <v>4.4084693149242044E-2</v>
      </c>
    </row>
    <row r="1513" spans="1:5" x14ac:dyDescent="0.25">
      <c r="A1513">
        <v>3</v>
      </c>
      <c r="B1513">
        <v>0.69736842105263197</v>
      </c>
      <c r="D1513">
        <v>5</v>
      </c>
      <c r="E1513">
        <f t="shared" si="23"/>
        <v>4.4084693149242044E-2</v>
      </c>
    </row>
    <row r="1514" spans="1:5" x14ac:dyDescent="0.25">
      <c r="A1514">
        <v>3</v>
      </c>
      <c r="B1514">
        <v>0.80412371134020599</v>
      </c>
      <c r="D1514">
        <v>5</v>
      </c>
      <c r="E1514">
        <f t="shared" si="23"/>
        <v>4.4084693149242044E-2</v>
      </c>
    </row>
    <row r="1515" spans="1:5" x14ac:dyDescent="0.25">
      <c r="A1515">
        <v>3</v>
      </c>
      <c r="B1515">
        <v>0.154</v>
      </c>
      <c r="D1515">
        <v>5</v>
      </c>
      <c r="E1515">
        <f t="shared" si="23"/>
        <v>4.4084693149242044E-2</v>
      </c>
    </row>
    <row r="1516" spans="1:5" x14ac:dyDescent="0.25">
      <c r="A1516">
        <v>3</v>
      </c>
      <c r="B1516">
        <v>0.76200000000000001</v>
      </c>
      <c r="D1516">
        <v>5</v>
      </c>
      <c r="E1516">
        <f t="shared" si="23"/>
        <v>4.4084693149242044E-2</v>
      </c>
    </row>
    <row r="1517" spans="1:5" x14ac:dyDescent="0.25">
      <c r="A1517">
        <v>3</v>
      </c>
      <c r="B1517">
        <v>0.86399999999999999</v>
      </c>
      <c r="D1517">
        <v>5</v>
      </c>
      <c r="E1517">
        <f t="shared" si="23"/>
        <v>4.4084693149242044E-2</v>
      </c>
    </row>
    <row r="1518" spans="1:5" x14ac:dyDescent="0.25">
      <c r="A1518">
        <v>3</v>
      </c>
      <c r="B1518">
        <v>0.18414918414918399</v>
      </c>
      <c r="D1518">
        <v>5</v>
      </c>
      <c r="E1518">
        <f t="shared" si="23"/>
        <v>4.4084693149242044E-2</v>
      </c>
    </row>
    <row r="1519" spans="1:5" x14ac:dyDescent="0.25">
      <c r="A1519">
        <v>3</v>
      </c>
      <c r="B1519">
        <v>1</v>
      </c>
      <c r="D1519">
        <v>5</v>
      </c>
      <c r="E1519">
        <f t="shared" si="23"/>
        <v>4.4084693149242044E-2</v>
      </c>
    </row>
    <row r="1520" spans="1:5" x14ac:dyDescent="0.25">
      <c r="A1520">
        <v>3</v>
      </c>
      <c r="B1520">
        <v>0.14399999999999999</v>
      </c>
      <c r="D1520">
        <v>5</v>
      </c>
      <c r="E1520">
        <f t="shared" si="23"/>
        <v>4.4084693149242044E-2</v>
      </c>
    </row>
    <row r="1521" spans="1:5" x14ac:dyDescent="0.25">
      <c r="A1521">
        <v>3</v>
      </c>
      <c r="B1521">
        <v>7.5999999999999998E-2</v>
      </c>
      <c r="D1521">
        <v>5</v>
      </c>
      <c r="E1521">
        <f t="shared" si="23"/>
        <v>4.4084693149242044E-2</v>
      </c>
    </row>
    <row r="1522" spans="1:5" x14ac:dyDescent="0.25">
      <c r="A1522">
        <v>3</v>
      </c>
      <c r="B1522">
        <v>-2.69461077844311E-2</v>
      </c>
      <c r="D1522">
        <v>5</v>
      </c>
      <c r="E1522">
        <f t="shared" si="23"/>
        <v>4.4084693149242044E-2</v>
      </c>
    </row>
    <row r="1523" spans="1:5" x14ac:dyDescent="0.25">
      <c r="A1523">
        <v>3</v>
      </c>
      <c r="B1523">
        <v>3.4000000000000002E-2</v>
      </c>
      <c r="D1523">
        <v>5</v>
      </c>
      <c r="E1523">
        <f t="shared" si="23"/>
        <v>4.4084693149242044E-2</v>
      </c>
    </row>
    <row r="1524" spans="1:5" x14ac:dyDescent="0.25">
      <c r="A1524">
        <v>3</v>
      </c>
      <c r="B1524">
        <v>-6.3333333333333297E-2</v>
      </c>
      <c r="D1524">
        <v>5</v>
      </c>
      <c r="E1524">
        <f t="shared" si="23"/>
        <v>4.4084693149242044E-2</v>
      </c>
    </row>
    <row r="1525" spans="1:5" x14ac:dyDescent="0.25">
      <c r="A1525">
        <v>3</v>
      </c>
      <c r="B1525">
        <v>-3.46666666666667E-2</v>
      </c>
      <c r="D1525">
        <v>5</v>
      </c>
      <c r="E1525">
        <f t="shared" si="23"/>
        <v>4.4084693149242044E-2</v>
      </c>
    </row>
    <row r="1526" spans="1:5" x14ac:dyDescent="0.25">
      <c r="A1526">
        <v>3</v>
      </c>
      <c r="B1526">
        <v>0.24468085106383</v>
      </c>
      <c r="D1526">
        <v>5</v>
      </c>
      <c r="E1526">
        <f t="shared" si="23"/>
        <v>4.4084693149242044E-2</v>
      </c>
    </row>
    <row r="1527" spans="1:5" x14ac:dyDescent="0.25">
      <c r="A1527">
        <v>3</v>
      </c>
      <c r="B1527">
        <v>0.17499999999999999</v>
      </c>
      <c r="D1527">
        <v>5</v>
      </c>
      <c r="E1527">
        <f t="shared" si="23"/>
        <v>4.4084693149242044E-2</v>
      </c>
    </row>
    <row r="1528" spans="1:5" x14ac:dyDescent="0.25">
      <c r="A1528">
        <v>3</v>
      </c>
      <c r="B1528">
        <v>3.0030030030029999E-3</v>
      </c>
      <c r="D1528">
        <v>5</v>
      </c>
      <c r="E1528">
        <f t="shared" si="23"/>
        <v>4.4084693149242044E-2</v>
      </c>
    </row>
    <row r="1529" spans="1:5" x14ac:dyDescent="0.25">
      <c r="A1529">
        <v>3</v>
      </c>
      <c r="B1529">
        <v>1</v>
      </c>
      <c r="D1529">
        <v>5</v>
      </c>
      <c r="E1529">
        <f t="shared" si="23"/>
        <v>4.4084693149242044E-2</v>
      </c>
    </row>
    <row r="1530" spans="1:5" x14ac:dyDescent="0.25">
      <c r="A1530">
        <v>3</v>
      </c>
      <c r="B1530">
        <v>-8.7999999999999995E-2</v>
      </c>
      <c r="D1530">
        <v>5</v>
      </c>
      <c r="E1530">
        <f t="shared" si="23"/>
        <v>4.4084693149242044E-2</v>
      </c>
    </row>
    <row r="1531" spans="1:5" x14ac:dyDescent="0.25">
      <c r="A1531">
        <v>3</v>
      </c>
      <c r="B1531">
        <v>8.1081081081081099E-2</v>
      </c>
      <c r="D1531">
        <v>5</v>
      </c>
      <c r="E1531">
        <f t="shared" si="23"/>
        <v>4.4084693149242044E-2</v>
      </c>
    </row>
    <row r="1532" spans="1:5" x14ac:dyDescent="0.25">
      <c r="A1532">
        <v>3</v>
      </c>
      <c r="B1532">
        <v>2.1333333333333301E-2</v>
      </c>
      <c r="D1532">
        <v>5</v>
      </c>
      <c r="E1532">
        <f t="shared" si="23"/>
        <v>4.4084693149242044E-2</v>
      </c>
    </row>
    <row r="1533" spans="1:5" x14ac:dyDescent="0.25">
      <c r="A1533">
        <v>3</v>
      </c>
      <c r="B1533">
        <v>0.126126126126126</v>
      </c>
      <c r="D1533">
        <v>5</v>
      </c>
      <c r="E1533">
        <f t="shared" si="23"/>
        <v>4.4084693149242044E-2</v>
      </c>
    </row>
    <row r="1534" spans="1:5" x14ac:dyDescent="0.25">
      <c r="A1534">
        <v>3</v>
      </c>
      <c r="B1534">
        <v>3.50467289719626E-2</v>
      </c>
      <c r="D1534">
        <v>5</v>
      </c>
      <c r="E1534">
        <f t="shared" si="23"/>
        <v>4.4084693149242044E-2</v>
      </c>
    </row>
    <row r="1535" spans="1:5" x14ac:dyDescent="0.25">
      <c r="A1535">
        <v>3</v>
      </c>
      <c r="B1535">
        <v>-0.04</v>
      </c>
      <c r="D1535">
        <v>5</v>
      </c>
      <c r="E1535">
        <f t="shared" si="23"/>
        <v>4.4084693149242044E-2</v>
      </c>
    </row>
    <row r="1536" spans="1:5" x14ac:dyDescent="0.25">
      <c r="A1536">
        <v>3</v>
      </c>
      <c r="B1536">
        <v>7.7333333333333296E-2</v>
      </c>
      <c r="D1536">
        <v>5</v>
      </c>
      <c r="E1536">
        <f t="shared" si="23"/>
        <v>4.4084693149242044E-2</v>
      </c>
    </row>
    <row r="1537" spans="1:5" x14ac:dyDescent="0.25">
      <c r="A1537">
        <v>3</v>
      </c>
      <c r="B1537">
        <v>3.03030303030303E-2</v>
      </c>
      <c r="D1537">
        <v>5</v>
      </c>
      <c r="E1537">
        <f t="shared" si="23"/>
        <v>4.4084693149242044E-2</v>
      </c>
    </row>
    <row r="1538" spans="1:5" x14ac:dyDescent="0.25">
      <c r="A1538">
        <v>3</v>
      </c>
      <c r="B1538">
        <v>2.9333333333333302E-2</v>
      </c>
      <c r="D1538">
        <v>5</v>
      </c>
      <c r="E1538">
        <f t="shared" si="23"/>
        <v>4.4084693149242044E-2</v>
      </c>
    </row>
    <row r="1539" spans="1:5" x14ac:dyDescent="0.25">
      <c r="A1539">
        <v>3</v>
      </c>
      <c r="B1539">
        <v>-5.1051051051051101E-2</v>
      </c>
      <c r="D1539">
        <v>5</v>
      </c>
      <c r="E1539">
        <f t="shared" ref="E1539:E1602" si="24">_xlfn.NORM.DIST(D1539, I$4,I$7,FALSE)</f>
        <v>4.4084693149242044E-2</v>
      </c>
    </row>
    <row r="1540" spans="1:5" x14ac:dyDescent="0.25">
      <c r="A1540">
        <v>3</v>
      </c>
      <c r="B1540">
        <v>-7.4666666666666701E-2</v>
      </c>
      <c r="D1540">
        <v>5</v>
      </c>
      <c r="E1540">
        <f t="shared" si="24"/>
        <v>4.4084693149242044E-2</v>
      </c>
    </row>
    <row r="1541" spans="1:5" x14ac:dyDescent="0.25">
      <c r="A1541">
        <v>3</v>
      </c>
      <c r="B1541">
        <v>-6.3063063063063099E-2</v>
      </c>
      <c r="D1541">
        <v>5</v>
      </c>
      <c r="E1541">
        <f t="shared" si="24"/>
        <v>4.4084693149242044E-2</v>
      </c>
    </row>
    <row r="1542" spans="1:5" x14ac:dyDescent="0.25">
      <c r="A1542">
        <v>3</v>
      </c>
      <c r="B1542">
        <v>-8.5333333333333303E-2</v>
      </c>
      <c r="D1542">
        <v>5</v>
      </c>
      <c r="E1542">
        <f t="shared" si="24"/>
        <v>4.4084693149242044E-2</v>
      </c>
    </row>
    <row r="1543" spans="1:5" x14ac:dyDescent="0.25">
      <c r="A1543">
        <v>3</v>
      </c>
      <c r="B1543">
        <v>-9.8360655737704902E-2</v>
      </c>
      <c r="D1543">
        <v>5</v>
      </c>
      <c r="E1543">
        <f t="shared" si="24"/>
        <v>4.4084693149242044E-2</v>
      </c>
    </row>
    <row r="1544" spans="1:5" x14ac:dyDescent="0.25">
      <c r="A1544">
        <v>3</v>
      </c>
      <c r="B1544">
        <v>1.8666666666666699E-2</v>
      </c>
      <c r="D1544">
        <v>5</v>
      </c>
      <c r="E1544">
        <f t="shared" si="24"/>
        <v>4.4084693149242044E-2</v>
      </c>
    </row>
    <row r="1545" spans="1:5" x14ac:dyDescent="0.25">
      <c r="A1545">
        <v>3</v>
      </c>
      <c r="B1545">
        <v>0</v>
      </c>
      <c r="D1545">
        <v>5</v>
      </c>
      <c r="E1545">
        <f t="shared" si="24"/>
        <v>4.4084693149242044E-2</v>
      </c>
    </row>
    <row r="1546" spans="1:5" x14ac:dyDescent="0.25">
      <c r="A1546">
        <v>3</v>
      </c>
      <c r="B1546">
        <v>4.1916167664670698E-2</v>
      </c>
      <c r="D1546">
        <v>5</v>
      </c>
      <c r="E1546">
        <f t="shared" si="24"/>
        <v>4.4084693149242044E-2</v>
      </c>
    </row>
    <row r="1547" spans="1:5" x14ac:dyDescent="0.25">
      <c r="A1547">
        <v>3</v>
      </c>
      <c r="B1547">
        <v>6.5268065268065306E-2</v>
      </c>
      <c r="D1547">
        <v>5</v>
      </c>
      <c r="E1547">
        <f t="shared" si="24"/>
        <v>4.4084693149242044E-2</v>
      </c>
    </row>
    <row r="1548" spans="1:5" x14ac:dyDescent="0.25">
      <c r="A1548">
        <v>3</v>
      </c>
      <c r="B1548">
        <v>9.3240093240093205E-3</v>
      </c>
      <c r="D1548">
        <v>5</v>
      </c>
      <c r="E1548">
        <f t="shared" si="24"/>
        <v>4.4084693149242044E-2</v>
      </c>
    </row>
    <row r="1549" spans="1:5" x14ac:dyDescent="0.25">
      <c r="A1549">
        <v>3</v>
      </c>
      <c r="B1549">
        <v>-0.112</v>
      </c>
      <c r="D1549">
        <v>5</v>
      </c>
      <c r="E1549">
        <f t="shared" si="24"/>
        <v>4.4084693149242044E-2</v>
      </c>
    </row>
    <row r="1550" spans="1:5" x14ac:dyDescent="0.25">
      <c r="A1550">
        <v>3</v>
      </c>
      <c r="B1550">
        <v>0.49397590361445798</v>
      </c>
      <c r="D1550">
        <v>5</v>
      </c>
      <c r="E1550">
        <f t="shared" si="24"/>
        <v>4.4084693149242044E-2</v>
      </c>
    </row>
    <row r="1551" spans="1:5" x14ac:dyDescent="0.25">
      <c r="A1551">
        <v>3</v>
      </c>
      <c r="B1551">
        <v>-0.21962616822429901</v>
      </c>
      <c r="D1551">
        <v>5</v>
      </c>
      <c r="E1551">
        <f t="shared" si="24"/>
        <v>4.4084693149242044E-2</v>
      </c>
    </row>
    <row r="1552" spans="1:5" x14ac:dyDescent="0.25">
      <c r="A1552">
        <v>3</v>
      </c>
      <c r="B1552">
        <v>1</v>
      </c>
      <c r="D1552">
        <v>5</v>
      </c>
      <c r="E1552">
        <f t="shared" si="24"/>
        <v>4.4084693149242044E-2</v>
      </c>
    </row>
    <row r="1553" spans="1:5" x14ac:dyDescent="0.25">
      <c r="A1553">
        <v>3</v>
      </c>
      <c r="B1553">
        <v>0.03</v>
      </c>
      <c r="D1553">
        <v>5</v>
      </c>
      <c r="E1553">
        <f t="shared" si="24"/>
        <v>4.4084693149242044E-2</v>
      </c>
    </row>
    <row r="1554" spans="1:5" x14ac:dyDescent="0.25">
      <c r="A1554">
        <v>3</v>
      </c>
      <c r="B1554">
        <v>-0.21621621621621601</v>
      </c>
      <c r="D1554">
        <v>5</v>
      </c>
      <c r="E1554">
        <f t="shared" si="24"/>
        <v>4.4084693149242044E-2</v>
      </c>
    </row>
    <row r="1555" spans="1:5" x14ac:dyDescent="0.25">
      <c r="A1555">
        <v>3</v>
      </c>
      <c r="B1555">
        <v>0.01</v>
      </c>
      <c r="D1555">
        <v>5</v>
      </c>
      <c r="E1555">
        <f t="shared" si="24"/>
        <v>4.4084693149242044E-2</v>
      </c>
    </row>
    <row r="1556" spans="1:5" x14ac:dyDescent="0.25">
      <c r="A1556">
        <v>3</v>
      </c>
      <c r="B1556">
        <v>8.3832335329341298E-2</v>
      </c>
      <c r="D1556">
        <v>5</v>
      </c>
      <c r="E1556">
        <f t="shared" si="24"/>
        <v>4.4084693149242044E-2</v>
      </c>
    </row>
    <row r="1557" spans="1:5" x14ac:dyDescent="0.25">
      <c r="A1557">
        <v>3</v>
      </c>
      <c r="B1557">
        <v>0.13500000000000001</v>
      </c>
      <c r="D1557">
        <v>5</v>
      </c>
      <c r="E1557">
        <f t="shared" si="24"/>
        <v>4.4084693149242044E-2</v>
      </c>
    </row>
    <row r="1558" spans="1:5" x14ac:dyDescent="0.25">
      <c r="A1558">
        <v>3</v>
      </c>
      <c r="B1558">
        <v>0.114114114114114</v>
      </c>
      <c r="D1558">
        <v>5</v>
      </c>
      <c r="E1558">
        <f t="shared" si="24"/>
        <v>4.4084693149242044E-2</v>
      </c>
    </row>
    <row r="1559" spans="1:5" x14ac:dyDescent="0.25">
      <c r="A1559">
        <v>3</v>
      </c>
      <c r="B1559">
        <v>-0.36</v>
      </c>
      <c r="D1559">
        <v>5</v>
      </c>
      <c r="E1559">
        <f t="shared" si="24"/>
        <v>4.4084693149242044E-2</v>
      </c>
    </row>
    <row r="1560" spans="1:5" x14ac:dyDescent="0.25">
      <c r="A1560">
        <v>3</v>
      </c>
      <c r="B1560">
        <v>-0.32400000000000001</v>
      </c>
      <c r="D1560">
        <v>5</v>
      </c>
      <c r="E1560">
        <f t="shared" si="24"/>
        <v>4.4084693149242044E-2</v>
      </c>
    </row>
    <row r="1561" spans="1:5" x14ac:dyDescent="0.25">
      <c r="A1561">
        <v>3</v>
      </c>
      <c r="B1561">
        <v>-2.9333333333333302E-2</v>
      </c>
      <c r="D1561">
        <v>5</v>
      </c>
      <c r="E1561">
        <f t="shared" si="24"/>
        <v>4.4084693149242044E-2</v>
      </c>
    </row>
    <row r="1562" spans="1:5" x14ac:dyDescent="0.25">
      <c r="A1562">
        <v>3</v>
      </c>
      <c r="B1562">
        <v>-0.26806526806526798</v>
      </c>
      <c r="D1562">
        <v>5</v>
      </c>
      <c r="E1562">
        <f t="shared" si="24"/>
        <v>4.4084693149242044E-2</v>
      </c>
    </row>
    <row r="1563" spans="1:5" x14ac:dyDescent="0.25">
      <c r="A1563">
        <v>3</v>
      </c>
      <c r="B1563">
        <v>-0.03</v>
      </c>
      <c r="D1563">
        <v>5</v>
      </c>
      <c r="E1563">
        <f t="shared" si="24"/>
        <v>4.4084693149242044E-2</v>
      </c>
    </row>
    <row r="1564" spans="1:5" x14ac:dyDescent="0.25">
      <c r="A1564">
        <v>3</v>
      </c>
      <c r="B1564">
        <v>0.18</v>
      </c>
      <c r="D1564">
        <v>5</v>
      </c>
      <c r="E1564">
        <f t="shared" si="24"/>
        <v>4.4084693149242044E-2</v>
      </c>
    </row>
    <row r="1565" spans="1:5" x14ac:dyDescent="0.25">
      <c r="A1565">
        <v>3</v>
      </c>
      <c r="B1565">
        <v>0.71199999999999997</v>
      </c>
      <c r="D1565">
        <v>5</v>
      </c>
      <c r="E1565">
        <f t="shared" si="24"/>
        <v>4.4084693149242044E-2</v>
      </c>
    </row>
    <row r="1566" spans="1:5" x14ac:dyDescent="0.25">
      <c r="A1566">
        <v>3</v>
      </c>
      <c r="B1566">
        <v>5.5944055944055902E-2</v>
      </c>
      <c r="D1566">
        <v>5</v>
      </c>
      <c r="E1566">
        <f t="shared" si="24"/>
        <v>4.4084693149242044E-2</v>
      </c>
    </row>
    <row r="1567" spans="1:5" x14ac:dyDescent="0.25">
      <c r="A1567">
        <v>3</v>
      </c>
      <c r="B1567">
        <v>1</v>
      </c>
      <c r="D1567">
        <v>5</v>
      </c>
      <c r="E1567">
        <f t="shared" si="24"/>
        <v>4.4084693149242044E-2</v>
      </c>
    </row>
    <row r="1568" spans="1:5" x14ac:dyDescent="0.25">
      <c r="A1568">
        <v>3</v>
      </c>
      <c r="B1568">
        <v>0.54054054054054101</v>
      </c>
      <c r="D1568">
        <v>5</v>
      </c>
      <c r="E1568">
        <f t="shared" si="24"/>
        <v>4.4084693149242044E-2</v>
      </c>
    </row>
    <row r="1569" spans="1:5" x14ac:dyDescent="0.25">
      <c r="A1569">
        <v>3</v>
      </c>
      <c r="B1569">
        <v>5.86666666666667E-2</v>
      </c>
      <c r="D1569">
        <v>5</v>
      </c>
      <c r="E1569">
        <f t="shared" si="24"/>
        <v>4.4084693149242044E-2</v>
      </c>
    </row>
    <row r="1570" spans="1:5" x14ac:dyDescent="0.25">
      <c r="A1570">
        <v>3</v>
      </c>
      <c r="B1570">
        <v>0.152</v>
      </c>
      <c r="D1570">
        <v>5</v>
      </c>
      <c r="E1570">
        <f t="shared" si="24"/>
        <v>4.4084693149242044E-2</v>
      </c>
    </row>
    <row r="1571" spans="1:5" x14ac:dyDescent="0.25">
      <c r="A1571">
        <v>3</v>
      </c>
      <c r="B1571">
        <v>7.5075075075075104E-2</v>
      </c>
      <c r="D1571">
        <v>5</v>
      </c>
      <c r="E1571">
        <f t="shared" si="24"/>
        <v>4.4084693149242044E-2</v>
      </c>
    </row>
    <row r="1572" spans="1:5" x14ac:dyDescent="0.25">
      <c r="A1572">
        <v>3</v>
      </c>
      <c r="B1572">
        <v>0.34399999999999997</v>
      </c>
      <c r="D1572">
        <v>5</v>
      </c>
      <c r="E1572">
        <f t="shared" si="24"/>
        <v>4.4084693149242044E-2</v>
      </c>
    </row>
    <row r="1573" spans="1:5" x14ac:dyDescent="0.25">
      <c r="A1573">
        <v>3</v>
      </c>
      <c r="B1573">
        <v>2.7027027027027001E-2</v>
      </c>
      <c r="D1573">
        <v>5</v>
      </c>
      <c r="E1573">
        <f t="shared" si="24"/>
        <v>4.4084693149242044E-2</v>
      </c>
    </row>
    <row r="1574" spans="1:5" x14ac:dyDescent="0.25">
      <c r="A1574">
        <v>3</v>
      </c>
      <c r="B1574">
        <v>0.52600000000000002</v>
      </c>
      <c r="D1574">
        <v>5</v>
      </c>
      <c r="E1574">
        <f t="shared" si="24"/>
        <v>4.4084693149242044E-2</v>
      </c>
    </row>
    <row r="1575" spans="1:5" x14ac:dyDescent="0.25">
      <c r="A1575">
        <v>3</v>
      </c>
      <c r="B1575">
        <v>8.0838323353293398E-2</v>
      </c>
      <c r="D1575">
        <v>5</v>
      </c>
      <c r="E1575">
        <f t="shared" si="24"/>
        <v>4.4084693149242044E-2</v>
      </c>
    </row>
    <row r="1576" spans="1:5" x14ac:dyDescent="0.25">
      <c r="A1576">
        <v>3</v>
      </c>
      <c r="B1576">
        <v>0.59906759906759899</v>
      </c>
      <c r="D1576">
        <v>5</v>
      </c>
      <c r="E1576">
        <f t="shared" si="24"/>
        <v>4.4084693149242044E-2</v>
      </c>
    </row>
    <row r="1577" spans="1:5" x14ac:dyDescent="0.25">
      <c r="A1577">
        <v>3</v>
      </c>
      <c r="B1577">
        <v>4.8000000000000001E-2</v>
      </c>
      <c r="D1577">
        <v>5</v>
      </c>
      <c r="E1577">
        <f t="shared" si="24"/>
        <v>4.4084693149242044E-2</v>
      </c>
    </row>
    <row r="1578" spans="1:5" x14ac:dyDescent="0.25">
      <c r="A1578">
        <v>3</v>
      </c>
      <c r="B1578">
        <v>0.55932203389830504</v>
      </c>
      <c r="D1578">
        <v>5</v>
      </c>
      <c r="E1578">
        <f t="shared" si="24"/>
        <v>4.4084693149242044E-2</v>
      </c>
    </row>
    <row r="1579" spans="1:5" x14ac:dyDescent="0.25">
      <c r="A1579">
        <v>3</v>
      </c>
      <c r="B1579">
        <v>0.48948948948949</v>
      </c>
      <c r="D1579">
        <v>5</v>
      </c>
      <c r="E1579">
        <f t="shared" si="24"/>
        <v>4.4084693149242044E-2</v>
      </c>
    </row>
    <row r="1580" spans="1:5" x14ac:dyDescent="0.25">
      <c r="A1580">
        <v>3</v>
      </c>
      <c r="B1580">
        <v>5.6000000000000001E-2</v>
      </c>
      <c r="D1580">
        <v>5</v>
      </c>
      <c r="E1580">
        <f t="shared" si="24"/>
        <v>4.4084693149242044E-2</v>
      </c>
    </row>
    <row r="1581" spans="1:5" x14ac:dyDescent="0.25">
      <c r="A1581">
        <v>3</v>
      </c>
      <c r="B1581">
        <v>0.56799999999999995</v>
      </c>
      <c r="D1581">
        <v>5</v>
      </c>
      <c r="E1581">
        <f t="shared" si="24"/>
        <v>4.4084693149242044E-2</v>
      </c>
    </row>
    <row r="1582" spans="1:5" x14ac:dyDescent="0.25">
      <c r="A1582">
        <v>3</v>
      </c>
      <c r="B1582">
        <v>0.04</v>
      </c>
      <c r="D1582">
        <v>5</v>
      </c>
      <c r="E1582">
        <f t="shared" si="24"/>
        <v>4.4084693149242044E-2</v>
      </c>
    </row>
    <row r="1583" spans="1:5" x14ac:dyDescent="0.25">
      <c r="A1583">
        <v>3</v>
      </c>
      <c r="B1583">
        <v>0.76</v>
      </c>
      <c r="D1583">
        <v>5</v>
      </c>
      <c r="E1583">
        <f t="shared" si="24"/>
        <v>4.4084693149242044E-2</v>
      </c>
    </row>
    <row r="1584" spans="1:5" x14ac:dyDescent="0.25">
      <c r="A1584">
        <v>3</v>
      </c>
      <c r="B1584">
        <v>1</v>
      </c>
      <c r="D1584">
        <v>5</v>
      </c>
      <c r="E1584">
        <f t="shared" si="24"/>
        <v>4.4084693149242044E-2</v>
      </c>
    </row>
    <row r="1585" spans="1:5" x14ac:dyDescent="0.25">
      <c r="A1585">
        <v>3</v>
      </c>
      <c r="B1585">
        <v>-0.20279720279720301</v>
      </c>
      <c r="D1585">
        <v>5</v>
      </c>
      <c r="E1585">
        <f t="shared" si="24"/>
        <v>4.4084693149242044E-2</v>
      </c>
    </row>
    <row r="1586" spans="1:5" x14ac:dyDescent="0.25">
      <c r="A1586">
        <v>3</v>
      </c>
      <c r="B1586">
        <v>-0.117117117117117</v>
      </c>
      <c r="D1586">
        <v>5</v>
      </c>
      <c r="E1586">
        <f t="shared" si="24"/>
        <v>4.4084693149242044E-2</v>
      </c>
    </row>
    <row r="1587" spans="1:5" x14ac:dyDescent="0.25">
      <c r="A1587">
        <v>3</v>
      </c>
      <c r="B1587">
        <v>3.3033033033033003E-2</v>
      </c>
      <c r="D1587">
        <v>5</v>
      </c>
      <c r="E1587">
        <f t="shared" si="24"/>
        <v>4.4084693149242044E-2</v>
      </c>
    </row>
    <row r="1588" spans="1:5" x14ac:dyDescent="0.25">
      <c r="A1588">
        <v>3</v>
      </c>
      <c r="B1588">
        <v>-0.08</v>
      </c>
      <c r="D1588">
        <v>5</v>
      </c>
      <c r="E1588">
        <f t="shared" si="24"/>
        <v>4.4084693149242044E-2</v>
      </c>
    </row>
    <row r="1589" spans="1:5" x14ac:dyDescent="0.25">
      <c r="A1589">
        <v>3</v>
      </c>
      <c r="B1589">
        <v>9.6096096096096095E-2</v>
      </c>
      <c r="D1589">
        <v>5</v>
      </c>
      <c r="E1589">
        <f t="shared" si="24"/>
        <v>4.4084693149242044E-2</v>
      </c>
    </row>
    <row r="1590" spans="1:5" x14ac:dyDescent="0.25">
      <c r="A1590">
        <v>3</v>
      </c>
      <c r="B1590">
        <v>3.4000000000000002E-2</v>
      </c>
      <c r="D1590">
        <v>5</v>
      </c>
      <c r="E1590">
        <f t="shared" si="24"/>
        <v>4.4084693149242044E-2</v>
      </c>
    </row>
    <row r="1591" spans="1:5" x14ac:dyDescent="0.25">
      <c r="A1591">
        <v>3</v>
      </c>
      <c r="B1591">
        <v>-6.0060060060060101E-2</v>
      </c>
      <c r="D1591">
        <v>5</v>
      </c>
      <c r="E1591">
        <f t="shared" si="24"/>
        <v>4.4084693149242044E-2</v>
      </c>
    </row>
    <row r="1592" spans="1:5" x14ac:dyDescent="0.25">
      <c r="A1592">
        <v>3</v>
      </c>
      <c r="B1592">
        <v>4.5999999999999999E-2</v>
      </c>
      <c r="D1592">
        <v>5</v>
      </c>
      <c r="E1592">
        <f t="shared" si="24"/>
        <v>4.4084693149242044E-2</v>
      </c>
    </row>
    <row r="1593" spans="1:5" x14ac:dyDescent="0.25">
      <c r="A1593">
        <v>3</v>
      </c>
      <c r="B1593">
        <v>4.6620046620046603E-3</v>
      </c>
      <c r="D1593">
        <v>5</v>
      </c>
      <c r="E1593">
        <f t="shared" si="24"/>
        <v>4.4084693149242044E-2</v>
      </c>
    </row>
    <row r="1594" spans="1:5" x14ac:dyDescent="0.25">
      <c r="A1594">
        <v>3</v>
      </c>
      <c r="B1594">
        <v>-5.4054054054054099E-2</v>
      </c>
      <c r="D1594">
        <v>5</v>
      </c>
      <c r="E1594">
        <f t="shared" si="24"/>
        <v>4.4084693149242044E-2</v>
      </c>
    </row>
    <row r="1595" spans="1:5" x14ac:dyDescent="0.25">
      <c r="A1595">
        <v>3</v>
      </c>
      <c r="B1595">
        <v>1.0666666666666699E-2</v>
      </c>
      <c r="D1595">
        <v>5</v>
      </c>
      <c r="E1595">
        <f t="shared" si="24"/>
        <v>4.4084693149242044E-2</v>
      </c>
    </row>
    <row r="1596" spans="1:5" x14ac:dyDescent="0.25">
      <c r="A1596">
        <v>3</v>
      </c>
      <c r="B1596">
        <v>-9.4E-2</v>
      </c>
      <c r="D1596">
        <v>5</v>
      </c>
      <c r="E1596">
        <f t="shared" si="24"/>
        <v>4.4084693149242044E-2</v>
      </c>
    </row>
    <row r="1597" spans="1:5" x14ac:dyDescent="0.25">
      <c r="A1597">
        <v>3</v>
      </c>
      <c r="B1597">
        <v>-1.0666666666666699E-2</v>
      </c>
      <c r="D1597">
        <v>5</v>
      </c>
      <c r="E1597">
        <f t="shared" si="24"/>
        <v>4.4084693149242044E-2</v>
      </c>
    </row>
    <row r="1598" spans="1:5" x14ac:dyDescent="0.25">
      <c r="A1598">
        <v>3</v>
      </c>
      <c r="B1598">
        <v>-0.21</v>
      </c>
      <c r="D1598">
        <v>5</v>
      </c>
      <c r="E1598">
        <f t="shared" si="24"/>
        <v>4.4084693149242044E-2</v>
      </c>
    </row>
    <row r="1599" spans="1:5" x14ac:dyDescent="0.25">
      <c r="A1599">
        <v>3</v>
      </c>
      <c r="B1599">
        <v>-2.66666666666667E-3</v>
      </c>
      <c r="D1599">
        <v>5</v>
      </c>
      <c r="E1599">
        <f t="shared" si="24"/>
        <v>4.4084693149242044E-2</v>
      </c>
    </row>
    <row r="1600" spans="1:5" x14ac:dyDescent="0.25">
      <c r="A1600">
        <v>3</v>
      </c>
      <c r="B1600">
        <v>-6.0060060060060103E-3</v>
      </c>
      <c r="D1600">
        <v>5</v>
      </c>
      <c r="E1600">
        <f t="shared" si="24"/>
        <v>4.4084693149242044E-2</v>
      </c>
    </row>
    <row r="1601" spans="1:5" x14ac:dyDescent="0.25">
      <c r="A1601">
        <v>3</v>
      </c>
      <c r="B1601">
        <v>2.09580838323353E-2</v>
      </c>
      <c r="D1601">
        <v>5</v>
      </c>
      <c r="E1601">
        <f t="shared" si="24"/>
        <v>4.4084693149242044E-2</v>
      </c>
    </row>
    <row r="1602" spans="1:5" x14ac:dyDescent="0.25">
      <c r="A1602">
        <v>3</v>
      </c>
      <c r="B1602">
        <v>-9.2814371257484998E-2</v>
      </c>
      <c r="D1602">
        <v>5</v>
      </c>
      <c r="E1602">
        <f t="shared" si="24"/>
        <v>4.4084693149242044E-2</v>
      </c>
    </row>
    <row r="1603" spans="1:5" x14ac:dyDescent="0.25">
      <c r="A1603">
        <v>3</v>
      </c>
      <c r="B1603">
        <v>-3.4965034965035002E-2</v>
      </c>
      <c r="D1603">
        <v>5</v>
      </c>
      <c r="E1603">
        <f t="shared" ref="E1603:E1666" si="25">_xlfn.NORM.DIST(D1603, I$4,I$7,FALSE)</f>
        <v>4.4084693149242044E-2</v>
      </c>
    </row>
    <row r="1604" spans="1:5" x14ac:dyDescent="0.25">
      <c r="A1604">
        <v>3</v>
      </c>
      <c r="B1604">
        <v>-3.2000000000000001E-2</v>
      </c>
      <c r="D1604">
        <v>5</v>
      </c>
      <c r="E1604">
        <f t="shared" si="25"/>
        <v>4.4084693149242044E-2</v>
      </c>
    </row>
    <row r="1605" spans="1:5" x14ac:dyDescent="0.25">
      <c r="A1605">
        <v>3</v>
      </c>
      <c r="B1605">
        <v>-4.2042042042041997E-2</v>
      </c>
      <c r="D1605">
        <v>5</v>
      </c>
      <c r="E1605">
        <f t="shared" si="25"/>
        <v>4.4084693149242044E-2</v>
      </c>
    </row>
    <row r="1606" spans="1:5" x14ac:dyDescent="0.25">
      <c r="A1606">
        <v>3</v>
      </c>
      <c r="B1606">
        <v>1.4018691588785E-2</v>
      </c>
      <c r="D1606">
        <v>5</v>
      </c>
      <c r="E1606">
        <f t="shared" si="25"/>
        <v>4.4084693149242044E-2</v>
      </c>
    </row>
    <row r="1607" spans="1:5" x14ac:dyDescent="0.25">
      <c r="A1607">
        <v>3</v>
      </c>
      <c r="B1607">
        <v>-4.8951048951049E-2</v>
      </c>
      <c r="D1607">
        <v>5</v>
      </c>
      <c r="E1607">
        <f t="shared" si="25"/>
        <v>4.4084693149242044E-2</v>
      </c>
    </row>
    <row r="1608" spans="1:5" x14ac:dyDescent="0.25">
      <c r="A1608">
        <v>3</v>
      </c>
      <c r="B1608">
        <v>2.0979020979021001E-2</v>
      </c>
      <c r="D1608">
        <v>5</v>
      </c>
      <c r="E1608">
        <f t="shared" si="25"/>
        <v>4.4084693149242044E-2</v>
      </c>
    </row>
    <row r="1609" spans="1:5" x14ac:dyDescent="0.25">
      <c r="A1609">
        <v>3</v>
      </c>
      <c r="B1609">
        <v>7.0000000000000007E-2</v>
      </c>
      <c r="D1609">
        <v>5</v>
      </c>
      <c r="E1609">
        <f t="shared" si="25"/>
        <v>4.4084693149242044E-2</v>
      </c>
    </row>
    <row r="1610" spans="1:5" x14ac:dyDescent="0.25">
      <c r="A1610">
        <v>3</v>
      </c>
      <c r="B1610">
        <v>-2.80373831775701E-2</v>
      </c>
      <c r="D1610">
        <v>5</v>
      </c>
      <c r="E1610">
        <f t="shared" si="25"/>
        <v>4.4084693149242044E-2</v>
      </c>
    </row>
    <row r="1611" spans="1:5" x14ac:dyDescent="0.25">
      <c r="A1611">
        <v>3</v>
      </c>
      <c r="B1611">
        <v>0.12</v>
      </c>
      <c r="D1611">
        <v>5</v>
      </c>
      <c r="E1611">
        <f t="shared" si="25"/>
        <v>4.4084693149242044E-2</v>
      </c>
    </row>
    <row r="1612" spans="1:5" x14ac:dyDescent="0.25">
      <c r="A1612">
        <v>3</v>
      </c>
      <c r="B1612">
        <v>-6.6666666666666693E-2</v>
      </c>
      <c r="D1612">
        <v>5</v>
      </c>
      <c r="E1612">
        <f t="shared" si="25"/>
        <v>4.4084693149242044E-2</v>
      </c>
    </row>
    <row r="1613" spans="1:5" x14ac:dyDescent="0.25">
      <c r="A1613">
        <v>3</v>
      </c>
      <c r="B1613">
        <v>0.126984126984127</v>
      </c>
      <c r="D1613">
        <v>5</v>
      </c>
      <c r="E1613">
        <f t="shared" si="25"/>
        <v>4.4084693149242044E-2</v>
      </c>
    </row>
    <row r="1614" spans="1:5" x14ac:dyDescent="0.25">
      <c r="A1614">
        <v>3</v>
      </c>
      <c r="B1614">
        <v>-0.12</v>
      </c>
      <c r="D1614">
        <v>5</v>
      </c>
      <c r="E1614">
        <f t="shared" si="25"/>
        <v>4.4084693149242044E-2</v>
      </c>
    </row>
    <row r="1615" spans="1:5" x14ac:dyDescent="0.25">
      <c r="A1615">
        <v>3</v>
      </c>
      <c r="B1615">
        <v>-5.6886227544910198E-2</v>
      </c>
      <c r="D1615">
        <v>5</v>
      </c>
      <c r="E1615">
        <f t="shared" si="25"/>
        <v>4.4084693149242044E-2</v>
      </c>
    </row>
    <row r="1616" spans="1:5" x14ac:dyDescent="0.25">
      <c r="A1616">
        <v>3</v>
      </c>
      <c r="B1616">
        <v>0.177215189873418</v>
      </c>
      <c r="D1616">
        <v>5</v>
      </c>
      <c r="E1616">
        <f t="shared" si="25"/>
        <v>4.4084693149242044E-2</v>
      </c>
    </row>
    <row r="1617" spans="1:5" x14ac:dyDescent="0.25">
      <c r="A1617">
        <v>3</v>
      </c>
      <c r="B1617">
        <v>-0.114666666666667</v>
      </c>
      <c r="D1617">
        <v>5</v>
      </c>
      <c r="E1617">
        <f t="shared" si="25"/>
        <v>4.4084693149242044E-2</v>
      </c>
    </row>
    <row r="1618" spans="1:5" x14ac:dyDescent="0.25">
      <c r="A1618">
        <v>3</v>
      </c>
      <c r="B1618">
        <v>1</v>
      </c>
      <c r="D1618">
        <v>5</v>
      </c>
      <c r="E1618">
        <f t="shared" si="25"/>
        <v>4.4084693149242044E-2</v>
      </c>
    </row>
    <row r="1619" spans="1:5" x14ac:dyDescent="0.25">
      <c r="A1619">
        <v>3</v>
      </c>
      <c r="B1619">
        <v>0.135135135135135</v>
      </c>
      <c r="D1619">
        <v>5</v>
      </c>
      <c r="E1619">
        <f t="shared" si="25"/>
        <v>4.4084693149242044E-2</v>
      </c>
    </row>
    <row r="1620" spans="1:5" x14ac:dyDescent="0.25">
      <c r="A1620">
        <v>3</v>
      </c>
      <c r="B1620">
        <v>-0.16816816816816799</v>
      </c>
      <c r="D1620">
        <v>5</v>
      </c>
      <c r="E1620">
        <f t="shared" si="25"/>
        <v>4.4084693149242044E-2</v>
      </c>
    </row>
    <row r="1621" spans="1:5" x14ac:dyDescent="0.25">
      <c r="A1621">
        <v>3</v>
      </c>
      <c r="B1621">
        <v>-2.09580838323353E-2</v>
      </c>
      <c r="D1621">
        <v>5</v>
      </c>
      <c r="E1621">
        <f t="shared" si="25"/>
        <v>4.4084693149242044E-2</v>
      </c>
    </row>
    <row r="1622" spans="1:5" x14ac:dyDescent="0.25">
      <c r="A1622">
        <v>3</v>
      </c>
      <c r="B1622">
        <v>-4.1958041958042001E-2</v>
      </c>
      <c r="D1622">
        <v>5</v>
      </c>
      <c r="E1622">
        <f t="shared" si="25"/>
        <v>4.4084693149242044E-2</v>
      </c>
    </row>
    <row r="1623" spans="1:5" x14ac:dyDescent="0.25">
      <c r="A1623">
        <v>3</v>
      </c>
      <c r="B1623">
        <v>-0.116550116550117</v>
      </c>
      <c r="D1623">
        <v>5</v>
      </c>
      <c r="E1623">
        <f t="shared" si="25"/>
        <v>4.4084693149242044E-2</v>
      </c>
    </row>
    <row r="1624" spans="1:5" x14ac:dyDescent="0.25">
      <c r="A1624">
        <v>3</v>
      </c>
      <c r="B1624">
        <v>-9.3333333333333296E-2</v>
      </c>
      <c r="D1624">
        <v>5</v>
      </c>
      <c r="E1624">
        <f t="shared" si="25"/>
        <v>4.4084693149242044E-2</v>
      </c>
    </row>
    <row r="1625" spans="1:5" x14ac:dyDescent="0.25">
      <c r="A1625">
        <v>3</v>
      </c>
      <c r="B1625">
        <v>-9.8666666666666694E-2</v>
      </c>
      <c r="D1625">
        <v>5</v>
      </c>
      <c r="E1625">
        <f t="shared" si="25"/>
        <v>4.4084693149242044E-2</v>
      </c>
    </row>
    <row r="1626" spans="1:5" x14ac:dyDescent="0.25">
      <c r="A1626">
        <v>3</v>
      </c>
      <c r="B1626">
        <v>-2.9940119760479E-2</v>
      </c>
      <c r="D1626">
        <v>5</v>
      </c>
      <c r="E1626">
        <f t="shared" si="25"/>
        <v>4.4084693149242044E-2</v>
      </c>
    </row>
    <row r="1627" spans="1:5" x14ac:dyDescent="0.25">
      <c r="A1627">
        <v>3</v>
      </c>
      <c r="B1627">
        <v>-5.1666666666666701E-2</v>
      </c>
      <c r="D1627">
        <v>5</v>
      </c>
      <c r="E1627">
        <f t="shared" si="25"/>
        <v>4.4084693149242044E-2</v>
      </c>
    </row>
    <row r="1628" spans="1:5" x14ac:dyDescent="0.25">
      <c r="A1628">
        <v>3</v>
      </c>
      <c r="B1628">
        <v>-0.101333333333333</v>
      </c>
      <c r="D1628">
        <v>5</v>
      </c>
      <c r="E1628">
        <f t="shared" si="25"/>
        <v>4.4084693149242044E-2</v>
      </c>
    </row>
    <row r="1629" spans="1:5" x14ac:dyDescent="0.25">
      <c r="A1629">
        <v>3</v>
      </c>
      <c r="B1629">
        <v>-3.03030303030303E-2</v>
      </c>
      <c r="D1629">
        <v>5</v>
      </c>
      <c r="E1629">
        <f t="shared" si="25"/>
        <v>4.4084693149242044E-2</v>
      </c>
    </row>
    <row r="1630" spans="1:5" x14ac:dyDescent="0.25">
      <c r="A1630">
        <v>3</v>
      </c>
      <c r="B1630">
        <v>0.13066666666666699</v>
      </c>
      <c r="D1630">
        <v>5</v>
      </c>
      <c r="E1630">
        <f t="shared" si="25"/>
        <v>4.4084693149242044E-2</v>
      </c>
    </row>
    <row r="1631" spans="1:5" x14ac:dyDescent="0.25">
      <c r="A1631">
        <v>3</v>
      </c>
      <c r="B1631">
        <v>2.3310023310023301E-3</v>
      </c>
      <c r="D1631">
        <v>5</v>
      </c>
      <c r="E1631">
        <f t="shared" si="25"/>
        <v>4.4084693149242044E-2</v>
      </c>
    </row>
    <row r="1632" spans="1:5" x14ac:dyDescent="0.25">
      <c r="A1632">
        <v>3</v>
      </c>
      <c r="B1632">
        <v>5.3333333333333297E-3</v>
      </c>
      <c r="D1632">
        <v>5</v>
      </c>
      <c r="E1632">
        <f t="shared" si="25"/>
        <v>4.4084693149242044E-2</v>
      </c>
    </row>
    <row r="1633" spans="1:5" x14ac:dyDescent="0.25">
      <c r="A1633">
        <v>3</v>
      </c>
      <c r="B1633">
        <v>2.9333333333333302E-2</v>
      </c>
      <c r="D1633">
        <v>5</v>
      </c>
      <c r="E1633">
        <f t="shared" si="25"/>
        <v>4.4084693149242044E-2</v>
      </c>
    </row>
    <row r="1634" spans="1:5" x14ac:dyDescent="0.25">
      <c r="A1634">
        <v>3</v>
      </c>
      <c r="B1634">
        <v>0.04</v>
      </c>
      <c r="D1634">
        <v>5</v>
      </c>
      <c r="E1634">
        <f t="shared" si="25"/>
        <v>4.4084693149242044E-2</v>
      </c>
    </row>
    <row r="1635" spans="1:5" x14ac:dyDescent="0.25">
      <c r="A1635">
        <v>3</v>
      </c>
      <c r="B1635">
        <v>1.4E-2</v>
      </c>
      <c r="D1635">
        <v>5</v>
      </c>
      <c r="E1635">
        <f t="shared" si="25"/>
        <v>4.4084693149242044E-2</v>
      </c>
    </row>
    <row r="1636" spans="1:5" x14ac:dyDescent="0.25">
      <c r="A1636">
        <v>3</v>
      </c>
      <c r="B1636">
        <v>5.1282051282051301E-2</v>
      </c>
      <c r="D1636">
        <v>5</v>
      </c>
      <c r="E1636">
        <f t="shared" si="25"/>
        <v>4.4084693149242044E-2</v>
      </c>
    </row>
    <row r="1637" spans="1:5" x14ac:dyDescent="0.25">
      <c r="A1637">
        <v>3</v>
      </c>
      <c r="B1637">
        <v>-0.121495327102804</v>
      </c>
      <c r="D1637">
        <v>6</v>
      </c>
      <c r="E1637">
        <f t="shared" si="25"/>
        <v>4.3642718356087309E-2</v>
      </c>
    </row>
    <row r="1638" spans="1:5" x14ac:dyDescent="0.25">
      <c r="A1638">
        <v>3</v>
      </c>
      <c r="B1638">
        <v>8.9820359281437105E-3</v>
      </c>
      <c r="D1638">
        <v>6</v>
      </c>
      <c r="E1638">
        <f t="shared" si="25"/>
        <v>4.3642718356087309E-2</v>
      </c>
    </row>
    <row r="1639" spans="1:5" x14ac:dyDescent="0.25">
      <c r="A1639">
        <v>3</v>
      </c>
      <c r="B1639">
        <v>0.124</v>
      </c>
      <c r="D1639">
        <v>6</v>
      </c>
      <c r="E1639">
        <f t="shared" si="25"/>
        <v>4.3642718356087309E-2</v>
      </c>
    </row>
    <row r="1640" spans="1:5" x14ac:dyDescent="0.25">
      <c r="A1640">
        <v>3</v>
      </c>
      <c r="B1640">
        <v>1</v>
      </c>
      <c r="D1640">
        <v>6</v>
      </c>
      <c r="E1640">
        <f t="shared" si="25"/>
        <v>4.3642718356087309E-2</v>
      </c>
    </row>
    <row r="1641" spans="1:5" x14ac:dyDescent="0.25">
      <c r="A1641">
        <v>3</v>
      </c>
      <c r="B1641">
        <v>-5.06666666666667E-2</v>
      </c>
      <c r="D1641">
        <v>6</v>
      </c>
      <c r="E1641">
        <f t="shared" si="25"/>
        <v>4.3642718356087309E-2</v>
      </c>
    </row>
    <row r="1642" spans="1:5" x14ac:dyDescent="0.25">
      <c r="A1642">
        <v>3</v>
      </c>
      <c r="B1642">
        <v>0.24324324324324301</v>
      </c>
      <c r="D1642">
        <v>6</v>
      </c>
      <c r="E1642">
        <f t="shared" si="25"/>
        <v>4.3642718356087309E-2</v>
      </c>
    </row>
    <row r="1643" spans="1:5" x14ac:dyDescent="0.25">
      <c r="A1643">
        <v>3</v>
      </c>
      <c r="B1643">
        <v>-9.2592592592592601E-2</v>
      </c>
      <c r="D1643">
        <v>6</v>
      </c>
      <c r="E1643">
        <f t="shared" si="25"/>
        <v>4.3642718356087309E-2</v>
      </c>
    </row>
    <row r="1644" spans="1:5" x14ac:dyDescent="0.25">
      <c r="A1644">
        <v>3</v>
      </c>
      <c r="B1644">
        <v>-1.3333333333333299E-2</v>
      </c>
      <c r="D1644">
        <v>6</v>
      </c>
      <c r="E1644">
        <f t="shared" si="25"/>
        <v>4.3642718356087309E-2</v>
      </c>
    </row>
    <row r="1645" spans="1:5" x14ac:dyDescent="0.25">
      <c r="A1645">
        <v>3</v>
      </c>
      <c r="B1645">
        <v>0.15466666666666701</v>
      </c>
      <c r="D1645">
        <v>6</v>
      </c>
      <c r="E1645">
        <f t="shared" si="25"/>
        <v>4.3642718356087309E-2</v>
      </c>
    </row>
    <row r="1646" spans="1:5" x14ac:dyDescent="0.25">
      <c r="A1646">
        <v>3</v>
      </c>
      <c r="B1646">
        <v>0.59</v>
      </c>
      <c r="D1646">
        <v>6</v>
      </c>
      <c r="E1646">
        <f t="shared" si="25"/>
        <v>4.3642718356087309E-2</v>
      </c>
    </row>
    <row r="1647" spans="1:5" x14ac:dyDescent="0.25">
      <c r="A1647">
        <v>3</v>
      </c>
      <c r="B1647">
        <v>0.108108108108108</v>
      </c>
      <c r="D1647">
        <v>6</v>
      </c>
      <c r="E1647">
        <f t="shared" si="25"/>
        <v>4.3642718356087309E-2</v>
      </c>
    </row>
    <row r="1648" spans="1:5" x14ac:dyDescent="0.25">
      <c r="A1648">
        <v>3</v>
      </c>
      <c r="B1648">
        <v>0.63063063063063096</v>
      </c>
      <c r="D1648">
        <v>6</v>
      </c>
      <c r="E1648">
        <f t="shared" si="25"/>
        <v>4.3642718356087309E-2</v>
      </c>
    </row>
    <row r="1649" spans="1:5" x14ac:dyDescent="0.25">
      <c r="A1649">
        <v>3</v>
      </c>
      <c r="B1649">
        <v>5.3333333333333302E-2</v>
      </c>
      <c r="D1649">
        <v>6</v>
      </c>
      <c r="E1649">
        <f t="shared" si="25"/>
        <v>4.3642718356087309E-2</v>
      </c>
    </row>
    <row r="1650" spans="1:5" x14ac:dyDescent="0.25">
      <c r="A1650">
        <v>3</v>
      </c>
      <c r="B1650">
        <v>0.61</v>
      </c>
      <c r="D1650">
        <v>6</v>
      </c>
      <c r="E1650">
        <f t="shared" si="25"/>
        <v>4.3642718356087309E-2</v>
      </c>
    </row>
    <row r="1651" spans="1:5" x14ac:dyDescent="0.25">
      <c r="A1651">
        <v>3</v>
      </c>
      <c r="B1651">
        <v>9.3333333333333296E-2</v>
      </c>
      <c r="D1651">
        <v>6</v>
      </c>
      <c r="E1651">
        <f t="shared" si="25"/>
        <v>4.3642718356087309E-2</v>
      </c>
    </row>
    <row r="1652" spans="1:5" x14ac:dyDescent="0.25">
      <c r="A1652">
        <v>3</v>
      </c>
      <c r="B1652">
        <v>0.53500000000000003</v>
      </c>
      <c r="D1652">
        <v>6</v>
      </c>
      <c r="E1652">
        <f t="shared" si="25"/>
        <v>4.3642718356087309E-2</v>
      </c>
    </row>
    <row r="1653" spans="1:5" x14ac:dyDescent="0.25">
      <c r="A1653">
        <v>3</v>
      </c>
      <c r="B1653">
        <v>0.52913752913752898</v>
      </c>
      <c r="D1653">
        <v>6</v>
      </c>
      <c r="E1653">
        <f t="shared" si="25"/>
        <v>4.3642718356087309E-2</v>
      </c>
    </row>
    <row r="1654" spans="1:5" x14ac:dyDescent="0.25">
      <c r="A1654">
        <v>3</v>
      </c>
      <c r="B1654">
        <v>3.3033033033033003E-2</v>
      </c>
      <c r="D1654">
        <v>6</v>
      </c>
      <c r="E1654">
        <f t="shared" si="25"/>
        <v>4.3642718356087309E-2</v>
      </c>
    </row>
    <row r="1655" spans="1:5" x14ac:dyDescent="0.25">
      <c r="A1655">
        <v>3</v>
      </c>
      <c r="B1655">
        <v>0.61599999999999999</v>
      </c>
      <c r="D1655">
        <v>6</v>
      </c>
      <c r="E1655">
        <f t="shared" si="25"/>
        <v>4.3642718356087309E-2</v>
      </c>
    </row>
    <row r="1656" spans="1:5" x14ac:dyDescent="0.25">
      <c r="A1656">
        <v>3</v>
      </c>
      <c r="B1656">
        <v>0.74766355140186902</v>
      </c>
      <c r="D1656">
        <v>6</v>
      </c>
      <c r="E1656">
        <f t="shared" si="25"/>
        <v>4.3642718356087309E-2</v>
      </c>
    </row>
    <row r="1657" spans="1:5" x14ac:dyDescent="0.25">
      <c r="A1657">
        <v>3</v>
      </c>
      <c r="B1657">
        <v>1</v>
      </c>
      <c r="D1657">
        <v>6</v>
      </c>
      <c r="E1657">
        <f t="shared" si="25"/>
        <v>4.3642718356087309E-2</v>
      </c>
    </row>
    <row r="1658" spans="1:5" x14ac:dyDescent="0.25">
      <c r="A1658">
        <v>3</v>
      </c>
      <c r="B1658">
        <v>-2.9940119760479E-3</v>
      </c>
      <c r="D1658">
        <v>6</v>
      </c>
      <c r="E1658">
        <f t="shared" si="25"/>
        <v>4.3642718356087309E-2</v>
      </c>
    </row>
    <row r="1659" spans="1:5" x14ac:dyDescent="0.25">
      <c r="A1659">
        <v>3</v>
      </c>
      <c r="B1659">
        <v>6.2E-2</v>
      </c>
      <c r="D1659">
        <v>6</v>
      </c>
      <c r="E1659">
        <f t="shared" si="25"/>
        <v>4.3642718356087309E-2</v>
      </c>
    </row>
    <row r="1660" spans="1:5" x14ac:dyDescent="0.25">
      <c r="A1660">
        <v>3</v>
      </c>
      <c r="B1660">
        <v>2.9940119760479E-2</v>
      </c>
      <c r="D1660">
        <v>6</v>
      </c>
      <c r="E1660">
        <f t="shared" si="25"/>
        <v>4.3642718356087309E-2</v>
      </c>
    </row>
    <row r="1661" spans="1:5" x14ac:dyDescent="0.25">
      <c r="A1661">
        <v>3</v>
      </c>
      <c r="B1661">
        <v>1.3333333333333299E-2</v>
      </c>
      <c r="D1661">
        <v>6</v>
      </c>
      <c r="E1661">
        <f t="shared" si="25"/>
        <v>4.3642718356087309E-2</v>
      </c>
    </row>
    <row r="1662" spans="1:5" x14ac:dyDescent="0.25">
      <c r="A1662">
        <v>3</v>
      </c>
      <c r="B1662">
        <v>0</v>
      </c>
      <c r="D1662">
        <v>6</v>
      </c>
      <c r="E1662">
        <f t="shared" si="25"/>
        <v>4.3642718356087309E-2</v>
      </c>
    </row>
    <row r="1663" spans="1:5" x14ac:dyDescent="0.25">
      <c r="A1663">
        <v>3</v>
      </c>
      <c r="B1663">
        <v>0.11888111888111901</v>
      </c>
      <c r="D1663">
        <v>6</v>
      </c>
      <c r="E1663">
        <f t="shared" si="25"/>
        <v>4.3642718356087309E-2</v>
      </c>
    </row>
    <row r="1664" spans="1:5" x14ac:dyDescent="0.25">
      <c r="A1664">
        <v>3</v>
      </c>
      <c r="B1664">
        <v>2.33644859813084E-2</v>
      </c>
      <c r="D1664">
        <v>6</v>
      </c>
      <c r="E1664">
        <f t="shared" si="25"/>
        <v>4.3642718356087309E-2</v>
      </c>
    </row>
    <row r="1665" spans="1:5" x14ac:dyDescent="0.25">
      <c r="A1665">
        <v>3</v>
      </c>
      <c r="B1665">
        <v>2.69461077844311E-2</v>
      </c>
      <c r="D1665">
        <v>6</v>
      </c>
      <c r="E1665">
        <f t="shared" si="25"/>
        <v>4.3642718356087309E-2</v>
      </c>
    </row>
    <row r="1666" spans="1:5" x14ac:dyDescent="0.25">
      <c r="A1666">
        <v>3</v>
      </c>
      <c r="B1666">
        <v>2.3310023310023301E-2</v>
      </c>
      <c r="D1666">
        <v>6</v>
      </c>
      <c r="E1666">
        <f t="shared" si="25"/>
        <v>4.3642718356087309E-2</v>
      </c>
    </row>
    <row r="1667" spans="1:5" x14ac:dyDescent="0.25">
      <c r="A1667">
        <v>3</v>
      </c>
      <c r="B1667">
        <v>4.5045045045045001E-2</v>
      </c>
      <c r="D1667">
        <v>6</v>
      </c>
      <c r="E1667">
        <f t="shared" ref="E1667:E1730" si="26">_xlfn.NORM.DIST(D1667, I$4,I$7,FALSE)</f>
        <v>4.3642718356087309E-2</v>
      </c>
    </row>
    <row r="1668" spans="1:5" x14ac:dyDescent="0.25">
      <c r="A1668">
        <v>3</v>
      </c>
      <c r="B1668">
        <v>-6.5868263473053898E-2</v>
      </c>
      <c r="D1668">
        <v>6</v>
      </c>
      <c r="E1668">
        <f t="shared" si="26"/>
        <v>4.3642718356087309E-2</v>
      </c>
    </row>
    <row r="1669" spans="1:5" x14ac:dyDescent="0.25">
      <c r="A1669">
        <v>3</v>
      </c>
      <c r="B1669">
        <v>4.5045045045045001E-2</v>
      </c>
      <c r="D1669">
        <v>6</v>
      </c>
      <c r="E1669">
        <f t="shared" si="26"/>
        <v>4.3642718356087309E-2</v>
      </c>
    </row>
    <row r="1670" spans="1:5" x14ac:dyDescent="0.25">
      <c r="A1670">
        <v>3</v>
      </c>
      <c r="B1670">
        <v>-0.13986013986014001</v>
      </c>
      <c r="D1670">
        <v>6</v>
      </c>
      <c r="E1670">
        <f t="shared" si="26"/>
        <v>4.3642718356087309E-2</v>
      </c>
    </row>
    <row r="1671" spans="1:5" x14ac:dyDescent="0.25">
      <c r="A1671">
        <v>3</v>
      </c>
      <c r="B1671">
        <v>-3.7999999999999999E-2</v>
      </c>
      <c r="D1671">
        <v>6</v>
      </c>
      <c r="E1671">
        <f t="shared" si="26"/>
        <v>4.3642718356087309E-2</v>
      </c>
    </row>
    <row r="1672" spans="1:5" x14ac:dyDescent="0.25">
      <c r="A1672">
        <v>3</v>
      </c>
      <c r="B1672">
        <v>2.66666666666667E-2</v>
      </c>
      <c r="D1672">
        <v>6</v>
      </c>
      <c r="E1672">
        <f t="shared" si="26"/>
        <v>4.3642718356087309E-2</v>
      </c>
    </row>
    <row r="1673" spans="1:5" x14ac:dyDescent="0.25">
      <c r="A1673">
        <v>3</v>
      </c>
      <c r="B1673">
        <v>-6.2E-2</v>
      </c>
      <c r="D1673">
        <v>6</v>
      </c>
      <c r="E1673">
        <f t="shared" si="26"/>
        <v>4.3642718356087309E-2</v>
      </c>
    </row>
    <row r="1674" spans="1:5" x14ac:dyDescent="0.25">
      <c r="A1674">
        <v>3</v>
      </c>
      <c r="B1674">
        <v>-1.2012012012012E-2</v>
      </c>
      <c r="D1674">
        <v>6</v>
      </c>
      <c r="E1674">
        <f t="shared" si="26"/>
        <v>4.3642718356087309E-2</v>
      </c>
    </row>
    <row r="1675" spans="1:5" x14ac:dyDescent="0.25">
      <c r="A1675">
        <v>3</v>
      </c>
      <c r="B1675">
        <v>4.49438202247191E-2</v>
      </c>
      <c r="D1675">
        <v>6</v>
      </c>
      <c r="E1675">
        <f t="shared" si="26"/>
        <v>4.3642718356087309E-2</v>
      </c>
    </row>
    <row r="1676" spans="1:5" x14ac:dyDescent="0.25">
      <c r="A1676">
        <v>3</v>
      </c>
      <c r="B1676">
        <v>3.4000000000000002E-2</v>
      </c>
      <c r="D1676">
        <v>6</v>
      </c>
      <c r="E1676">
        <f t="shared" si="26"/>
        <v>4.3642718356087309E-2</v>
      </c>
    </row>
    <row r="1677" spans="1:5" x14ac:dyDescent="0.25">
      <c r="A1677">
        <v>3</v>
      </c>
      <c r="B1677">
        <v>8.3832335329341298E-2</v>
      </c>
      <c r="D1677">
        <v>6</v>
      </c>
      <c r="E1677">
        <f t="shared" si="26"/>
        <v>4.3642718356087309E-2</v>
      </c>
    </row>
    <row r="1678" spans="1:5" x14ac:dyDescent="0.25">
      <c r="A1678">
        <v>3</v>
      </c>
      <c r="B1678">
        <v>6.9069069069069094E-2</v>
      </c>
      <c r="D1678">
        <v>6</v>
      </c>
      <c r="E1678">
        <f t="shared" si="26"/>
        <v>4.3642718356087309E-2</v>
      </c>
    </row>
    <row r="1679" spans="1:5" x14ac:dyDescent="0.25">
      <c r="A1679">
        <v>3</v>
      </c>
      <c r="B1679">
        <v>0.133333333333333</v>
      </c>
      <c r="D1679">
        <v>6</v>
      </c>
      <c r="E1679">
        <f t="shared" si="26"/>
        <v>4.3642718356087309E-2</v>
      </c>
    </row>
    <row r="1680" spans="1:5" x14ac:dyDescent="0.25">
      <c r="A1680">
        <v>3</v>
      </c>
      <c r="B1680">
        <v>0.17799999999999999</v>
      </c>
      <c r="D1680">
        <v>6</v>
      </c>
      <c r="E1680">
        <f t="shared" si="26"/>
        <v>4.3642718356087309E-2</v>
      </c>
    </row>
    <row r="1681" spans="1:5" x14ac:dyDescent="0.25">
      <c r="A1681">
        <v>3</v>
      </c>
      <c r="B1681">
        <v>-4.26666666666667E-2</v>
      </c>
      <c r="D1681">
        <v>6</v>
      </c>
      <c r="E1681">
        <f t="shared" si="26"/>
        <v>4.3642718356087309E-2</v>
      </c>
    </row>
    <row r="1682" spans="1:5" x14ac:dyDescent="0.25">
      <c r="A1682">
        <v>3</v>
      </c>
      <c r="B1682">
        <v>0.103333333333333</v>
      </c>
      <c r="D1682">
        <v>6</v>
      </c>
      <c r="E1682">
        <f t="shared" si="26"/>
        <v>4.3642718356087309E-2</v>
      </c>
    </row>
    <row r="1683" spans="1:5" x14ac:dyDescent="0.25">
      <c r="A1683">
        <v>3</v>
      </c>
      <c r="B1683">
        <v>-0.13066666666666699</v>
      </c>
      <c r="D1683">
        <v>6</v>
      </c>
      <c r="E1683">
        <f t="shared" si="26"/>
        <v>4.3642718356087309E-2</v>
      </c>
    </row>
    <row r="1684" spans="1:5" x14ac:dyDescent="0.25">
      <c r="A1684">
        <v>3</v>
      </c>
      <c r="B1684">
        <v>0.20979020979021001</v>
      </c>
      <c r="D1684">
        <v>6</v>
      </c>
      <c r="E1684">
        <f t="shared" si="26"/>
        <v>4.3642718356087309E-2</v>
      </c>
    </row>
    <row r="1685" spans="1:5" x14ac:dyDescent="0.25">
      <c r="A1685">
        <v>3</v>
      </c>
      <c r="B1685">
        <v>-0.08</v>
      </c>
      <c r="D1685">
        <v>6</v>
      </c>
      <c r="E1685">
        <f t="shared" si="26"/>
        <v>4.3642718356087309E-2</v>
      </c>
    </row>
    <row r="1686" spans="1:5" x14ac:dyDescent="0.25">
      <c r="A1686">
        <v>3</v>
      </c>
      <c r="B1686">
        <v>0.38800000000000001</v>
      </c>
      <c r="D1686">
        <v>6</v>
      </c>
      <c r="E1686">
        <f t="shared" si="26"/>
        <v>4.3642718356087309E-2</v>
      </c>
    </row>
    <row r="1687" spans="1:5" x14ac:dyDescent="0.25">
      <c r="A1687">
        <v>3</v>
      </c>
      <c r="B1687">
        <v>0.36399999999999999</v>
      </c>
      <c r="D1687">
        <v>6</v>
      </c>
      <c r="E1687">
        <f t="shared" si="26"/>
        <v>4.3642718356087309E-2</v>
      </c>
    </row>
    <row r="1688" spans="1:5" x14ac:dyDescent="0.25">
      <c r="A1688">
        <v>3</v>
      </c>
      <c r="B1688">
        <v>-0.15384615384615399</v>
      </c>
      <c r="D1688">
        <v>6</v>
      </c>
      <c r="E1688">
        <f t="shared" si="26"/>
        <v>4.3642718356087309E-2</v>
      </c>
    </row>
    <row r="1689" spans="1:5" x14ac:dyDescent="0.25">
      <c r="A1689">
        <v>3</v>
      </c>
      <c r="B1689">
        <v>0.31468531468531502</v>
      </c>
      <c r="D1689">
        <v>6</v>
      </c>
      <c r="E1689">
        <f t="shared" si="26"/>
        <v>4.3642718356087309E-2</v>
      </c>
    </row>
    <row r="1690" spans="1:5" x14ac:dyDescent="0.25">
      <c r="A1690">
        <v>3</v>
      </c>
      <c r="B1690">
        <v>1</v>
      </c>
      <c r="D1690">
        <v>6</v>
      </c>
      <c r="E1690">
        <f t="shared" si="26"/>
        <v>4.3642718356087309E-2</v>
      </c>
    </row>
    <row r="1691" spans="1:5" x14ac:dyDescent="0.25">
      <c r="A1691">
        <v>3</v>
      </c>
      <c r="B1691">
        <v>0</v>
      </c>
      <c r="D1691">
        <v>6</v>
      </c>
      <c r="E1691">
        <f t="shared" si="26"/>
        <v>4.3642718356087309E-2</v>
      </c>
    </row>
    <row r="1692" spans="1:5" x14ac:dyDescent="0.25">
      <c r="A1692">
        <v>3</v>
      </c>
      <c r="B1692">
        <v>5.4054054054054099E-2</v>
      </c>
      <c r="D1692">
        <v>6</v>
      </c>
      <c r="E1692">
        <f t="shared" si="26"/>
        <v>4.3642718356087309E-2</v>
      </c>
    </row>
    <row r="1693" spans="1:5" x14ac:dyDescent="0.25">
      <c r="A1693">
        <v>3</v>
      </c>
      <c r="B1693">
        <v>-0.18933333333333299</v>
      </c>
      <c r="D1693">
        <v>6</v>
      </c>
      <c r="E1693">
        <f t="shared" si="26"/>
        <v>4.3642718356087309E-2</v>
      </c>
    </row>
    <row r="1694" spans="1:5" x14ac:dyDescent="0.25">
      <c r="A1694">
        <v>3</v>
      </c>
      <c r="B1694">
        <v>3.7333333333333302E-2</v>
      </c>
      <c r="D1694">
        <v>6</v>
      </c>
      <c r="E1694">
        <f t="shared" si="26"/>
        <v>4.3642718356087309E-2</v>
      </c>
    </row>
    <row r="1695" spans="1:5" x14ac:dyDescent="0.25">
      <c r="A1695">
        <v>3</v>
      </c>
      <c r="B1695">
        <v>-4.6728971962616802E-3</v>
      </c>
      <c r="D1695">
        <v>6</v>
      </c>
      <c r="E1695">
        <f t="shared" si="26"/>
        <v>4.3642718356087309E-2</v>
      </c>
    </row>
    <row r="1696" spans="1:5" x14ac:dyDescent="0.25">
      <c r="A1696">
        <v>3</v>
      </c>
      <c r="B1696">
        <v>9.8666666666666694E-2</v>
      </c>
      <c r="D1696">
        <v>6</v>
      </c>
      <c r="E1696">
        <f t="shared" si="26"/>
        <v>4.3642718356087309E-2</v>
      </c>
    </row>
    <row r="1697" spans="1:5" x14ac:dyDescent="0.25">
      <c r="A1697">
        <v>3</v>
      </c>
      <c r="B1697">
        <v>1.0666666666666699E-2</v>
      </c>
      <c r="D1697">
        <v>6</v>
      </c>
      <c r="E1697">
        <f t="shared" si="26"/>
        <v>4.3642718356087309E-2</v>
      </c>
    </row>
    <row r="1698" spans="1:5" x14ac:dyDescent="0.25">
      <c r="A1698">
        <v>3</v>
      </c>
      <c r="B1698">
        <v>0.14599999999999999</v>
      </c>
      <c r="D1698">
        <v>6</v>
      </c>
      <c r="E1698">
        <f t="shared" si="26"/>
        <v>4.3642718356087309E-2</v>
      </c>
    </row>
    <row r="1699" spans="1:5" x14ac:dyDescent="0.25">
      <c r="A1699">
        <v>3</v>
      </c>
      <c r="B1699">
        <v>0.135135135135135</v>
      </c>
      <c r="D1699">
        <v>6</v>
      </c>
      <c r="E1699">
        <f t="shared" si="26"/>
        <v>4.3642718356087309E-2</v>
      </c>
    </row>
    <row r="1700" spans="1:5" x14ac:dyDescent="0.25">
      <c r="A1700">
        <v>3</v>
      </c>
      <c r="B1700">
        <v>0.17599999999999999</v>
      </c>
      <c r="D1700">
        <v>6</v>
      </c>
      <c r="E1700">
        <f t="shared" si="26"/>
        <v>4.3642718356087309E-2</v>
      </c>
    </row>
    <row r="1701" spans="1:5" x14ac:dyDescent="0.25">
      <c r="A1701">
        <v>3</v>
      </c>
      <c r="B1701">
        <v>0.116766467065868</v>
      </c>
      <c r="D1701">
        <v>6</v>
      </c>
      <c r="E1701">
        <f t="shared" si="26"/>
        <v>4.3642718356087309E-2</v>
      </c>
    </row>
    <row r="1702" spans="1:5" x14ac:dyDescent="0.25">
      <c r="A1702">
        <v>3</v>
      </c>
      <c r="B1702">
        <v>0.223333333333333</v>
      </c>
      <c r="D1702">
        <v>6</v>
      </c>
      <c r="E1702">
        <f t="shared" si="26"/>
        <v>4.3642718356087309E-2</v>
      </c>
    </row>
    <row r="1703" spans="1:5" x14ac:dyDescent="0.25">
      <c r="A1703">
        <v>3</v>
      </c>
      <c r="B1703">
        <v>8.2666666666666694E-2</v>
      </c>
      <c r="D1703">
        <v>6</v>
      </c>
      <c r="E1703">
        <f t="shared" si="26"/>
        <v>4.3642718356087309E-2</v>
      </c>
    </row>
    <row r="1704" spans="1:5" x14ac:dyDescent="0.25">
      <c r="A1704">
        <v>3</v>
      </c>
      <c r="B1704">
        <v>0.14685314685314699</v>
      </c>
      <c r="D1704">
        <v>6</v>
      </c>
      <c r="E1704">
        <f t="shared" si="26"/>
        <v>4.3642718356087309E-2</v>
      </c>
    </row>
    <row r="1705" spans="1:5" x14ac:dyDescent="0.25">
      <c r="A1705">
        <v>3</v>
      </c>
      <c r="B1705">
        <v>0.126126126126126</v>
      </c>
      <c r="D1705">
        <v>6</v>
      </c>
      <c r="E1705">
        <f t="shared" si="26"/>
        <v>4.3642718356087309E-2</v>
      </c>
    </row>
    <row r="1706" spans="1:5" x14ac:dyDescent="0.25">
      <c r="A1706">
        <v>3</v>
      </c>
      <c r="B1706">
        <v>0.13066666666666699</v>
      </c>
      <c r="D1706">
        <v>6</v>
      </c>
      <c r="E1706">
        <f t="shared" si="26"/>
        <v>4.3642718356087309E-2</v>
      </c>
    </row>
    <row r="1707" spans="1:5" x14ac:dyDescent="0.25">
      <c r="A1707">
        <v>3</v>
      </c>
      <c r="B1707">
        <v>0.13800000000000001</v>
      </c>
      <c r="D1707">
        <v>6</v>
      </c>
      <c r="E1707">
        <f t="shared" si="26"/>
        <v>4.3642718356087309E-2</v>
      </c>
    </row>
    <row r="1708" spans="1:5" x14ac:dyDescent="0.25">
      <c r="A1708">
        <v>3</v>
      </c>
      <c r="B1708">
        <v>0.133333333333333</v>
      </c>
      <c r="D1708">
        <v>6</v>
      </c>
      <c r="E1708">
        <f t="shared" si="26"/>
        <v>4.3642718356087309E-2</v>
      </c>
    </row>
    <row r="1709" spans="1:5" x14ac:dyDescent="0.25">
      <c r="A1709">
        <v>3</v>
      </c>
      <c r="B1709">
        <v>1.3986013986014E-2</v>
      </c>
      <c r="D1709">
        <v>6</v>
      </c>
      <c r="E1709">
        <f t="shared" si="26"/>
        <v>4.3642718356087309E-2</v>
      </c>
    </row>
    <row r="1710" spans="1:5" x14ac:dyDescent="0.25">
      <c r="A1710">
        <v>3</v>
      </c>
      <c r="B1710">
        <v>0.154</v>
      </c>
      <c r="D1710">
        <v>6</v>
      </c>
      <c r="E1710">
        <f t="shared" si="26"/>
        <v>4.3642718356087309E-2</v>
      </c>
    </row>
    <row r="1711" spans="1:5" x14ac:dyDescent="0.25">
      <c r="A1711">
        <v>3</v>
      </c>
      <c r="B1711">
        <v>0.112</v>
      </c>
      <c r="D1711">
        <v>6</v>
      </c>
      <c r="E1711">
        <f t="shared" si="26"/>
        <v>4.3642718356087309E-2</v>
      </c>
    </row>
    <row r="1712" spans="1:5" x14ac:dyDescent="0.25">
      <c r="A1712">
        <v>3</v>
      </c>
      <c r="B1712">
        <v>-1.7333333333333301E-2</v>
      </c>
      <c r="D1712">
        <v>6</v>
      </c>
      <c r="E1712">
        <f t="shared" si="26"/>
        <v>4.3642718356087309E-2</v>
      </c>
    </row>
    <row r="1713" spans="1:5" x14ac:dyDescent="0.25">
      <c r="A1713">
        <v>3</v>
      </c>
      <c r="B1713">
        <v>-1.3333333333333299E-2</v>
      </c>
      <c r="D1713">
        <v>6</v>
      </c>
      <c r="E1713">
        <f t="shared" si="26"/>
        <v>4.3642718356087309E-2</v>
      </c>
    </row>
    <row r="1714" spans="1:5" x14ac:dyDescent="0.25">
      <c r="A1714">
        <v>3</v>
      </c>
      <c r="B1714">
        <v>0.128</v>
      </c>
      <c r="D1714">
        <v>6</v>
      </c>
      <c r="E1714">
        <f t="shared" si="26"/>
        <v>4.3642718356087309E-2</v>
      </c>
    </row>
    <row r="1715" spans="1:5" x14ac:dyDescent="0.25">
      <c r="A1715">
        <v>3</v>
      </c>
      <c r="B1715">
        <v>-6.5868263473053898E-2</v>
      </c>
      <c r="D1715">
        <v>6</v>
      </c>
      <c r="E1715">
        <f t="shared" si="26"/>
        <v>4.3642718356087309E-2</v>
      </c>
    </row>
    <row r="1716" spans="1:5" x14ac:dyDescent="0.25">
      <c r="A1716">
        <v>3</v>
      </c>
      <c r="B1716">
        <v>1</v>
      </c>
      <c r="D1716">
        <v>6</v>
      </c>
      <c r="E1716">
        <f t="shared" si="26"/>
        <v>4.3642718356087309E-2</v>
      </c>
    </row>
    <row r="1717" spans="1:5" x14ac:dyDescent="0.25">
      <c r="A1717">
        <v>3</v>
      </c>
      <c r="B1717">
        <v>0.188811188811189</v>
      </c>
      <c r="D1717">
        <v>6</v>
      </c>
      <c r="E1717">
        <f t="shared" si="26"/>
        <v>4.3642718356087309E-2</v>
      </c>
    </row>
    <row r="1718" spans="1:5" x14ac:dyDescent="0.25">
      <c r="A1718">
        <v>3</v>
      </c>
      <c r="B1718">
        <v>0.135135135135135</v>
      </c>
      <c r="D1718">
        <v>6</v>
      </c>
      <c r="E1718">
        <f t="shared" si="26"/>
        <v>4.3642718356087309E-2</v>
      </c>
    </row>
    <row r="1719" spans="1:5" x14ac:dyDescent="0.25">
      <c r="A1719">
        <v>3</v>
      </c>
      <c r="B1719">
        <v>0.15887850467289699</v>
      </c>
      <c r="D1719">
        <v>6</v>
      </c>
      <c r="E1719">
        <f t="shared" si="26"/>
        <v>4.3642718356087309E-2</v>
      </c>
    </row>
    <row r="1720" spans="1:5" x14ac:dyDescent="0.25">
      <c r="A1720">
        <v>3</v>
      </c>
      <c r="B1720">
        <v>0.13600000000000001</v>
      </c>
      <c r="D1720">
        <v>6</v>
      </c>
      <c r="E1720">
        <f t="shared" si="26"/>
        <v>4.3642718356087309E-2</v>
      </c>
    </row>
    <row r="1721" spans="1:5" x14ac:dyDescent="0.25">
      <c r="A1721">
        <v>3</v>
      </c>
      <c r="B1721">
        <v>0.116550116550117</v>
      </c>
      <c r="D1721">
        <v>6</v>
      </c>
      <c r="E1721">
        <f t="shared" si="26"/>
        <v>4.3642718356087309E-2</v>
      </c>
    </row>
    <row r="1722" spans="1:5" x14ac:dyDescent="0.25">
      <c r="A1722">
        <v>3</v>
      </c>
      <c r="B1722">
        <v>0.13400000000000001</v>
      </c>
      <c r="D1722">
        <v>6</v>
      </c>
      <c r="E1722">
        <f t="shared" si="26"/>
        <v>4.3642718356087309E-2</v>
      </c>
    </row>
    <row r="1723" spans="1:5" x14ac:dyDescent="0.25">
      <c r="A1723">
        <v>3</v>
      </c>
      <c r="B1723">
        <v>2.9940119760479E-2</v>
      </c>
      <c r="D1723">
        <v>6</v>
      </c>
      <c r="E1723">
        <f t="shared" si="26"/>
        <v>4.3642718356087309E-2</v>
      </c>
    </row>
    <row r="1724" spans="1:5" x14ac:dyDescent="0.25">
      <c r="A1724">
        <v>3</v>
      </c>
      <c r="B1724">
        <v>0.28904428904428903</v>
      </c>
      <c r="D1724">
        <v>6</v>
      </c>
      <c r="E1724">
        <f t="shared" si="26"/>
        <v>4.3642718356087309E-2</v>
      </c>
    </row>
    <row r="1725" spans="1:5" x14ac:dyDescent="0.25">
      <c r="A1725">
        <v>3</v>
      </c>
      <c r="B1725">
        <v>0.746</v>
      </c>
      <c r="D1725">
        <v>6</v>
      </c>
      <c r="E1725">
        <f t="shared" si="26"/>
        <v>4.3642718356087309E-2</v>
      </c>
    </row>
    <row r="1726" spans="1:5" x14ac:dyDescent="0.25">
      <c r="A1726">
        <v>3</v>
      </c>
      <c r="B1726">
        <v>0.108108108108108</v>
      </c>
      <c r="D1726">
        <v>6</v>
      </c>
      <c r="E1726">
        <f t="shared" si="26"/>
        <v>4.3642718356087309E-2</v>
      </c>
    </row>
    <row r="1727" spans="1:5" x14ac:dyDescent="0.25">
      <c r="A1727">
        <v>3</v>
      </c>
      <c r="B1727">
        <v>0.69833333333333303</v>
      </c>
      <c r="D1727">
        <v>6</v>
      </c>
      <c r="E1727">
        <f t="shared" si="26"/>
        <v>4.3642718356087309E-2</v>
      </c>
    </row>
    <row r="1728" spans="1:5" x14ac:dyDescent="0.25">
      <c r="A1728">
        <v>3</v>
      </c>
      <c r="B1728">
        <v>0.70533333333333303</v>
      </c>
      <c r="D1728">
        <v>6</v>
      </c>
      <c r="E1728">
        <f t="shared" si="26"/>
        <v>4.3642718356087309E-2</v>
      </c>
    </row>
    <row r="1729" spans="1:5" x14ac:dyDescent="0.25">
      <c r="A1729">
        <v>3</v>
      </c>
      <c r="B1729">
        <v>1</v>
      </c>
      <c r="D1729">
        <v>6</v>
      </c>
      <c r="E1729">
        <f t="shared" si="26"/>
        <v>4.3642718356087309E-2</v>
      </c>
    </row>
    <row r="1730" spans="1:5" x14ac:dyDescent="0.25">
      <c r="A1730">
        <v>3</v>
      </c>
      <c r="B1730">
        <v>0.08</v>
      </c>
      <c r="D1730">
        <v>6</v>
      </c>
      <c r="E1730">
        <f t="shared" si="26"/>
        <v>4.3642718356087309E-2</v>
      </c>
    </row>
    <row r="1731" spans="1:5" x14ac:dyDescent="0.25">
      <c r="A1731">
        <v>3</v>
      </c>
      <c r="B1731">
        <v>1.3333333333333299E-2</v>
      </c>
      <c r="D1731">
        <v>6</v>
      </c>
      <c r="E1731">
        <f t="shared" ref="E1731:E1794" si="27">_xlfn.NORM.DIST(D1731, I$4,I$7,FALSE)</f>
        <v>4.3642718356087309E-2</v>
      </c>
    </row>
    <row r="1732" spans="1:5" x14ac:dyDescent="0.25">
      <c r="A1732">
        <v>3</v>
      </c>
      <c r="B1732">
        <v>-1.79640718562874E-2</v>
      </c>
      <c r="D1732">
        <v>6</v>
      </c>
      <c r="E1732">
        <f t="shared" si="27"/>
        <v>4.3642718356087309E-2</v>
      </c>
    </row>
    <row r="1733" spans="1:5" x14ac:dyDescent="0.25">
      <c r="A1733">
        <v>3</v>
      </c>
      <c r="B1733">
        <v>-2.4024024024024E-2</v>
      </c>
      <c r="D1733">
        <v>6</v>
      </c>
      <c r="E1733">
        <f t="shared" si="27"/>
        <v>4.3642718356087309E-2</v>
      </c>
    </row>
    <row r="1734" spans="1:5" x14ac:dyDescent="0.25">
      <c r="A1734">
        <v>3</v>
      </c>
      <c r="B1734">
        <v>-6.9333333333333302E-2</v>
      </c>
      <c r="D1734">
        <v>6</v>
      </c>
      <c r="E1734">
        <f t="shared" si="27"/>
        <v>4.3642718356087309E-2</v>
      </c>
    </row>
    <row r="1735" spans="1:5" x14ac:dyDescent="0.25">
      <c r="A1735">
        <v>3</v>
      </c>
      <c r="B1735">
        <v>7.2429906542056097E-2</v>
      </c>
      <c r="D1735">
        <v>6</v>
      </c>
      <c r="E1735">
        <f t="shared" si="27"/>
        <v>4.3642718356087309E-2</v>
      </c>
    </row>
    <row r="1736" spans="1:5" x14ac:dyDescent="0.25">
      <c r="A1736">
        <v>3</v>
      </c>
      <c r="B1736">
        <v>-7.4666666666666701E-2</v>
      </c>
      <c r="D1736">
        <v>6</v>
      </c>
      <c r="E1736">
        <f t="shared" si="27"/>
        <v>4.3642718356087309E-2</v>
      </c>
    </row>
    <row r="1737" spans="1:5" x14ac:dyDescent="0.25">
      <c r="A1737">
        <v>3</v>
      </c>
      <c r="B1737">
        <v>6.2937062937062901E-2</v>
      </c>
      <c r="D1737">
        <v>6</v>
      </c>
      <c r="E1737">
        <f t="shared" si="27"/>
        <v>4.3642718356087309E-2</v>
      </c>
    </row>
    <row r="1738" spans="1:5" x14ac:dyDescent="0.25">
      <c r="A1738">
        <v>3</v>
      </c>
      <c r="B1738">
        <v>-7.5075075075075104E-2</v>
      </c>
      <c r="D1738">
        <v>6</v>
      </c>
      <c r="E1738">
        <f t="shared" si="27"/>
        <v>4.3642718356087309E-2</v>
      </c>
    </row>
    <row r="1739" spans="1:5" x14ac:dyDescent="0.25">
      <c r="A1739">
        <v>3</v>
      </c>
      <c r="B1739">
        <v>-0.11799999999999999</v>
      </c>
      <c r="D1739">
        <v>6</v>
      </c>
      <c r="E1739">
        <f t="shared" si="27"/>
        <v>4.3642718356087309E-2</v>
      </c>
    </row>
    <row r="1740" spans="1:5" x14ac:dyDescent="0.25">
      <c r="A1740">
        <v>3</v>
      </c>
      <c r="B1740">
        <v>4.6620046620046603E-2</v>
      </c>
      <c r="D1740">
        <v>6</v>
      </c>
      <c r="E1740">
        <f t="shared" si="27"/>
        <v>4.3642718356087309E-2</v>
      </c>
    </row>
    <row r="1741" spans="1:5" x14ac:dyDescent="0.25">
      <c r="A1741">
        <v>3</v>
      </c>
      <c r="B1741">
        <v>-4.4392523364486E-2</v>
      </c>
      <c r="D1741">
        <v>6</v>
      </c>
      <c r="E1741">
        <f t="shared" si="27"/>
        <v>4.3642718356087309E-2</v>
      </c>
    </row>
    <row r="1742" spans="1:5" x14ac:dyDescent="0.25">
      <c r="A1742">
        <v>3</v>
      </c>
      <c r="B1742">
        <v>-1.8018018018018001E-2</v>
      </c>
      <c r="D1742">
        <v>6</v>
      </c>
      <c r="E1742">
        <f t="shared" si="27"/>
        <v>4.3642718356087309E-2</v>
      </c>
    </row>
    <row r="1743" spans="1:5" x14ac:dyDescent="0.25">
      <c r="A1743">
        <v>3</v>
      </c>
      <c r="B1743">
        <v>-0.04</v>
      </c>
      <c r="D1743">
        <v>6</v>
      </c>
      <c r="E1743">
        <f t="shared" si="27"/>
        <v>4.3642718356087309E-2</v>
      </c>
    </row>
    <row r="1744" spans="1:5" x14ac:dyDescent="0.25">
      <c r="A1744">
        <v>3</v>
      </c>
      <c r="B1744">
        <v>1.7999999999999999E-2</v>
      </c>
      <c r="D1744">
        <v>6</v>
      </c>
      <c r="E1744">
        <f t="shared" si="27"/>
        <v>4.3642718356087309E-2</v>
      </c>
    </row>
    <row r="1745" spans="1:5" x14ac:dyDescent="0.25">
      <c r="A1745">
        <v>3</v>
      </c>
      <c r="B1745">
        <v>-6.6666666666666693E-2</v>
      </c>
      <c r="D1745">
        <v>6</v>
      </c>
      <c r="E1745">
        <f t="shared" si="27"/>
        <v>4.3642718356087309E-2</v>
      </c>
    </row>
    <row r="1746" spans="1:5" x14ac:dyDescent="0.25">
      <c r="A1746">
        <v>3</v>
      </c>
      <c r="B1746">
        <v>8.0000000000000002E-3</v>
      </c>
      <c r="D1746">
        <v>6</v>
      </c>
      <c r="E1746">
        <f t="shared" si="27"/>
        <v>4.3642718356087309E-2</v>
      </c>
    </row>
    <row r="1747" spans="1:5" x14ac:dyDescent="0.25">
      <c r="A1747">
        <v>3</v>
      </c>
      <c r="B1747">
        <v>4.26666666666667E-2</v>
      </c>
      <c r="D1747">
        <v>6</v>
      </c>
      <c r="E1747">
        <f t="shared" si="27"/>
        <v>4.3642718356087309E-2</v>
      </c>
    </row>
    <row r="1748" spans="1:5" x14ac:dyDescent="0.25">
      <c r="A1748">
        <v>3</v>
      </c>
      <c r="B1748">
        <v>-6.9930069930069894E-2</v>
      </c>
      <c r="D1748">
        <v>6</v>
      </c>
      <c r="E1748">
        <f t="shared" si="27"/>
        <v>4.3642718356087309E-2</v>
      </c>
    </row>
    <row r="1749" spans="1:5" x14ac:dyDescent="0.25">
      <c r="A1749">
        <v>3</v>
      </c>
      <c r="B1749">
        <v>6.5268065268065306E-2</v>
      </c>
      <c r="D1749">
        <v>6</v>
      </c>
      <c r="E1749">
        <f t="shared" si="27"/>
        <v>4.3642718356087309E-2</v>
      </c>
    </row>
    <row r="1750" spans="1:5" x14ac:dyDescent="0.25">
      <c r="A1750">
        <v>3</v>
      </c>
      <c r="B1750">
        <v>-8.9820359281437105E-3</v>
      </c>
      <c r="D1750">
        <v>6</v>
      </c>
      <c r="E1750">
        <f t="shared" si="27"/>
        <v>4.3642718356087309E-2</v>
      </c>
    </row>
    <row r="1751" spans="1:5" x14ac:dyDescent="0.25">
      <c r="A1751">
        <v>3</v>
      </c>
      <c r="B1751">
        <v>0.128</v>
      </c>
      <c r="D1751">
        <v>6</v>
      </c>
      <c r="E1751">
        <f t="shared" si="27"/>
        <v>4.3642718356087309E-2</v>
      </c>
    </row>
    <row r="1752" spans="1:5" x14ac:dyDescent="0.25">
      <c r="A1752">
        <v>3</v>
      </c>
      <c r="B1752">
        <v>-0.38461538461538503</v>
      </c>
      <c r="D1752">
        <v>6</v>
      </c>
      <c r="E1752">
        <f t="shared" si="27"/>
        <v>4.3642718356087309E-2</v>
      </c>
    </row>
    <row r="1753" spans="1:5" x14ac:dyDescent="0.25">
      <c r="A1753">
        <v>3</v>
      </c>
      <c r="B1753">
        <v>-2.1999999999999999E-2</v>
      </c>
      <c r="D1753">
        <v>6</v>
      </c>
      <c r="E1753">
        <f t="shared" si="27"/>
        <v>4.3642718356087309E-2</v>
      </c>
    </row>
    <row r="1754" spans="1:5" x14ac:dyDescent="0.25">
      <c r="A1754">
        <v>3</v>
      </c>
      <c r="B1754">
        <v>1</v>
      </c>
      <c r="D1754">
        <v>6</v>
      </c>
      <c r="E1754">
        <f t="shared" si="27"/>
        <v>4.3642718356087309E-2</v>
      </c>
    </row>
    <row r="1755" spans="1:5" x14ac:dyDescent="0.25">
      <c r="A1755">
        <v>3</v>
      </c>
      <c r="B1755">
        <v>8.2666666666666694E-2</v>
      </c>
      <c r="D1755">
        <v>6</v>
      </c>
      <c r="E1755">
        <f t="shared" si="27"/>
        <v>4.3642718356087309E-2</v>
      </c>
    </row>
    <row r="1756" spans="1:5" x14ac:dyDescent="0.25">
      <c r="A1756">
        <v>3</v>
      </c>
      <c r="B1756">
        <v>-0.119760479041916</v>
      </c>
      <c r="D1756">
        <v>6</v>
      </c>
      <c r="E1756">
        <f t="shared" si="27"/>
        <v>4.3642718356087309E-2</v>
      </c>
    </row>
    <row r="1757" spans="1:5" x14ac:dyDescent="0.25">
      <c r="A1757">
        <v>3</v>
      </c>
      <c r="B1757">
        <v>3.4000000000000002E-2</v>
      </c>
      <c r="D1757">
        <v>6</v>
      </c>
      <c r="E1757">
        <f t="shared" si="27"/>
        <v>4.3642718356087309E-2</v>
      </c>
    </row>
    <row r="1758" spans="1:5" x14ac:dyDescent="0.25">
      <c r="A1758">
        <v>3</v>
      </c>
      <c r="B1758">
        <v>-4.5045045045045001E-2</v>
      </c>
      <c r="D1758">
        <v>6</v>
      </c>
      <c r="E1758">
        <f t="shared" si="27"/>
        <v>4.3642718356087309E-2</v>
      </c>
    </row>
    <row r="1759" spans="1:5" x14ac:dyDescent="0.25">
      <c r="A1759">
        <v>3</v>
      </c>
      <c r="B1759">
        <v>0.3</v>
      </c>
      <c r="D1759">
        <v>6</v>
      </c>
      <c r="E1759">
        <f t="shared" si="27"/>
        <v>4.3642718356087309E-2</v>
      </c>
    </row>
    <row r="1760" spans="1:5" x14ac:dyDescent="0.25">
      <c r="A1760">
        <v>3</v>
      </c>
      <c r="B1760">
        <v>0.43666666666666698</v>
      </c>
      <c r="D1760">
        <v>6</v>
      </c>
      <c r="E1760">
        <f t="shared" si="27"/>
        <v>4.3642718356087309E-2</v>
      </c>
    </row>
    <row r="1761" spans="1:5" x14ac:dyDescent="0.25">
      <c r="A1761">
        <v>3</v>
      </c>
      <c r="B1761">
        <v>-9.3093093093093104E-2</v>
      </c>
      <c r="D1761">
        <v>6</v>
      </c>
      <c r="E1761">
        <f t="shared" si="27"/>
        <v>4.3642718356087309E-2</v>
      </c>
    </row>
    <row r="1762" spans="1:5" x14ac:dyDescent="0.25">
      <c r="A1762">
        <v>3</v>
      </c>
      <c r="B1762">
        <v>0.64705882352941202</v>
      </c>
      <c r="D1762">
        <v>6</v>
      </c>
      <c r="E1762">
        <f t="shared" si="27"/>
        <v>4.3642718356087309E-2</v>
      </c>
    </row>
    <row r="1763" spans="1:5" x14ac:dyDescent="0.25">
      <c r="A1763">
        <v>3</v>
      </c>
      <c r="B1763">
        <v>0.752</v>
      </c>
      <c r="D1763">
        <v>6</v>
      </c>
      <c r="E1763">
        <f t="shared" si="27"/>
        <v>4.3642718356087309E-2</v>
      </c>
    </row>
    <row r="1764" spans="1:5" x14ac:dyDescent="0.25">
      <c r="A1764">
        <v>3</v>
      </c>
      <c r="B1764">
        <v>-1.49700598802395E-2</v>
      </c>
      <c r="D1764">
        <v>6</v>
      </c>
      <c r="E1764">
        <f t="shared" si="27"/>
        <v>4.3642718356087309E-2</v>
      </c>
    </row>
    <row r="1765" spans="1:5" x14ac:dyDescent="0.25">
      <c r="A1765">
        <v>3</v>
      </c>
      <c r="B1765">
        <v>1</v>
      </c>
      <c r="D1765">
        <v>6</v>
      </c>
      <c r="E1765">
        <f t="shared" si="27"/>
        <v>4.3642718356087309E-2</v>
      </c>
    </row>
    <row r="1766" spans="1:5" x14ac:dyDescent="0.25">
      <c r="A1766">
        <v>3</v>
      </c>
      <c r="B1766">
        <v>0</v>
      </c>
      <c r="D1766">
        <v>6</v>
      </c>
      <c r="E1766">
        <f t="shared" si="27"/>
        <v>4.3642718356087309E-2</v>
      </c>
    </row>
    <row r="1767" spans="1:5" x14ac:dyDescent="0.25">
      <c r="A1767">
        <v>3</v>
      </c>
      <c r="B1767">
        <v>2.1021021021020998E-2</v>
      </c>
      <c r="D1767">
        <v>6</v>
      </c>
      <c r="E1767">
        <f t="shared" si="27"/>
        <v>4.3642718356087309E-2</v>
      </c>
    </row>
    <row r="1768" spans="1:5" x14ac:dyDescent="0.25">
      <c r="A1768">
        <v>3</v>
      </c>
      <c r="B1768">
        <v>3.0030030030029999E-2</v>
      </c>
      <c r="D1768">
        <v>6</v>
      </c>
      <c r="E1768">
        <f t="shared" si="27"/>
        <v>4.3642718356087309E-2</v>
      </c>
    </row>
    <row r="1769" spans="1:5" x14ac:dyDescent="0.25">
      <c r="A1769">
        <v>3</v>
      </c>
      <c r="B1769">
        <v>-0.133333333333333</v>
      </c>
      <c r="D1769">
        <v>6</v>
      </c>
      <c r="E1769">
        <f t="shared" si="27"/>
        <v>4.3642718356087309E-2</v>
      </c>
    </row>
    <row r="1770" spans="1:5" x14ac:dyDescent="0.25">
      <c r="A1770">
        <v>3</v>
      </c>
      <c r="B1770">
        <v>8.0838323353293398E-2</v>
      </c>
      <c r="D1770">
        <v>6</v>
      </c>
      <c r="E1770">
        <f t="shared" si="27"/>
        <v>4.3642718356087309E-2</v>
      </c>
    </row>
    <row r="1771" spans="1:5" x14ac:dyDescent="0.25">
      <c r="A1771">
        <v>3</v>
      </c>
      <c r="B1771">
        <v>5.86666666666667E-2</v>
      </c>
      <c r="D1771">
        <v>6</v>
      </c>
      <c r="E1771">
        <f t="shared" si="27"/>
        <v>4.3642718356087309E-2</v>
      </c>
    </row>
    <row r="1772" spans="1:5" x14ac:dyDescent="0.25">
      <c r="A1772">
        <v>3</v>
      </c>
      <c r="B1772">
        <v>-0.08</v>
      </c>
      <c r="D1772">
        <v>6</v>
      </c>
      <c r="E1772">
        <f t="shared" si="27"/>
        <v>4.3642718356087309E-2</v>
      </c>
    </row>
    <row r="1773" spans="1:5" x14ac:dyDescent="0.25">
      <c r="A1773">
        <v>3</v>
      </c>
      <c r="B1773">
        <v>0.101333333333333</v>
      </c>
      <c r="D1773">
        <v>6</v>
      </c>
      <c r="E1773">
        <f t="shared" si="27"/>
        <v>4.3642718356087309E-2</v>
      </c>
    </row>
    <row r="1774" spans="1:5" x14ac:dyDescent="0.25">
      <c r="A1774">
        <v>3</v>
      </c>
      <c r="B1774">
        <v>-2.7972027972028E-2</v>
      </c>
      <c r="D1774">
        <v>6</v>
      </c>
      <c r="E1774">
        <f t="shared" si="27"/>
        <v>4.3642718356087309E-2</v>
      </c>
    </row>
    <row r="1775" spans="1:5" x14ac:dyDescent="0.25">
      <c r="A1775">
        <v>3</v>
      </c>
      <c r="B1775">
        <v>-8.2666666666666694E-2</v>
      </c>
      <c r="D1775">
        <v>6</v>
      </c>
      <c r="E1775">
        <f t="shared" si="27"/>
        <v>4.3642718356087309E-2</v>
      </c>
    </row>
    <row r="1776" spans="1:5" x14ac:dyDescent="0.25">
      <c r="A1776">
        <v>3</v>
      </c>
      <c r="B1776">
        <v>-2.4E-2</v>
      </c>
      <c r="D1776">
        <v>6</v>
      </c>
      <c r="E1776">
        <f t="shared" si="27"/>
        <v>4.3642718356087309E-2</v>
      </c>
    </row>
    <row r="1777" spans="1:5" x14ac:dyDescent="0.25">
      <c r="A1777">
        <v>3</v>
      </c>
      <c r="B1777">
        <v>2.9333333333333302E-2</v>
      </c>
      <c r="D1777">
        <v>6</v>
      </c>
      <c r="E1777">
        <f t="shared" si="27"/>
        <v>4.3642718356087309E-2</v>
      </c>
    </row>
    <row r="1778" spans="1:5" x14ac:dyDescent="0.25">
      <c r="A1778">
        <v>3</v>
      </c>
      <c r="B1778">
        <v>2E-3</v>
      </c>
      <c r="D1778">
        <v>6</v>
      </c>
      <c r="E1778">
        <f t="shared" si="27"/>
        <v>4.3642718356087309E-2</v>
      </c>
    </row>
    <row r="1779" spans="1:5" x14ac:dyDescent="0.25">
      <c r="A1779">
        <v>3</v>
      </c>
      <c r="B1779">
        <v>-4.1958041958042001E-2</v>
      </c>
      <c r="D1779">
        <v>6</v>
      </c>
      <c r="E1779">
        <f t="shared" si="27"/>
        <v>4.3642718356087309E-2</v>
      </c>
    </row>
    <row r="1780" spans="1:5" x14ac:dyDescent="0.25">
      <c r="A1780">
        <v>3</v>
      </c>
      <c r="B1780">
        <v>3.03030303030303E-2</v>
      </c>
      <c r="D1780">
        <v>6</v>
      </c>
      <c r="E1780">
        <f t="shared" si="27"/>
        <v>4.3642718356087309E-2</v>
      </c>
    </row>
    <row r="1781" spans="1:5" x14ac:dyDescent="0.25">
      <c r="A1781">
        <v>3</v>
      </c>
      <c r="B1781">
        <v>-2.10280373831776E-2</v>
      </c>
      <c r="D1781">
        <v>6</v>
      </c>
      <c r="E1781">
        <f t="shared" si="27"/>
        <v>4.3642718356087309E-2</v>
      </c>
    </row>
    <row r="1782" spans="1:5" x14ac:dyDescent="0.25">
      <c r="A1782">
        <v>3</v>
      </c>
      <c r="B1782">
        <v>-0.104790419161677</v>
      </c>
      <c r="D1782">
        <v>6</v>
      </c>
      <c r="E1782">
        <f t="shared" si="27"/>
        <v>4.3642718356087309E-2</v>
      </c>
    </row>
    <row r="1783" spans="1:5" x14ac:dyDescent="0.25">
      <c r="A1783">
        <v>3</v>
      </c>
      <c r="B1783">
        <v>3.4965034965035002E-2</v>
      </c>
      <c r="D1783">
        <v>6</v>
      </c>
      <c r="E1783">
        <f t="shared" si="27"/>
        <v>4.3642718356087309E-2</v>
      </c>
    </row>
    <row r="1784" spans="1:5" x14ac:dyDescent="0.25">
      <c r="A1784">
        <v>3</v>
      </c>
      <c r="B1784">
        <v>-4.26666666666667E-2</v>
      </c>
      <c r="D1784">
        <v>6</v>
      </c>
      <c r="E1784">
        <f t="shared" si="27"/>
        <v>4.3642718356087309E-2</v>
      </c>
    </row>
    <row r="1785" spans="1:5" x14ac:dyDescent="0.25">
      <c r="A1785">
        <v>3</v>
      </c>
      <c r="B1785">
        <v>0.49666666666666698</v>
      </c>
      <c r="D1785">
        <v>6</v>
      </c>
      <c r="E1785">
        <f t="shared" si="27"/>
        <v>4.3642718356087309E-2</v>
      </c>
    </row>
    <row r="1786" spans="1:5" x14ac:dyDescent="0.25">
      <c r="A1786">
        <v>3</v>
      </c>
      <c r="B1786">
        <v>-9.3240093240093205E-3</v>
      </c>
      <c r="D1786">
        <v>6</v>
      </c>
      <c r="E1786">
        <f t="shared" si="27"/>
        <v>4.3642718356087309E-2</v>
      </c>
    </row>
    <row r="1787" spans="1:5" x14ac:dyDescent="0.25">
      <c r="A1787">
        <v>3</v>
      </c>
      <c r="B1787">
        <v>0.57692307692307698</v>
      </c>
      <c r="D1787">
        <v>6</v>
      </c>
      <c r="E1787">
        <f t="shared" si="27"/>
        <v>4.3642718356087309E-2</v>
      </c>
    </row>
    <row r="1788" spans="1:5" x14ac:dyDescent="0.25">
      <c r="A1788">
        <v>3</v>
      </c>
      <c r="B1788">
        <v>0.43956043956044</v>
      </c>
      <c r="D1788">
        <v>6</v>
      </c>
      <c r="E1788">
        <f t="shared" si="27"/>
        <v>4.3642718356087309E-2</v>
      </c>
    </row>
    <row r="1789" spans="1:5" x14ac:dyDescent="0.25">
      <c r="A1789">
        <v>3</v>
      </c>
      <c r="B1789">
        <v>-5.3999999999999999E-2</v>
      </c>
      <c r="D1789">
        <v>7</v>
      </c>
      <c r="E1789">
        <f t="shared" si="27"/>
        <v>4.2680129346644294E-2</v>
      </c>
    </row>
    <row r="1790" spans="1:5" x14ac:dyDescent="0.25">
      <c r="A1790">
        <v>3</v>
      </c>
      <c r="B1790">
        <v>0.16</v>
      </c>
      <c r="D1790">
        <v>7</v>
      </c>
      <c r="E1790">
        <f t="shared" si="27"/>
        <v>4.2680129346644294E-2</v>
      </c>
    </row>
    <row r="1791" spans="1:5" x14ac:dyDescent="0.25">
      <c r="A1791">
        <v>3</v>
      </c>
      <c r="B1791">
        <v>-0.14285714285714299</v>
      </c>
      <c r="D1791">
        <v>7</v>
      </c>
      <c r="E1791">
        <f t="shared" si="27"/>
        <v>4.2680129346644294E-2</v>
      </c>
    </row>
    <row r="1792" spans="1:5" x14ac:dyDescent="0.25">
      <c r="A1792">
        <v>3</v>
      </c>
      <c r="B1792">
        <v>0.21</v>
      </c>
      <c r="D1792">
        <v>7</v>
      </c>
      <c r="E1792">
        <f t="shared" si="27"/>
        <v>4.2680129346644294E-2</v>
      </c>
    </row>
    <row r="1793" spans="1:5" x14ac:dyDescent="0.25">
      <c r="A1793">
        <v>3</v>
      </c>
      <c r="B1793">
        <v>-3.3333333333333301E-3</v>
      </c>
      <c r="D1793">
        <v>7</v>
      </c>
      <c r="E1793">
        <f t="shared" si="27"/>
        <v>4.2680129346644294E-2</v>
      </c>
    </row>
    <row r="1794" spans="1:5" x14ac:dyDescent="0.25">
      <c r="A1794">
        <v>3</v>
      </c>
      <c r="B1794">
        <v>-0.10666666666666701</v>
      </c>
      <c r="D1794">
        <v>7</v>
      </c>
      <c r="E1794">
        <f t="shared" si="27"/>
        <v>4.2680129346644294E-2</v>
      </c>
    </row>
    <row r="1795" spans="1:5" x14ac:dyDescent="0.25">
      <c r="A1795">
        <v>3</v>
      </c>
      <c r="B1795">
        <v>0.72289156626506001</v>
      </c>
      <c r="D1795">
        <v>7</v>
      </c>
      <c r="E1795">
        <f t="shared" ref="E1795:E1858" si="28">_xlfn.NORM.DIST(D1795, I$4,I$7,FALSE)</f>
        <v>4.2680129346644294E-2</v>
      </c>
    </row>
    <row r="1796" spans="1:5" x14ac:dyDescent="0.25">
      <c r="A1796">
        <v>3</v>
      </c>
      <c r="B1796">
        <v>0.80519480519480502</v>
      </c>
      <c r="D1796">
        <v>7</v>
      </c>
      <c r="E1796">
        <f t="shared" si="28"/>
        <v>4.2680129346644294E-2</v>
      </c>
    </row>
    <row r="1797" spans="1:5" x14ac:dyDescent="0.25">
      <c r="A1797">
        <v>3</v>
      </c>
      <c r="B1797">
        <v>1</v>
      </c>
      <c r="D1797">
        <v>7</v>
      </c>
      <c r="E1797">
        <f t="shared" si="28"/>
        <v>4.2680129346644294E-2</v>
      </c>
    </row>
    <row r="1798" spans="1:5" x14ac:dyDescent="0.25">
      <c r="A1798">
        <v>3</v>
      </c>
      <c r="B1798">
        <v>-1.3333333333333299E-2</v>
      </c>
      <c r="D1798">
        <v>7</v>
      </c>
      <c r="E1798">
        <f t="shared" si="28"/>
        <v>4.2680129346644294E-2</v>
      </c>
    </row>
    <row r="1799" spans="1:5" x14ac:dyDescent="0.25">
      <c r="A1799">
        <v>3</v>
      </c>
      <c r="B1799">
        <v>1</v>
      </c>
      <c r="D1799">
        <v>7</v>
      </c>
      <c r="E1799">
        <f t="shared" si="28"/>
        <v>4.2680129346644294E-2</v>
      </c>
    </row>
    <row r="1800" spans="1:5" x14ac:dyDescent="0.25">
      <c r="A1800">
        <v>3</v>
      </c>
      <c r="B1800">
        <v>0.27027027027027001</v>
      </c>
      <c r="D1800">
        <v>7</v>
      </c>
      <c r="E1800">
        <f t="shared" si="28"/>
        <v>4.2680129346644294E-2</v>
      </c>
    </row>
    <row r="1801" spans="1:5" x14ac:dyDescent="0.25">
      <c r="A1801">
        <v>3</v>
      </c>
      <c r="B1801">
        <v>0.135135135135135</v>
      </c>
      <c r="D1801">
        <v>7</v>
      </c>
      <c r="E1801">
        <f t="shared" si="28"/>
        <v>4.2680129346644294E-2</v>
      </c>
    </row>
    <row r="1802" spans="1:5" x14ac:dyDescent="0.25">
      <c r="A1802">
        <v>3</v>
      </c>
      <c r="B1802">
        <v>4.4910179640718598E-2</v>
      </c>
      <c r="D1802">
        <v>7</v>
      </c>
      <c r="E1802">
        <f t="shared" si="28"/>
        <v>4.2680129346644294E-2</v>
      </c>
    </row>
    <row r="1803" spans="1:5" x14ac:dyDescent="0.25">
      <c r="A1803">
        <v>3</v>
      </c>
      <c r="B1803">
        <v>1.49700598802395E-2</v>
      </c>
      <c r="D1803">
        <v>7</v>
      </c>
      <c r="E1803">
        <f t="shared" si="28"/>
        <v>4.2680129346644294E-2</v>
      </c>
    </row>
    <row r="1804" spans="1:5" x14ac:dyDescent="0.25">
      <c r="A1804">
        <v>3</v>
      </c>
      <c r="B1804">
        <v>-2.09580838323353E-2</v>
      </c>
      <c r="D1804">
        <v>7</v>
      </c>
      <c r="E1804">
        <f t="shared" si="28"/>
        <v>4.2680129346644294E-2</v>
      </c>
    </row>
    <row r="1805" spans="1:5" x14ac:dyDescent="0.25">
      <c r="A1805">
        <v>3</v>
      </c>
      <c r="B1805">
        <v>-6.0060060060060103E-3</v>
      </c>
      <c r="D1805">
        <v>7</v>
      </c>
      <c r="E1805">
        <f t="shared" si="28"/>
        <v>4.2680129346644294E-2</v>
      </c>
    </row>
    <row r="1806" spans="1:5" x14ac:dyDescent="0.25">
      <c r="A1806">
        <v>3</v>
      </c>
      <c r="B1806">
        <v>3.3033033033033003E-2</v>
      </c>
      <c r="D1806">
        <v>7</v>
      </c>
      <c r="E1806">
        <f t="shared" si="28"/>
        <v>4.2680129346644294E-2</v>
      </c>
    </row>
    <row r="1807" spans="1:5" x14ac:dyDescent="0.25">
      <c r="A1807">
        <v>3</v>
      </c>
      <c r="B1807">
        <v>3.7333333333333302E-2</v>
      </c>
      <c r="D1807">
        <v>7</v>
      </c>
      <c r="E1807">
        <f t="shared" si="28"/>
        <v>4.2680129346644294E-2</v>
      </c>
    </row>
    <row r="1808" spans="1:5" x14ac:dyDescent="0.25">
      <c r="A1808">
        <v>3</v>
      </c>
      <c r="B1808">
        <v>5.7057057057057103E-2</v>
      </c>
      <c r="D1808">
        <v>7</v>
      </c>
      <c r="E1808">
        <f t="shared" si="28"/>
        <v>4.2680129346644294E-2</v>
      </c>
    </row>
    <row r="1809" spans="1:5" x14ac:dyDescent="0.25">
      <c r="A1809">
        <v>3</v>
      </c>
      <c r="B1809">
        <v>-7.2072072072072099E-2</v>
      </c>
      <c r="D1809">
        <v>7</v>
      </c>
      <c r="E1809">
        <f t="shared" si="28"/>
        <v>4.2680129346644294E-2</v>
      </c>
    </row>
    <row r="1810" spans="1:5" x14ac:dyDescent="0.25">
      <c r="A1810">
        <v>3</v>
      </c>
      <c r="B1810">
        <v>1.3333333333333299E-2</v>
      </c>
      <c r="D1810">
        <v>7</v>
      </c>
      <c r="E1810">
        <f t="shared" si="28"/>
        <v>4.2680129346644294E-2</v>
      </c>
    </row>
    <row r="1811" spans="1:5" x14ac:dyDescent="0.25">
      <c r="A1811">
        <v>3</v>
      </c>
      <c r="B1811">
        <v>9.3333333333333296E-2</v>
      </c>
      <c r="D1811">
        <v>7</v>
      </c>
      <c r="E1811">
        <f t="shared" si="28"/>
        <v>4.2680129346644294E-2</v>
      </c>
    </row>
    <row r="1812" spans="1:5" x14ac:dyDescent="0.25">
      <c r="A1812">
        <v>3</v>
      </c>
      <c r="B1812">
        <v>-3.9627039627039597E-2</v>
      </c>
      <c r="D1812">
        <v>7</v>
      </c>
      <c r="E1812">
        <f t="shared" si="28"/>
        <v>4.2680129346644294E-2</v>
      </c>
    </row>
    <row r="1813" spans="1:5" x14ac:dyDescent="0.25">
      <c r="A1813">
        <v>3</v>
      </c>
      <c r="B1813">
        <v>-5.1401869158878503E-2</v>
      </c>
      <c r="D1813">
        <v>7</v>
      </c>
      <c r="E1813">
        <f t="shared" si="28"/>
        <v>4.2680129346644294E-2</v>
      </c>
    </row>
    <row r="1814" spans="1:5" x14ac:dyDescent="0.25">
      <c r="A1814">
        <v>3</v>
      </c>
      <c r="B1814">
        <v>-2.9940119760479E-3</v>
      </c>
      <c r="D1814">
        <v>7</v>
      </c>
      <c r="E1814">
        <f t="shared" si="28"/>
        <v>4.2680129346644294E-2</v>
      </c>
    </row>
    <row r="1815" spans="1:5" x14ac:dyDescent="0.25">
      <c r="A1815">
        <v>3</v>
      </c>
      <c r="B1815">
        <v>2.5641025641025599E-2</v>
      </c>
      <c r="D1815">
        <v>7</v>
      </c>
      <c r="E1815">
        <f t="shared" si="28"/>
        <v>4.2680129346644294E-2</v>
      </c>
    </row>
    <row r="1816" spans="1:5" x14ac:dyDescent="0.25">
      <c r="A1816">
        <v>3</v>
      </c>
      <c r="B1816">
        <v>-0.122448979591837</v>
      </c>
      <c r="D1816">
        <v>7</v>
      </c>
      <c r="E1816">
        <f t="shared" si="28"/>
        <v>4.2680129346644294E-2</v>
      </c>
    </row>
    <row r="1817" spans="1:5" x14ac:dyDescent="0.25">
      <c r="A1817">
        <v>3</v>
      </c>
      <c r="B1817">
        <v>-0.13986013986014001</v>
      </c>
      <c r="D1817">
        <v>7</v>
      </c>
      <c r="E1817">
        <f t="shared" si="28"/>
        <v>4.2680129346644294E-2</v>
      </c>
    </row>
    <row r="1818" spans="1:5" x14ac:dyDescent="0.25">
      <c r="A1818">
        <v>3</v>
      </c>
      <c r="B1818">
        <v>-2.10280373831776E-2</v>
      </c>
      <c r="D1818">
        <v>7</v>
      </c>
      <c r="E1818">
        <f t="shared" si="28"/>
        <v>4.2680129346644294E-2</v>
      </c>
    </row>
    <row r="1819" spans="1:5" x14ac:dyDescent="0.25">
      <c r="A1819">
        <v>3</v>
      </c>
      <c r="B1819">
        <v>-5.3738317757009303E-2</v>
      </c>
      <c r="D1819">
        <v>7</v>
      </c>
      <c r="E1819">
        <f t="shared" si="28"/>
        <v>4.2680129346644294E-2</v>
      </c>
    </row>
    <row r="1820" spans="1:5" x14ac:dyDescent="0.25">
      <c r="A1820">
        <v>3</v>
      </c>
      <c r="B1820">
        <v>-0.11799999999999999</v>
      </c>
      <c r="D1820">
        <v>7</v>
      </c>
      <c r="E1820">
        <f t="shared" si="28"/>
        <v>4.2680129346644294E-2</v>
      </c>
    </row>
    <row r="1821" spans="1:5" x14ac:dyDescent="0.25">
      <c r="A1821">
        <v>3</v>
      </c>
      <c r="B1821">
        <v>-1.0666666666666699E-2</v>
      </c>
      <c r="D1821">
        <v>7</v>
      </c>
      <c r="E1821">
        <f t="shared" si="28"/>
        <v>4.2680129346644294E-2</v>
      </c>
    </row>
    <row r="1822" spans="1:5" x14ac:dyDescent="0.25">
      <c r="A1822">
        <v>3</v>
      </c>
      <c r="B1822">
        <v>-3.2000000000000001E-2</v>
      </c>
      <c r="D1822">
        <v>7</v>
      </c>
      <c r="E1822">
        <f t="shared" si="28"/>
        <v>4.2680129346644294E-2</v>
      </c>
    </row>
    <row r="1823" spans="1:5" x14ac:dyDescent="0.25">
      <c r="A1823">
        <v>3</v>
      </c>
      <c r="B1823">
        <v>-0.28399999999999997</v>
      </c>
      <c r="D1823">
        <v>7</v>
      </c>
      <c r="E1823">
        <f t="shared" si="28"/>
        <v>4.2680129346644294E-2</v>
      </c>
    </row>
    <row r="1824" spans="1:5" x14ac:dyDescent="0.25">
      <c r="A1824">
        <v>3</v>
      </c>
      <c r="B1824">
        <v>-0.21875</v>
      </c>
      <c r="D1824">
        <v>7</v>
      </c>
      <c r="E1824">
        <f t="shared" si="28"/>
        <v>4.2680129346644294E-2</v>
      </c>
    </row>
    <row r="1825" spans="1:5" x14ac:dyDescent="0.25">
      <c r="A1825">
        <v>3</v>
      </c>
      <c r="B1825">
        <v>-6.6666666666666693E-2</v>
      </c>
      <c r="D1825">
        <v>7</v>
      </c>
      <c r="E1825">
        <f t="shared" si="28"/>
        <v>4.2680129346644294E-2</v>
      </c>
    </row>
    <row r="1826" spans="1:5" x14ac:dyDescent="0.25">
      <c r="A1826">
        <v>3</v>
      </c>
      <c r="B1826">
        <v>-0.05</v>
      </c>
      <c r="D1826">
        <v>7</v>
      </c>
      <c r="E1826">
        <f t="shared" si="28"/>
        <v>4.2680129346644294E-2</v>
      </c>
    </row>
    <row r="1827" spans="1:5" x14ac:dyDescent="0.25">
      <c r="A1827">
        <v>3</v>
      </c>
      <c r="B1827">
        <v>1.33333333333333E-3</v>
      </c>
      <c r="D1827">
        <v>7</v>
      </c>
      <c r="E1827">
        <f t="shared" si="28"/>
        <v>4.2680129346644294E-2</v>
      </c>
    </row>
    <row r="1828" spans="1:5" x14ac:dyDescent="0.25">
      <c r="A1828">
        <v>3</v>
      </c>
      <c r="B1828">
        <v>1.7999999999999999E-2</v>
      </c>
      <c r="D1828">
        <v>7</v>
      </c>
      <c r="E1828">
        <f t="shared" si="28"/>
        <v>4.2680129346644294E-2</v>
      </c>
    </row>
    <row r="1829" spans="1:5" x14ac:dyDescent="0.25">
      <c r="A1829">
        <v>3</v>
      </c>
      <c r="B1829">
        <v>-5.3613053613053602E-2</v>
      </c>
      <c r="D1829">
        <v>7</v>
      </c>
      <c r="E1829">
        <f t="shared" si="28"/>
        <v>4.2680129346644294E-2</v>
      </c>
    </row>
    <row r="1830" spans="1:5" x14ac:dyDescent="0.25">
      <c r="A1830">
        <v>3</v>
      </c>
      <c r="B1830">
        <v>1</v>
      </c>
      <c r="D1830">
        <v>7</v>
      </c>
      <c r="E1830">
        <f t="shared" si="28"/>
        <v>4.2680129346644294E-2</v>
      </c>
    </row>
    <row r="1831" spans="1:5" x14ac:dyDescent="0.25">
      <c r="A1831">
        <v>3</v>
      </c>
      <c r="B1831">
        <v>-0.106796116504854</v>
      </c>
      <c r="D1831">
        <v>7</v>
      </c>
      <c r="E1831">
        <f t="shared" si="28"/>
        <v>4.2680129346644294E-2</v>
      </c>
    </row>
    <row r="1832" spans="1:5" x14ac:dyDescent="0.25">
      <c r="A1832">
        <v>3</v>
      </c>
      <c r="B1832">
        <v>0.44055944055944102</v>
      </c>
      <c r="D1832">
        <v>7</v>
      </c>
      <c r="E1832">
        <f t="shared" si="28"/>
        <v>4.2680129346644294E-2</v>
      </c>
    </row>
    <row r="1833" spans="1:5" x14ac:dyDescent="0.25">
      <c r="A1833">
        <v>3</v>
      </c>
      <c r="B1833">
        <v>0.162162162162162</v>
      </c>
      <c r="D1833">
        <v>7</v>
      </c>
      <c r="E1833">
        <f t="shared" si="28"/>
        <v>4.2680129346644294E-2</v>
      </c>
    </row>
    <row r="1834" spans="1:5" x14ac:dyDescent="0.25">
      <c r="A1834">
        <v>3</v>
      </c>
      <c r="B1834">
        <v>0.24475524475524499</v>
      </c>
      <c r="D1834">
        <v>7</v>
      </c>
      <c r="E1834">
        <f t="shared" si="28"/>
        <v>4.2680129346644294E-2</v>
      </c>
    </row>
    <row r="1835" spans="1:5" x14ac:dyDescent="0.25">
      <c r="A1835">
        <v>3</v>
      </c>
      <c r="B1835">
        <v>1</v>
      </c>
      <c r="D1835">
        <v>7</v>
      </c>
      <c r="E1835">
        <f t="shared" si="28"/>
        <v>4.2680129346644294E-2</v>
      </c>
    </row>
    <row r="1836" spans="1:5" x14ac:dyDescent="0.25">
      <c r="A1836">
        <v>3</v>
      </c>
      <c r="B1836">
        <v>3.3033033033033003E-2</v>
      </c>
      <c r="D1836">
        <v>7</v>
      </c>
      <c r="E1836">
        <f t="shared" si="28"/>
        <v>4.2680129346644294E-2</v>
      </c>
    </row>
    <row r="1837" spans="1:5" x14ac:dyDescent="0.25">
      <c r="A1837">
        <v>3</v>
      </c>
      <c r="B1837">
        <v>-8.9820359281437105E-3</v>
      </c>
      <c r="D1837">
        <v>7</v>
      </c>
      <c r="E1837">
        <f t="shared" si="28"/>
        <v>4.2680129346644294E-2</v>
      </c>
    </row>
    <row r="1838" spans="1:5" x14ac:dyDescent="0.25">
      <c r="A1838">
        <v>3</v>
      </c>
      <c r="B1838">
        <v>6.9069069069069094E-2</v>
      </c>
      <c r="D1838">
        <v>7</v>
      </c>
      <c r="E1838">
        <f t="shared" si="28"/>
        <v>4.2680129346644294E-2</v>
      </c>
    </row>
    <row r="1839" spans="1:5" x14ac:dyDescent="0.25">
      <c r="A1839">
        <v>3</v>
      </c>
      <c r="B1839">
        <v>-7.8078078078078095E-2</v>
      </c>
      <c r="D1839">
        <v>7</v>
      </c>
      <c r="E1839">
        <f t="shared" si="28"/>
        <v>4.2680129346644294E-2</v>
      </c>
    </row>
    <row r="1840" spans="1:5" x14ac:dyDescent="0.25">
      <c r="A1840">
        <v>3</v>
      </c>
      <c r="B1840">
        <v>-1.0666666666666699E-2</v>
      </c>
      <c r="D1840">
        <v>7</v>
      </c>
      <c r="E1840">
        <f t="shared" si="28"/>
        <v>4.2680129346644294E-2</v>
      </c>
    </row>
    <row r="1841" spans="1:5" x14ac:dyDescent="0.25">
      <c r="A1841">
        <v>3</v>
      </c>
      <c r="B1841">
        <v>-0.11111111111111099</v>
      </c>
      <c r="D1841">
        <v>7</v>
      </c>
      <c r="E1841">
        <f t="shared" si="28"/>
        <v>4.2680129346644294E-2</v>
      </c>
    </row>
    <row r="1842" spans="1:5" x14ac:dyDescent="0.25">
      <c r="A1842">
        <v>3</v>
      </c>
      <c r="B1842">
        <v>9.0666666666666701E-2</v>
      </c>
      <c r="D1842">
        <v>7</v>
      </c>
      <c r="E1842">
        <f t="shared" si="28"/>
        <v>4.2680129346644294E-2</v>
      </c>
    </row>
    <row r="1843" spans="1:5" x14ac:dyDescent="0.25">
      <c r="A1843">
        <v>3</v>
      </c>
      <c r="B1843">
        <v>1.0666666666666699E-2</v>
      </c>
      <c r="D1843">
        <v>7</v>
      </c>
      <c r="E1843">
        <f t="shared" si="28"/>
        <v>4.2680129346644294E-2</v>
      </c>
    </row>
    <row r="1844" spans="1:5" x14ac:dyDescent="0.25">
      <c r="A1844">
        <v>3</v>
      </c>
      <c r="B1844">
        <v>6.6066066066066104E-2</v>
      </c>
      <c r="D1844">
        <v>7</v>
      </c>
      <c r="E1844">
        <f t="shared" si="28"/>
        <v>4.2680129346644294E-2</v>
      </c>
    </row>
    <row r="1845" spans="1:5" x14ac:dyDescent="0.25">
      <c r="A1845">
        <v>3</v>
      </c>
      <c r="B1845">
        <v>4.2042042042041997E-2</v>
      </c>
      <c r="D1845">
        <v>7</v>
      </c>
      <c r="E1845">
        <f t="shared" si="28"/>
        <v>4.2680129346644294E-2</v>
      </c>
    </row>
    <row r="1846" spans="1:5" x14ac:dyDescent="0.25">
      <c r="A1846">
        <v>3</v>
      </c>
      <c r="B1846">
        <v>8.0000000000000002E-3</v>
      </c>
      <c r="D1846">
        <v>7</v>
      </c>
      <c r="E1846">
        <f t="shared" si="28"/>
        <v>4.2680129346644294E-2</v>
      </c>
    </row>
    <row r="1847" spans="1:5" x14ac:dyDescent="0.25">
      <c r="A1847">
        <v>3</v>
      </c>
      <c r="B1847">
        <v>0.14670658682634699</v>
      </c>
      <c r="D1847">
        <v>7</v>
      </c>
      <c r="E1847">
        <f t="shared" si="28"/>
        <v>4.2680129346644294E-2</v>
      </c>
    </row>
    <row r="1848" spans="1:5" x14ac:dyDescent="0.25">
      <c r="A1848">
        <v>3</v>
      </c>
      <c r="B1848">
        <v>2.1021021021020998E-2</v>
      </c>
      <c r="D1848">
        <v>7</v>
      </c>
      <c r="E1848">
        <f t="shared" si="28"/>
        <v>4.2680129346644294E-2</v>
      </c>
    </row>
    <row r="1849" spans="1:5" x14ac:dyDescent="0.25">
      <c r="A1849">
        <v>3</v>
      </c>
      <c r="B1849">
        <v>0.10981308411215</v>
      </c>
      <c r="D1849">
        <v>7</v>
      </c>
      <c r="E1849">
        <f t="shared" si="28"/>
        <v>4.2680129346644294E-2</v>
      </c>
    </row>
    <row r="1850" spans="1:5" x14ac:dyDescent="0.25">
      <c r="A1850">
        <v>3</v>
      </c>
      <c r="B1850">
        <v>5.3333333333333297E-3</v>
      </c>
      <c r="D1850">
        <v>7</v>
      </c>
      <c r="E1850">
        <f t="shared" si="28"/>
        <v>4.2680129346644294E-2</v>
      </c>
    </row>
    <row r="1851" spans="1:5" x14ac:dyDescent="0.25">
      <c r="A1851">
        <v>3</v>
      </c>
      <c r="B1851">
        <v>-0.113207547169811</v>
      </c>
      <c r="D1851">
        <v>7</v>
      </c>
      <c r="E1851">
        <f t="shared" si="28"/>
        <v>4.2680129346644294E-2</v>
      </c>
    </row>
    <row r="1852" spans="1:5" x14ac:dyDescent="0.25">
      <c r="A1852">
        <v>3</v>
      </c>
      <c r="B1852">
        <v>-7.1999999999999995E-2</v>
      </c>
      <c r="D1852">
        <v>7</v>
      </c>
      <c r="E1852">
        <f t="shared" si="28"/>
        <v>4.2680129346644294E-2</v>
      </c>
    </row>
    <row r="1853" spans="1:5" x14ac:dyDescent="0.25">
      <c r="A1853">
        <v>3</v>
      </c>
      <c r="B1853">
        <v>-3.6363636363636397E-2</v>
      </c>
      <c r="D1853">
        <v>7</v>
      </c>
      <c r="E1853">
        <f t="shared" si="28"/>
        <v>4.2680129346644294E-2</v>
      </c>
    </row>
    <row r="1854" spans="1:5" x14ac:dyDescent="0.25">
      <c r="A1854">
        <v>3</v>
      </c>
      <c r="B1854">
        <v>-9.7902097902097904E-2</v>
      </c>
      <c r="D1854">
        <v>7</v>
      </c>
      <c r="E1854">
        <f t="shared" si="28"/>
        <v>4.2680129346644294E-2</v>
      </c>
    </row>
    <row r="1855" spans="1:5" x14ac:dyDescent="0.25">
      <c r="A1855">
        <v>3</v>
      </c>
      <c r="B1855">
        <v>7.00934579439252E-2</v>
      </c>
      <c r="D1855">
        <v>7</v>
      </c>
      <c r="E1855">
        <f t="shared" si="28"/>
        <v>4.2680129346644294E-2</v>
      </c>
    </row>
    <row r="1856" spans="1:5" x14ac:dyDescent="0.25">
      <c r="A1856">
        <v>3</v>
      </c>
      <c r="B1856">
        <v>2.4E-2</v>
      </c>
      <c r="D1856">
        <v>7</v>
      </c>
      <c r="E1856">
        <f t="shared" si="28"/>
        <v>4.2680129346644294E-2</v>
      </c>
    </row>
    <row r="1857" spans="1:5" x14ac:dyDescent="0.25">
      <c r="A1857">
        <v>3</v>
      </c>
      <c r="B1857">
        <v>0.08</v>
      </c>
      <c r="D1857">
        <v>7</v>
      </c>
      <c r="E1857">
        <f t="shared" si="28"/>
        <v>4.2680129346644294E-2</v>
      </c>
    </row>
    <row r="1858" spans="1:5" x14ac:dyDescent="0.25">
      <c r="A1858">
        <v>3</v>
      </c>
      <c r="B1858">
        <v>5.1999999999999998E-2</v>
      </c>
      <c r="D1858">
        <v>7</v>
      </c>
      <c r="E1858">
        <f t="shared" si="28"/>
        <v>4.2680129346644294E-2</v>
      </c>
    </row>
    <row r="1859" spans="1:5" x14ac:dyDescent="0.25">
      <c r="A1859">
        <v>3</v>
      </c>
      <c r="B1859">
        <v>-3.46666666666667E-2</v>
      </c>
      <c r="D1859">
        <v>7</v>
      </c>
      <c r="E1859">
        <f t="shared" ref="E1859:E1922" si="29">_xlfn.NORM.DIST(D1859, I$4,I$7,FALSE)</f>
        <v>4.2680129346644294E-2</v>
      </c>
    </row>
    <row r="1860" spans="1:5" x14ac:dyDescent="0.25">
      <c r="A1860">
        <v>3</v>
      </c>
      <c r="B1860">
        <v>-0.121495327102804</v>
      </c>
      <c r="D1860">
        <v>7</v>
      </c>
      <c r="E1860">
        <f t="shared" si="29"/>
        <v>4.2680129346644294E-2</v>
      </c>
    </row>
    <row r="1861" spans="1:5" x14ac:dyDescent="0.25">
      <c r="A1861">
        <v>3</v>
      </c>
      <c r="B1861">
        <v>-5.0000000000000001E-3</v>
      </c>
      <c r="D1861">
        <v>7</v>
      </c>
      <c r="E1861">
        <f t="shared" si="29"/>
        <v>4.2680129346644294E-2</v>
      </c>
    </row>
    <row r="1862" spans="1:5" x14ac:dyDescent="0.25">
      <c r="A1862">
        <v>3</v>
      </c>
      <c r="B1862">
        <v>0.51948051948051899</v>
      </c>
      <c r="D1862">
        <v>7</v>
      </c>
      <c r="E1862">
        <f t="shared" si="29"/>
        <v>4.2680129346644294E-2</v>
      </c>
    </row>
    <row r="1863" spans="1:5" x14ac:dyDescent="0.25">
      <c r="A1863">
        <v>3</v>
      </c>
      <c r="B1863">
        <v>0.23376623376623401</v>
      </c>
      <c r="D1863">
        <v>7</v>
      </c>
      <c r="E1863">
        <f t="shared" si="29"/>
        <v>4.2680129346644294E-2</v>
      </c>
    </row>
    <row r="1864" spans="1:5" x14ac:dyDescent="0.25">
      <c r="A1864">
        <v>3</v>
      </c>
      <c r="B1864">
        <v>-8.0000000000000002E-3</v>
      </c>
      <c r="D1864">
        <v>7</v>
      </c>
      <c r="E1864">
        <f t="shared" si="29"/>
        <v>4.2680129346644294E-2</v>
      </c>
    </row>
    <row r="1865" spans="1:5" x14ac:dyDescent="0.25">
      <c r="A1865">
        <v>3</v>
      </c>
      <c r="B1865">
        <v>0.27800000000000002</v>
      </c>
      <c r="D1865">
        <v>7</v>
      </c>
      <c r="E1865">
        <f t="shared" si="29"/>
        <v>4.2680129346644294E-2</v>
      </c>
    </row>
    <row r="1866" spans="1:5" x14ac:dyDescent="0.25">
      <c r="A1866">
        <v>3</v>
      </c>
      <c r="B1866">
        <v>6.4000000000000001E-2</v>
      </c>
      <c r="D1866">
        <v>7</v>
      </c>
      <c r="E1866">
        <f t="shared" si="29"/>
        <v>4.2680129346644294E-2</v>
      </c>
    </row>
    <row r="1867" spans="1:5" x14ac:dyDescent="0.25">
      <c r="A1867">
        <v>3</v>
      </c>
      <c r="B1867">
        <v>0.31775700934579398</v>
      </c>
      <c r="D1867">
        <v>7</v>
      </c>
      <c r="E1867">
        <f t="shared" si="29"/>
        <v>4.2680129346644294E-2</v>
      </c>
    </row>
    <row r="1868" spans="1:5" x14ac:dyDescent="0.25">
      <c r="A1868">
        <v>3</v>
      </c>
      <c r="B1868">
        <v>1</v>
      </c>
      <c r="D1868">
        <v>7</v>
      </c>
      <c r="E1868">
        <f t="shared" si="29"/>
        <v>4.2680129346644294E-2</v>
      </c>
    </row>
    <row r="1869" spans="1:5" x14ac:dyDescent="0.25">
      <c r="A1869">
        <v>3</v>
      </c>
      <c r="B1869">
        <v>0.36666666666666697</v>
      </c>
      <c r="D1869">
        <v>7</v>
      </c>
      <c r="E1869">
        <f t="shared" si="29"/>
        <v>4.2680129346644294E-2</v>
      </c>
    </row>
    <row r="1870" spans="1:5" x14ac:dyDescent="0.25">
      <c r="A1870">
        <v>3</v>
      </c>
      <c r="B1870">
        <v>-5.4054054054054099E-2</v>
      </c>
      <c r="D1870">
        <v>7</v>
      </c>
      <c r="E1870">
        <f t="shared" si="29"/>
        <v>4.2680129346644294E-2</v>
      </c>
    </row>
    <row r="1871" spans="1:5" x14ac:dyDescent="0.25">
      <c r="A1871">
        <v>3</v>
      </c>
      <c r="B1871">
        <v>0.74333333333333296</v>
      </c>
      <c r="D1871">
        <v>7</v>
      </c>
      <c r="E1871">
        <f t="shared" si="29"/>
        <v>4.2680129346644294E-2</v>
      </c>
    </row>
    <row r="1872" spans="1:5" x14ac:dyDescent="0.25">
      <c r="A1872">
        <v>3</v>
      </c>
      <c r="B1872">
        <v>1</v>
      </c>
      <c r="D1872">
        <v>7</v>
      </c>
      <c r="E1872">
        <f t="shared" si="29"/>
        <v>4.2680129346644294E-2</v>
      </c>
    </row>
    <row r="1873" spans="1:5" x14ac:dyDescent="0.25">
      <c r="A1873">
        <v>3</v>
      </c>
      <c r="B1873">
        <v>0.11111111111111099</v>
      </c>
      <c r="D1873">
        <v>7</v>
      </c>
      <c r="E1873">
        <f t="shared" si="29"/>
        <v>4.2680129346644294E-2</v>
      </c>
    </row>
    <row r="1874" spans="1:5" x14ac:dyDescent="0.25">
      <c r="A1874">
        <v>3</v>
      </c>
      <c r="B1874">
        <v>-4.1916167664670698E-2</v>
      </c>
      <c r="D1874">
        <v>7</v>
      </c>
      <c r="E1874">
        <f t="shared" si="29"/>
        <v>4.2680129346644294E-2</v>
      </c>
    </row>
    <row r="1875" spans="1:5" x14ac:dyDescent="0.25">
      <c r="A1875">
        <v>3</v>
      </c>
      <c r="B1875">
        <v>6.1333333333333302E-2</v>
      </c>
      <c r="D1875">
        <v>7</v>
      </c>
      <c r="E1875">
        <f t="shared" si="29"/>
        <v>4.2680129346644294E-2</v>
      </c>
    </row>
    <row r="1876" spans="1:5" x14ac:dyDescent="0.25">
      <c r="A1876">
        <v>3</v>
      </c>
      <c r="B1876">
        <v>-0.12</v>
      </c>
      <c r="D1876">
        <v>7</v>
      </c>
      <c r="E1876">
        <f t="shared" si="29"/>
        <v>4.2680129346644294E-2</v>
      </c>
    </row>
    <row r="1877" spans="1:5" x14ac:dyDescent="0.25">
      <c r="A1877">
        <v>3</v>
      </c>
      <c r="B1877">
        <v>0.1002331002331</v>
      </c>
      <c r="D1877">
        <v>7</v>
      </c>
      <c r="E1877">
        <f t="shared" si="29"/>
        <v>4.2680129346644294E-2</v>
      </c>
    </row>
    <row r="1878" spans="1:5" x14ac:dyDescent="0.25">
      <c r="A1878">
        <v>3</v>
      </c>
      <c r="B1878">
        <v>-6.4000000000000001E-2</v>
      </c>
      <c r="D1878">
        <v>7</v>
      </c>
      <c r="E1878">
        <f t="shared" si="29"/>
        <v>4.2680129346644294E-2</v>
      </c>
    </row>
    <row r="1879" spans="1:5" x14ac:dyDescent="0.25">
      <c r="A1879">
        <v>3</v>
      </c>
      <c r="B1879">
        <v>8.6247086247086199E-2</v>
      </c>
      <c r="D1879">
        <v>7</v>
      </c>
      <c r="E1879">
        <f t="shared" si="29"/>
        <v>4.2680129346644294E-2</v>
      </c>
    </row>
    <row r="1880" spans="1:5" x14ac:dyDescent="0.25">
      <c r="A1880">
        <v>3</v>
      </c>
      <c r="B1880">
        <v>-3.0030030030029999E-3</v>
      </c>
      <c r="D1880">
        <v>7</v>
      </c>
      <c r="E1880">
        <f t="shared" si="29"/>
        <v>4.2680129346644294E-2</v>
      </c>
    </row>
    <row r="1881" spans="1:5" x14ac:dyDescent="0.25">
      <c r="A1881">
        <v>3</v>
      </c>
      <c r="B1881">
        <v>5.6000000000000001E-2</v>
      </c>
      <c r="D1881">
        <v>7</v>
      </c>
      <c r="E1881">
        <f t="shared" si="29"/>
        <v>4.2680129346644294E-2</v>
      </c>
    </row>
    <row r="1882" spans="1:5" x14ac:dyDescent="0.25">
      <c r="A1882">
        <v>3</v>
      </c>
      <c r="B1882">
        <v>-0.122</v>
      </c>
      <c r="D1882">
        <v>7</v>
      </c>
      <c r="E1882">
        <f t="shared" si="29"/>
        <v>4.2680129346644294E-2</v>
      </c>
    </row>
    <row r="1883" spans="1:5" x14ac:dyDescent="0.25">
      <c r="A1883">
        <v>3</v>
      </c>
      <c r="B1883">
        <v>5.7057057057057103E-2</v>
      </c>
      <c r="D1883">
        <v>7</v>
      </c>
      <c r="E1883">
        <f t="shared" si="29"/>
        <v>4.2680129346644294E-2</v>
      </c>
    </row>
    <row r="1884" spans="1:5" x14ac:dyDescent="0.25">
      <c r="A1884">
        <v>3</v>
      </c>
      <c r="B1884">
        <v>-6.6666666666666693E-2</v>
      </c>
      <c r="D1884">
        <v>7</v>
      </c>
      <c r="E1884">
        <f t="shared" si="29"/>
        <v>4.2680129346644294E-2</v>
      </c>
    </row>
    <row r="1885" spans="1:5" x14ac:dyDescent="0.25">
      <c r="A1885">
        <v>3</v>
      </c>
      <c r="B1885">
        <v>0.16800000000000001</v>
      </c>
      <c r="D1885">
        <v>7</v>
      </c>
      <c r="E1885">
        <f t="shared" si="29"/>
        <v>4.2680129346644294E-2</v>
      </c>
    </row>
    <row r="1886" spans="1:5" x14ac:dyDescent="0.25">
      <c r="A1886">
        <v>3</v>
      </c>
      <c r="B1886">
        <v>-0.17166666666666699</v>
      </c>
      <c r="D1886">
        <v>7</v>
      </c>
      <c r="E1886">
        <f t="shared" si="29"/>
        <v>4.2680129346644294E-2</v>
      </c>
    </row>
    <row r="1887" spans="1:5" x14ac:dyDescent="0.25">
      <c r="A1887">
        <v>3</v>
      </c>
      <c r="B1887">
        <v>0.18862275449101801</v>
      </c>
      <c r="D1887">
        <v>7</v>
      </c>
      <c r="E1887">
        <f t="shared" si="29"/>
        <v>4.2680129346644294E-2</v>
      </c>
    </row>
    <row r="1888" spans="1:5" x14ac:dyDescent="0.25">
      <c r="A1888">
        <v>3</v>
      </c>
      <c r="B1888">
        <v>-0.18618618618618599</v>
      </c>
      <c r="D1888">
        <v>7</v>
      </c>
      <c r="E1888">
        <f t="shared" si="29"/>
        <v>4.2680129346644294E-2</v>
      </c>
    </row>
    <row r="1889" spans="1:5" x14ac:dyDescent="0.25">
      <c r="A1889">
        <v>3</v>
      </c>
      <c r="B1889">
        <v>0.13986013986014001</v>
      </c>
      <c r="D1889">
        <v>7</v>
      </c>
      <c r="E1889">
        <f t="shared" si="29"/>
        <v>4.2680129346644294E-2</v>
      </c>
    </row>
    <row r="1890" spans="1:5" x14ac:dyDescent="0.25">
      <c r="A1890">
        <v>3</v>
      </c>
      <c r="B1890">
        <v>-0.14133333333333301</v>
      </c>
      <c r="D1890">
        <v>7</v>
      </c>
      <c r="E1890">
        <f t="shared" si="29"/>
        <v>4.2680129346644294E-2</v>
      </c>
    </row>
    <row r="1891" spans="1:5" x14ac:dyDescent="0.25">
      <c r="A1891">
        <v>3</v>
      </c>
      <c r="B1891">
        <v>0.146666666666667</v>
      </c>
      <c r="D1891">
        <v>7</v>
      </c>
      <c r="E1891">
        <f t="shared" si="29"/>
        <v>4.2680129346644294E-2</v>
      </c>
    </row>
    <row r="1892" spans="1:5" x14ac:dyDescent="0.25">
      <c r="A1892">
        <v>3</v>
      </c>
      <c r="B1892">
        <v>-0.13519813519813501</v>
      </c>
      <c r="D1892">
        <v>7</v>
      </c>
      <c r="E1892">
        <f t="shared" si="29"/>
        <v>4.2680129346644294E-2</v>
      </c>
    </row>
    <row r="1893" spans="1:5" x14ac:dyDescent="0.25">
      <c r="A1893">
        <v>3</v>
      </c>
      <c r="B1893">
        <v>0.16588785046728999</v>
      </c>
      <c r="D1893">
        <v>7</v>
      </c>
      <c r="E1893">
        <f t="shared" si="29"/>
        <v>4.2680129346644294E-2</v>
      </c>
    </row>
    <row r="1894" spans="1:5" x14ac:dyDescent="0.25">
      <c r="A1894">
        <v>3</v>
      </c>
      <c r="B1894">
        <v>-0.121495327102804</v>
      </c>
      <c r="D1894">
        <v>7</v>
      </c>
      <c r="E1894">
        <f t="shared" si="29"/>
        <v>4.2680129346644294E-2</v>
      </c>
    </row>
    <row r="1895" spans="1:5" x14ac:dyDescent="0.25">
      <c r="A1895">
        <v>3</v>
      </c>
      <c r="B1895">
        <v>1.8018018018018001E-2</v>
      </c>
      <c r="D1895">
        <v>7</v>
      </c>
      <c r="E1895">
        <f t="shared" si="29"/>
        <v>4.2680129346644294E-2</v>
      </c>
    </row>
    <row r="1896" spans="1:5" x14ac:dyDescent="0.25">
      <c r="A1896">
        <v>3</v>
      </c>
      <c r="B1896">
        <v>-0.128</v>
      </c>
      <c r="D1896">
        <v>7</v>
      </c>
      <c r="E1896">
        <f t="shared" si="29"/>
        <v>4.2680129346644294E-2</v>
      </c>
    </row>
    <row r="1897" spans="1:5" x14ac:dyDescent="0.25">
      <c r="A1897">
        <v>3</v>
      </c>
      <c r="B1897">
        <v>-0.10344827586206901</v>
      </c>
      <c r="D1897">
        <v>7</v>
      </c>
      <c r="E1897">
        <f t="shared" si="29"/>
        <v>4.2680129346644294E-2</v>
      </c>
    </row>
    <row r="1898" spans="1:5" x14ac:dyDescent="0.25">
      <c r="A1898">
        <v>3</v>
      </c>
      <c r="B1898">
        <v>-0.13580246913580199</v>
      </c>
      <c r="D1898">
        <v>7</v>
      </c>
      <c r="E1898">
        <f t="shared" si="29"/>
        <v>4.2680129346644294E-2</v>
      </c>
    </row>
    <row r="1899" spans="1:5" x14ac:dyDescent="0.25">
      <c r="A1899">
        <v>3</v>
      </c>
      <c r="B1899">
        <v>-0.11799999999999999</v>
      </c>
      <c r="D1899">
        <v>7</v>
      </c>
      <c r="E1899">
        <f t="shared" si="29"/>
        <v>4.2680129346644294E-2</v>
      </c>
    </row>
    <row r="1900" spans="1:5" x14ac:dyDescent="0.25">
      <c r="A1900">
        <v>3</v>
      </c>
      <c r="B1900">
        <v>-0.15533980582524301</v>
      </c>
      <c r="D1900">
        <v>8</v>
      </c>
      <c r="E1900">
        <f t="shared" si="29"/>
        <v>4.1231546319325095E-2</v>
      </c>
    </row>
    <row r="1901" spans="1:5" x14ac:dyDescent="0.25">
      <c r="A1901">
        <v>3</v>
      </c>
      <c r="B1901">
        <v>-8.3333333333333297E-3</v>
      </c>
      <c r="D1901">
        <v>8</v>
      </c>
      <c r="E1901">
        <f t="shared" si="29"/>
        <v>4.1231546319325095E-2</v>
      </c>
    </row>
    <row r="1902" spans="1:5" x14ac:dyDescent="0.25">
      <c r="A1902">
        <v>3</v>
      </c>
      <c r="B1902">
        <v>-8.8333333333333305E-2</v>
      </c>
      <c r="D1902">
        <v>8</v>
      </c>
      <c r="E1902">
        <f t="shared" si="29"/>
        <v>4.1231546319325095E-2</v>
      </c>
    </row>
    <row r="1903" spans="1:5" x14ac:dyDescent="0.25">
      <c r="A1903">
        <v>3</v>
      </c>
      <c r="B1903">
        <v>-0.27600000000000002</v>
      </c>
      <c r="D1903">
        <v>8</v>
      </c>
      <c r="E1903">
        <f t="shared" si="29"/>
        <v>4.1231546319325095E-2</v>
      </c>
    </row>
    <row r="1904" spans="1:5" x14ac:dyDescent="0.25">
      <c r="A1904">
        <v>3</v>
      </c>
      <c r="B1904">
        <v>0</v>
      </c>
      <c r="D1904">
        <v>8</v>
      </c>
      <c r="E1904">
        <f t="shared" si="29"/>
        <v>4.1231546319325095E-2</v>
      </c>
    </row>
    <row r="1905" spans="1:5" x14ac:dyDescent="0.25">
      <c r="A1905">
        <v>3</v>
      </c>
      <c r="B1905">
        <v>-0.210666666666667</v>
      </c>
      <c r="D1905">
        <v>8</v>
      </c>
      <c r="E1905">
        <f t="shared" si="29"/>
        <v>4.1231546319325095E-2</v>
      </c>
    </row>
    <row r="1906" spans="1:5" x14ac:dyDescent="0.25">
      <c r="A1906">
        <v>3</v>
      </c>
      <c r="B1906">
        <v>1</v>
      </c>
      <c r="D1906">
        <v>8</v>
      </c>
      <c r="E1906">
        <f t="shared" si="29"/>
        <v>4.1231546319325095E-2</v>
      </c>
    </row>
    <row r="1907" spans="1:5" x14ac:dyDescent="0.25">
      <c r="A1907">
        <v>3</v>
      </c>
      <c r="B1907">
        <v>-0.32558139534883701</v>
      </c>
      <c r="D1907">
        <v>8</v>
      </c>
      <c r="E1907">
        <f t="shared" si="29"/>
        <v>4.1231546319325095E-2</v>
      </c>
    </row>
    <row r="1908" spans="1:5" x14ac:dyDescent="0.25">
      <c r="A1908">
        <v>3</v>
      </c>
      <c r="B1908">
        <v>-1</v>
      </c>
      <c r="D1908">
        <v>8</v>
      </c>
      <c r="E1908">
        <f t="shared" si="29"/>
        <v>4.1231546319325095E-2</v>
      </c>
    </row>
    <row r="1909" spans="1:5" x14ac:dyDescent="0.25">
      <c r="A1909">
        <v>3</v>
      </c>
      <c r="B1909">
        <v>-0.72592592592592597</v>
      </c>
      <c r="D1909">
        <v>8</v>
      </c>
      <c r="E1909">
        <f t="shared" si="29"/>
        <v>4.1231546319325095E-2</v>
      </c>
    </row>
    <row r="1910" spans="1:5" x14ac:dyDescent="0.25">
      <c r="A1910">
        <v>3</v>
      </c>
      <c r="B1910">
        <v>6.9069069069069094E-2</v>
      </c>
      <c r="D1910">
        <v>8</v>
      </c>
      <c r="E1910">
        <f t="shared" si="29"/>
        <v>4.1231546319325095E-2</v>
      </c>
    </row>
    <row r="1911" spans="1:5" x14ac:dyDescent="0.25">
      <c r="A1911">
        <v>3</v>
      </c>
      <c r="B1911">
        <v>-9.90990990990991E-2</v>
      </c>
      <c r="D1911">
        <v>8</v>
      </c>
      <c r="E1911">
        <f t="shared" si="29"/>
        <v>4.1231546319325095E-2</v>
      </c>
    </row>
    <row r="1912" spans="1:5" x14ac:dyDescent="0.25">
      <c r="A1912">
        <v>3</v>
      </c>
      <c r="B1912">
        <v>-8.0838323353293398E-2</v>
      </c>
      <c r="D1912">
        <v>8</v>
      </c>
      <c r="E1912">
        <f t="shared" si="29"/>
        <v>4.1231546319325095E-2</v>
      </c>
    </row>
    <row r="1913" spans="1:5" x14ac:dyDescent="0.25">
      <c r="A1913">
        <v>3</v>
      </c>
      <c r="B1913">
        <v>-5.86666666666667E-2</v>
      </c>
      <c r="D1913">
        <v>8</v>
      </c>
      <c r="E1913">
        <f t="shared" si="29"/>
        <v>4.1231546319325095E-2</v>
      </c>
    </row>
    <row r="1914" spans="1:5" x14ac:dyDescent="0.25">
      <c r="A1914">
        <v>3</v>
      </c>
      <c r="B1914">
        <v>-3.29341317365269E-2</v>
      </c>
      <c r="D1914">
        <v>8</v>
      </c>
      <c r="E1914">
        <f t="shared" si="29"/>
        <v>4.1231546319325095E-2</v>
      </c>
    </row>
    <row r="1915" spans="1:5" x14ac:dyDescent="0.25">
      <c r="A1915">
        <v>3</v>
      </c>
      <c r="B1915">
        <v>-4.5333333333333302E-2</v>
      </c>
      <c r="D1915">
        <v>8</v>
      </c>
      <c r="E1915">
        <f t="shared" si="29"/>
        <v>4.1231546319325095E-2</v>
      </c>
    </row>
    <row r="1916" spans="1:5" x14ac:dyDescent="0.25">
      <c r="A1916">
        <v>3</v>
      </c>
      <c r="B1916">
        <v>-8.0000000000000002E-3</v>
      </c>
      <c r="D1916">
        <v>8</v>
      </c>
      <c r="E1916">
        <f t="shared" si="29"/>
        <v>4.1231546319325095E-2</v>
      </c>
    </row>
    <row r="1917" spans="1:5" x14ac:dyDescent="0.25">
      <c r="A1917">
        <v>3</v>
      </c>
      <c r="B1917">
        <v>4.5045045045045001E-2</v>
      </c>
      <c r="D1917">
        <v>8</v>
      </c>
      <c r="E1917">
        <f t="shared" si="29"/>
        <v>4.1231546319325095E-2</v>
      </c>
    </row>
    <row r="1918" spans="1:5" x14ac:dyDescent="0.25">
      <c r="A1918">
        <v>3</v>
      </c>
      <c r="B1918">
        <v>-9.3457943925233603E-3</v>
      </c>
      <c r="D1918">
        <v>8</v>
      </c>
      <c r="E1918">
        <f t="shared" si="29"/>
        <v>4.1231546319325095E-2</v>
      </c>
    </row>
    <row r="1919" spans="1:5" x14ac:dyDescent="0.25">
      <c r="A1919">
        <v>3</v>
      </c>
      <c r="B1919">
        <v>8.3916083916083906E-2</v>
      </c>
      <c r="D1919">
        <v>8</v>
      </c>
      <c r="E1919">
        <f t="shared" si="29"/>
        <v>4.1231546319325095E-2</v>
      </c>
    </row>
    <row r="1920" spans="1:5" x14ac:dyDescent="0.25">
      <c r="A1920">
        <v>3</v>
      </c>
      <c r="B1920">
        <v>0.181666666666667</v>
      </c>
      <c r="D1920">
        <v>8</v>
      </c>
      <c r="E1920">
        <f t="shared" si="29"/>
        <v>4.1231546319325095E-2</v>
      </c>
    </row>
    <row r="1921" spans="1:5" x14ac:dyDescent="0.25">
      <c r="A1921">
        <v>3</v>
      </c>
      <c r="B1921">
        <v>0.13066666666666699</v>
      </c>
      <c r="D1921">
        <v>8</v>
      </c>
      <c r="E1921">
        <f t="shared" si="29"/>
        <v>4.1231546319325095E-2</v>
      </c>
    </row>
    <row r="1922" spans="1:5" x14ac:dyDescent="0.25">
      <c r="A1922">
        <v>3</v>
      </c>
      <c r="B1922">
        <v>0.111888111888112</v>
      </c>
      <c r="D1922">
        <v>8</v>
      </c>
      <c r="E1922">
        <f t="shared" si="29"/>
        <v>4.1231546319325095E-2</v>
      </c>
    </row>
    <row r="1923" spans="1:5" x14ac:dyDescent="0.25">
      <c r="A1923">
        <v>3</v>
      </c>
      <c r="B1923">
        <v>-0.161764705882353</v>
      </c>
      <c r="D1923">
        <v>8</v>
      </c>
      <c r="E1923">
        <f t="shared" ref="E1923:E1986" si="30">_xlfn.NORM.DIST(D1923, I$4,I$7,FALSE)</f>
        <v>4.1231546319325095E-2</v>
      </c>
    </row>
    <row r="1924" spans="1:5" x14ac:dyDescent="0.25">
      <c r="A1924">
        <v>3</v>
      </c>
      <c r="B1924">
        <v>-4.4289044289044302E-2</v>
      </c>
      <c r="D1924">
        <v>8</v>
      </c>
      <c r="E1924">
        <f t="shared" si="30"/>
        <v>4.1231546319325095E-2</v>
      </c>
    </row>
    <row r="1925" spans="1:5" x14ac:dyDescent="0.25">
      <c r="A1925">
        <v>3</v>
      </c>
      <c r="B1925">
        <v>-6.6666666666666693E-2</v>
      </c>
      <c r="D1925">
        <v>8</v>
      </c>
      <c r="E1925">
        <f t="shared" si="30"/>
        <v>4.1231546319325095E-2</v>
      </c>
    </row>
    <row r="1926" spans="1:5" x14ac:dyDescent="0.25">
      <c r="A1926">
        <v>3</v>
      </c>
      <c r="B1926">
        <v>-6.5268065268065306E-2</v>
      </c>
      <c r="D1926">
        <v>8</v>
      </c>
      <c r="E1926">
        <f t="shared" si="30"/>
        <v>4.1231546319325095E-2</v>
      </c>
    </row>
    <row r="1927" spans="1:5" x14ac:dyDescent="0.25">
      <c r="A1927">
        <v>3</v>
      </c>
      <c r="B1927">
        <v>-9.5000000000000001E-2</v>
      </c>
      <c r="D1927">
        <v>8</v>
      </c>
      <c r="E1927">
        <f t="shared" si="30"/>
        <v>4.1231546319325095E-2</v>
      </c>
    </row>
    <row r="1928" spans="1:5" x14ac:dyDescent="0.25">
      <c r="A1928">
        <v>3</v>
      </c>
      <c r="B1928">
        <v>-5.83333333333333E-2</v>
      </c>
      <c r="D1928">
        <v>8</v>
      </c>
      <c r="E1928">
        <f t="shared" si="30"/>
        <v>4.1231546319325095E-2</v>
      </c>
    </row>
    <row r="1929" spans="1:5" x14ac:dyDescent="0.25">
      <c r="A1929">
        <v>3</v>
      </c>
      <c r="B1929">
        <v>0.82533333333333303</v>
      </c>
      <c r="D1929">
        <v>8</v>
      </c>
      <c r="E1929">
        <f t="shared" si="30"/>
        <v>4.1231546319325095E-2</v>
      </c>
    </row>
    <row r="1930" spans="1:5" x14ac:dyDescent="0.25">
      <c r="A1930">
        <v>3</v>
      </c>
      <c r="B1930">
        <v>0.76333333333333298</v>
      </c>
      <c r="D1930">
        <v>8</v>
      </c>
      <c r="E1930">
        <f t="shared" si="30"/>
        <v>4.1231546319325095E-2</v>
      </c>
    </row>
    <row r="1931" spans="1:5" x14ac:dyDescent="0.25">
      <c r="A1931">
        <v>3</v>
      </c>
      <c r="B1931">
        <v>1</v>
      </c>
      <c r="D1931">
        <v>8</v>
      </c>
      <c r="E1931">
        <f t="shared" si="30"/>
        <v>4.1231546319325095E-2</v>
      </c>
    </row>
    <row r="1932" spans="1:5" x14ac:dyDescent="0.25">
      <c r="A1932">
        <v>3</v>
      </c>
      <c r="B1932">
        <v>-0.108108108108108</v>
      </c>
      <c r="D1932">
        <v>8</v>
      </c>
      <c r="E1932">
        <f t="shared" si="30"/>
        <v>4.1231546319325095E-2</v>
      </c>
    </row>
    <row r="1933" spans="1:5" x14ac:dyDescent="0.25">
      <c r="A1933">
        <v>3</v>
      </c>
      <c r="B1933">
        <v>3.8922155688622798E-2</v>
      </c>
      <c r="D1933">
        <v>8</v>
      </c>
      <c r="E1933">
        <f t="shared" si="30"/>
        <v>4.1231546319325095E-2</v>
      </c>
    </row>
    <row r="1934" spans="1:5" x14ac:dyDescent="0.25">
      <c r="A1934">
        <v>3</v>
      </c>
      <c r="B1934">
        <v>6.6066066066066104E-2</v>
      </c>
      <c r="D1934">
        <v>8</v>
      </c>
      <c r="E1934">
        <f t="shared" si="30"/>
        <v>4.1231546319325095E-2</v>
      </c>
    </row>
    <row r="1935" spans="1:5" x14ac:dyDescent="0.25">
      <c r="A1935">
        <v>3</v>
      </c>
      <c r="B1935">
        <v>-7.4850299401197598E-2</v>
      </c>
      <c r="D1935">
        <v>8</v>
      </c>
      <c r="E1935">
        <f t="shared" si="30"/>
        <v>4.1231546319325095E-2</v>
      </c>
    </row>
    <row r="1936" spans="1:5" x14ac:dyDescent="0.25">
      <c r="A1936">
        <v>3</v>
      </c>
      <c r="B1936">
        <v>-3.7333333333333302E-2</v>
      </c>
      <c r="D1936">
        <v>8</v>
      </c>
      <c r="E1936">
        <f t="shared" si="30"/>
        <v>4.1231546319325095E-2</v>
      </c>
    </row>
    <row r="1937" spans="1:5" x14ac:dyDescent="0.25">
      <c r="A1937">
        <v>3</v>
      </c>
      <c r="B1937">
        <v>-9.00900900900901E-2</v>
      </c>
      <c r="D1937">
        <v>8</v>
      </c>
      <c r="E1937">
        <f t="shared" si="30"/>
        <v>4.1231546319325095E-2</v>
      </c>
    </row>
    <row r="1938" spans="1:5" x14ac:dyDescent="0.25">
      <c r="A1938">
        <v>3</v>
      </c>
      <c r="B1938">
        <v>-7.8078078078078095E-2</v>
      </c>
      <c r="D1938">
        <v>8</v>
      </c>
      <c r="E1938">
        <f t="shared" si="30"/>
        <v>4.1231546319325095E-2</v>
      </c>
    </row>
    <row r="1939" spans="1:5" x14ac:dyDescent="0.25">
      <c r="A1939">
        <v>3</v>
      </c>
      <c r="B1939">
        <v>1.0666666666666699E-2</v>
      </c>
      <c r="D1939">
        <v>8</v>
      </c>
      <c r="E1939">
        <f t="shared" si="30"/>
        <v>4.1231546319325095E-2</v>
      </c>
    </row>
    <row r="1940" spans="1:5" x14ac:dyDescent="0.25">
      <c r="A1940">
        <v>3</v>
      </c>
      <c r="B1940">
        <v>-1.63551401869159E-2</v>
      </c>
      <c r="D1940">
        <v>8</v>
      </c>
      <c r="E1940">
        <f t="shared" si="30"/>
        <v>4.1231546319325095E-2</v>
      </c>
    </row>
    <row r="1941" spans="1:5" x14ac:dyDescent="0.25">
      <c r="A1941">
        <v>3</v>
      </c>
      <c r="B1941">
        <v>6.9333333333333302E-2</v>
      </c>
      <c r="D1941">
        <v>8</v>
      </c>
      <c r="E1941">
        <f t="shared" si="30"/>
        <v>4.1231546319325095E-2</v>
      </c>
    </row>
    <row r="1942" spans="1:5" x14ac:dyDescent="0.25">
      <c r="A1942">
        <v>3</v>
      </c>
      <c r="B1942">
        <v>0.14000000000000001</v>
      </c>
      <c r="D1942">
        <v>8</v>
      </c>
      <c r="E1942">
        <f t="shared" si="30"/>
        <v>4.1231546319325095E-2</v>
      </c>
    </row>
    <row r="1943" spans="1:5" x14ac:dyDescent="0.25">
      <c r="A1943">
        <v>3</v>
      </c>
      <c r="B1943">
        <v>1.3333333333333299E-2</v>
      </c>
      <c r="D1943">
        <v>8</v>
      </c>
      <c r="E1943">
        <f t="shared" si="30"/>
        <v>4.1231546319325095E-2</v>
      </c>
    </row>
    <row r="1944" spans="1:5" x14ac:dyDescent="0.25">
      <c r="A1944">
        <v>3</v>
      </c>
      <c r="B1944">
        <v>4.8333333333333298E-2</v>
      </c>
      <c r="D1944">
        <v>8</v>
      </c>
      <c r="E1944">
        <f t="shared" si="30"/>
        <v>4.1231546319325095E-2</v>
      </c>
    </row>
    <row r="1945" spans="1:5" x14ac:dyDescent="0.25">
      <c r="A1945">
        <v>3</v>
      </c>
      <c r="B1945">
        <v>3.03738317757009E-2</v>
      </c>
      <c r="D1945">
        <v>8</v>
      </c>
      <c r="E1945">
        <f t="shared" si="30"/>
        <v>4.1231546319325095E-2</v>
      </c>
    </row>
    <row r="1946" spans="1:5" x14ac:dyDescent="0.25">
      <c r="A1946">
        <v>3</v>
      </c>
      <c r="B1946">
        <v>-7.3999999999999996E-2</v>
      </c>
      <c r="D1946">
        <v>8</v>
      </c>
      <c r="E1946">
        <f t="shared" si="30"/>
        <v>4.1231546319325095E-2</v>
      </c>
    </row>
    <row r="1947" spans="1:5" x14ac:dyDescent="0.25">
      <c r="A1947">
        <v>3</v>
      </c>
      <c r="B1947">
        <v>2.5641025641025599E-2</v>
      </c>
      <c r="D1947">
        <v>8</v>
      </c>
      <c r="E1947">
        <f t="shared" si="30"/>
        <v>4.1231546319325095E-2</v>
      </c>
    </row>
    <row r="1948" spans="1:5" x14ac:dyDescent="0.25">
      <c r="A1948">
        <v>3</v>
      </c>
      <c r="B1948">
        <v>0.104</v>
      </c>
      <c r="D1948">
        <v>8</v>
      </c>
      <c r="E1948">
        <f t="shared" si="30"/>
        <v>4.1231546319325095E-2</v>
      </c>
    </row>
    <row r="1949" spans="1:5" x14ac:dyDescent="0.25">
      <c r="A1949">
        <v>3</v>
      </c>
      <c r="B1949">
        <v>0.31466666666666698</v>
      </c>
      <c r="D1949">
        <v>8</v>
      </c>
      <c r="E1949">
        <f t="shared" si="30"/>
        <v>4.1231546319325095E-2</v>
      </c>
    </row>
    <row r="1950" spans="1:5" x14ac:dyDescent="0.25">
      <c r="A1950">
        <v>3</v>
      </c>
      <c r="B1950">
        <v>0.165333333333333</v>
      </c>
      <c r="D1950">
        <v>9</v>
      </c>
      <c r="E1950">
        <f t="shared" si="30"/>
        <v>3.9348074088356236E-2</v>
      </c>
    </row>
    <row r="1951" spans="1:5" x14ac:dyDescent="0.25">
      <c r="A1951">
        <v>3</v>
      </c>
      <c r="B1951">
        <v>0.10199999999999999</v>
      </c>
      <c r="D1951">
        <v>9</v>
      </c>
      <c r="E1951">
        <f t="shared" si="30"/>
        <v>3.9348074088356236E-2</v>
      </c>
    </row>
    <row r="1952" spans="1:5" x14ac:dyDescent="0.25">
      <c r="A1952">
        <v>3</v>
      </c>
      <c r="B1952">
        <v>-4.5999999999999999E-2</v>
      </c>
      <c r="D1952">
        <v>9</v>
      </c>
      <c r="E1952">
        <f t="shared" si="30"/>
        <v>3.9348074088356236E-2</v>
      </c>
    </row>
    <row r="1953" spans="1:5" x14ac:dyDescent="0.25">
      <c r="A1953">
        <v>3</v>
      </c>
      <c r="B1953">
        <v>0.17399999999999999</v>
      </c>
      <c r="D1953">
        <v>9</v>
      </c>
      <c r="E1953">
        <f t="shared" si="30"/>
        <v>3.9348074088356236E-2</v>
      </c>
    </row>
    <row r="1954" spans="1:5" x14ac:dyDescent="0.25">
      <c r="A1954">
        <v>3</v>
      </c>
      <c r="B1954">
        <v>1</v>
      </c>
      <c r="D1954">
        <v>9</v>
      </c>
      <c r="E1954">
        <f t="shared" si="30"/>
        <v>3.9348074088356236E-2</v>
      </c>
    </row>
    <row r="1955" spans="1:5" x14ac:dyDescent="0.25">
      <c r="A1955">
        <v>3</v>
      </c>
      <c r="B1955">
        <v>-5.1051051051051101E-2</v>
      </c>
      <c r="D1955">
        <v>9</v>
      </c>
      <c r="E1955">
        <f t="shared" si="30"/>
        <v>3.9348074088356236E-2</v>
      </c>
    </row>
    <row r="1956" spans="1:5" x14ac:dyDescent="0.25">
      <c r="A1956">
        <v>3</v>
      </c>
      <c r="B1956">
        <v>6.3063063063063099E-2</v>
      </c>
      <c r="D1956">
        <v>9</v>
      </c>
      <c r="E1956">
        <f t="shared" si="30"/>
        <v>3.9348074088356236E-2</v>
      </c>
    </row>
    <row r="1957" spans="1:5" x14ac:dyDescent="0.25">
      <c r="A1957">
        <v>3</v>
      </c>
      <c r="B1957">
        <v>9.5794392523364497E-2</v>
      </c>
      <c r="D1957">
        <v>10</v>
      </c>
      <c r="E1957">
        <f t="shared" si="30"/>
        <v>3.7094310293993765E-2</v>
      </c>
    </row>
    <row r="1958" spans="1:5" x14ac:dyDescent="0.25">
      <c r="A1958">
        <v>3</v>
      </c>
      <c r="B1958">
        <v>2.66666666666667E-2</v>
      </c>
      <c r="D1958">
        <v>10</v>
      </c>
      <c r="E1958">
        <f t="shared" si="30"/>
        <v>3.7094310293993765E-2</v>
      </c>
    </row>
    <row r="1959" spans="1:5" x14ac:dyDescent="0.25">
      <c r="A1959">
        <v>3</v>
      </c>
      <c r="B1959">
        <v>-8.9820359281437105E-3</v>
      </c>
      <c r="D1959">
        <v>10</v>
      </c>
      <c r="E1959">
        <f t="shared" si="30"/>
        <v>3.7094310293993765E-2</v>
      </c>
    </row>
    <row r="1960" spans="1:5" x14ac:dyDescent="0.25">
      <c r="A1960">
        <v>3</v>
      </c>
      <c r="B1960">
        <v>3.4965034965035002E-2</v>
      </c>
      <c r="D1960">
        <v>10</v>
      </c>
      <c r="E1960">
        <f t="shared" si="30"/>
        <v>3.7094310293993765E-2</v>
      </c>
    </row>
    <row r="1961" spans="1:5" x14ac:dyDescent="0.25">
      <c r="A1961">
        <v>3</v>
      </c>
      <c r="B1961">
        <v>-6.0000000000000001E-3</v>
      </c>
      <c r="D1961">
        <v>10</v>
      </c>
      <c r="E1961">
        <f t="shared" si="30"/>
        <v>3.7094310293993765E-2</v>
      </c>
    </row>
    <row r="1962" spans="1:5" x14ac:dyDescent="0.25">
      <c r="A1962">
        <v>3</v>
      </c>
      <c r="B1962">
        <v>0.17499999999999999</v>
      </c>
      <c r="D1962">
        <v>11</v>
      </c>
      <c r="E1962">
        <f t="shared" si="30"/>
        <v>3.454467274483277E-2</v>
      </c>
    </row>
    <row r="1963" spans="1:5" x14ac:dyDescent="0.25">
      <c r="A1963">
        <v>3</v>
      </c>
      <c r="B1963">
        <v>0.174174174174174</v>
      </c>
      <c r="D1963">
        <v>11</v>
      </c>
      <c r="E1963">
        <f t="shared" si="30"/>
        <v>3.454467274483277E-2</v>
      </c>
    </row>
    <row r="1964" spans="1:5" x14ac:dyDescent="0.25">
      <c r="A1964">
        <v>3</v>
      </c>
      <c r="B1964">
        <v>0.108108108108108</v>
      </c>
      <c r="D1964">
        <v>11</v>
      </c>
      <c r="E1964">
        <f t="shared" si="30"/>
        <v>3.454467274483277E-2</v>
      </c>
    </row>
    <row r="1965" spans="1:5" x14ac:dyDescent="0.25">
      <c r="A1965">
        <v>3</v>
      </c>
      <c r="B1965">
        <v>0.10666666666666701</v>
      </c>
      <c r="D1965">
        <v>11</v>
      </c>
      <c r="E1965">
        <f t="shared" si="30"/>
        <v>3.454467274483277E-2</v>
      </c>
    </row>
    <row r="1966" spans="1:5" x14ac:dyDescent="0.25">
      <c r="A1966">
        <v>3</v>
      </c>
      <c r="B1966">
        <v>-1.16822429906542E-2</v>
      </c>
      <c r="D1966">
        <v>11</v>
      </c>
      <c r="E1966">
        <f t="shared" si="30"/>
        <v>3.454467274483277E-2</v>
      </c>
    </row>
    <row r="1967" spans="1:5" x14ac:dyDescent="0.25">
      <c r="A1967">
        <v>3</v>
      </c>
      <c r="B1967">
        <v>-0.11600000000000001</v>
      </c>
      <c r="D1967">
        <v>11</v>
      </c>
      <c r="E1967">
        <f t="shared" si="30"/>
        <v>3.454467274483277E-2</v>
      </c>
    </row>
    <row r="1968" spans="1:5" x14ac:dyDescent="0.25">
      <c r="A1968">
        <v>3</v>
      </c>
      <c r="B1968">
        <v>-2.7972027972028E-2</v>
      </c>
      <c r="D1968">
        <v>12</v>
      </c>
      <c r="E1968">
        <f t="shared" si="30"/>
        <v>3.1779336622083057E-2</v>
      </c>
    </row>
    <row r="1969" spans="1:5" x14ac:dyDescent="0.25">
      <c r="A1969">
        <v>3</v>
      </c>
      <c r="B1969">
        <v>7.2261072261072298E-2</v>
      </c>
      <c r="D1969">
        <v>12</v>
      </c>
      <c r="E1969">
        <f t="shared" si="30"/>
        <v>3.1779336622083057E-2</v>
      </c>
    </row>
    <row r="1970" spans="1:5" x14ac:dyDescent="0.25">
      <c r="A1970">
        <v>3</v>
      </c>
      <c r="B1970">
        <v>-3.27102803738318E-2</v>
      </c>
      <c r="D1970">
        <v>12</v>
      </c>
      <c r="E1970">
        <f t="shared" si="30"/>
        <v>3.1779336622083057E-2</v>
      </c>
    </row>
    <row r="1971" spans="1:5" x14ac:dyDescent="0.25">
      <c r="A1971">
        <v>3</v>
      </c>
      <c r="B1971">
        <v>-0.15384615384615399</v>
      </c>
      <c r="D1971">
        <v>12</v>
      </c>
      <c r="E1971">
        <f t="shared" si="30"/>
        <v>3.1779336622083057E-2</v>
      </c>
    </row>
    <row r="1972" spans="1:5" x14ac:dyDescent="0.25">
      <c r="A1972">
        <v>3</v>
      </c>
      <c r="B1972">
        <v>-2.5000000000000001E-2</v>
      </c>
      <c r="D1972">
        <v>12</v>
      </c>
      <c r="E1972">
        <f t="shared" si="30"/>
        <v>3.1779336622083057E-2</v>
      </c>
    </row>
    <row r="1973" spans="1:5" x14ac:dyDescent="0.25">
      <c r="A1973">
        <v>3</v>
      </c>
      <c r="B1973">
        <v>-0.25600000000000001</v>
      </c>
      <c r="D1973">
        <v>12</v>
      </c>
      <c r="E1973">
        <f t="shared" si="30"/>
        <v>3.1779336622083057E-2</v>
      </c>
    </row>
    <row r="1974" spans="1:5" x14ac:dyDescent="0.25">
      <c r="A1974">
        <v>3</v>
      </c>
      <c r="B1974">
        <v>1</v>
      </c>
      <c r="D1974">
        <v>13</v>
      </c>
      <c r="E1974">
        <f t="shared" si="30"/>
        <v>2.8880089446076652E-2</v>
      </c>
    </row>
    <row r="1975" spans="1:5" x14ac:dyDescent="0.25">
      <c r="A1975">
        <v>3</v>
      </c>
      <c r="B1975">
        <v>8.1081081081081099E-2</v>
      </c>
      <c r="D1975">
        <v>13</v>
      </c>
      <c r="E1975">
        <f t="shared" si="30"/>
        <v>2.8880089446076652E-2</v>
      </c>
    </row>
    <row r="1976" spans="1:5" x14ac:dyDescent="0.25">
      <c r="A1976">
        <v>3</v>
      </c>
      <c r="B1976">
        <v>5.6886227544910198E-2</v>
      </c>
      <c r="D1976">
        <v>13</v>
      </c>
      <c r="E1976">
        <f t="shared" si="30"/>
        <v>2.8880089446076652E-2</v>
      </c>
    </row>
    <row r="1977" spans="1:5" x14ac:dyDescent="0.25">
      <c r="A1977">
        <v>3</v>
      </c>
      <c r="B1977">
        <v>2.9333333333333302E-2</v>
      </c>
      <c r="D1977">
        <v>13</v>
      </c>
      <c r="E1977">
        <f t="shared" si="30"/>
        <v>2.8880089446076652E-2</v>
      </c>
    </row>
    <row r="1978" spans="1:5" x14ac:dyDescent="0.25">
      <c r="A1978">
        <v>3</v>
      </c>
      <c r="B1978">
        <v>0.162162162162162</v>
      </c>
      <c r="D1978">
        <v>13</v>
      </c>
      <c r="E1978">
        <f t="shared" si="30"/>
        <v>2.8880089446076652E-2</v>
      </c>
    </row>
    <row r="1979" spans="1:5" x14ac:dyDescent="0.25">
      <c r="A1979">
        <v>3</v>
      </c>
      <c r="B1979">
        <v>5.0898203592814398E-2</v>
      </c>
      <c r="D1979">
        <v>13</v>
      </c>
      <c r="E1979">
        <f t="shared" si="30"/>
        <v>2.8880089446076652E-2</v>
      </c>
    </row>
    <row r="1980" spans="1:5" x14ac:dyDescent="0.25">
      <c r="A1980">
        <v>3</v>
      </c>
      <c r="B1980">
        <v>3.9039039039038999E-2</v>
      </c>
      <c r="D1980">
        <v>13</v>
      </c>
      <c r="E1980">
        <f t="shared" si="30"/>
        <v>2.8880089446076652E-2</v>
      </c>
    </row>
    <row r="1981" spans="1:5" x14ac:dyDescent="0.25">
      <c r="A1981">
        <v>3</v>
      </c>
      <c r="B1981">
        <v>5.9880239520958096E-3</v>
      </c>
      <c r="D1981">
        <v>13</v>
      </c>
      <c r="E1981">
        <f t="shared" si="30"/>
        <v>2.8880089446076652E-2</v>
      </c>
    </row>
    <row r="1982" spans="1:5" x14ac:dyDescent="0.25">
      <c r="A1982">
        <v>3</v>
      </c>
      <c r="B1982">
        <v>0.134730538922156</v>
      </c>
      <c r="D1982">
        <v>14</v>
      </c>
      <c r="E1982">
        <f t="shared" si="30"/>
        <v>2.5926399146862966E-2</v>
      </c>
    </row>
    <row r="1983" spans="1:5" x14ac:dyDescent="0.25">
      <c r="A1983">
        <v>3</v>
      </c>
      <c r="B1983">
        <v>6.4000000000000001E-2</v>
      </c>
      <c r="D1983">
        <v>14</v>
      </c>
      <c r="E1983">
        <f t="shared" si="30"/>
        <v>2.5926399146862966E-2</v>
      </c>
    </row>
    <row r="1984" spans="1:5" x14ac:dyDescent="0.25">
      <c r="A1984">
        <v>3</v>
      </c>
      <c r="B1984">
        <v>7.4666666666666701E-2</v>
      </c>
      <c r="D1984">
        <v>14</v>
      </c>
      <c r="E1984">
        <f t="shared" si="30"/>
        <v>2.5926399146862966E-2</v>
      </c>
    </row>
    <row r="1985" spans="1:5" x14ac:dyDescent="0.25">
      <c r="A1985">
        <v>3</v>
      </c>
      <c r="B1985">
        <v>0.12533333333333299</v>
      </c>
      <c r="D1985">
        <v>14</v>
      </c>
      <c r="E1985">
        <f t="shared" si="30"/>
        <v>2.5926399146862966E-2</v>
      </c>
    </row>
    <row r="1986" spans="1:5" x14ac:dyDescent="0.25">
      <c r="A1986">
        <v>3</v>
      </c>
      <c r="B1986">
        <v>0.1</v>
      </c>
      <c r="D1986">
        <v>14</v>
      </c>
      <c r="E1986">
        <f t="shared" si="30"/>
        <v>2.5926399146862966E-2</v>
      </c>
    </row>
    <row r="1987" spans="1:5" x14ac:dyDescent="0.25">
      <c r="A1987">
        <v>3</v>
      </c>
      <c r="B1987">
        <v>-9.5571095571095596E-2</v>
      </c>
      <c r="D1987">
        <v>14</v>
      </c>
      <c r="E1987">
        <f t="shared" ref="E1987:E2050" si="31">_xlfn.NORM.DIST(D1987, I$4,I$7,FALSE)</f>
        <v>2.5926399146862966E-2</v>
      </c>
    </row>
    <row r="1988" spans="1:5" x14ac:dyDescent="0.25">
      <c r="A1988">
        <v>3</v>
      </c>
      <c r="B1988">
        <v>-0.15733333333333299</v>
      </c>
      <c r="D1988">
        <v>14</v>
      </c>
      <c r="E1988">
        <f t="shared" si="31"/>
        <v>2.5926399146862966E-2</v>
      </c>
    </row>
    <row r="1989" spans="1:5" x14ac:dyDescent="0.25">
      <c r="A1989">
        <v>3</v>
      </c>
      <c r="B1989">
        <v>-0.14685314685314699</v>
      </c>
      <c r="D1989">
        <v>14</v>
      </c>
      <c r="E1989">
        <f t="shared" si="31"/>
        <v>2.5926399146862966E-2</v>
      </c>
    </row>
    <row r="1990" spans="1:5" x14ac:dyDescent="0.25">
      <c r="A1990">
        <v>3</v>
      </c>
      <c r="B1990">
        <v>-0.17066666666666699</v>
      </c>
      <c r="D1990">
        <v>15</v>
      </c>
      <c r="E1990">
        <f t="shared" si="31"/>
        <v>2.2991951463379623E-2</v>
      </c>
    </row>
    <row r="1991" spans="1:5" x14ac:dyDescent="0.25">
      <c r="A1991">
        <v>3</v>
      </c>
      <c r="B1991">
        <v>-0.146666666666667</v>
      </c>
      <c r="D1991">
        <v>15</v>
      </c>
      <c r="E1991">
        <f t="shared" si="31"/>
        <v>2.2991951463379623E-2</v>
      </c>
    </row>
    <row r="1992" spans="1:5" x14ac:dyDescent="0.25">
      <c r="A1992">
        <v>3</v>
      </c>
      <c r="B1992">
        <v>-0.114219114219114</v>
      </c>
      <c r="D1992">
        <v>15</v>
      </c>
      <c r="E1992">
        <f t="shared" si="31"/>
        <v>2.2991951463379623E-2</v>
      </c>
    </row>
    <row r="1993" spans="1:5" x14ac:dyDescent="0.25">
      <c r="A1993">
        <v>3</v>
      </c>
      <c r="B1993">
        <v>-6.75990675990676E-2</v>
      </c>
      <c r="D1993">
        <v>15</v>
      </c>
      <c r="E1993">
        <f t="shared" si="31"/>
        <v>2.2991951463379623E-2</v>
      </c>
    </row>
    <row r="1994" spans="1:5" x14ac:dyDescent="0.25">
      <c r="A1994">
        <v>3</v>
      </c>
      <c r="B1994">
        <v>-0.38133333333333302</v>
      </c>
      <c r="D1994">
        <v>15</v>
      </c>
      <c r="E1994">
        <f t="shared" si="31"/>
        <v>2.2991951463379623E-2</v>
      </c>
    </row>
    <row r="1995" spans="1:5" x14ac:dyDescent="0.25">
      <c r="A1995">
        <v>3</v>
      </c>
      <c r="B1995">
        <v>-0.38600000000000001</v>
      </c>
      <c r="D1995">
        <v>16</v>
      </c>
      <c r="E1995">
        <f t="shared" si="31"/>
        <v>2.0141853242981605E-2</v>
      </c>
    </row>
    <row r="1996" spans="1:5" x14ac:dyDescent="0.25">
      <c r="A1996">
        <v>3</v>
      </c>
      <c r="B1996">
        <v>-0.09</v>
      </c>
      <c r="D1996">
        <v>16</v>
      </c>
      <c r="E1996">
        <f t="shared" si="31"/>
        <v>2.0141853242981605E-2</v>
      </c>
    </row>
    <row r="1997" spans="1:5" x14ac:dyDescent="0.25">
      <c r="A1997">
        <v>3</v>
      </c>
      <c r="B1997">
        <v>-0.46666666666666701</v>
      </c>
      <c r="D1997">
        <v>16</v>
      </c>
      <c r="E1997">
        <f t="shared" si="31"/>
        <v>2.0141853242981605E-2</v>
      </c>
    </row>
    <row r="1998" spans="1:5" x14ac:dyDescent="0.25">
      <c r="A1998">
        <v>3</v>
      </c>
      <c r="B1998">
        <v>8.1081081081081099E-2</v>
      </c>
      <c r="D1998">
        <v>16</v>
      </c>
      <c r="E1998">
        <f t="shared" si="31"/>
        <v>2.0141853242981605E-2</v>
      </c>
    </row>
    <row r="1999" spans="1:5" x14ac:dyDescent="0.25">
      <c r="A1999">
        <v>3</v>
      </c>
      <c r="B1999">
        <v>7.7844311377245498E-2</v>
      </c>
      <c r="D1999">
        <v>16</v>
      </c>
      <c r="E1999">
        <f t="shared" si="31"/>
        <v>2.0141853242981605E-2</v>
      </c>
    </row>
    <row r="2000" spans="1:5" x14ac:dyDescent="0.25">
      <c r="A2000">
        <v>3</v>
      </c>
      <c r="B2000">
        <v>-3.29341317365269E-2</v>
      </c>
      <c r="D2000">
        <v>16</v>
      </c>
      <c r="E2000">
        <f t="shared" si="31"/>
        <v>2.0141853242981605E-2</v>
      </c>
    </row>
    <row r="2001" spans="1:5" x14ac:dyDescent="0.25">
      <c r="A2001">
        <v>3</v>
      </c>
      <c r="B2001">
        <v>3.2000000000000001E-2</v>
      </c>
      <c r="D2001">
        <v>16</v>
      </c>
      <c r="E2001">
        <f t="shared" si="31"/>
        <v>2.0141853242981605E-2</v>
      </c>
    </row>
    <row r="2002" spans="1:5" x14ac:dyDescent="0.25">
      <c r="A2002">
        <v>3</v>
      </c>
      <c r="B2002">
        <v>-1.0666666666666699E-2</v>
      </c>
      <c r="D2002">
        <v>17</v>
      </c>
      <c r="E2002">
        <f t="shared" si="31"/>
        <v>1.7430625930398881E-2</v>
      </c>
    </row>
    <row r="2003" spans="1:5" x14ac:dyDescent="0.25">
      <c r="A2003">
        <v>3</v>
      </c>
      <c r="B2003">
        <v>0.165165165165165</v>
      </c>
      <c r="D2003">
        <v>17</v>
      </c>
      <c r="E2003">
        <f t="shared" si="31"/>
        <v>1.7430625930398881E-2</v>
      </c>
    </row>
    <row r="2004" spans="1:5" x14ac:dyDescent="0.25">
      <c r="A2004">
        <v>3</v>
      </c>
      <c r="B2004">
        <v>9.6000000000000002E-2</v>
      </c>
      <c r="D2004">
        <v>17</v>
      </c>
      <c r="E2004">
        <f t="shared" si="31"/>
        <v>1.7430625930398881E-2</v>
      </c>
    </row>
    <row r="2005" spans="1:5" x14ac:dyDescent="0.25">
      <c r="A2005">
        <v>3</v>
      </c>
      <c r="B2005">
        <v>0.20046620046620001</v>
      </c>
      <c r="D2005">
        <v>18</v>
      </c>
      <c r="E2005">
        <f t="shared" si="31"/>
        <v>1.4901037255941956E-2</v>
      </c>
    </row>
    <row r="2006" spans="1:5" x14ac:dyDescent="0.25">
      <c r="A2006">
        <v>3</v>
      </c>
      <c r="B2006">
        <v>0.164670658682635</v>
      </c>
      <c r="D2006">
        <v>18</v>
      </c>
      <c r="E2006">
        <f t="shared" si="31"/>
        <v>1.4901037255941956E-2</v>
      </c>
    </row>
    <row r="2007" spans="1:5" x14ac:dyDescent="0.25">
      <c r="A2007">
        <v>3</v>
      </c>
      <c r="B2007">
        <v>9.8666666666666694E-2</v>
      </c>
      <c r="D2007">
        <v>18</v>
      </c>
      <c r="E2007">
        <f t="shared" si="31"/>
        <v>1.4901037255941956E-2</v>
      </c>
    </row>
    <row r="2008" spans="1:5" x14ac:dyDescent="0.25">
      <c r="A2008">
        <v>3</v>
      </c>
      <c r="B2008">
        <v>0.13317757009345799</v>
      </c>
      <c r="D2008">
        <v>18</v>
      </c>
      <c r="E2008">
        <f t="shared" si="31"/>
        <v>1.4901037255941956E-2</v>
      </c>
    </row>
    <row r="2009" spans="1:5" x14ac:dyDescent="0.25">
      <c r="A2009">
        <v>3</v>
      </c>
      <c r="B2009">
        <v>0.14670658682634699</v>
      </c>
      <c r="D2009">
        <v>18</v>
      </c>
      <c r="E2009">
        <f t="shared" si="31"/>
        <v>1.4901037255941956E-2</v>
      </c>
    </row>
    <row r="2010" spans="1:5" x14ac:dyDescent="0.25">
      <c r="A2010">
        <v>3</v>
      </c>
      <c r="B2010">
        <v>-4.6511627906976702E-2</v>
      </c>
      <c r="D2010">
        <v>19</v>
      </c>
      <c r="E2010">
        <f t="shared" si="31"/>
        <v>1.258374706966439E-2</v>
      </c>
    </row>
    <row r="2011" spans="1:5" x14ac:dyDescent="0.25">
      <c r="A2011">
        <v>3</v>
      </c>
      <c r="B2011">
        <v>0.37362637362637402</v>
      </c>
      <c r="D2011">
        <v>19</v>
      </c>
      <c r="E2011">
        <f t="shared" si="31"/>
        <v>1.258374706966439E-2</v>
      </c>
    </row>
    <row r="2012" spans="1:5" x14ac:dyDescent="0.25">
      <c r="A2012">
        <v>3</v>
      </c>
      <c r="B2012">
        <v>-4.26666666666667E-2</v>
      </c>
      <c r="D2012">
        <v>19</v>
      </c>
      <c r="E2012">
        <f t="shared" si="31"/>
        <v>1.258374706966439E-2</v>
      </c>
    </row>
    <row r="2013" spans="1:5" x14ac:dyDescent="0.25">
      <c r="A2013">
        <v>3</v>
      </c>
      <c r="B2013">
        <v>-2.1333333333333301E-2</v>
      </c>
      <c r="D2013">
        <v>20</v>
      </c>
      <c r="E2013">
        <f t="shared" si="31"/>
        <v>1.0497682237421797E-2</v>
      </c>
    </row>
    <row r="2014" spans="1:5" x14ac:dyDescent="0.25">
      <c r="A2014">
        <v>3</v>
      </c>
      <c r="B2014">
        <v>-8.2000000000000003E-2</v>
      </c>
      <c r="D2014">
        <v>20</v>
      </c>
      <c r="E2014">
        <f t="shared" si="31"/>
        <v>1.0497682237421797E-2</v>
      </c>
    </row>
    <row r="2015" spans="1:5" x14ac:dyDescent="0.25">
      <c r="A2015">
        <v>3</v>
      </c>
      <c r="B2015">
        <v>6.6265060240963902E-2</v>
      </c>
      <c r="D2015">
        <v>21</v>
      </c>
      <c r="E2015">
        <f t="shared" si="31"/>
        <v>8.6510102579285004E-3</v>
      </c>
    </row>
    <row r="2016" spans="1:5" x14ac:dyDescent="0.25">
      <c r="A2016">
        <v>3</v>
      </c>
      <c r="B2016">
        <v>-3.2000000000000001E-2</v>
      </c>
      <c r="D2016">
        <v>22</v>
      </c>
      <c r="E2016">
        <f t="shared" si="31"/>
        <v>7.0425541271687524E-3</v>
      </c>
    </row>
    <row r="2017" spans="1:5" x14ac:dyDescent="0.25">
      <c r="A2017">
        <v>3</v>
      </c>
      <c r="B2017">
        <v>0</v>
      </c>
      <c r="D2017">
        <v>22</v>
      </c>
      <c r="E2017">
        <f t="shared" si="31"/>
        <v>7.0425541271687524E-3</v>
      </c>
    </row>
    <row r="2018" spans="1:5" x14ac:dyDescent="0.25">
      <c r="A2018">
        <v>3</v>
      </c>
      <c r="B2018">
        <v>-2.7027027027027001E-2</v>
      </c>
      <c r="D2018">
        <v>22</v>
      </c>
      <c r="E2018">
        <f t="shared" si="31"/>
        <v>7.0425541271687524E-3</v>
      </c>
    </row>
    <row r="2019" spans="1:5" x14ac:dyDescent="0.25">
      <c r="A2019">
        <v>3</v>
      </c>
      <c r="B2019">
        <v>5.3333333333333302E-2</v>
      </c>
      <c r="D2019">
        <v>22</v>
      </c>
      <c r="E2019">
        <f t="shared" si="31"/>
        <v>7.0425541271687524E-3</v>
      </c>
    </row>
    <row r="2020" spans="1:5" x14ac:dyDescent="0.25">
      <c r="A2020">
        <v>3</v>
      </c>
      <c r="B2020">
        <v>8.1081081081081099E-2</v>
      </c>
      <c r="D2020">
        <v>23</v>
      </c>
      <c r="E2020">
        <f t="shared" si="31"/>
        <v>5.6634819707533273E-3</v>
      </c>
    </row>
    <row r="2021" spans="1:5" x14ac:dyDescent="0.25">
      <c r="A2021">
        <v>3</v>
      </c>
      <c r="B2021">
        <v>0.18918918918918901</v>
      </c>
      <c r="D2021">
        <v>23</v>
      </c>
      <c r="E2021">
        <f t="shared" si="31"/>
        <v>5.6634819707533273E-3</v>
      </c>
    </row>
    <row r="2022" spans="1:5" x14ac:dyDescent="0.25">
      <c r="A2022">
        <v>3</v>
      </c>
      <c r="B2022">
        <v>6.9069069069069094E-2</v>
      </c>
      <c r="D2022">
        <v>24</v>
      </c>
      <c r="E2022">
        <f t="shared" si="31"/>
        <v>4.4991120905358128E-3</v>
      </c>
    </row>
    <row r="2023" spans="1:5" x14ac:dyDescent="0.25">
      <c r="A2023">
        <v>3</v>
      </c>
      <c r="B2023">
        <v>0.128</v>
      </c>
      <c r="D2023">
        <v>24</v>
      </c>
      <c r="E2023">
        <f t="shared" si="31"/>
        <v>4.4991120905358128E-3</v>
      </c>
    </row>
    <row r="2024" spans="1:5" x14ac:dyDescent="0.25">
      <c r="A2024">
        <v>3</v>
      </c>
      <c r="B2024">
        <v>2.9940119760479E-2</v>
      </c>
      <c r="D2024">
        <v>25</v>
      </c>
      <c r="E2024">
        <f t="shared" si="31"/>
        <v>3.5306938936925185E-3</v>
      </c>
    </row>
    <row r="2025" spans="1:5" x14ac:dyDescent="0.25">
      <c r="A2025">
        <v>3</v>
      </c>
      <c r="B2025">
        <v>0.126126126126126</v>
      </c>
      <c r="D2025">
        <v>25</v>
      </c>
      <c r="E2025">
        <f t="shared" si="31"/>
        <v>3.5306938936925185E-3</v>
      </c>
    </row>
    <row r="2026" spans="1:5" x14ac:dyDescent="0.25">
      <c r="A2026">
        <v>3</v>
      </c>
      <c r="B2026">
        <v>9.6000000000000002E-2</v>
      </c>
      <c r="D2026">
        <v>25</v>
      </c>
      <c r="E2026">
        <f t="shared" si="31"/>
        <v>3.5306938936925185E-3</v>
      </c>
    </row>
    <row r="2027" spans="1:5" x14ac:dyDescent="0.25">
      <c r="A2027">
        <v>3</v>
      </c>
      <c r="B2027">
        <v>6.3084112149532703E-2</v>
      </c>
      <c r="D2027">
        <v>26</v>
      </c>
      <c r="E2027">
        <f t="shared" si="31"/>
        <v>2.7370534709413572E-3</v>
      </c>
    </row>
    <row r="2028" spans="1:5" x14ac:dyDescent="0.25">
      <c r="A2028">
        <v>3</v>
      </c>
      <c r="B2028">
        <v>6.5268065268065306E-2</v>
      </c>
      <c r="D2028">
        <v>27</v>
      </c>
      <c r="E2028">
        <f t="shared" si="31"/>
        <v>2.0960250054240345E-3</v>
      </c>
    </row>
    <row r="2029" spans="1:5" x14ac:dyDescent="0.25">
      <c r="A2029">
        <v>3</v>
      </c>
      <c r="B2029">
        <v>0.123831775700935</v>
      </c>
      <c r="D2029">
        <v>28</v>
      </c>
      <c r="E2029">
        <f t="shared" si="31"/>
        <v>1.58562176766976E-3</v>
      </c>
    </row>
    <row r="2030" spans="1:5" x14ac:dyDescent="0.25">
      <c r="A2030">
        <v>3</v>
      </c>
      <c r="B2030">
        <v>0.14133333333333301</v>
      </c>
      <c r="D2030">
        <v>28</v>
      </c>
      <c r="E2030">
        <f t="shared" si="31"/>
        <v>1.58562176766976E-3</v>
      </c>
    </row>
    <row r="2031" spans="1:5" x14ac:dyDescent="0.25">
      <c r="A2031">
        <v>3</v>
      </c>
      <c r="B2031">
        <v>0.25600000000000001</v>
      </c>
      <c r="D2031">
        <v>28</v>
      </c>
      <c r="E2031">
        <f t="shared" si="31"/>
        <v>1.58562176766976E-3</v>
      </c>
    </row>
    <row r="2032" spans="1:5" x14ac:dyDescent="0.25">
      <c r="A2032">
        <v>3</v>
      </c>
      <c r="B2032">
        <v>0.108</v>
      </c>
      <c r="D2032">
        <v>29</v>
      </c>
      <c r="E2032">
        <f t="shared" si="31"/>
        <v>1.1849300169004726E-3</v>
      </c>
    </row>
    <row r="2033" spans="1:5" x14ac:dyDescent="0.25">
      <c r="A2033">
        <v>3</v>
      </c>
      <c r="B2033">
        <v>0.16500000000000001</v>
      </c>
      <c r="D2033">
        <v>31</v>
      </c>
      <c r="E2033">
        <f t="shared" si="31"/>
        <v>6.3789440345330306E-4</v>
      </c>
    </row>
    <row r="2034" spans="1:5" x14ac:dyDescent="0.25">
      <c r="A2034">
        <v>3</v>
      </c>
      <c r="B2034">
        <v>0.23</v>
      </c>
      <c r="D2034">
        <v>31</v>
      </c>
      <c r="E2034">
        <f t="shared" si="31"/>
        <v>6.3789440345330306E-4</v>
      </c>
    </row>
    <row r="2035" spans="1:5" x14ac:dyDescent="0.25">
      <c r="A2035">
        <v>3</v>
      </c>
      <c r="B2035">
        <v>0.36986301369863001</v>
      </c>
      <c r="D2035">
        <v>31</v>
      </c>
      <c r="E2035">
        <f t="shared" si="31"/>
        <v>6.3789440345330306E-4</v>
      </c>
    </row>
    <row r="2036" spans="1:5" x14ac:dyDescent="0.25">
      <c r="A2036">
        <v>3</v>
      </c>
      <c r="B2036">
        <v>5.86666666666667E-2</v>
      </c>
      <c r="D2036">
        <v>32</v>
      </c>
      <c r="E2036">
        <f t="shared" si="31"/>
        <v>4.5952779000109307E-4</v>
      </c>
    </row>
    <row r="2037" spans="1:5" x14ac:dyDescent="0.25">
      <c r="A2037">
        <v>3</v>
      </c>
      <c r="B2037">
        <v>4.6620046620046603E-2</v>
      </c>
      <c r="D2037">
        <v>32</v>
      </c>
      <c r="E2037">
        <f t="shared" si="31"/>
        <v>4.5952779000109307E-4</v>
      </c>
    </row>
    <row r="2038" spans="1:5" x14ac:dyDescent="0.25">
      <c r="A2038">
        <v>3</v>
      </c>
      <c r="B2038">
        <v>-0.126126126126126</v>
      </c>
      <c r="D2038">
        <v>32</v>
      </c>
      <c r="E2038">
        <f t="shared" si="31"/>
        <v>4.5952779000109307E-4</v>
      </c>
    </row>
    <row r="2039" spans="1:5" x14ac:dyDescent="0.25">
      <c r="A2039">
        <v>3</v>
      </c>
      <c r="B2039">
        <v>-0.31333333333333302</v>
      </c>
      <c r="D2039">
        <v>32</v>
      </c>
      <c r="E2039">
        <f t="shared" si="31"/>
        <v>4.5952779000109307E-4</v>
      </c>
    </row>
    <row r="2040" spans="1:5" x14ac:dyDescent="0.25">
      <c r="A2040">
        <v>3</v>
      </c>
      <c r="B2040">
        <v>-0.224</v>
      </c>
      <c r="D2040">
        <v>32</v>
      </c>
      <c r="E2040">
        <f t="shared" si="31"/>
        <v>4.5952779000109307E-4</v>
      </c>
    </row>
    <row r="2041" spans="1:5" x14ac:dyDescent="0.25">
      <c r="A2041">
        <v>3</v>
      </c>
      <c r="B2041">
        <v>0.108108108108108</v>
      </c>
      <c r="D2041">
        <v>33</v>
      </c>
      <c r="E2041">
        <f t="shared" si="31"/>
        <v>3.2701278428934219E-4</v>
      </c>
    </row>
    <row r="2042" spans="1:5" x14ac:dyDescent="0.25">
      <c r="A2042">
        <v>3</v>
      </c>
      <c r="B2042">
        <v>3.0030030030029999E-3</v>
      </c>
      <c r="D2042">
        <v>33</v>
      </c>
      <c r="E2042">
        <f t="shared" si="31"/>
        <v>3.2701278428934219E-4</v>
      </c>
    </row>
    <row r="2043" spans="1:5" x14ac:dyDescent="0.25">
      <c r="A2043">
        <v>3</v>
      </c>
      <c r="B2043">
        <v>2.9333333333333302E-2</v>
      </c>
      <c r="D2043">
        <v>34</v>
      </c>
      <c r="E2043">
        <f t="shared" si="31"/>
        <v>2.2988341727972773E-4</v>
      </c>
    </row>
    <row r="2044" spans="1:5" x14ac:dyDescent="0.25">
      <c r="A2044">
        <v>3</v>
      </c>
      <c r="B2044">
        <v>9.0090090090090107E-3</v>
      </c>
      <c r="D2044">
        <v>34</v>
      </c>
      <c r="E2044">
        <f t="shared" si="31"/>
        <v>2.2988341727972773E-4</v>
      </c>
    </row>
    <row r="2045" spans="1:5" x14ac:dyDescent="0.25">
      <c r="A2045">
        <v>3</v>
      </c>
      <c r="B2045">
        <v>9.3240093240093205E-3</v>
      </c>
      <c r="D2045">
        <v>34</v>
      </c>
      <c r="E2045">
        <f t="shared" si="31"/>
        <v>2.2988341727972773E-4</v>
      </c>
    </row>
    <row r="2046" spans="1:5" x14ac:dyDescent="0.25">
      <c r="A2046">
        <v>3</v>
      </c>
      <c r="B2046">
        <v>-3.9039039039038999E-2</v>
      </c>
      <c r="D2046">
        <v>35</v>
      </c>
      <c r="E2046">
        <f t="shared" si="31"/>
        <v>1.5963955910390737E-4</v>
      </c>
    </row>
    <row r="2047" spans="1:5" x14ac:dyDescent="0.25">
      <c r="A2047">
        <v>3</v>
      </c>
      <c r="B2047">
        <v>-5.4054054054054099E-2</v>
      </c>
      <c r="D2047">
        <v>35</v>
      </c>
      <c r="E2047">
        <f t="shared" si="31"/>
        <v>1.5963955910390737E-4</v>
      </c>
    </row>
    <row r="2048" spans="1:5" x14ac:dyDescent="0.25">
      <c r="A2048">
        <v>3</v>
      </c>
      <c r="B2048">
        <v>2.66666666666667E-3</v>
      </c>
      <c r="D2048">
        <v>36</v>
      </c>
      <c r="E2048">
        <f t="shared" si="31"/>
        <v>1.0951241522028164E-4</v>
      </c>
    </row>
    <row r="2049" spans="1:5" x14ac:dyDescent="0.25">
      <c r="A2049">
        <v>3</v>
      </c>
      <c r="B2049">
        <v>6.0060060060060101E-2</v>
      </c>
      <c r="D2049">
        <v>36</v>
      </c>
      <c r="E2049">
        <f t="shared" si="31"/>
        <v>1.0951241522028164E-4</v>
      </c>
    </row>
    <row r="2050" spans="1:5" x14ac:dyDescent="0.25">
      <c r="A2050">
        <v>3</v>
      </c>
      <c r="B2050">
        <v>0.14219114219114201</v>
      </c>
      <c r="D2050">
        <v>37</v>
      </c>
      <c r="E2050">
        <f t="shared" si="31"/>
        <v>7.4212345330149757E-5</v>
      </c>
    </row>
    <row r="2051" spans="1:5" x14ac:dyDescent="0.25">
      <c r="A2051">
        <v>3</v>
      </c>
      <c r="B2051">
        <v>0.178666666666667</v>
      </c>
      <c r="D2051">
        <v>37</v>
      </c>
      <c r="E2051">
        <f t="shared" ref="E2051:E2096" si="32">_xlfn.NORM.DIST(D2051, I$4,I$7,FALSE)</f>
        <v>7.4212345330149757E-5</v>
      </c>
    </row>
    <row r="2052" spans="1:5" x14ac:dyDescent="0.25">
      <c r="A2052">
        <v>3</v>
      </c>
      <c r="B2052">
        <v>0.20327102803738301</v>
      </c>
      <c r="D2052">
        <v>37</v>
      </c>
      <c r="E2052">
        <f t="shared" si="32"/>
        <v>7.4212345330149757E-5</v>
      </c>
    </row>
    <row r="2053" spans="1:5" x14ac:dyDescent="0.25">
      <c r="A2053">
        <v>3</v>
      </c>
      <c r="B2053">
        <v>-0.154</v>
      </c>
      <c r="D2053">
        <v>38</v>
      </c>
      <c r="E2053">
        <f t="shared" si="32"/>
        <v>4.967969474547441E-5</v>
      </c>
    </row>
    <row r="2054" spans="1:5" x14ac:dyDescent="0.25">
      <c r="A2054">
        <v>3</v>
      </c>
      <c r="B2054">
        <v>-3.03738317757009E-2</v>
      </c>
      <c r="D2054">
        <v>38</v>
      </c>
      <c r="E2054">
        <f t="shared" si="32"/>
        <v>4.967969474547441E-5</v>
      </c>
    </row>
    <row r="2055" spans="1:5" x14ac:dyDescent="0.25">
      <c r="A2055">
        <v>3</v>
      </c>
      <c r="B2055">
        <v>1.7999999999999999E-2</v>
      </c>
      <c r="D2055">
        <v>39</v>
      </c>
      <c r="E2055">
        <f t="shared" si="32"/>
        <v>3.2852743488403618E-5</v>
      </c>
    </row>
    <row r="2056" spans="1:5" x14ac:dyDescent="0.25">
      <c r="A2056">
        <v>3</v>
      </c>
      <c r="B2056">
        <v>-0.19400000000000001</v>
      </c>
      <c r="D2056">
        <v>40</v>
      </c>
      <c r="E2056">
        <f t="shared" si="32"/>
        <v>2.1461216170201131E-5</v>
      </c>
    </row>
    <row r="2057" spans="1:5" x14ac:dyDescent="0.25">
      <c r="A2057">
        <v>3</v>
      </c>
      <c r="B2057">
        <v>0.29729729729729698</v>
      </c>
      <c r="D2057">
        <v>40</v>
      </c>
      <c r="E2057">
        <f t="shared" si="32"/>
        <v>2.1461216170201131E-5</v>
      </c>
    </row>
    <row r="2058" spans="1:5" x14ac:dyDescent="0.25">
      <c r="A2058">
        <v>3</v>
      </c>
      <c r="B2058">
        <v>4.2042042042041997E-2</v>
      </c>
      <c r="D2058">
        <v>40</v>
      </c>
      <c r="E2058">
        <f t="shared" si="32"/>
        <v>2.1461216170201131E-5</v>
      </c>
    </row>
    <row r="2059" spans="1:5" x14ac:dyDescent="0.25">
      <c r="A2059">
        <v>3</v>
      </c>
      <c r="B2059">
        <v>5.7057057057057103E-2</v>
      </c>
      <c r="D2059">
        <v>40</v>
      </c>
      <c r="E2059">
        <f t="shared" si="32"/>
        <v>2.1461216170201131E-5</v>
      </c>
    </row>
    <row r="2060" spans="1:5" x14ac:dyDescent="0.25">
      <c r="A2060">
        <v>3</v>
      </c>
      <c r="B2060">
        <v>6.0060060060060101E-2</v>
      </c>
      <c r="D2060">
        <v>42</v>
      </c>
      <c r="E2060">
        <f t="shared" si="32"/>
        <v>8.8285542139106793E-6</v>
      </c>
    </row>
    <row r="2061" spans="1:5" x14ac:dyDescent="0.25">
      <c r="A2061">
        <v>3</v>
      </c>
      <c r="B2061">
        <v>-4.5333333333333302E-2</v>
      </c>
      <c r="D2061">
        <v>43</v>
      </c>
      <c r="E2061">
        <f t="shared" si="32"/>
        <v>5.5595822689027657E-6</v>
      </c>
    </row>
    <row r="2062" spans="1:5" x14ac:dyDescent="0.25">
      <c r="A2062">
        <v>3</v>
      </c>
      <c r="B2062">
        <v>-3.9039039039038999E-2</v>
      </c>
      <c r="D2062">
        <v>44</v>
      </c>
      <c r="E2062">
        <f t="shared" si="32"/>
        <v>3.4584754428226342E-6</v>
      </c>
    </row>
    <row r="2063" spans="1:5" x14ac:dyDescent="0.25">
      <c r="A2063">
        <v>3</v>
      </c>
      <c r="B2063">
        <v>-6.8000000000000005E-2</v>
      </c>
      <c r="D2063">
        <v>45</v>
      </c>
      <c r="E2063">
        <f t="shared" si="32"/>
        <v>2.1252850811158493E-6</v>
      </c>
    </row>
    <row r="2064" spans="1:5" x14ac:dyDescent="0.25">
      <c r="A2064">
        <v>3</v>
      </c>
      <c r="B2064">
        <v>-2.57009345794393E-2</v>
      </c>
      <c r="D2064">
        <v>45</v>
      </c>
      <c r="E2064">
        <f t="shared" si="32"/>
        <v>2.1252850811158493E-6</v>
      </c>
    </row>
    <row r="2065" spans="1:5" x14ac:dyDescent="0.25">
      <c r="A2065">
        <v>3</v>
      </c>
      <c r="B2065">
        <v>-0.184</v>
      </c>
      <c r="D2065">
        <v>46</v>
      </c>
      <c r="E2065">
        <f t="shared" si="32"/>
        <v>1.2901483555010256E-6</v>
      </c>
    </row>
    <row r="2066" spans="1:5" x14ac:dyDescent="0.25">
      <c r="A2066">
        <v>3</v>
      </c>
      <c r="B2066">
        <v>-9.34579439252336E-2</v>
      </c>
      <c r="D2066">
        <v>46</v>
      </c>
      <c r="E2066">
        <f t="shared" si="32"/>
        <v>1.2901483555010256E-6</v>
      </c>
    </row>
    <row r="2067" spans="1:5" x14ac:dyDescent="0.25">
      <c r="A2067">
        <v>3</v>
      </c>
      <c r="B2067">
        <v>-0.18933333333333299</v>
      </c>
      <c r="D2067">
        <v>47</v>
      </c>
      <c r="E2067">
        <f t="shared" si="32"/>
        <v>7.7366344076543556E-7</v>
      </c>
    </row>
    <row r="2068" spans="1:5" x14ac:dyDescent="0.25">
      <c r="A2068">
        <v>3</v>
      </c>
      <c r="B2068">
        <v>-0.193473193473193</v>
      </c>
      <c r="D2068">
        <v>49</v>
      </c>
      <c r="E2068">
        <f t="shared" si="32"/>
        <v>2.6819260890031762E-7</v>
      </c>
    </row>
    <row r="2069" spans="1:5" x14ac:dyDescent="0.25">
      <c r="A2069">
        <v>3</v>
      </c>
      <c r="B2069">
        <v>-0.22897196261682201</v>
      </c>
      <c r="D2069">
        <v>50</v>
      </c>
      <c r="E2069">
        <f t="shared" si="32"/>
        <v>1.5503477144639041E-7</v>
      </c>
    </row>
    <row r="2070" spans="1:5" x14ac:dyDescent="0.25">
      <c r="A2070">
        <v>3</v>
      </c>
      <c r="B2070">
        <v>-0.2</v>
      </c>
      <c r="D2070">
        <v>51</v>
      </c>
      <c r="E2070">
        <f t="shared" si="32"/>
        <v>8.8532225986864558E-8</v>
      </c>
    </row>
    <row r="2071" spans="1:5" x14ac:dyDescent="0.25">
      <c r="A2071">
        <v>3</v>
      </c>
      <c r="B2071">
        <v>-0.25600000000000001</v>
      </c>
      <c r="D2071">
        <v>51</v>
      </c>
      <c r="E2071">
        <f t="shared" si="32"/>
        <v>8.8532225986864558E-8</v>
      </c>
    </row>
    <row r="2072" spans="1:5" x14ac:dyDescent="0.25">
      <c r="A2072">
        <v>3</v>
      </c>
      <c r="B2072">
        <v>-0.31833333333333302</v>
      </c>
      <c r="D2072">
        <v>53</v>
      </c>
      <c r="E2072">
        <f t="shared" si="32"/>
        <v>2.7830166954202026E-8</v>
      </c>
    </row>
    <row r="2073" spans="1:5" x14ac:dyDescent="0.25">
      <c r="A2073">
        <v>3</v>
      </c>
      <c r="B2073">
        <v>-0.487179487179487</v>
      </c>
      <c r="D2073">
        <v>53</v>
      </c>
      <c r="E2073">
        <f t="shared" si="32"/>
        <v>2.7830166954202026E-8</v>
      </c>
    </row>
    <row r="2074" spans="1:5" x14ac:dyDescent="0.25">
      <c r="A2074">
        <v>3</v>
      </c>
      <c r="B2074">
        <v>-0.26</v>
      </c>
      <c r="D2074">
        <v>53</v>
      </c>
      <c r="E2074">
        <f t="shared" si="32"/>
        <v>2.7830166954202026E-8</v>
      </c>
    </row>
    <row r="2075" spans="1:5" x14ac:dyDescent="0.25">
      <c r="A2075">
        <v>3</v>
      </c>
      <c r="B2075">
        <v>-7.0000000000000007E-2</v>
      </c>
      <c r="D2075">
        <v>54</v>
      </c>
      <c r="E2075">
        <f t="shared" si="32"/>
        <v>1.5319971906072922E-8</v>
      </c>
    </row>
    <row r="2076" spans="1:5" x14ac:dyDescent="0.25">
      <c r="A2076">
        <v>3</v>
      </c>
      <c r="B2076">
        <v>-0.31538461538461499</v>
      </c>
      <c r="D2076">
        <v>54</v>
      </c>
      <c r="E2076">
        <f t="shared" si="32"/>
        <v>1.5319971906072922E-8</v>
      </c>
    </row>
    <row r="2077" spans="1:5" x14ac:dyDescent="0.25">
      <c r="A2077">
        <v>3</v>
      </c>
      <c r="B2077">
        <v>0.183544303797468</v>
      </c>
      <c r="D2077">
        <v>56</v>
      </c>
      <c r="E2077">
        <f t="shared" si="32"/>
        <v>4.4751971236349675E-9</v>
      </c>
    </row>
    <row r="2078" spans="1:5" x14ac:dyDescent="0.25">
      <c r="A2078">
        <v>3</v>
      </c>
      <c r="B2078">
        <v>7.3333333333333306E-2</v>
      </c>
      <c r="D2078">
        <v>57</v>
      </c>
      <c r="E2078">
        <f t="shared" si="32"/>
        <v>2.3747845439810184E-9</v>
      </c>
    </row>
    <row r="2079" spans="1:5" x14ac:dyDescent="0.25">
      <c r="A2079">
        <v>3</v>
      </c>
      <c r="B2079">
        <v>0</v>
      </c>
      <c r="D2079">
        <v>59</v>
      </c>
      <c r="E2079">
        <f t="shared" si="32"/>
        <v>6.4464139218297477E-10</v>
      </c>
    </row>
    <row r="2080" spans="1:5" x14ac:dyDescent="0.25">
      <c r="A2080">
        <v>3</v>
      </c>
      <c r="B2080">
        <v>-5.4054054054054099E-2</v>
      </c>
      <c r="D2080">
        <v>60</v>
      </c>
      <c r="E2080">
        <f t="shared" si="32"/>
        <v>3.2976162791369383E-10</v>
      </c>
    </row>
    <row r="2081" spans="1:5" x14ac:dyDescent="0.25">
      <c r="A2081">
        <v>3</v>
      </c>
      <c r="B2081">
        <v>0.12533333333333299</v>
      </c>
      <c r="D2081">
        <v>60</v>
      </c>
      <c r="E2081">
        <f t="shared" si="32"/>
        <v>3.2976162791369383E-10</v>
      </c>
    </row>
    <row r="2082" spans="1:5" x14ac:dyDescent="0.25">
      <c r="A2082">
        <v>3</v>
      </c>
      <c r="B2082">
        <v>0.15915915915915901</v>
      </c>
      <c r="D2082">
        <v>62</v>
      </c>
      <c r="E2082">
        <f t="shared" si="32"/>
        <v>8.3182863381777129E-11</v>
      </c>
    </row>
    <row r="2083" spans="1:5" x14ac:dyDescent="0.25">
      <c r="A2083">
        <v>3</v>
      </c>
      <c r="B2083">
        <v>-2.1021021021020998E-2</v>
      </c>
      <c r="D2083">
        <v>62</v>
      </c>
      <c r="E2083">
        <f t="shared" si="32"/>
        <v>8.3182863381777129E-11</v>
      </c>
    </row>
    <row r="2084" spans="1:5" x14ac:dyDescent="0.25">
      <c r="A2084">
        <v>3</v>
      </c>
      <c r="B2084">
        <v>5.6000000000000001E-2</v>
      </c>
      <c r="D2084">
        <v>63</v>
      </c>
      <c r="E2084">
        <f t="shared" si="32"/>
        <v>4.1019058032793598E-11</v>
      </c>
    </row>
    <row r="2085" spans="1:5" x14ac:dyDescent="0.25">
      <c r="A2085">
        <v>3</v>
      </c>
      <c r="B2085">
        <v>-2.9333333333333302E-2</v>
      </c>
      <c r="D2085">
        <v>65</v>
      </c>
      <c r="E2085">
        <f t="shared" si="32"/>
        <v>9.6152195167565446E-12</v>
      </c>
    </row>
    <row r="2086" spans="1:5" x14ac:dyDescent="0.25">
      <c r="A2086">
        <v>3</v>
      </c>
      <c r="B2086">
        <v>0.30399999999999999</v>
      </c>
      <c r="D2086">
        <v>67</v>
      </c>
      <c r="E2086">
        <f t="shared" si="32"/>
        <v>2.146310613985311E-12</v>
      </c>
    </row>
    <row r="2087" spans="1:5" x14ac:dyDescent="0.25">
      <c r="A2087">
        <v>3</v>
      </c>
      <c r="B2087">
        <v>0.35466666666666702</v>
      </c>
      <c r="D2087">
        <v>69</v>
      </c>
      <c r="E2087">
        <f t="shared" si="32"/>
        <v>4.5623205078131726E-13</v>
      </c>
    </row>
    <row r="2088" spans="1:5" x14ac:dyDescent="0.25">
      <c r="A2088">
        <v>3</v>
      </c>
      <c r="B2088">
        <v>0.38927738927738897</v>
      </c>
      <c r="D2088">
        <v>70</v>
      </c>
      <c r="E2088">
        <f t="shared" si="32"/>
        <v>2.0652248598589613E-13</v>
      </c>
    </row>
    <row r="2089" spans="1:5" x14ac:dyDescent="0.25">
      <c r="A2089">
        <v>3</v>
      </c>
      <c r="B2089">
        <v>0.52</v>
      </c>
      <c r="D2089">
        <v>72</v>
      </c>
      <c r="E2089">
        <f t="shared" si="32"/>
        <v>4.0794379884954099E-14</v>
      </c>
    </row>
    <row r="2090" spans="1:5" x14ac:dyDescent="0.25">
      <c r="A2090">
        <v>3</v>
      </c>
      <c r="B2090">
        <v>0.55841121495327095</v>
      </c>
      <c r="D2090">
        <v>72</v>
      </c>
      <c r="E2090">
        <f t="shared" si="32"/>
        <v>4.0794379884954099E-14</v>
      </c>
    </row>
    <row r="2091" spans="1:5" x14ac:dyDescent="0.25">
      <c r="A2091">
        <v>3</v>
      </c>
      <c r="B2091">
        <v>0.58558558558558604</v>
      </c>
      <c r="D2091">
        <v>74</v>
      </c>
      <c r="E2091">
        <f t="shared" si="32"/>
        <v>7.6734943252264394E-15</v>
      </c>
    </row>
    <row r="2092" spans="1:5" x14ac:dyDescent="0.25">
      <c r="A2092">
        <v>3</v>
      </c>
      <c r="B2092">
        <v>0.624</v>
      </c>
      <c r="D2092">
        <v>77</v>
      </c>
      <c r="E2092">
        <f t="shared" si="32"/>
        <v>5.711591696418495E-16</v>
      </c>
    </row>
    <row r="2093" spans="1:5" x14ac:dyDescent="0.25">
      <c r="A2093">
        <v>3</v>
      </c>
      <c r="B2093">
        <v>0.54400000000000004</v>
      </c>
      <c r="D2093">
        <v>77</v>
      </c>
      <c r="E2093">
        <f t="shared" si="32"/>
        <v>5.711591696418495E-16</v>
      </c>
    </row>
    <row r="2094" spans="1:5" x14ac:dyDescent="0.25">
      <c r="A2094">
        <v>3</v>
      </c>
      <c r="B2094">
        <v>0.59673659673659696</v>
      </c>
      <c r="D2094">
        <v>79</v>
      </c>
      <c r="E2094">
        <f t="shared" si="32"/>
        <v>9.5071340195389755E-17</v>
      </c>
    </row>
    <row r="2095" spans="1:5" x14ac:dyDescent="0.25">
      <c r="A2095">
        <v>3</v>
      </c>
      <c r="B2095">
        <v>0.34666666666666701</v>
      </c>
      <c r="D2095">
        <v>79</v>
      </c>
      <c r="E2095">
        <f t="shared" si="32"/>
        <v>9.5071340195389755E-17</v>
      </c>
    </row>
    <row r="2096" spans="1:5" x14ac:dyDescent="0.25">
      <c r="A2096">
        <v>3</v>
      </c>
      <c r="B2096">
        <v>1</v>
      </c>
      <c r="D2096">
        <v>80</v>
      </c>
      <c r="E2096">
        <f t="shared" si="32"/>
        <v>3.8082968250263343E-17</v>
      </c>
    </row>
  </sheetData>
  <sortState xmlns:xlrd2="http://schemas.microsoft.com/office/spreadsheetml/2017/richdata2" ref="D2:D2096">
    <sortCondition ref="D2"/>
  </sortState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739D-93A5-4DA1-9E26-F575B38ABED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B301-6AED-460E-8ECE-0370409D9C7B}">
  <sheetPr codeName="Sheet11"/>
  <dimension ref="A1:O51"/>
  <sheetViews>
    <sheetView workbookViewId="0">
      <selection activeCell="H11" sqref="H1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4</v>
      </c>
      <c r="B3" t="s">
        <v>24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24</v>
      </c>
      <c r="B4" t="s">
        <v>4</v>
      </c>
      <c r="C4" t="s">
        <v>24</v>
      </c>
      <c r="F4" t="s">
        <v>27</v>
      </c>
      <c r="G4">
        <f>COUNTIF(C:C, "=MineField")</f>
        <v>45</v>
      </c>
      <c r="J4" t="s">
        <v>25</v>
      </c>
      <c r="K4">
        <f>COUNTIFS(C:C,"=MineField",A:A,"=MineField")</f>
        <v>23</v>
      </c>
      <c r="N4" t="s">
        <v>27</v>
      </c>
      <c r="O4">
        <f>COUNTIFS(A:A,"=Good dad",C:C,"=MineField")</f>
        <v>22</v>
      </c>
    </row>
    <row r="5" spans="1:15" x14ac:dyDescent="0.25">
      <c r="A5" t="s">
        <v>4</v>
      </c>
      <c r="B5" t="s">
        <v>24</v>
      </c>
      <c r="C5" t="s">
        <v>24</v>
      </c>
      <c r="F5" t="s">
        <v>74</v>
      </c>
      <c r="G5">
        <f>COUNTIF(C:C, "=Good dad")</f>
        <v>5</v>
      </c>
      <c r="J5" t="s">
        <v>74</v>
      </c>
      <c r="K5">
        <f>COUNTIFS(C:C,"=Good dad",A:A,"=MineField")</f>
        <v>2</v>
      </c>
      <c r="N5" t="s">
        <v>74</v>
      </c>
      <c r="O5">
        <f>COUNTIFS(A:A,"=Good dad",C:C,"=Good dad")</f>
        <v>3</v>
      </c>
    </row>
    <row r="6" spans="1:15" x14ac:dyDescent="0.25">
      <c r="A6" t="s">
        <v>24</v>
      </c>
      <c r="B6" t="s">
        <v>4</v>
      </c>
      <c r="C6" t="s">
        <v>24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24</v>
      </c>
    </row>
    <row r="8" spans="1:15" x14ac:dyDescent="0.25">
      <c r="A8" t="s">
        <v>24</v>
      </c>
      <c r="B8" t="s">
        <v>4</v>
      </c>
      <c r="C8" t="s">
        <v>24</v>
      </c>
    </row>
    <row r="9" spans="1:15" x14ac:dyDescent="0.25">
      <c r="A9" t="s">
        <v>4</v>
      </c>
      <c r="B9" t="s">
        <v>24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4</v>
      </c>
      <c r="B11" t="s">
        <v>24</v>
      </c>
      <c r="C11" t="s">
        <v>24</v>
      </c>
    </row>
    <row r="12" spans="1:15" x14ac:dyDescent="0.25">
      <c r="A12" t="s">
        <v>24</v>
      </c>
      <c r="B12" t="s">
        <v>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24</v>
      </c>
      <c r="B14" t="s">
        <v>4</v>
      </c>
      <c r="C14" t="s">
        <v>24</v>
      </c>
    </row>
    <row r="15" spans="1:15" x14ac:dyDescent="0.25">
      <c r="A15" t="s">
        <v>4</v>
      </c>
      <c r="B15" t="s">
        <v>24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24</v>
      </c>
      <c r="B19" t="s">
        <v>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24</v>
      </c>
      <c r="B27" t="s">
        <v>4</v>
      </c>
      <c r="C27" t="s">
        <v>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24</v>
      </c>
      <c r="B30" t="s">
        <v>4</v>
      </c>
      <c r="C30" t="s">
        <v>24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4</v>
      </c>
    </row>
    <row r="36" spans="1:3" x14ac:dyDescent="0.25">
      <c r="A36" t="s">
        <v>4</v>
      </c>
      <c r="B36" t="s">
        <v>24</v>
      </c>
      <c r="C36" t="s">
        <v>24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4</v>
      </c>
      <c r="B41" t="s">
        <v>24</v>
      </c>
      <c r="C41" t="s">
        <v>24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4</v>
      </c>
      <c r="B50" t="s">
        <v>24</v>
      </c>
      <c r="C50" t="s">
        <v>24</v>
      </c>
    </row>
    <row r="51" spans="1:3" x14ac:dyDescent="0.25">
      <c r="A51" t="s">
        <v>4</v>
      </c>
      <c r="B51" t="s">
        <v>24</v>
      </c>
      <c r="C51" t="s">
        <v>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9397-C513-46C6-BB7B-7CD24B02F180}">
  <sheetPr codeName="Sheet12"/>
  <dimension ref="A1:O51"/>
  <sheetViews>
    <sheetView workbookViewId="0">
      <selection activeCell="D2" sqref="D2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COUNTIF(C:C, "=Random")</f>
        <v>17</v>
      </c>
      <c r="J4" t="s">
        <v>19</v>
      </c>
      <c r="K4">
        <f>COUNTIFS(C:C,"=Random",A:A,"=Random")</f>
        <v>7</v>
      </c>
      <c r="N4" t="s">
        <v>19</v>
      </c>
      <c r="O4">
        <f>COUNTIFS(A:A,"=Good dad",C:C,"=Random")</f>
        <v>10</v>
      </c>
    </row>
    <row r="5" spans="1:15" x14ac:dyDescent="0.25">
      <c r="A5" t="s">
        <v>16</v>
      </c>
      <c r="B5" t="s">
        <v>4</v>
      </c>
      <c r="C5" t="s">
        <v>4</v>
      </c>
      <c r="F5" t="s">
        <v>20</v>
      </c>
      <c r="G5">
        <f>COUNTIF(C:C, "=Good dad")</f>
        <v>33</v>
      </c>
      <c r="J5" t="s">
        <v>20</v>
      </c>
      <c r="K5">
        <f>COUNTIFS(C:C,"=Good dad",A:A,"=Random")</f>
        <v>18</v>
      </c>
      <c r="N5" t="s">
        <v>20</v>
      </c>
      <c r="O5">
        <f>COUNTIFS(A:A,"=Good dad",C:C,"=Good dad")</f>
        <v>15</v>
      </c>
    </row>
    <row r="6" spans="1:15" x14ac:dyDescent="0.25">
      <c r="A6" t="s">
        <v>4</v>
      </c>
      <c r="B6" t="s">
        <v>16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COUNTIFS(C:C,"=draw",A:A,"=Random")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4</v>
      </c>
      <c r="B10" t="s">
        <v>16</v>
      </c>
      <c r="C10" t="s">
        <v>16</v>
      </c>
    </row>
    <row r="11" spans="1:15" x14ac:dyDescent="0.25">
      <c r="A11" t="s">
        <v>16</v>
      </c>
      <c r="B11" t="s">
        <v>4</v>
      </c>
      <c r="C11" t="s">
        <v>16</v>
      </c>
    </row>
    <row r="12" spans="1:15" x14ac:dyDescent="0.25">
      <c r="A12" t="s">
        <v>4</v>
      </c>
      <c r="B12" t="s">
        <v>16</v>
      </c>
      <c r="C12" t="s">
        <v>16</v>
      </c>
    </row>
    <row r="13" spans="1:15" x14ac:dyDescent="0.25">
      <c r="A13" t="s">
        <v>4</v>
      </c>
      <c r="B13" t="s">
        <v>16</v>
      </c>
      <c r="C13" t="s">
        <v>4</v>
      </c>
    </row>
    <row r="14" spans="1:15" x14ac:dyDescent="0.25">
      <c r="A14" t="s">
        <v>4</v>
      </c>
      <c r="B14" t="s">
        <v>16</v>
      </c>
      <c r="C14" t="s">
        <v>4</v>
      </c>
    </row>
    <row r="15" spans="1:15" x14ac:dyDescent="0.25">
      <c r="A15" t="s">
        <v>16</v>
      </c>
      <c r="B15" t="s">
        <v>4</v>
      </c>
      <c r="C15" t="s">
        <v>4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16</v>
      </c>
      <c r="B17" t="s">
        <v>4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16</v>
      </c>
    </row>
    <row r="21" spans="1:3" x14ac:dyDescent="0.25">
      <c r="A21" t="s">
        <v>4</v>
      </c>
      <c r="B21" t="s">
        <v>16</v>
      </c>
      <c r="C21" t="s">
        <v>16</v>
      </c>
    </row>
    <row r="22" spans="1:3" x14ac:dyDescent="0.25">
      <c r="A22" t="s">
        <v>16</v>
      </c>
      <c r="B22" t="s">
        <v>4</v>
      </c>
      <c r="C22" t="s">
        <v>4</v>
      </c>
    </row>
    <row r="23" spans="1:3" x14ac:dyDescent="0.25">
      <c r="A23" t="s">
        <v>4</v>
      </c>
      <c r="B23" t="s">
        <v>16</v>
      </c>
      <c r="C23" t="s">
        <v>4</v>
      </c>
    </row>
    <row r="24" spans="1:3" x14ac:dyDescent="0.25">
      <c r="A24" t="s">
        <v>16</v>
      </c>
      <c r="B24" t="s">
        <v>4</v>
      </c>
      <c r="C24" t="s">
        <v>4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16</v>
      </c>
      <c r="B27" t="s">
        <v>4</v>
      </c>
      <c r="C27" t="s">
        <v>16</v>
      </c>
    </row>
    <row r="28" spans="1:3" x14ac:dyDescent="0.25">
      <c r="A28" t="s">
        <v>4</v>
      </c>
      <c r="B28" t="s">
        <v>16</v>
      </c>
      <c r="C28" t="s">
        <v>4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4</v>
      </c>
      <c r="B32" t="s">
        <v>16</v>
      </c>
      <c r="C32" t="s">
        <v>16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4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16</v>
      </c>
    </row>
    <row r="37" spans="1:3" x14ac:dyDescent="0.25">
      <c r="A37" t="s">
        <v>4</v>
      </c>
      <c r="B37" t="s">
        <v>16</v>
      </c>
      <c r="C37" t="s">
        <v>4</v>
      </c>
    </row>
    <row r="38" spans="1:3" x14ac:dyDescent="0.25">
      <c r="A38" t="s">
        <v>4</v>
      </c>
      <c r="B38" t="s">
        <v>16</v>
      </c>
      <c r="C38" t="s">
        <v>16</v>
      </c>
    </row>
    <row r="39" spans="1:3" x14ac:dyDescent="0.25">
      <c r="A39" t="s">
        <v>16</v>
      </c>
      <c r="B39" t="s">
        <v>4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4</v>
      </c>
      <c r="B41" t="s">
        <v>16</v>
      </c>
      <c r="C41" t="s">
        <v>16</v>
      </c>
    </row>
    <row r="42" spans="1:3" x14ac:dyDescent="0.25">
      <c r="A42" t="s">
        <v>4</v>
      </c>
      <c r="B42" t="s">
        <v>16</v>
      </c>
      <c r="C42" t="s">
        <v>4</v>
      </c>
    </row>
    <row r="43" spans="1:3" x14ac:dyDescent="0.25">
      <c r="A43" t="s">
        <v>4</v>
      </c>
      <c r="B43" t="s">
        <v>16</v>
      </c>
      <c r="C43" t="s">
        <v>4</v>
      </c>
    </row>
    <row r="44" spans="1:3" x14ac:dyDescent="0.25">
      <c r="A44" t="s">
        <v>16</v>
      </c>
      <c r="B44" t="s">
        <v>4</v>
      </c>
      <c r="C44" t="s">
        <v>16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4</v>
      </c>
      <c r="B46" t="s">
        <v>16</v>
      </c>
      <c r="C46" t="s">
        <v>4</v>
      </c>
    </row>
    <row r="47" spans="1:3" x14ac:dyDescent="0.25">
      <c r="A47" t="s">
        <v>16</v>
      </c>
      <c r="B47" t="s">
        <v>4</v>
      </c>
      <c r="C47" t="s">
        <v>4</v>
      </c>
    </row>
    <row r="48" spans="1:3" x14ac:dyDescent="0.25">
      <c r="A48" t="s">
        <v>4</v>
      </c>
      <c r="B48" t="s">
        <v>16</v>
      </c>
      <c r="C48" t="s">
        <v>16</v>
      </c>
    </row>
    <row r="49" spans="1:3" x14ac:dyDescent="0.25">
      <c r="A49" t="s">
        <v>16</v>
      </c>
      <c r="B49" t="s">
        <v>4</v>
      </c>
      <c r="C49" t="s">
        <v>16</v>
      </c>
    </row>
    <row r="50" spans="1:3" x14ac:dyDescent="0.25">
      <c r="A50" t="s">
        <v>16</v>
      </c>
      <c r="B50" t="s">
        <v>4</v>
      </c>
      <c r="C50" t="s">
        <v>4</v>
      </c>
    </row>
    <row r="51" spans="1:3" x14ac:dyDescent="0.25">
      <c r="A51" t="s">
        <v>16</v>
      </c>
      <c r="B51" t="s">
        <v>4</v>
      </c>
      <c r="C51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58D-1D99-4D66-9923-043CAB57F8D5}">
  <sheetPr codeName="Sheet13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4</v>
      </c>
      <c r="E3" t="s">
        <v>18</v>
      </c>
      <c r="I3" t="s">
        <v>23</v>
      </c>
      <c r="M3" t="s">
        <v>22</v>
      </c>
    </row>
    <row r="4" spans="1:15" x14ac:dyDescent="0.25">
      <c r="A4" t="s">
        <v>1</v>
      </c>
      <c r="B4" t="s">
        <v>4</v>
      </c>
      <c r="C4" t="s">
        <v>1</v>
      </c>
      <c r="F4" t="s">
        <v>25</v>
      </c>
      <c r="G4">
        <f>COUNTIF(C:C, "=MCTS")</f>
        <v>43</v>
      </c>
      <c r="J4" t="s">
        <v>25</v>
      </c>
      <c r="K4">
        <f>COUNTIFS(C:C,"=MCTS",A:A,"=MCTS")</f>
        <v>23</v>
      </c>
      <c r="N4" t="s">
        <v>25</v>
      </c>
      <c r="O4">
        <f>COUNTIFS(A:A,"=Good dad",C:C,"=MCTS")</f>
        <v>20</v>
      </c>
    </row>
    <row r="5" spans="1:15" x14ac:dyDescent="0.25">
      <c r="A5" t="s">
        <v>4</v>
      </c>
      <c r="B5" t="s">
        <v>1</v>
      </c>
      <c r="C5" t="s">
        <v>1</v>
      </c>
      <c r="F5" t="s">
        <v>20</v>
      </c>
      <c r="G5">
        <f>COUNTIF(C:C, "=Good dad")</f>
        <v>7</v>
      </c>
      <c r="J5" t="s">
        <v>20</v>
      </c>
      <c r="K5">
        <f>COUNTIFS(C:C,"=Good dad",A:A,"=MCTS")</f>
        <v>2</v>
      </c>
      <c r="N5" t="s">
        <v>20</v>
      </c>
      <c r="O5">
        <f>COUNTIFS(A:A,"=Good dad",C:C,"=Good dad")</f>
        <v>5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0</v>
      </c>
      <c r="J6" t="s">
        <v>17</v>
      </c>
      <c r="K6">
        <f>COUNTIFS(C:C,"=draw",A:A,"=MCTS")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1</v>
      </c>
      <c r="B10" t="s">
        <v>4</v>
      </c>
      <c r="C10" t="s">
        <v>4</v>
      </c>
    </row>
    <row r="11" spans="1:15" x14ac:dyDescent="0.25">
      <c r="A11" t="s">
        <v>4</v>
      </c>
      <c r="B11" t="s">
        <v>1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4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4</v>
      </c>
      <c r="B19" t="s">
        <v>1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4</v>
      </c>
      <c r="B22" t="s">
        <v>1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4</v>
      </c>
    </row>
    <row r="25" spans="1:3" x14ac:dyDescent="0.25">
      <c r="A25" t="s">
        <v>4</v>
      </c>
      <c r="B25" t="s">
        <v>1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1</v>
      </c>
    </row>
    <row r="28" spans="1:3" x14ac:dyDescent="0.25">
      <c r="A28" t="s">
        <v>4</v>
      </c>
      <c r="B28" t="s">
        <v>1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4</v>
      </c>
      <c r="B30" t="s">
        <v>1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1</v>
      </c>
      <c r="B32" t="s">
        <v>4</v>
      </c>
      <c r="C32" t="s">
        <v>1</v>
      </c>
    </row>
    <row r="33" spans="1:3" x14ac:dyDescent="0.25">
      <c r="A33" t="s">
        <v>4</v>
      </c>
      <c r="B33" t="s">
        <v>1</v>
      </c>
      <c r="C33" t="s">
        <v>1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1</v>
      </c>
      <c r="B36" t="s">
        <v>4</v>
      </c>
      <c r="C36" t="s">
        <v>1</v>
      </c>
    </row>
    <row r="37" spans="1:3" x14ac:dyDescent="0.25">
      <c r="A37" t="s">
        <v>4</v>
      </c>
      <c r="B37" t="s">
        <v>1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4</v>
      </c>
    </row>
    <row r="41" spans="1:3" x14ac:dyDescent="0.25">
      <c r="A41" t="s">
        <v>1</v>
      </c>
      <c r="B41" t="s">
        <v>4</v>
      </c>
      <c r="C41" t="s">
        <v>1</v>
      </c>
    </row>
    <row r="42" spans="1:3" x14ac:dyDescent="0.25">
      <c r="A42" t="s">
        <v>1</v>
      </c>
      <c r="B42" t="s">
        <v>4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1</v>
      </c>
    </row>
    <row r="47" spans="1:3" x14ac:dyDescent="0.25">
      <c r="A47" t="s">
        <v>4</v>
      </c>
      <c r="B47" t="s">
        <v>1</v>
      </c>
      <c r="C47" t="s">
        <v>1</v>
      </c>
    </row>
    <row r="48" spans="1:3" x14ac:dyDescent="0.25">
      <c r="A48" t="s">
        <v>4</v>
      </c>
      <c r="B48" t="s">
        <v>1</v>
      </c>
      <c r="C48" t="s">
        <v>4</v>
      </c>
    </row>
    <row r="49" spans="1:3" x14ac:dyDescent="0.25">
      <c r="A49" t="s">
        <v>4</v>
      </c>
      <c r="B49" t="s">
        <v>1</v>
      </c>
      <c r="C49" t="s">
        <v>1</v>
      </c>
    </row>
    <row r="50" spans="1:3" x14ac:dyDescent="0.25">
      <c r="A50" t="s">
        <v>1</v>
      </c>
      <c r="B50" t="s">
        <v>4</v>
      </c>
      <c r="C50" t="s">
        <v>1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5095-420C-456F-A215-2654DCA4404B}">
  <sheetPr codeName="Sheet14"/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  <col min="5" max="5" width="6.5703125" customWidth="1"/>
    <col min="6" max="6" width="14.42578125" customWidth="1"/>
    <col min="9" max="9" width="6" customWidth="1"/>
    <col min="10" max="10" width="14.7109375" customWidth="1"/>
    <col min="13" max="13" width="3.5703125" customWidth="1"/>
    <col min="14" max="14" width="17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24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4</v>
      </c>
      <c r="B4" t="s">
        <v>24</v>
      </c>
      <c r="C4" t="s">
        <v>4</v>
      </c>
      <c r="F4" t="s">
        <v>27</v>
      </c>
      <c r="G4">
        <f>COUNTIF(C:C, "=Minefield")</f>
        <v>34</v>
      </c>
      <c r="J4" t="s">
        <v>27</v>
      </c>
      <c r="K4">
        <f>COUNTIFS(C:C,"=MineField",A:A,"=MineField")</f>
        <v>17</v>
      </c>
      <c r="N4" t="s">
        <v>27</v>
      </c>
      <c r="O4">
        <f>COUNTIFS(A:A,"=Good dad",C:C,"=MineField")</f>
        <v>17</v>
      </c>
    </row>
    <row r="5" spans="1:15" x14ac:dyDescent="0.25">
      <c r="A5" t="s">
        <v>24</v>
      </c>
      <c r="B5" t="s">
        <v>4</v>
      </c>
      <c r="C5" t="s">
        <v>4</v>
      </c>
      <c r="F5" t="s">
        <v>20</v>
      </c>
      <c r="G5">
        <f>COUNTIF(C:C, "=Good dad")</f>
        <v>16</v>
      </c>
      <c r="J5" t="s">
        <v>20</v>
      </c>
      <c r="K5">
        <f>COUNTIFS(C:C,"=Good dad",A:A,"=MineField")</f>
        <v>8</v>
      </c>
      <c r="N5" t="s">
        <v>20</v>
      </c>
      <c r="O5">
        <f>COUNTIFS(A:A,"=Good dad",C:C,"=Good dad")</f>
        <v>8</v>
      </c>
    </row>
    <row r="6" spans="1:15" x14ac:dyDescent="0.25">
      <c r="A6" t="s">
        <v>24</v>
      </c>
      <c r="B6" t="s">
        <v>4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4</v>
      </c>
    </row>
    <row r="8" spans="1:15" x14ac:dyDescent="0.25">
      <c r="A8" t="s">
        <v>24</v>
      </c>
      <c r="B8" t="s">
        <v>4</v>
      </c>
      <c r="C8" t="s">
        <v>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24</v>
      </c>
      <c r="B21" t="s">
        <v>4</v>
      </c>
      <c r="C21" t="s">
        <v>4</v>
      </c>
    </row>
    <row r="22" spans="1:3" x14ac:dyDescent="0.25">
      <c r="A22" t="s">
        <v>4</v>
      </c>
      <c r="B22" t="s">
        <v>24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4</v>
      </c>
      <c r="B28" t="s">
        <v>24</v>
      </c>
      <c r="C28" t="s">
        <v>4</v>
      </c>
    </row>
    <row r="29" spans="1:3" x14ac:dyDescent="0.25">
      <c r="A29" t="s">
        <v>24</v>
      </c>
      <c r="B29" t="s">
        <v>4</v>
      </c>
      <c r="C29" t="s">
        <v>24</v>
      </c>
    </row>
    <row r="30" spans="1:3" x14ac:dyDescent="0.25">
      <c r="A30" t="s">
        <v>4</v>
      </c>
      <c r="B30" t="s">
        <v>24</v>
      </c>
      <c r="C30" t="s">
        <v>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24</v>
      </c>
    </row>
    <row r="36" spans="1:3" x14ac:dyDescent="0.25">
      <c r="A36" t="s">
        <v>4</v>
      </c>
      <c r="B36" t="s">
        <v>24</v>
      </c>
      <c r="C36" t="s">
        <v>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24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24</v>
      </c>
      <c r="B41" t="s">
        <v>4</v>
      </c>
      <c r="C41" t="s">
        <v>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4</v>
      </c>
      <c r="B43" t="s">
        <v>24</v>
      </c>
      <c r="C43" t="s">
        <v>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24</v>
      </c>
      <c r="B45" t="s">
        <v>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4</v>
      </c>
      <c r="B49" t="s">
        <v>24</v>
      </c>
      <c r="C49" t="s">
        <v>24</v>
      </c>
    </row>
    <row r="50" spans="1:3" x14ac:dyDescent="0.25">
      <c r="A50" t="s">
        <v>24</v>
      </c>
      <c r="B50" t="s">
        <v>4</v>
      </c>
      <c r="C50" t="s">
        <v>4</v>
      </c>
    </row>
    <row r="51" spans="1:3" x14ac:dyDescent="0.25">
      <c r="A51" t="s">
        <v>24</v>
      </c>
      <c r="B51" t="s">
        <v>4</v>
      </c>
      <c r="C51" t="s">
        <v>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Good dad 60-40 vs MCTS games</vt:lpstr>
      <vt:lpstr>Good dad 80-20 vs MCTS</vt:lpstr>
      <vt:lpstr>Good dad 80-20 vs Minefield</vt:lpstr>
      <vt:lpstr>Good dad 80-20 vs Random</vt:lpstr>
      <vt:lpstr>Good dad 80-20 vs Random games</vt:lpstr>
      <vt:lpstr>Good dad 80-20 vs MCTS games</vt:lpstr>
      <vt:lpstr>Gooddad 80-20vs MineField games</vt:lpstr>
      <vt:lpstr>Good dad 80-20 vs MCTS options</vt:lpstr>
      <vt:lpstr>Good dad v2 vs Random Games</vt:lpstr>
      <vt:lpstr>UserGames</vt:lpstr>
      <vt:lpstr>Good dad v2 vs MCTS Games</vt:lpstr>
      <vt:lpstr>Sheet2</vt:lpstr>
      <vt:lpstr>Sheet1</vt:lpstr>
      <vt:lpstr>Good dad v2 vs MineField</vt:lpstr>
      <vt:lpstr>Gooddad80-20(PickWin) vs Random</vt:lpstr>
      <vt:lpstr>Gooddad80-20(PickWin) vs MCTS</vt:lpstr>
      <vt:lpstr>Gooddad80-20(PickWin)vsMineFiel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2019-03-18T21:35:46Z</dcterms:modified>
</cp:coreProperties>
</file>