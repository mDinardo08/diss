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dissertation\"/>
    </mc:Choice>
  </mc:AlternateContent>
  <xr:revisionPtr revIDLastSave="0" documentId="8_{34E80596-58CA-4030-98A4-4759470BE166}" xr6:coauthVersionLast="41" xr6:coauthVersionMax="41" xr10:uidLastSave="{00000000-0000-0000-0000-000000000000}"/>
  <bookViews>
    <workbookView xWindow="-120" yWindow="-120" windowWidth="20730" windowHeight="11160" tabRatio="803" firstSheet="9" activeTab="9" xr2:uid="{00000000-000D-0000-FFFF-FFFF00000000}"/>
  </bookViews>
  <sheets>
    <sheet name="Good dad 60-40 vs MCTS games" sheetId="1" r:id="rId1"/>
    <sheet name="Good dad 80-20 vs MCTS" sheetId="7" r:id="rId2"/>
    <sheet name="Good dad 80-20 vs Minefield" sheetId="8" r:id="rId3"/>
    <sheet name="Good dad 80-20 vs Random" sheetId="9" r:id="rId4"/>
    <sheet name="Good dad 80-20 vs Random games" sheetId="12" r:id="rId5"/>
    <sheet name="Good dad 80-20 vs MCTS games" sheetId="14" r:id="rId6"/>
    <sheet name="Gooddad 80-20vs MineField games" sheetId="16" r:id="rId7"/>
    <sheet name="Good dad 80-20 vs MCTS options" sheetId="10" r:id="rId8"/>
    <sheet name="Good dad v2 vs Random Games" sheetId="19" r:id="rId9"/>
    <sheet name="UserGames" sheetId="33" r:id="rId10"/>
    <sheet name="Good dad v2 vs MCTS Games" sheetId="22" r:id="rId11"/>
    <sheet name="Minefield moves" sheetId="35" r:id="rId12"/>
    <sheet name="User moves" sheetId="36" r:id="rId13"/>
    <sheet name="Rename moves" sheetId="38" r:id="rId14"/>
    <sheet name="Good dad v2 vs MineField" sheetId="23" r:id="rId15"/>
    <sheet name="Gooddad80-20(PickWin) vs Random" sheetId="25" r:id="rId16"/>
    <sheet name="Gooddad80-20(PickWin) vs MCTS" sheetId="27" r:id="rId17"/>
    <sheet name="Gooddad80-20(PickWin)vsMineFiel" sheetId="28" r:id="rId18"/>
  </sheets>
  <definedNames>
    <definedName name="ExternalData_1" localSheetId="5" hidden="1">'Good dad 80-20 vs MCTS games'!$A$1:$C$51</definedName>
    <definedName name="ExternalData_1" localSheetId="4" hidden="1">'Good dad 80-20 vs Random games'!$A$1:$C$51</definedName>
    <definedName name="ExternalData_1" localSheetId="10" hidden="1">'Good dad v2 vs MCTS Games'!$A$1:$C$51</definedName>
    <definedName name="ExternalData_1" localSheetId="14" hidden="1">'Good dad v2 vs MineField'!$A$1:$C$51</definedName>
    <definedName name="ExternalData_1" localSheetId="8" hidden="1">'Good dad v2 vs Random Games'!$A$1:$C$51</definedName>
    <definedName name="ExternalData_1" localSheetId="6" hidden="1">'Gooddad 80-20vs MineField games'!$A$1:$C$51</definedName>
    <definedName name="ExternalData_1" localSheetId="16" hidden="1">'Gooddad80-20(PickWin) vs MCTS'!$A$1:$C$51</definedName>
    <definedName name="ExternalData_1" localSheetId="15" hidden="1">'Gooddad80-20(PickWin) vs Random'!$A$1:$C$51</definedName>
    <definedName name="ExternalData_1" localSheetId="17" hidden="1">'Gooddad80-20(PickWin)vsMineFiel'!$A$1:$C$51</definedName>
    <definedName name="ExternalData_1" localSheetId="11" hidden="1">'Minefield moves'!$A$1:$B$2096</definedName>
    <definedName name="ExternalData_1" localSheetId="13" hidden="1">'Rename moves'!$A$1:$B$6161</definedName>
    <definedName name="ExternalData_1" localSheetId="12" hidden="1">'User moves'!$A$1:$B$524</definedName>
    <definedName name="ExternalData_1" localSheetId="9" hidden="1">UserGames!$A$1:$C$25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1" i="33" l="1"/>
  <c r="C42" i="33" s="1"/>
  <c r="C38" i="33"/>
  <c r="C39" i="33" s="1"/>
  <c r="C35" i="33"/>
  <c r="C36" i="33" s="1"/>
  <c r="C32" i="33"/>
  <c r="C33" i="33" s="1"/>
  <c r="C30" i="33"/>
  <c r="C29" i="33"/>
  <c r="H28" i="33"/>
  <c r="H29" i="33"/>
  <c r="H30" i="33"/>
  <c r="H31" i="33"/>
  <c r="H27" i="33"/>
  <c r="S24" i="33"/>
  <c r="T24" i="33"/>
  <c r="U24" i="33"/>
  <c r="V24" i="33"/>
  <c r="S25" i="33"/>
  <c r="T25" i="33"/>
  <c r="U25" i="33"/>
  <c r="V25" i="33"/>
  <c r="S26" i="33"/>
  <c r="T26" i="33"/>
  <c r="U26" i="33"/>
  <c r="V26" i="33"/>
  <c r="S27" i="33"/>
  <c r="T27" i="33"/>
  <c r="U27" i="33"/>
  <c r="V27" i="33"/>
  <c r="S28" i="33"/>
  <c r="T28" i="33"/>
  <c r="U28" i="33"/>
  <c r="V28" i="33"/>
  <c r="R25" i="33"/>
  <c r="R26" i="33"/>
  <c r="R27" i="33"/>
  <c r="R28" i="33"/>
  <c r="R24" i="33"/>
  <c r="AA10" i="33"/>
  <c r="AA11" i="33"/>
  <c r="AA12" i="33"/>
  <c r="AA13" i="33"/>
  <c r="AA9" i="33"/>
  <c r="W17" i="33" s="1"/>
  <c r="Y10" i="33"/>
  <c r="Y11" i="33"/>
  <c r="Y12" i="33"/>
  <c r="Y13" i="33"/>
  <c r="Y9" i="33"/>
  <c r="T10" i="33"/>
  <c r="S8" i="33"/>
  <c r="T8" i="33"/>
  <c r="U8" i="33"/>
  <c r="V8" i="33"/>
  <c r="S9" i="33"/>
  <c r="T9" i="33"/>
  <c r="U9" i="33"/>
  <c r="V9" i="33"/>
  <c r="S10" i="33"/>
  <c r="U10" i="33"/>
  <c r="V10" i="33"/>
  <c r="S11" i="33"/>
  <c r="T11" i="33"/>
  <c r="U11" i="33"/>
  <c r="V11" i="33"/>
  <c r="S12" i="33"/>
  <c r="T12" i="33"/>
  <c r="U12" i="33"/>
  <c r="V12" i="33"/>
  <c r="R9" i="33"/>
  <c r="R10" i="33"/>
  <c r="R11" i="33"/>
  <c r="R12" i="33"/>
  <c r="R8" i="33"/>
  <c r="K33" i="33"/>
  <c r="K34" i="33"/>
  <c r="K35" i="33"/>
  <c r="K36" i="33"/>
  <c r="O9" i="33"/>
  <c r="O10" i="33"/>
  <c r="O11" i="33"/>
  <c r="O12" i="33"/>
  <c r="O13" i="33"/>
  <c r="O14" i="33"/>
  <c r="O15" i="33"/>
  <c r="O16" i="33"/>
  <c r="O17" i="33"/>
  <c r="O18" i="33"/>
  <c r="O19" i="33"/>
  <c r="O20" i="33"/>
  <c r="O21" i="33"/>
  <c r="O22" i="33"/>
  <c r="O23" i="33"/>
  <c r="O24" i="33"/>
  <c r="O25" i="33"/>
  <c r="O26" i="33"/>
  <c r="O27" i="33"/>
  <c r="O28" i="33"/>
  <c r="O29" i="33"/>
  <c r="O30" i="33"/>
  <c r="O31" i="33"/>
  <c r="O32" i="33"/>
  <c r="O8" i="33"/>
  <c r="K32" i="33"/>
  <c r="K27" i="33"/>
  <c r="K28" i="33"/>
  <c r="K29" i="33"/>
  <c r="K30" i="33"/>
  <c r="K26" i="33"/>
  <c r="K21" i="33"/>
  <c r="K22" i="33"/>
  <c r="K23" i="33"/>
  <c r="K24" i="33"/>
  <c r="K20" i="33"/>
  <c r="K15" i="33"/>
  <c r="K16" i="33"/>
  <c r="K17" i="33"/>
  <c r="K18" i="33"/>
  <c r="K14" i="33"/>
  <c r="K9" i="33"/>
  <c r="K10" i="33"/>
  <c r="K11" i="33"/>
  <c r="K12" i="33"/>
  <c r="K8" i="33"/>
  <c r="J4" i="33"/>
  <c r="J5" i="33"/>
  <c r="J6" i="33"/>
  <c r="J3" i="33"/>
  <c r="A4" i="7" l="1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3" i="7"/>
  <c r="EW3" i="7" l="1"/>
  <c r="EW28" i="7"/>
  <c r="EV28" i="7"/>
  <c r="EW27" i="7"/>
  <c r="EV27" i="7"/>
  <c r="EW26" i="7"/>
  <c r="EV26" i="7"/>
  <c r="EW25" i="7"/>
  <c r="EV25" i="7"/>
  <c r="EW24" i="7"/>
  <c r="EV24" i="7"/>
  <c r="EW23" i="7"/>
  <c r="EV23" i="7"/>
  <c r="EW22" i="7"/>
  <c r="EV22" i="7"/>
  <c r="EW21" i="7"/>
  <c r="EV21" i="7"/>
  <c r="EW20" i="7"/>
  <c r="EV20" i="7"/>
  <c r="EW19" i="7"/>
  <c r="EV19" i="7"/>
  <c r="EW18" i="7"/>
  <c r="EV18" i="7"/>
  <c r="EW17" i="7"/>
  <c r="EV17" i="7"/>
  <c r="EW16" i="7"/>
  <c r="EV16" i="7"/>
  <c r="EW15" i="7"/>
  <c r="EV15" i="7"/>
  <c r="EW14" i="7"/>
  <c r="EV14" i="7"/>
  <c r="EW13" i="7"/>
  <c r="EV13" i="7"/>
  <c r="EW12" i="7"/>
  <c r="EV12" i="7"/>
  <c r="EW11" i="7"/>
  <c r="EV11" i="7"/>
  <c r="EW10" i="7"/>
  <c r="EV10" i="7"/>
  <c r="EW9" i="7"/>
  <c r="EV9" i="7"/>
  <c r="EW8" i="7"/>
  <c r="EV8" i="7"/>
  <c r="EW7" i="7"/>
  <c r="EV7" i="7"/>
  <c r="EW6" i="7"/>
  <c r="EV6" i="7"/>
  <c r="EW5" i="7"/>
  <c r="EV5" i="7"/>
  <c r="EW4" i="7"/>
  <c r="EV4" i="7"/>
  <c r="EV3" i="7"/>
  <c r="EW4" i="8"/>
  <c r="EW5" i="8"/>
  <c r="EW6" i="8"/>
  <c r="EX5" i="8" s="1"/>
  <c r="EW7" i="8"/>
  <c r="EW8" i="8"/>
  <c r="EW9" i="8"/>
  <c r="EW10" i="8"/>
  <c r="EW11" i="8"/>
  <c r="EW12" i="8"/>
  <c r="EW13" i="8"/>
  <c r="EW14" i="8"/>
  <c r="EW15" i="8"/>
  <c r="EW16" i="8"/>
  <c r="EW17" i="8"/>
  <c r="EW18" i="8"/>
  <c r="EW19" i="8"/>
  <c r="EW20" i="8"/>
  <c r="EW21" i="8"/>
  <c r="EW22" i="8"/>
  <c r="EW23" i="8"/>
  <c r="EW24" i="8"/>
  <c r="EW25" i="8"/>
  <c r="EW26" i="8"/>
  <c r="EW27" i="8"/>
  <c r="EW28" i="8"/>
  <c r="EW3" i="8"/>
  <c r="EX6" i="8" s="1"/>
  <c r="EV28" i="8"/>
  <c r="EV27" i="8"/>
  <c r="EV4" i="8"/>
  <c r="EV5" i="8"/>
  <c r="EV6" i="8"/>
  <c r="EV7" i="8"/>
  <c r="EV8" i="8"/>
  <c r="EV9" i="8"/>
  <c r="EV10" i="8"/>
  <c r="EV11" i="8"/>
  <c r="EV12" i="8"/>
  <c r="EV13" i="8"/>
  <c r="EV14" i="8"/>
  <c r="EV15" i="8"/>
  <c r="EV16" i="8"/>
  <c r="EV17" i="8"/>
  <c r="EV18" i="8"/>
  <c r="EV19" i="8"/>
  <c r="EV20" i="8"/>
  <c r="EV21" i="8"/>
  <c r="EV22" i="8"/>
  <c r="EV23" i="8"/>
  <c r="EV24" i="8"/>
  <c r="EV25" i="8"/>
  <c r="EV26" i="8"/>
  <c r="EV3" i="8"/>
  <c r="I13" i="38"/>
  <c r="I12" i="38"/>
  <c r="I11" i="38"/>
  <c r="I10" i="38"/>
  <c r="I4" i="38"/>
  <c r="E3135" i="38" s="1"/>
  <c r="I7" i="38"/>
  <c r="E2328" i="38" s="1"/>
  <c r="I6" i="38"/>
  <c r="I5" i="38"/>
  <c r="E6033" i="38" l="1"/>
  <c r="E5841" i="38"/>
  <c r="E5709" i="38"/>
  <c r="E5538" i="38"/>
  <c r="E5366" i="38"/>
  <c r="E5282" i="38"/>
  <c r="E5105" i="38"/>
  <c r="E4993" i="38"/>
  <c r="E4879" i="38"/>
  <c r="E4607" i="38"/>
  <c r="E4453" i="38"/>
  <c r="E4266" i="38"/>
  <c r="E3953" i="38"/>
  <c r="E2836" i="38"/>
  <c r="E6161" i="38"/>
  <c r="E6118" i="38"/>
  <c r="E6074" i="38"/>
  <c r="E6017" i="38"/>
  <c r="E5953" i="38"/>
  <c r="E5889" i="38"/>
  <c r="E5825" i="38"/>
  <c r="E5761" i="38"/>
  <c r="E5686" i="38"/>
  <c r="E5602" i="38"/>
  <c r="E5517" i="38"/>
  <c r="E5430" i="38"/>
  <c r="E5346" i="38"/>
  <c r="E5261" i="38"/>
  <c r="E5174" i="38"/>
  <c r="E5078" i="38"/>
  <c r="E4965" i="38"/>
  <c r="E4849" i="38"/>
  <c r="E4719" i="38"/>
  <c r="E4566" i="38"/>
  <c r="E4415" i="38"/>
  <c r="E4198" i="38"/>
  <c r="E3721" i="38"/>
  <c r="E2344" i="38"/>
  <c r="EX27" i="8"/>
  <c r="EX23" i="8"/>
  <c r="EX19" i="8"/>
  <c r="EX15" i="8"/>
  <c r="EX11" i="8"/>
  <c r="EX7" i="8"/>
  <c r="E6129" i="38"/>
  <c r="E6086" i="38"/>
  <c r="E5969" i="38"/>
  <c r="E5905" i="38"/>
  <c r="E5777" i="38"/>
  <c r="E5622" i="38"/>
  <c r="E5453" i="38"/>
  <c r="E5197" i="38"/>
  <c r="E4757" i="38"/>
  <c r="EX28" i="8"/>
  <c r="EX24" i="8"/>
  <c r="EX20" i="8"/>
  <c r="EX16" i="8"/>
  <c r="EX12" i="8"/>
  <c r="EX8" i="8"/>
  <c r="EX4" i="8"/>
  <c r="E6150" i="38"/>
  <c r="E6106" i="38"/>
  <c r="E6065" i="38"/>
  <c r="E6001" i="38"/>
  <c r="E5937" i="38"/>
  <c r="E5873" i="38"/>
  <c r="E5809" i="38"/>
  <c r="E5745" i="38"/>
  <c r="E5666" i="38"/>
  <c r="E5581" i="38"/>
  <c r="E5494" i="38"/>
  <c r="E5410" i="38"/>
  <c r="E5325" i="38"/>
  <c r="E5238" i="38"/>
  <c r="E5154" i="38"/>
  <c r="E5050" i="38"/>
  <c r="E4934" i="38"/>
  <c r="E4822" i="38"/>
  <c r="E4682" i="38"/>
  <c r="E4527" i="38"/>
  <c r="E4378" i="38"/>
  <c r="E4117" i="38"/>
  <c r="E3423" i="38"/>
  <c r="E1828" i="38"/>
  <c r="EX26" i="8"/>
  <c r="EX22" i="8"/>
  <c r="EX18" i="8"/>
  <c r="EX14" i="8"/>
  <c r="EX10" i="8"/>
  <c r="E6138" i="38"/>
  <c r="E6097" i="38"/>
  <c r="E6049" i="38"/>
  <c r="E5985" i="38"/>
  <c r="E5921" i="38"/>
  <c r="E5857" i="38"/>
  <c r="E5793" i="38"/>
  <c r="E5729" i="38"/>
  <c r="E5645" i="38"/>
  <c r="E5558" i="38"/>
  <c r="E5474" i="38"/>
  <c r="E5389" i="38"/>
  <c r="E5302" i="38"/>
  <c r="E5218" i="38"/>
  <c r="E5133" i="38"/>
  <c r="E5019" i="38"/>
  <c r="E4907" i="38"/>
  <c r="E4794" i="38"/>
  <c r="E4641" i="38"/>
  <c r="E4491" i="38"/>
  <c r="E4341" i="38"/>
  <c r="E4038" i="38"/>
  <c r="EX3" i="8"/>
  <c r="EX25" i="8"/>
  <c r="EX21" i="8"/>
  <c r="EX17" i="8"/>
  <c r="EX13" i="8"/>
  <c r="EX9" i="8"/>
  <c r="EX18" i="7"/>
  <c r="EX28" i="7"/>
  <c r="EX7" i="7"/>
  <c r="EX23" i="7"/>
  <c r="EX6" i="7"/>
  <c r="EX22" i="7"/>
  <c r="EX5" i="7"/>
  <c r="EX11" i="7"/>
  <c r="EX19" i="7"/>
  <c r="EX15" i="7"/>
  <c r="EX3" i="7"/>
  <c r="EX14" i="7"/>
  <c r="EX27" i="7"/>
  <c r="EX10" i="7"/>
  <c r="EX26" i="7"/>
  <c r="EX9" i="7"/>
  <c r="EX13" i="7"/>
  <c r="EX17" i="7"/>
  <c r="EX21" i="7"/>
  <c r="EX25" i="7"/>
  <c r="EX4" i="7"/>
  <c r="EX8" i="7"/>
  <c r="EX12" i="7"/>
  <c r="EX16" i="7"/>
  <c r="EX20" i="7"/>
  <c r="EX24" i="7"/>
  <c r="C533" i="38"/>
  <c r="C4232" i="38"/>
  <c r="C3870" i="38"/>
  <c r="C4203" i="38"/>
  <c r="C3742" i="38"/>
  <c r="C3262" i="38"/>
  <c r="C1276" i="38"/>
  <c r="C2012" i="38"/>
  <c r="C5577" i="38"/>
  <c r="C2205" i="38"/>
  <c r="C4419" i="38"/>
  <c r="C4680" i="38"/>
  <c r="C535" i="38"/>
  <c r="C1595" i="38"/>
  <c r="C4086" i="38"/>
  <c r="C1842" i="38"/>
  <c r="C2843" i="38"/>
  <c r="C3771" i="38"/>
  <c r="C1092" i="38"/>
  <c r="C1244" i="38"/>
  <c r="C2229" i="38"/>
  <c r="C716" i="38"/>
  <c r="C4874" i="38"/>
  <c r="C1129" i="38"/>
  <c r="C4923" i="38"/>
  <c r="C5220" i="38"/>
  <c r="C5137" i="38"/>
  <c r="C2553" i="38"/>
  <c r="C2748" i="38"/>
  <c r="C3008" i="38"/>
  <c r="C2765" i="38"/>
  <c r="C4482" i="38"/>
  <c r="C3677" i="38"/>
  <c r="C2089" i="38"/>
  <c r="C3670" i="38"/>
  <c r="C3840" i="38"/>
  <c r="C2256" i="38"/>
  <c r="C5474" i="38"/>
  <c r="C4835" i="38"/>
  <c r="C3712" i="38"/>
  <c r="C273" i="38"/>
  <c r="C66" i="38"/>
  <c r="C27" i="38"/>
  <c r="C4463" i="38"/>
  <c r="C6106" i="38"/>
  <c r="C2102" i="38"/>
  <c r="C3671" i="38"/>
  <c r="C3852" i="38"/>
  <c r="C1830" i="38"/>
  <c r="C2054" i="38"/>
  <c r="C756" i="38"/>
  <c r="C4277" i="38"/>
  <c r="C5656" i="38"/>
  <c r="C3475" i="38"/>
  <c r="C2612" i="38"/>
  <c r="C4032" i="38"/>
  <c r="C3000" i="38"/>
  <c r="C3009" i="38"/>
  <c r="C5657" i="38"/>
  <c r="C5233" i="38"/>
  <c r="C5554" i="38"/>
  <c r="C5053" i="38"/>
  <c r="C4522" i="38"/>
  <c r="C2681" i="38"/>
  <c r="C3946" i="38"/>
  <c r="C4963" i="38"/>
  <c r="C2855" i="38"/>
  <c r="C4836" i="38"/>
  <c r="C3387" i="38"/>
  <c r="C1520" i="38"/>
  <c r="C5874" i="38"/>
  <c r="C3258" i="38"/>
  <c r="C5545" i="38"/>
  <c r="C1904" i="38"/>
  <c r="C6054" i="38"/>
  <c r="C2749" i="38"/>
  <c r="C4358" i="38"/>
  <c r="C2103" i="38"/>
  <c r="C1303" i="38"/>
  <c r="C4038" i="38"/>
  <c r="C4071" i="38"/>
  <c r="C2817" i="38"/>
  <c r="C1413" i="38"/>
  <c r="C5014" i="38"/>
  <c r="C2113" i="38"/>
  <c r="C4445" i="38"/>
  <c r="C3294" i="38"/>
  <c r="C3804" i="38"/>
  <c r="C3350" i="38"/>
  <c r="C3499" i="38"/>
  <c r="C5005" i="38"/>
  <c r="C1006" i="38"/>
  <c r="C1226" i="38"/>
  <c r="C2694" i="38"/>
  <c r="C5363" i="38"/>
  <c r="C773" i="38"/>
  <c r="C733" i="38"/>
  <c r="C5611" i="38"/>
  <c r="C1125" i="38"/>
  <c r="C289" i="38"/>
  <c r="C1386" i="38"/>
  <c r="C3449" i="38"/>
  <c r="C4053" i="38"/>
  <c r="C2332" i="38"/>
  <c r="C3312" i="38"/>
  <c r="C4087" i="38"/>
  <c r="C4337" i="38"/>
  <c r="C222" i="38"/>
  <c r="C386" i="38"/>
  <c r="C455" i="38"/>
  <c r="C668" i="38"/>
  <c r="C2009" i="38"/>
  <c r="C3358" i="38"/>
  <c r="C1305" i="38"/>
  <c r="C4820" i="38"/>
  <c r="C3805" i="38"/>
  <c r="C4317" i="38"/>
  <c r="C4190" i="38"/>
  <c r="C3885" i="38"/>
  <c r="C3206" i="38"/>
  <c r="C4462" i="38"/>
  <c r="C281" i="38"/>
  <c r="C97" i="38"/>
  <c r="C5516" i="38"/>
  <c r="C5567" i="38"/>
  <c r="C5715" i="38"/>
  <c r="C5957" i="38"/>
  <c r="C6012" i="38"/>
  <c r="C5899" i="38"/>
  <c r="C1944" i="38"/>
  <c r="C677" i="38"/>
  <c r="C787" i="38"/>
  <c r="C2377" i="38"/>
  <c r="C1200" i="38"/>
  <c r="C847" i="38"/>
  <c r="C4499" i="38"/>
  <c r="C795" i="38"/>
  <c r="C1358" i="38"/>
  <c r="C4027" i="38"/>
  <c r="C4770" i="38"/>
  <c r="C3476" i="38"/>
  <c r="C5821" i="38"/>
  <c r="C3010" i="38"/>
  <c r="C5512" i="38"/>
  <c r="C5304" i="38"/>
  <c r="C5937" i="38"/>
  <c r="C3459" i="38"/>
  <c r="C775" i="38"/>
  <c r="C4318" i="38"/>
  <c r="C4151" i="38"/>
  <c r="C1178" i="38"/>
  <c r="C684" i="38"/>
  <c r="C627" i="38"/>
  <c r="C2629" i="38"/>
  <c r="C4681" i="38"/>
  <c r="C978" i="38"/>
  <c r="C6075" i="38"/>
  <c r="C6107" i="38"/>
  <c r="C5194" i="38"/>
  <c r="C6108" i="38"/>
  <c r="C957" i="38"/>
  <c r="C751" i="38"/>
  <c r="C2588" i="38"/>
  <c r="C2143" i="38"/>
  <c r="C682" i="38"/>
  <c r="C1133" i="38"/>
  <c r="C2077" i="38"/>
  <c r="C466" i="38"/>
  <c r="C1137" i="38"/>
  <c r="C5489" i="38"/>
  <c r="C5313" i="38"/>
  <c r="C4233" i="38"/>
  <c r="C4719" i="38"/>
  <c r="C3727" i="38"/>
  <c r="C3005" i="38"/>
  <c r="C2294" i="38"/>
  <c r="C2633" i="38"/>
  <c r="C5246" i="38"/>
  <c r="C5510" i="38"/>
  <c r="C1669" i="38"/>
  <c r="C5419" i="38"/>
  <c r="C4174" i="38"/>
  <c r="C146" i="38"/>
  <c r="C3408" i="38"/>
  <c r="C454" i="38"/>
  <c r="C2074" i="38"/>
  <c r="C2450" i="38"/>
  <c r="C1377" i="38"/>
  <c r="C994" i="38"/>
  <c r="C1720" i="38"/>
  <c r="C1677" i="38"/>
  <c r="C4394" i="38"/>
  <c r="C5030" i="38"/>
  <c r="C4971" i="38"/>
  <c r="C5506" i="38"/>
  <c r="C5039" i="38"/>
  <c r="C5293" i="38"/>
  <c r="C4060" i="38"/>
  <c r="C3007" i="38"/>
  <c r="C1181" i="38"/>
  <c r="C5310" i="38"/>
  <c r="C4537" i="38"/>
  <c r="C4895" i="38"/>
  <c r="C4002" i="38"/>
  <c r="C2574" i="38"/>
  <c r="C614" i="38"/>
  <c r="C2955" i="38"/>
  <c r="C5098" i="38"/>
  <c r="C2688" i="38"/>
  <c r="C2118" i="38"/>
  <c r="C2271" i="38"/>
  <c r="C24" i="38"/>
  <c r="C778" i="38"/>
  <c r="C5103" i="38"/>
  <c r="C4561" i="38"/>
  <c r="C708" i="38"/>
  <c r="C1678" i="38"/>
  <c r="C4037" i="38"/>
  <c r="C2695" i="38"/>
  <c r="C3772" i="38"/>
  <c r="C993" i="38"/>
  <c r="C3715" i="38"/>
  <c r="C1024" i="38"/>
  <c r="C808" i="38"/>
  <c r="C3932" i="38"/>
  <c r="C827" i="38"/>
  <c r="C5801" i="38"/>
  <c r="C4864" i="38"/>
  <c r="C5328" i="38"/>
  <c r="C3750" i="38"/>
  <c r="C2747" i="38"/>
  <c r="C3743" i="38"/>
  <c r="C167" i="38"/>
  <c r="C5136" i="38"/>
  <c r="C2734" i="38"/>
  <c r="C278" i="38"/>
  <c r="C2" i="38"/>
  <c r="C2206" i="38"/>
  <c r="C295" i="38"/>
  <c r="C5828" i="38"/>
  <c r="C1153" i="38"/>
  <c r="C1980" i="38"/>
  <c r="C1894" i="38"/>
  <c r="C4341" i="38"/>
  <c r="C5628" i="38"/>
  <c r="C2126" i="38"/>
  <c r="C4501" i="38"/>
  <c r="C683" i="38"/>
  <c r="C2072" i="38"/>
  <c r="C1874" i="38"/>
  <c r="C6104" i="38"/>
  <c r="C2656" i="38"/>
  <c r="C2076" i="38"/>
  <c r="C3477" i="38"/>
  <c r="C821" i="38"/>
  <c r="C1010" i="38"/>
  <c r="C3773" i="38"/>
  <c r="C4424" i="38"/>
  <c r="C3590" i="38"/>
  <c r="C138" i="38"/>
  <c r="C3450" i="38"/>
  <c r="C4920" i="38"/>
  <c r="C5496" i="38"/>
  <c r="C4039" i="38"/>
  <c r="C2856" i="38"/>
  <c r="C844" i="38"/>
  <c r="C872" i="38"/>
  <c r="C834" i="38"/>
  <c r="C1091" i="38"/>
  <c r="C2418" i="38"/>
  <c r="C732" i="38"/>
  <c r="C1856" i="38"/>
  <c r="C5763" i="38"/>
  <c r="C1710" i="38"/>
  <c r="C4400" i="38"/>
  <c r="C4669" i="38"/>
  <c r="C3806" i="38"/>
  <c r="C4605" i="38"/>
  <c r="C1391" i="38"/>
  <c r="C2308" i="38"/>
  <c r="C2653" i="38"/>
  <c r="C1871" i="38"/>
  <c r="C313" i="38"/>
  <c r="C3678" i="38"/>
  <c r="C80" i="38"/>
  <c r="C3013" i="38"/>
  <c r="C3696" i="38"/>
  <c r="C3955" i="38"/>
  <c r="C4192" i="38"/>
  <c r="C3871" i="38"/>
  <c r="C2161" i="38"/>
  <c r="C3991" i="38"/>
  <c r="C1845" i="38"/>
  <c r="C4556" i="38"/>
  <c r="C2090" i="38"/>
  <c r="C1168" i="38"/>
  <c r="C4458" i="38"/>
  <c r="C5124" i="38"/>
  <c r="C1945" i="38"/>
  <c r="C1489" i="38"/>
  <c r="C3295" i="38"/>
  <c r="C2230" i="38"/>
  <c r="C195" i="38"/>
  <c r="C3664" i="38"/>
  <c r="C127" i="38"/>
  <c r="C71" i="38"/>
  <c r="C471" i="38"/>
  <c r="C4866" i="38"/>
  <c r="C3" i="38"/>
  <c r="C5127" i="38"/>
  <c r="C2378" i="38"/>
  <c r="C5110" i="38"/>
  <c r="C4695" i="38"/>
  <c r="C5586" i="38"/>
  <c r="C5281" i="38"/>
  <c r="C4582" i="38"/>
  <c r="C2462" i="38"/>
  <c r="C5849" i="38"/>
  <c r="C5852" i="38"/>
  <c r="C5349" i="38"/>
  <c r="C5991" i="38"/>
  <c r="C4755" i="38"/>
  <c r="C5421" i="38"/>
  <c r="C3016" i="38"/>
  <c r="C3698" i="38"/>
  <c r="C3768" i="38"/>
  <c r="C5944" i="38"/>
  <c r="C1576" i="38"/>
  <c r="C2022" i="38"/>
  <c r="C1813" i="38"/>
  <c r="C4769" i="38"/>
  <c r="C341" i="38"/>
  <c r="C3386" i="38"/>
  <c r="C298" i="38"/>
  <c r="C1446" i="38"/>
  <c r="C3632" i="38"/>
  <c r="C3313" i="38"/>
  <c r="C2622" i="38"/>
  <c r="C5923" i="38"/>
  <c r="C820" i="38"/>
  <c r="C4766" i="38"/>
  <c r="C5023" i="38"/>
  <c r="C4933" i="38"/>
  <c r="C6057" i="38"/>
  <c r="C3866" i="38"/>
  <c r="C2348" i="38"/>
  <c r="C1121" i="38"/>
  <c r="C3496" i="38"/>
  <c r="C5725" i="38"/>
  <c r="C5426" i="38"/>
  <c r="C3518" i="38"/>
  <c r="C3728" i="38"/>
  <c r="C1327" i="38"/>
  <c r="C3638" i="38"/>
  <c r="C4208" i="38"/>
  <c r="C3011" i="38"/>
  <c r="C2696" i="38"/>
  <c r="C1187" i="38"/>
  <c r="C156" i="38"/>
  <c r="C3410" i="38"/>
  <c r="C3836" i="38"/>
  <c r="C4003" i="38"/>
  <c r="C1596" i="38"/>
  <c r="C3444" i="38"/>
  <c r="C701" i="38"/>
  <c r="C3478" i="38"/>
  <c r="C5210" i="38"/>
  <c r="C2274" i="38"/>
  <c r="C589" i="38"/>
  <c r="C663" i="38"/>
  <c r="C1817" i="38"/>
  <c r="C1284" i="38"/>
  <c r="C1227" i="38"/>
  <c r="C945" i="38"/>
  <c r="C3012" i="38"/>
  <c r="C2957" i="38"/>
  <c r="C1844" i="38"/>
  <c r="C4116" i="38"/>
  <c r="C1976" i="38"/>
  <c r="C622" i="38"/>
  <c r="C5418" i="38"/>
  <c r="C5549" i="38"/>
  <c r="C3613" i="38"/>
  <c r="C5730" i="38"/>
  <c r="C6109" i="38"/>
  <c r="C4710" i="38"/>
  <c r="C1438" i="38"/>
  <c r="C798" i="38"/>
  <c r="C479" i="38"/>
  <c r="C3006" i="38"/>
  <c r="C3292" i="38"/>
  <c r="C204" i="38"/>
  <c r="C4287" i="38"/>
  <c r="C4433" i="38"/>
  <c r="C4486" i="38"/>
  <c r="C5354" i="38"/>
  <c r="C5985" i="38"/>
  <c r="C1637" i="38"/>
  <c r="C4395" i="38"/>
  <c r="C3722" i="38"/>
  <c r="C4562" i="38"/>
  <c r="C2965" i="38"/>
  <c r="C4308" i="38"/>
  <c r="C1111" i="38"/>
  <c r="C977" i="38"/>
  <c r="C4342" i="38"/>
  <c r="C6097" i="38"/>
  <c r="C5687" i="38"/>
  <c r="C988" i="38"/>
  <c r="C2259" i="38"/>
  <c r="C4070" i="38"/>
  <c r="C912" i="38"/>
  <c r="C831" i="38"/>
  <c r="C3432" i="38"/>
  <c r="C1495" i="38"/>
  <c r="C103" i="38"/>
  <c r="C3774" i="38"/>
  <c r="C2144" i="38"/>
  <c r="C4693" i="38"/>
  <c r="C4210" i="38"/>
  <c r="C757" i="38"/>
  <c r="C2956" i="38"/>
  <c r="C2857" i="38"/>
  <c r="C2370" i="38"/>
  <c r="C1089" i="38"/>
  <c r="C398" i="38"/>
  <c r="C4503" i="38"/>
  <c r="C746" i="38"/>
  <c r="C1780" i="38"/>
  <c r="C1905" i="38"/>
  <c r="C2104" i="38"/>
  <c r="C3591" i="38"/>
  <c r="C4616" i="38"/>
  <c r="C4461" i="38"/>
  <c r="C4088" i="38"/>
  <c r="C4694" i="38"/>
  <c r="C3620" i="38"/>
  <c r="C2278" i="38"/>
  <c r="C268" i="38"/>
  <c r="C848" i="38"/>
  <c r="C4443" i="38"/>
  <c r="C1051" i="38"/>
  <c r="C3014" i="38"/>
  <c r="C4218" i="38"/>
  <c r="C3273" i="38"/>
  <c r="C4434" i="38"/>
  <c r="C4670" i="38"/>
  <c r="C2454" i="38"/>
  <c r="C1245" i="38"/>
  <c r="C671" i="38"/>
  <c r="C1420" i="38"/>
  <c r="C693" i="38"/>
  <c r="C3479" i="38"/>
  <c r="C1288" i="38"/>
  <c r="C5247" i="38"/>
  <c r="C5413" i="38"/>
  <c r="C6110" i="38"/>
  <c r="C1246" i="38"/>
  <c r="C139" i="38"/>
  <c r="C81" i="38"/>
  <c r="C4156" i="38"/>
  <c r="C57" i="38"/>
  <c r="C3775" i="38"/>
  <c r="C395" i="38"/>
  <c r="C1803" i="38"/>
  <c r="C4126" i="38"/>
  <c r="C3679" i="38"/>
  <c r="C5218" i="38"/>
  <c r="C5483" i="38"/>
  <c r="C5585" i="38"/>
  <c r="C5563" i="38"/>
  <c r="C1665" i="38"/>
  <c r="C4863" i="38"/>
  <c r="C636" i="38"/>
  <c r="C1190" i="38"/>
  <c r="C3211" i="38"/>
  <c r="C6103" i="38"/>
  <c r="C3907" i="38"/>
  <c r="C5184" i="38"/>
  <c r="C3443" i="38"/>
  <c r="C2726" i="38"/>
  <c r="C697" i="38"/>
  <c r="C891" i="38"/>
  <c r="C1797" i="38"/>
  <c r="C5427" i="38"/>
  <c r="C4155" i="38"/>
  <c r="C4822" i="38"/>
  <c r="C5175" i="38"/>
  <c r="C2535" i="38"/>
  <c r="C5298" i="38"/>
  <c r="C1287" i="38"/>
  <c r="C3495" i="38"/>
  <c r="C1679" i="38"/>
  <c r="C3015" i="38"/>
  <c r="C4010" i="38"/>
  <c r="C2455" i="38"/>
  <c r="C5223" i="38"/>
  <c r="C2117" i="38"/>
  <c r="C3697" i="38"/>
  <c r="C5746" i="38"/>
  <c r="C5096" i="38"/>
  <c r="C5873" i="38"/>
  <c r="C5471" i="38"/>
  <c r="C5174" i="38"/>
  <c r="C5965" i="38"/>
  <c r="C5651" i="38"/>
  <c r="C4583" i="38"/>
  <c r="C1421" i="38"/>
  <c r="C5299" i="38"/>
  <c r="C2530" i="38"/>
  <c r="C2127" i="38"/>
  <c r="C3229" i="38"/>
  <c r="C1896" i="38"/>
  <c r="C3274" i="38"/>
  <c r="C447" i="38"/>
  <c r="C200" i="38"/>
  <c r="C4880" i="38"/>
  <c r="C375" i="38"/>
  <c r="C621" i="38"/>
  <c r="C3983" i="38"/>
  <c r="C6078" i="38"/>
  <c r="C1000" i="38"/>
  <c r="C332" i="38"/>
  <c r="C5011" i="38"/>
  <c r="C5054" i="38"/>
  <c r="C4696" i="38"/>
  <c r="C3947" i="38"/>
  <c r="C2304" i="38"/>
  <c r="C2279" i="38"/>
  <c r="C2818" i="38"/>
  <c r="C2013" i="38"/>
  <c r="C1604" i="38"/>
  <c r="C1644" i="38"/>
  <c r="C1441" i="38"/>
  <c r="C992" i="38"/>
  <c r="C3592" i="38"/>
  <c r="C5967" i="38"/>
  <c r="C1344" i="38"/>
  <c r="C2710" i="38"/>
  <c r="C3811" i="38"/>
  <c r="C5336" i="38"/>
  <c r="C915" i="38"/>
  <c r="C5435" i="38"/>
  <c r="C967" i="38"/>
  <c r="C4586" i="38"/>
  <c r="C1946" i="38"/>
  <c r="C2091" i="38"/>
  <c r="C2519" i="38"/>
  <c r="C4977" i="38"/>
  <c r="C5859" i="38"/>
  <c r="C6044" i="38"/>
  <c r="C5314" i="38"/>
  <c r="C4717" i="38"/>
  <c r="C2859" i="38"/>
  <c r="C4996" i="38"/>
  <c r="C1392" i="38"/>
  <c r="C6021" i="38"/>
  <c r="C961" i="38"/>
  <c r="C255" i="38"/>
  <c r="C5244" i="38"/>
  <c r="C5303" i="38"/>
  <c r="C4502" i="38"/>
  <c r="C4631" i="38"/>
  <c r="C4739" i="38"/>
  <c r="C4359" i="38"/>
  <c r="C2326" i="38"/>
  <c r="C4661" i="38"/>
  <c r="C4234" i="38"/>
  <c r="C3353" i="38"/>
  <c r="C1879" i="38"/>
  <c r="C266" i="38"/>
  <c r="C4278" i="38"/>
  <c r="C5241" i="38"/>
  <c r="C4657" i="38"/>
  <c r="C2583" i="38"/>
  <c r="C1457" i="38"/>
  <c r="C5280" i="38"/>
  <c r="C6055" i="38"/>
  <c r="C340" i="38"/>
  <c r="C276" i="38"/>
  <c r="C1406" i="38"/>
  <c r="C452" i="38"/>
  <c r="C5287" i="38"/>
  <c r="C4288" i="38"/>
  <c r="C4450" i="38"/>
  <c r="C4004" i="38"/>
  <c r="C5750" i="38"/>
  <c r="C3652" i="38"/>
  <c r="C5934" i="38"/>
  <c r="C5865" i="38"/>
  <c r="C5969" i="38"/>
  <c r="C5152" i="38"/>
  <c r="C3388" i="38"/>
  <c r="C5568" i="38"/>
  <c r="C5844" i="38"/>
  <c r="C1857" i="38"/>
  <c r="C1169" i="38"/>
  <c r="C1036" i="38"/>
  <c r="C904" i="38"/>
  <c r="C317" i="38"/>
  <c r="C2329" i="38"/>
  <c r="C154" i="38"/>
  <c r="C199" i="38"/>
  <c r="C4955" i="38"/>
  <c r="C3269" i="38"/>
  <c r="C6045" i="38"/>
  <c r="C402" i="38"/>
  <c r="C1182" i="38"/>
  <c r="C5286" i="38"/>
  <c r="C4175" i="38"/>
  <c r="C3893" i="38"/>
  <c r="C2634" i="38"/>
  <c r="C3480" i="38"/>
  <c r="C2970" i="38"/>
  <c r="C1093" i="38"/>
  <c r="C392" i="38"/>
  <c r="C451" i="38"/>
  <c r="C678" i="38"/>
  <c r="C3576" i="38"/>
  <c r="C1569" i="38"/>
  <c r="C3654" i="38"/>
  <c r="C1587" i="38"/>
  <c r="C3593" i="38"/>
  <c r="C4241" i="38"/>
  <c r="C5364" i="38"/>
  <c r="C1614" i="38"/>
  <c r="C4716" i="38"/>
  <c r="C4473" i="38"/>
  <c r="C1315" i="38"/>
  <c r="C2689" i="38"/>
  <c r="C2349" i="38"/>
  <c r="C1150" i="38"/>
  <c r="C5028" i="38"/>
  <c r="C432" i="38"/>
  <c r="C5691" i="38"/>
  <c r="C5866" i="38"/>
  <c r="C350" i="38"/>
  <c r="C3969" i="38"/>
  <c r="C3451" i="38"/>
  <c r="C2961" i="38"/>
  <c r="C5041" i="38"/>
  <c r="C4112" i="38"/>
  <c r="C4310" i="38"/>
  <c r="C4077" i="38"/>
  <c r="C6105" i="38"/>
  <c r="C3210" i="38"/>
  <c r="C4224" i="38"/>
  <c r="C3309" i="38"/>
  <c r="C2998" i="38"/>
  <c r="C2411" i="38"/>
  <c r="C4865" i="38"/>
  <c r="C3548" i="38"/>
  <c r="C3411" i="38"/>
  <c r="C4457" i="38"/>
  <c r="C2727" i="38"/>
  <c r="C5751" i="38"/>
  <c r="C4009" i="38"/>
  <c r="C4544" i="38"/>
  <c r="C3354" i="38"/>
  <c r="C1201" i="38"/>
  <c r="C1414" i="38"/>
  <c r="C1653" i="38"/>
  <c r="C6036" i="38"/>
  <c r="C842" i="38"/>
  <c r="C211" i="38"/>
  <c r="C189" i="38"/>
  <c r="C5414" i="38"/>
  <c r="C3776" i="38"/>
  <c r="C4662" i="38"/>
  <c r="C2917" i="38"/>
  <c r="C5580" i="38"/>
  <c r="C5792" i="38"/>
  <c r="C5868" i="38"/>
  <c r="C5927" i="38"/>
  <c r="C5455" i="38"/>
  <c r="C6066" i="38"/>
  <c r="C5946" i="38"/>
  <c r="C4914" i="38"/>
  <c r="C5548" i="38"/>
  <c r="C5948" i="38"/>
  <c r="C932" i="38"/>
  <c r="C3653" i="38"/>
  <c r="C2451" i="38"/>
  <c r="C2623" i="38"/>
  <c r="C106" i="38"/>
  <c r="C383" i="38"/>
  <c r="C4929" i="38"/>
  <c r="C5040" i="38"/>
  <c r="C364" i="38"/>
  <c r="C2273" i="38"/>
  <c r="C3859" i="38"/>
  <c r="C5903" i="38"/>
  <c r="C1138" i="38"/>
  <c r="C717" i="38"/>
  <c r="C3017" i="38"/>
  <c r="C5076" i="38"/>
  <c r="C2354" i="38"/>
  <c r="C1370" i="38"/>
  <c r="C2231" i="38"/>
  <c r="C2791" i="38"/>
  <c r="C2490" i="38"/>
  <c r="C1581" i="38"/>
  <c r="C2918" i="38"/>
  <c r="C3481" i="38"/>
  <c r="C3514" i="38"/>
  <c r="C2075" i="38"/>
  <c r="C4660" i="38"/>
  <c r="C4747" i="38"/>
  <c r="C556" i="38"/>
  <c r="C2340" i="38"/>
  <c r="C1014" i="38"/>
  <c r="C3604" i="38"/>
  <c r="C5742" i="38"/>
  <c r="C5961" i="38"/>
  <c r="C3519" i="38"/>
  <c r="C1337" i="38"/>
  <c r="C280" i="38"/>
  <c r="C6009" i="38"/>
  <c r="C3275" i="38"/>
  <c r="C1296" i="38"/>
  <c r="C42" i="38"/>
  <c r="C1437" i="38"/>
  <c r="C4980" i="38"/>
  <c r="C3460" i="38"/>
  <c r="C4797" i="38"/>
  <c r="C2180" i="38"/>
  <c r="C2511" i="38"/>
  <c r="C2858" i="38"/>
  <c r="C5786" i="38"/>
  <c r="C6083" i="38"/>
  <c r="C4270" i="38"/>
  <c r="C3624" i="38"/>
  <c r="C5997" i="38"/>
  <c r="C6074" i="38"/>
  <c r="C6035" i="38"/>
  <c r="C6100" i="38"/>
  <c r="C1183" i="38"/>
  <c r="C370" i="38"/>
  <c r="C1103" i="38"/>
  <c r="C1570" i="38"/>
  <c r="C1094" i="38"/>
  <c r="C3019" i="38"/>
  <c r="C3594" i="38"/>
  <c r="C4697" i="38"/>
  <c r="C5240" i="38"/>
  <c r="C2379" i="38"/>
  <c r="C1917" i="38"/>
  <c r="C367" i="38"/>
  <c r="C1886" i="38"/>
  <c r="C221" i="38"/>
  <c r="C4396" i="38"/>
  <c r="C2852" i="38"/>
  <c r="C4921" i="38"/>
  <c r="C2675" i="38"/>
  <c r="C5064" i="38"/>
  <c r="C4823" i="38"/>
  <c r="C4916" i="38"/>
  <c r="C3412" i="38"/>
  <c r="C5282" i="38"/>
  <c r="C2195" i="38"/>
  <c r="C2537" i="38"/>
  <c r="C1154" i="38"/>
  <c r="C4791" i="38"/>
  <c r="C1134" i="38"/>
  <c r="C3627" i="38"/>
  <c r="C2676" i="38"/>
  <c r="C3022" i="38"/>
  <c r="C3234" i="38"/>
  <c r="C1139" i="38"/>
  <c r="C4924" i="38"/>
  <c r="C3023" i="38"/>
  <c r="C1323" i="38"/>
  <c r="C905" i="38"/>
  <c r="C1906" i="38"/>
  <c r="C2419" i="38"/>
  <c r="C4682" i="38"/>
  <c r="C2799" i="38"/>
  <c r="C1254" i="38"/>
  <c r="C275" i="38"/>
  <c r="C2743" i="38"/>
  <c r="C1119" i="38"/>
  <c r="C5856" i="38"/>
  <c r="C3025" i="38"/>
  <c r="C4366" i="38"/>
  <c r="C3577" i="38"/>
  <c r="C3910" i="38"/>
  <c r="C2800" i="38"/>
  <c r="C4871" i="38"/>
  <c r="C2039" i="38"/>
  <c r="C1499" i="38"/>
  <c r="C3639" i="38"/>
  <c r="C902" i="38"/>
  <c r="C5334" i="38"/>
  <c r="C968" i="38"/>
  <c r="C4000" i="38"/>
  <c r="C925" i="38"/>
  <c r="C5925" i="38"/>
  <c r="C4842" i="38"/>
  <c r="C5544" i="38"/>
  <c r="C2435" i="38"/>
  <c r="C536" i="38"/>
  <c r="C5775" i="38"/>
  <c r="C63" i="38"/>
  <c r="C5202" i="38"/>
  <c r="C3911" i="38"/>
  <c r="C3680" i="38"/>
  <c r="C2079" i="38"/>
  <c r="C5232" i="38"/>
  <c r="C4825" i="38"/>
  <c r="C4557" i="38"/>
  <c r="C1087" i="38"/>
  <c r="C1500" i="38"/>
  <c r="C168" i="38"/>
  <c r="C151" i="38"/>
  <c r="C3913" i="38"/>
  <c r="C1632" i="38"/>
  <c r="C5599" i="38"/>
  <c r="C6114" i="38"/>
  <c r="C4671" i="38"/>
  <c r="C1140" i="38"/>
  <c r="C4464" i="38"/>
  <c r="C1109" i="38"/>
  <c r="C3554" i="38"/>
  <c r="C3948" i="38"/>
  <c r="C3263" i="38"/>
  <c r="C5294" i="38"/>
  <c r="C4128" i="38"/>
  <c r="C3030" i="38"/>
  <c r="C5055" i="38"/>
  <c r="C1352" i="38"/>
  <c r="C3474" i="38"/>
  <c r="C1073" i="38"/>
  <c r="C3739" i="38"/>
  <c r="C2381" i="38"/>
  <c r="C2186" i="38"/>
  <c r="C3339" i="38"/>
  <c r="C2170" i="38"/>
  <c r="C1649" i="38"/>
  <c r="C1846" i="38"/>
  <c r="C351" i="38"/>
  <c r="C4467" i="38"/>
  <c r="C3984" i="38"/>
  <c r="C3034" i="38"/>
  <c r="C187" i="38"/>
  <c r="C285" i="38"/>
  <c r="C2081" i="38"/>
  <c r="C1861" i="38"/>
  <c r="C714" i="38"/>
  <c r="C1316" i="38"/>
  <c r="C2401" i="38"/>
  <c r="C4301" i="38"/>
  <c r="C1221" i="38"/>
  <c r="C4722" i="38"/>
  <c r="C926" i="38"/>
  <c r="C640" i="38"/>
  <c r="C4683" i="38"/>
  <c r="C3462" i="38"/>
  <c r="C5739" i="38"/>
  <c r="C5143" i="38"/>
  <c r="C897" i="38"/>
  <c r="C5488" i="38"/>
  <c r="C4289" i="38"/>
  <c r="C4072" i="38"/>
  <c r="C2728" i="38"/>
  <c r="C2555" i="38"/>
  <c r="C3723" i="38"/>
  <c r="C1819" i="38"/>
  <c r="C3596" i="38"/>
  <c r="C2958" i="38"/>
  <c r="C2171" i="38"/>
  <c r="C3039" i="38"/>
  <c r="C1325" i="38"/>
  <c r="C1279" i="38"/>
  <c r="C5827" i="38"/>
  <c r="C1193" i="38"/>
  <c r="C4497" i="38"/>
  <c r="C972" i="38"/>
  <c r="C4585" i="38"/>
  <c r="C5802" i="38"/>
  <c r="C4903" i="38"/>
  <c r="C3853" i="38"/>
  <c r="C4954" i="38"/>
  <c r="C3841" i="38"/>
  <c r="C5099" i="38"/>
  <c r="C1490" i="38"/>
  <c r="C1029" i="38"/>
  <c r="C328" i="38"/>
  <c r="C6111" i="38"/>
  <c r="C4367" i="38"/>
  <c r="C529" i="38"/>
  <c r="C4911" i="38"/>
  <c r="C5537" i="38"/>
  <c r="C3718" i="38"/>
  <c r="C5436" i="38"/>
  <c r="C857" i="38"/>
  <c r="C254" i="38"/>
  <c r="C3867" i="38"/>
  <c r="C5460" i="38"/>
  <c r="C2365" i="38"/>
  <c r="C4987" i="38"/>
  <c r="C5507" i="38"/>
  <c r="C1858" i="38"/>
  <c r="C6023" i="38"/>
  <c r="C6030" i="38"/>
  <c r="C1289" i="38"/>
  <c r="C1409" i="38"/>
  <c r="C292" i="38"/>
  <c r="C2941" i="38"/>
  <c r="C1456" i="38"/>
  <c r="C2232" i="38"/>
  <c r="C1558" i="38"/>
  <c r="C3020" i="38"/>
  <c r="C2897" i="38"/>
  <c r="C3626" i="38"/>
  <c r="C5132" i="38"/>
  <c r="C3433" i="38"/>
  <c r="C1733" i="38"/>
  <c r="C1798" i="38"/>
  <c r="C131" i="38"/>
  <c r="C4242" i="38"/>
  <c r="C895" i="38"/>
  <c r="C933" i="38"/>
  <c r="C3886" i="38"/>
  <c r="C5181" i="38"/>
  <c r="C4328" i="38"/>
  <c r="C5738" i="38"/>
  <c r="C4824" i="38"/>
  <c r="C3296" i="38"/>
  <c r="C4169" i="38"/>
  <c r="C5082" i="38"/>
  <c r="C5514" i="38"/>
  <c r="C4989" i="38"/>
  <c r="C1880" i="38"/>
  <c r="C1404" i="38"/>
  <c r="C664" i="38"/>
  <c r="C5042" i="38"/>
  <c r="C1656" i="38"/>
  <c r="C4393" i="38"/>
  <c r="C327" i="38"/>
  <c r="C4937" i="38"/>
  <c r="C3024" i="38"/>
  <c r="C1523" i="38"/>
  <c r="C1918" i="38"/>
  <c r="C2024" i="38"/>
  <c r="C1623" i="38"/>
  <c r="C542" i="38"/>
  <c r="C1473" i="38"/>
  <c r="C4118" i="38"/>
  <c r="C3533" i="38"/>
  <c r="C931" i="38"/>
  <c r="C4360" i="38"/>
  <c r="C5692" i="38"/>
  <c r="C3026" i="38"/>
  <c r="C4972" i="38"/>
  <c r="C2645" i="38"/>
  <c r="C3230" i="38"/>
  <c r="C2467" i="38"/>
  <c r="C3692" i="38"/>
  <c r="C2861" i="38"/>
  <c r="C3854" i="38"/>
  <c r="C835" i="38"/>
  <c r="C914" i="38"/>
  <c r="C5329" i="38"/>
  <c r="C4119" i="38"/>
  <c r="C498" i="38"/>
  <c r="C5185" i="38"/>
  <c r="C2434" i="38"/>
  <c r="C4299" i="38"/>
  <c r="C2862" i="38"/>
  <c r="C4756" i="38"/>
  <c r="C1112" i="38"/>
  <c r="C3634" i="38"/>
  <c r="C2982" i="38"/>
  <c r="C3777" i="38"/>
  <c r="C4023" i="38"/>
  <c r="C4599" i="38"/>
  <c r="C1001" i="38"/>
  <c r="C2367" i="38"/>
  <c r="C3912" i="38"/>
  <c r="C4792" i="38"/>
  <c r="C1345" i="38"/>
  <c r="C1631" i="38"/>
  <c r="C1615" i="38"/>
  <c r="C4545" i="38"/>
  <c r="C121" i="38"/>
  <c r="C5804" i="38"/>
  <c r="C6070" i="38"/>
  <c r="C2109" i="38"/>
  <c r="C4821" i="38"/>
  <c r="C2709" i="38"/>
  <c r="C4783" i="38"/>
  <c r="C1191" i="38"/>
  <c r="C182" i="38"/>
  <c r="C1310" i="38"/>
  <c r="C5248" i="38"/>
  <c r="C3908" i="38"/>
  <c r="C2023" i="38"/>
  <c r="C893" i="38"/>
  <c r="C3448" i="38"/>
  <c r="C1277" i="38"/>
  <c r="C4097" i="38"/>
  <c r="C894" i="38"/>
  <c r="C2783" i="38"/>
  <c r="C3276" i="38"/>
  <c r="C5255" i="38"/>
  <c r="C1833" i="38"/>
  <c r="C3770" i="38"/>
  <c r="C552" i="38"/>
  <c r="C2554" i="38"/>
  <c r="C2491" i="38"/>
  <c r="C5771" i="38"/>
  <c r="C3398" i="38"/>
  <c r="C1498" i="38"/>
  <c r="C2492" i="38"/>
  <c r="C6013" i="38"/>
  <c r="C809" i="38"/>
  <c r="C6039" i="38"/>
  <c r="C6112" i="38"/>
  <c r="C538" i="38"/>
  <c r="C752" i="38"/>
  <c r="C1072" i="38"/>
  <c r="C2215" i="38"/>
  <c r="C2981" i="38"/>
  <c r="C3763" i="38"/>
  <c r="C4425" i="38"/>
  <c r="C3555" i="38"/>
  <c r="C3527" i="38"/>
  <c r="C3757" i="38"/>
  <c r="C1885" i="38"/>
  <c r="C515" i="38"/>
  <c r="C194" i="38"/>
  <c r="C224" i="38"/>
  <c r="C6073" i="38"/>
  <c r="C1447" i="38"/>
  <c r="C2750" i="38"/>
  <c r="C2120" i="38"/>
  <c r="C2860" i="38"/>
  <c r="C5917" i="38"/>
  <c r="C4451" i="38"/>
  <c r="C5051" i="38"/>
  <c r="C4981" i="38"/>
  <c r="C2092" i="38"/>
  <c r="C703" i="38"/>
  <c r="C1297" i="38"/>
  <c r="C3413" i="38"/>
  <c r="C2216" i="38"/>
  <c r="C1911" i="38"/>
  <c r="C5079" i="38"/>
  <c r="C1670" i="38"/>
  <c r="C585" i="38"/>
  <c r="C4771" i="38"/>
  <c r="C4906" i="38"/>
  <c r="C1782" i="38"/>
  <c r="C2412" i="38"/>
  <c r="C1015" i="38"/>
  <c r="C1859" i="38"/>
  <c r="C1818" i="38"/>
  <c r="C1516" i="38"/>
  <c r="C3338" i="38"/>
  <c r="C1959" i="38"/>
  <c r="C256" i="38"/>
  <c r="C5201" i="38"/>
  <c r="C5528" i="38"/>
  <c r="C4452" i="38"/>
  <c r="C4587" i="38"/>
  <c r="C443" i="38"/>
  <c r="C4194" i="38"/>
  <c r="C2078" i="38"/>
  <c r="C1126" i="38"/>
  <c r="C4698" i="38"/>
  <c r="C1465" i="38"/>
  <c r="C2185" i="38"/>
  <c r="C4261" i="38"/>
  <c r="C4798" i="38"/>
  <c r="C840" i="38"/>
  <c r="C630" i="38"/>
  <c r="C5198" i="38"/>
  <c r="C906" i="38"/>
  <c r="C6113" i="38"/>
  <c r="C3393" i="38"/>
  <c r="C5650" i="38"/>
  <c r="C3307" i="38"/>
  <c r="C4639" i="38"/>
  <c r="C5919" i="38"/>
  <c r="C6058" i="38"/>
  <c r="C4353" i="38"/>
  <c r="C2162" i="38"/>
  <c r="C2002" i="38"/>
  <c r="C3425" i="38"/>
  <c r="C4808" i="38"/>
  <c r="C1423" i="38"/>
  <c r="C1666" i="38"/>
  <c r="C3027" i="38"/>
  <c r="C2034" i="38"/>
  <c r="C153" i="38"/>
  <c r="C291" i="38"/>
  <c r="C243" i="38"/>
  <c r="C5080" i="38"/>
  <c r="C6016" i="38"/>
  <c r="C4699" i="38"/>
  <c r="C2820" i="38"/>
  <c r="C1624" i="38"/>
  <c r="C3195" i="38"/>
  <c r="C4904" i="38"/>
  <c r="C3751" i="38"/>
  <c r="C3640" i="38"/>
  <c r="C4435" i="38"/>
  <c r="C1408" i="38"/>
  <c r="C5752" i="38"/>
  <c r="C3031" i="38"/>
  <c r="C1643" i="38"/>
  <c r="C4740" i="38"/>
  <c r="C2864" i="38"/>
  <c r="C3699" i="38"/>
  <c r="C4309" i="38"/>
  <c r="C2972" i="38"/>
  <c r="C1572" i="38"/>
  <c r="C4780" i="38"/>
  <c r="C2233" i="38"/>
  <c r="C3758" i="38"/>
  <c r="C3968" i="38"/>
  <c r="C3259" i="38"/>
  <c r="C510" i="38"/>
  <c r="C314" i="38"/>
  <c r="C74" i="38"/>
  <c r="C217" i="38"/>
  <c r="C13" i="38"/>
  <c r="C2844" i="38"/>
  <c r="C1393" i="38"/>
  <c r="C886" i="38"/>
  <c r="C2868" i="38"/>
  <c r="C1324" i="38"/>
  <c r="C3778" i="38"/>
  <c r="C1728" i="38"/>
  <c r="C1083" i="38"/>
  <c r="C892" i="38"/>
  <c r="C3901" i="38"/>
  <c r="C5305" i="38"/>
  <c r="C5841" i="38"/>
  <c r="C1501" i="38"/>
  <c r="C1790" i="38"/>
  <c r="C3037" i="38"/>
  <c r="C4005" i="38"/>
  <c r="C3534" i="38"/>
  <c r="C3914" i="38"/>
  <c r="C2330" i="38"/>
  <c r="C3744" i="38"/>
  <c r="C3287" i="38"/>
  <c r="C802" i="38"/>
  <c r="C4040" i="38"/>
  <c r="C1411" i="38"/>
  <c r="C2763" i="38"/>
  <c r="C3040" i="38"/>
  <c r="C1415" i="38"/>
  <c r="C5551" i="38"/>
  <c r="C4692" i="38"/>
  <c r="C5423" i="38"/>
  <c r="C4976" i="38"/>
  <c r="C5399" i="38"/>
  <c r="C3233" i="38"/>
  <c r="C174" i="38"/>
  <c r="C2672" i="38"/>
  <c r="C5932" i="38"/>
  <c r="C1056" i="38"/>
  <c r="C3021" i="38"/>
  <c r="C1814" i="38"/>
  <c r="C1559" i="38"/>
  <c r="C1582" i="38"/>
  <c r="C2536" i="38"/>
  <c r="C2904" i="38"/>
  <c r="C5936" i="38"/>
  <c r="C4193" i="38"/>
  <c r="C1860" i="38"/>
  <c r="C1207" i="38"/>
  <c r="C5360" i="38"/>
  <c r="C4103" i="38"/>
  <c r="C4078" i="38"/>
  <c r="C1721" i="38"/>
  <c r="C2819" i="38"/>
  <c r="C5794" i="38"/>
  <c r="C896" i="38"/>
  <c r="C2525" i="38"/>
  <c r="C91" i="38"/>
  <c r="C2371" i="38"/>
  <c r="C2589" i="38"/>
  <c r="C3301" i="38"/>
  <c r="C3277" i="38"/>
  <c r="C5288" i="38"/>
  <c r="C4352" i="38"/>
  <c r="C3606" i="38"/>
  <c r="C3520" i="38"/>
  <c r="C2865" i="38"/>
  <c r="C2866" i="38"/>
  <c r="C3764" i="38"/>
  <c r="C1424" i="38"/>
  <c r="C3032" i="38"/>
  <c r="C188" i="38"/>
  <c r="C2400" i="38"/>
  <c r="C1410" i="38"/>
  <c r="C2496" i="38"/>
  <c r="C5049" i="38"/>
  <c r="C1524" i="38"/>
  <c r="C4628" i="38"/>
  <c r="C5863" i="38"/>
  <c r="C3036" i="38"/>
  <c r="C2187" i="38"/>
  <c r="C5178" i="38"/>
  <c r="C4793" i="38"/>
  <c r="C3426" i="38"/>
  <c r="C1228" i="38"/>
  <c r="C467" i="38"/>
  <c r="C6115" i="38"/>
  <c r="C1286" i="38"/>
  <c r="C2497" i="38"/>
  <c r="C679" i="38"/>
  <c r="C3962" i="38"/>
  <c r="C3992" i="38"/>
  <c r="C420" i="38"/>
  <c r="C394" i="38"/>
  <c r="C1055" i="38"/>
  <c r="C1680" i="38"/>
  <c r="C136" i="38"/>
  <c r="C3288" i="38"/>
  <c r="C335" i="38"/>
  <c r="C19" i="38"/>
  <c r="C1525" i="38"/>
  <c r="C1600" i="38"/>
  <c r="C3041" i="38"/>
  <c r="C3903" i="38"/>
  <c r="C1039" i="38"/>
  <c r="C3397" i="38"/>
  <c r="C4011" i="38"/>
  <c r="C3892" i="38"/>
  <c r="C4447" i="38"/>
  <c r="C3882" i="38"/>
  <c r="C5150" i="38"/>
  <c r="C1757" i="38"/>
  <c r="C6001" i="38"/>
  <c r="C3042" i="38"/>
  <c r="C1095" i="38"/>
  <c r="C1371" i="38"/>
  <c r="C2402" i="38"/>
  <c r="C853" i="38"/>
  <c r="C5104" i="38"/>
  <c r="C338" i="38"/>
  <c r="C999" i="38"/>
  <c r="C4773" i="38"/>
  <c r="C5818" i="38"/>
  <c r="C6116" i="38"/>
  <c r="C2041" i="38"/>
  <c r="C4642" i="38"/>
  <c r="C5290" i="38"/>
  <c r="C5386" i="38"/>
  <c r="C4130" i="38"/>
  <c r="C3938" i="38"/>
  <c r="C4305" i="38"/>
  <c r="C3316" i="38"/>
  <c r="C5024" i="38"/>
  <c r="C5569" i="38"/>
  <c r="C5686" i="38"/>
  <c r="C5850" i="38"/>
  <c r="C6092" i="38"/>
  <c r="C2821" i="38"/>
  <c r="C3695" i="38"/>
  <c r="C3934" i="38"/>
  <c r="C557" i="38"/>
  <c r="C1347" i="38"/>
  <c r="C1477" i="38"/>
  <c r="C5452" i="38"/>
  <c r="C5254" i="38"/>
  <c r="C2871" i="38"/>
  <c r="C849" i="38"/>
  <c r="C4908" i="38"/>
  <c r="C1353" i="38"/>
  <c r="C5591" i="38"/>
  <c r="C5647" i="38"/>
  <c r="C1141" i="38"/>
  <c r="C3340" i="38"/>
  <c r="C1736" i="38"/>
  <c r="C4490" i="38"/>
  <c r="C3831" i="38"/>
  <c r="C4279" i="38"/>
  <c r="C5182" i="38"/>
  <c r="C5960" i="38"/>
  <c r="C5315" i="38"/>
  <c r="C4042" i="38"/>
  <c r="C833" i="38"/>
  <c r="C4634" i="38"/>
  <c r="C1611" i="38"/>
  <c r="C1718" i="38"/>
  <c r="C3484" i="38"/>
  <c r="C4564" i="38"/>
  <c r="C3278" i="38"/>
  <c r="C2657" i="38"/>
  <c r="C3373" i="38"/>
  <c r="C416" i="38"/>
  <c r="C5935" i="38"/>
  <c r="C1223" i="38"/>
  <c r="C995" i="38"/>
  <c r="C1174" i="38"/>
  <c r="C1075" i="38"/>
  <c r="C738" i="38"/>
  <c r="C4860" i="38"/>
  <c r="C654" i="38"/>
  <c r="C1300" i="38"/>
  <c r="C2822" i="38"/>
  <c r="C6101" i="38"/>
  <c r="C4506" i="38"/>
  <c r="C344" i="38"/>
  <c r="C4956" i="38"/>
  <c r="C4760" i="38"/>
  <c r="C2347" i="38"/>
  <c r="C6003" i="38"/>
  <c r="C3536" i="38"/>
  <c r="C1412" i="38"/>
  <c r="C3641" i="38"/>
  <c r="C3597" i="38"/>
  <c r="C2775" i="38"/>
  <c r="C3970" i="38"/>
  <c r="C5534" i="38"/>
  <c r="C576" i="38"/>
  <c r="C3642" i="38"/>
  <c r="C845" i="38"/>
  <c r="C4166" i="38"/>
  <c r="C2173" i="38"/>
  <c r="C887" i="38"/>
  <c r="C4209" i="38"/>
  <c r="C903" i="38"/>
  <c r="C1535" i="38"/>
  <c r="C1551" i="38"/>
  <c r="C3872" i="38"/>
  <c r="C3212" i="38"/>
  <c r="C1482" i="38"/>
  <c r="C6065" i="38"/>
  <c r="C3894" i="38"/>
  <c r="C3821" i="38"/>
  <c r="C596" i="38"/>
  <c r="C4" i="38"/>
  <c r="C2456" i="38"/>
  <c r="C4982" i="38"/>
  <c r="C3595" i="38"/>
  <c r="C2762" i="38"/>
  <c r="C1387" i="38"/>
  <c r="C1897" i="38"/>
  <c r="C186" i="38"/>
  <c r="C4504" i="38"/>
  <c r="C2184" i="38"/>
  <c r="C1872" i="38"/>
  <c r="C1422" i="38"/>
  <c r="C5682" i="38"/>
  <c r="C2838" i="38"/>
  <c r="C4068" i="38"/>
  <c r="C3028" i="38"/>
  <c r="C4853" i="38"/>
  <c r="C1766" i="38"/>
  <c r="C1696" i="38"/>
  <c r="C2341" i="38"/>
  <c r="C2863" i="38"/>
  <c r="C1196" i="38"/>
  <c r="C4758" i="38"/>
  <c r="C3394" i="38"/>
  <c r="C4689" i="38"/>
  <c r="C3556" i="38"/>
  <c r="C4211" i="38"/>
  <c r="C1278" i="38"/>
  <c r="C554" i="38"/>
  <c r="C3033" i="38"/>
  <c r="C2468" i="38"/>
  <c r="C2867" i="38"/>
  <c r="C3236" i="38"/>
  <c r="C2163" i="38"/>
  <c r="C604" i="38"/>
  <c r="C4453" i="38"/>
  <c r="C5393" i="38"/>
  <c r="C4368" i="38"/>
  <c r="C1657" i="38"/>
  <c r="C3038" i="38"/>
  <c r="C615" i="38"/>
  <c r="C4468" i="38"/>
  <c r="C975" i="38"/>
  <c r="C4480" i="38"/>
  <c r="C958" i="38"/>
  <c r="C1192" i="38"/>
  <c r="C3482" i="38"/>
  <c r="C2945" i="38"/>
  <c r="C2068" i="38"/>
  <c r="C366" i="38"/>
  <c r="C198" i="38"/>
  <c r="C3614" i="38"/>
  <c r="C1255" i="38"/>
  <c r="C1346" i="38"/>
  <c r="C4652" i="38"/>
  <c r="C4826" i="38"/>
  <c r="C232" i="38"/>
  <c r="C380" i="38"/>
  <c r="C22" i="38"/>
  <c r="C4988" i="38"/>
  <c r="C2315" i="38"/>
  <c r="C2869" i="38"/>
  <c r="C2172" i="38"/>
  <c r="C1135" i="38"/>
  <c r="C79" i="38"/>
  <c r="C51" i="38"/>
  <c r="C35" i="38"/>
  <c r="C23" i="38"/>
  <c r="C1941" i="38"/>
  <c r="C3812" i="38"/>
  <c r="C4389" i="38"/>
  <c r="C5851" i="38"/>
  <c r="C4089" i="38"/>
  <c r="C2564" i="38"/>
  <c r="C2156" i="38"/>
  <c r="C2973" i="38"/>
  <c r="C2711" i="38"/>
  <c r="C649" i="38"/>
  <c r="C2793" i="38"/>
  <c r="C3043" i="38"/>
  <c r="C5805" i="38"/>
  <c r="C2236" i="38"/>
  <c r="C2282" i="38"/>
  <c r="C4647" i="38"/>
  <c r="C2055" i="38"/>
  <c r="C401" i="38"/>
  <c r="C639" i="38"/>
  <c r="C4489" i="38"/>
  <c r="C2792" i="38"/>
  <c r="C2119" i="38"/>
  <c r="C1031" i="38"/>
  <c r="C1916" i="38"/>
  <c r="C736" i="38"/>
  <c r="C3961" i="38"/>
  <c r="C6027" i="38"/>
  <c r="C5311" i="38"/>
  <c r="C3552" i="38"/>
  <c r="C2333" i="38"/>
  <c r="C1202" i="38"/>
  <c r="C1008" i="38"/>
  <c r="C463" i="38"/>
  <c r="C4748" i="38"/>
  <c r="C3633" i="38"/>
  <c r="C942" i="38"/>
  <c r="C3193" i="38"/>
  <c r="C2971" i="38"/>
  <c r="C2889" i="38"/>
  <c r="C3452" i="38"/>
  <c r="C1218" i="38"/>
  <c r="C5161" i="38"/>
  <c r="C1898" i="38"/>
  <c r="C3719" i="38"/>
  <c r="C2891" i="38"/>
  <c r="C2309" i="38"/>
  <c r="C4632" i="38"/>
  <c r="C3361" i="38"/>
  <c r="C1131" i="38"/>
  <c r="C2786" i="38"/>
  <c r="C1466" i="38"/>
  <c r="C2690" i="38"/>
  <c r="C885" i="38"/>
  <c r="C1298" i="38"/>
  <c r="C145" i="38"/>
  <c r="C55" i="38"/>
  <c r="C1783" i="38"/>
  <c r="C657" i="38"/>
  <c r="C2774" i="38"/>
  <c r="C5357" i="38"/>
  <c r="C1784" i="38"/>
  <c r="C5621" i="38"/>
  <c r="C1359" i="38"/>
  <c r="C916" i="38"/>
  <c r="C4170" i="38"/>
  <c r="C672" i="38"/>
  <c r="C2421" i="38"/>
  <c r="C3506" i="38"/>
  <c r="C1981" i="38"/>
  <c r="C5761" i="38"/>
  <c r="C2919" i="38"/>
  <c r="C2766" i="38"/>
  <c r="C991" i="38"/>
  <c r="C605" i="38"/>
  <c r="C4248" i="38"/>
  <c r="C3881" i="38"/>
  <c r="C373" i="38"/>
  <c r="C4573" i="38"/>
  <c r="C4201" i="38"/>
  <c r="C210" i="38"/>
  <c r="C271" i="38"/>
  <c r="C969" i="38"/>
  <c r="C17" i="38"/>
  <c r="C29" i="38"/>
  <c r="C3956" i="38"/>
  <c r="C1658" i="38"/>
  <c r="C3213" i="38"/>
  <c r="C1597" i="38"/>
  <c r="C3745" i="38"/>
  <c r="C1853" i="38"/>
  <c r="C4177" i="38"/>
  <c r="C3830" i="38"/>
  <c r="C5034" i="38"/>
  <c r="C3779" i="38"/>
  <c r="C3395" i="38"/>
  <c r="C791" i="38"/>
  <c r="C4763" i="38"/>
  <c r="C3463" i="38"/>
  <c r="C2802" i="38"/>
  <c r="C2235" i="38"/>
  <c r="C1425" i="38"/>
  <c r="C444" i="38"/>
  <c r="C3729" i="38"/>
  <c r="C164" i="38"/>
  <c r="C4080" i="38"/>
  <c r="C5954" i="38"/>
  <c r="C6015" i="38"/>
  <c r="C3044" i="38"/>
  <c r="C3507" i="38"/>
  <c r="C3374" i="38"/>
  <c r="C6033" i="38"/>
  <c r="C4640" i="38"/>
  <c r="C4131" i="38"/>
  <c r="C3842" i="38"/>
  <c r="C4800" i="38"/>
  <c r="C2635" i="38"/>
  <c r="C4633" i="38"/>
  <c r="C5258" i="38"/>
  <c r="C1016" i="38"/>
  <c r="C5947" i="38"/>
  <c r="C6117" i="38"/>
  <c r="C2272" i="38"/>
  <c r="C3045" i="38"/>
  <c r="C1735" i="38"/>
  <c r="C721" i="38"/>
  <c r="C3557" i="38"/>
  <c r="C4859" i="38"/>
  <c r="C4767" i="38"/>
  <c r="C3897" i="38"/>
  <c r="C2317" i="38"/>
  <c r="C4262" i="38"/>
  <c r="C1617" i="38"/>
  <c r="C5578" i="38"/>
  <c r="C1299" i="38"/>
  <c r="C2816" i="38"/>
  <c r="C3049" i="38"/>
  <c r="C1816" i="38"/>
  <c r="C1448" i="38"/>
  <c r="C4401" i="38"/>
  <c r="C1203" i="38"/>
  <c r="C5558" i="38"/>
  <c r="C193" i="38"/>
  <c r="C6118" i="38"/>
  <c r="C3752" i="38"/>
  <c r="C1554" i="38"/>
  <c r="C4290" i="38"/>
  <c r="C1062" i="38"/>
  <c r="C4700" i="38"/>
  <c r="C3362" i="38"/>
  <c r="C5517" i="38"/>
  <c r="C2121" i="38"/>
  <c r="C1442" i="38"/>
  <c r="C4733" i="38"/>
  <c r="C1047" i="38"/>
  <c r="C2561" i="38"/>
  <c r="C5" i="38"/>
  <c r="C772" i="38"/>
  <c r="C737" i="38"/>
  <c r="C511" i="38"/>
  <c r="C758" i="38"/>
  <c r="C1378" i="38"/>
  <c r="C399" i="38"/>
  <c r="C575" i="38"/>
  <c r="C774" i="38"/>
  <c r="C5776" i="38"/>
  <c r="C5026" i="38"/>
  <c r="C2590" i="38"/>
  <c r="C233" i="38"/>
  <c r="C2350" i="38"/>
  <c r="C3535" i="38"/>
  <c r="C1076" i="38"/>
  <c r="C6120" i="38"/>
  <c r="C3799" i="38"/>
  <c r="C2691" i="38"/>
  <c r="C4195" i="38"/>
  <c r="C4624" i="38"/>
  <c r="C3621" i="38"/>
  <c r="C5712" i="38"/>
  <c r="C3383" i="38"/>
  <c r="C5898" i="38"/>
  <c r="C2208" i="38"/>
  <c r="C759" i="38"/>
  <c r="C2283" i="38"/>
  <c r="C1403" i="38"/>
  <c r="C4650" i="38"/>
  <c r="C3526" i="38"/>
  <c r="C3018" i="38"/>
  <c r="C3798" i="38"/>
  <c r="C1695" i="38"/>
  <c r="C1807" i="38"/>
  <c r="C4711" i="38"/>
  <c r="C4524" i="38"/>
  <c r="C3029" i="38"/>
  <c r="C4563" i="38"/>
  <c r="C2910" i="38"/>
  <c r="C5541" i="38"/>
  <c r="C3035" i="38"/>
  <c r="C1734" i="38"/>
  <c r="C2413" i="38"/>
  <c r="C310" i="38"/>
  <c r="C476" i="38"/>
  <c r="C3635" i="38"/>
  <c r="C1616" i="38"/>
  <c r="C48" i="38"/>
  <c r="C1046" i="38"/>
  <c r="C4079" i="38"/>
  <c r="C468" i="38"/>
  <c r="C5904" i="38"/>
  <c r="C5165" i="38"/>
  <c r="C3878" i="38"/>
  <c r="C2870" i="38"/>
  <c r="C4354" i="38"/>
  <c r="C5088" i="38"/>
  <c r="C5624" i="38"/>
  <c r="C4338" i="38"/>
  <c r="C4225" i="38"/>
  <c r="C2559" i="38"/>
  <c r="C3046" i="38"/>
  <c r="C5007" i="38"/>
  <c r="C3483" i="38"/>
  <c r="C2042" i="38"/>
  <c r="C3047" i="38"/>
  <c r="C1560" i="38"/>
  <c r="C1025" i="38"/>
  <c r="C2920" i="38"/>
  <c r="C4041" i="38"/>
  <c r="C1491" i="38"/>
  <c r="C4111" i="38"/>
  <c r="C123" i="38"/>
  <c r="C1326" i="38"/>
  <c r="C880" i="38"/>
  <c r="C5109" i="38"/>
  <c r="C2487" i="38"/>
  <c r="C1605" i="38"/>
  <c r="C784" i="38"/>
  <c r="C1338" i="38"/>
  <c r="C5600" i="38"/>
  <c r="C666" i="38"/>
  <c r="C2767" i="38"/>
  <c r="C4712" i="38"/>
  <c r="C4012" i="38"/>
  <c r="C4024" i="38"/>
  <c r="C5668" i="38"/>
  <c r="C5806" i="38"/>
  <c r="C2082" i="38"/>
  <c r="C3231" i="38"/>
  <c r="C760" i="38"/>
  <c r="C4129" i="38"/>
  <c r="C3238" i="38"/>
  <c r="C5015" i="38"/>
  <c r="C2025" i="38"/>
  <c r="C3674" i="38"/>
  <c r="C730" i="38"/>
  <c r="C861" i="38"/>
  <c r="C4020" i="38"/>
  <c r="C1106" i="38"/>
  <c r="C494" i="38"/>
  <c r="C1820" i="38"/>
  <c r="C4600" i="38"/>
  <c r="C3407" i="38"/>
  <c r="C4361" i="38"/>
  <c r="C4643" i="38"/>
  <c r="C2538" i="38"/>
  <c r="C3832" i="38"/>
  <c r="C4471" i="38"/>
  <c r="C4355" i="38"/>
  <c r="C2181" i="38"/>
  <c r="C2174" i="38"/>
  <c r="C3915" i="38"/>
  <c r="C259" i="38"/>
  <c r="C754" i="38"/>
  <c r="C132" i="38"/>
  <c r="C3057" i="38"/>
  <c r="C1767" i="38"/>
  <c r="C5180" i="38"/>
  <c r="C297" i="38"/>
  <c r="C3579" i="38"/>
  <c r="C3240" i="38"/>
  <c r="C5183" i="38"/>
  <c r="C4507" i="38"/>
  <c r="C5158" i="38"/>
  <c r="C1847" i="38"/>
  <c r="C1792" i="38"/>
  <c r="C464" i="38"/>
  <c r="C1722" i="38"/>
  <c r="C1633" i="38"/>
  <c r="C4701" i="38"/>
  <c r="C2066" i="38"/>
  <c r="C628" i="38"/>
  <c r="C560" i="38"/>
  <c r="C274" i="38"/>
  <c r="C4013" i="38"/>
  <c r="C4608" i="38"/>
  <c r="C5388" i="38"/>
  <c r="C5353" i="38"/>
  <c r="C4271" i="38"/>
  <c r="C4969" i="38"/>
  <c r="C1808" i="38"/>
  <c r="C1881" i="38"/>
  <c r="C3384" i="38"/>
  <c r="C30" i="38"/>
  <c r="C2659" i="38"/>
  <c r="C1791" i="38"/>
  <c r="C3700" i="38"/>
  <c r="C1205" i="38"/>
  <c r="C155" i="38"/>
  <c r="C5966" i="38"/>
  <c r="C577" i="38"/>
  <c r="C2238" i="38"/>
  <c r="C823" i="38"/>
  <c r="C2989" i="38"/>
  <c r="C521" i="38"/>
  <c r="C277" i="38"/>
  <c r="C4369" i="38"/>
  <c r="C4236" i="38"/>
  <c r="C748" i="38"/>
  <c r="C5717" i="38"/>
  <c r="C955" i="38"/>
  <c r="C3807" i="38"/>
  <c r="C2692" i="38"/>
  <c r="C5428" i="38"/>
  <c r="C1454" i="38"/>
  <c r="C3993" i="38"/>
  <c r="C2637" i="38"/>
  <c r="C1194" i="38"/>
  <c r="C690" i="38"/>
  <c r="C2673" i="38"/>
  <c r="C4620" i="38"/>
  <c r="C1646" i="38"/>
  <c r="C1912" i="38"/>
  <c r="C1914" i="38"/>
  <c r="C4244" i="38"/>
  <c r="C3813" i="38"/>
  <c r="C1864" i="38"/>
  <c r="C4253" i="38"/>
  <c r="C1199" i="38"/>
  <c r="C2254" i="38"/>
  <c r="C5722" i="38"/>
  <c r="C7" i="38"/>
  <c r="C2334" i="38"/>
  <c r="C412" i="38"/>
  <c r="C2197" i="38"/>
  <c r="C201" i="38"/>
  <c r="C2188" i="38"/>
  <c r="C3558" i="38"/>
  <c r="C125" i="38"/>
  <c r="C58" i="38"/>
  <c r="C2301" i="38"/>
  <c r="C3251" i="38"/>
  <c r="C1364" i="38"/>
  <c r="C725" i="38"/>
  <c r="C5683" i="38"/>
  <c r="C6123" i="38"/>
  <c r="C5885" i="38"/>
  <c r="C4102" i="38"/>
  <c r="C3909" i="38"/>
  <c r="C4892" i="38"/>
  <c r="C1571" i="38"/>
  <c r="C5106" i="38"/>
  <c r="C2420" i="38"/>
  <c r="C3461" i="38"/>
  <c r="C2080" i="38"/>
  <c r="C873" i="38"/>
  <c r="C2495" i="38"/>
  <c r="C5332" i="38"/>
  <c r="C1907" i="38"/>
  <c r="C1074" i="38"/>
  <c r="C2801" i="38"/>
  <c r="C4772" i="38"/>
  <c r="C4691" i="38"/>
  <c r="C3382" i="38"/>
  <c r="C2729" i="38"/>
  <c r="C20" i="38"/>
  <c r="C4907" i="38"/>
  <c r="C3578" i="38"/>
  <c r="C3796" i="38"/>
  <c r="C1887" i="38"/>
  <c r="C480" i="38"/>
  <c r="C4939" i="38"/>
  <c r="C4574" i="38"/>
  <c r="C5803" i="38"/>
  <c r="C5100" i="38"/>
  <c r="C4801" i="38"/>
  <c r="C2145" i="38"/>
  <c r="C387" i="38"/>
  <c r="C1731" i="38"/>
  <c r="C3237" i="38"/>
  <c r="C3949" i="38"/>
  <c r="C5593" i="38"/>
  <c r="C5696" i="38"/>
  <c r="C3048" i="38"/>
  <c r="C3822" i="38"/>
  <c r="C2898" i="38"/>
  <c r="C5277" i="38"/>
  <c r="C3214" i="38"/>
  <c r="C2498" i="38"/>
  <c r="C4505" i="38"/>
  <c r="C169" i="38"/>
  <c r="C1785" i="38"/>
  <c r="C2445" i="38"/>
  <c r="C5893" i="38"/>
  <c r="C1625" i="38"/>
  <c r="C3797" i="38"/>
  <c r="C1919" i="38"/>
  <c r="C656" i="38"/>
  <c r="C6119" i="38"/>
  <c r="C3317" i="38"/>
  <c r="C2636" i="38"/>
  <c r="C5601" i="38"/>
  <c r="C2900" i="38"/>
  <c r="C3279" i="38"/>
  <c r="C5796" i="38"/>
  <c r="C5787" i="38"/>
  <c r="C1449" i="38"/>
  <c r="C2905" i="38"/>
  <c r="C2327" i="38"/>
  <c r="C3053" i="38"/>
  <c r="C1247" i="38"/>
  <c r="C4540" i="38"/>
  <c r="C5016" i="38"/>
  <c r="C2463" i="38"/>
  <c r="C1118" i="38"/>
  <c r="C3485" i="38"/>
  <c r="C5333" i="38"/>
  <c r="C1332" i="38"/>
  <c r="C4459" i="38"/>
  <c r="C1999" i="38"/>
  <c r="C5480" i="38"/>
  <c r="C3753" i="38"/>
  <c r="C5117" i="38"/>
  <c r="C1862" i="38"/>
  <c r="C5589" i="38"/>
  <c r="C3056" i="38"/>
  <c r="C4736" i="38"/>
  <c r="C2735" i="38"/>
  <c r="C4940" i="38"/>
  <c r="C2295" i="38"/>
  <c r="C190" i="38"/>
  <c r="C197" i="38"/>
  <c r="C185" i="38"/>
  <c r="C299" i="38"/>
  <c r="C3058" i="38"/>
  <c r="C4344" i="38"/>
  <c r="C1306" i="38"/>
  <c r="C4426" i="38"/>
  <c r="C4948" i="38"/>
  <c r="C4319" i="38"/>
  <c r="C3538" i="38"/>
  <c r="C1261" i="38"/>
  <c r="C1077" i="38"/>
  <c r="C2422" i="38"/>
  <c r="C301" i="38"/>
  <c r="C2730" i="38"/>
  <c r="C50" i="38"/>
  <c r="C4235" i="38"/>
  <c r="C4329" i="38"/>
  <c r="C1863" i="38"/>
  <c r="C548" i="38"/>
  <c r="C5224" i="38"/>
  <c r="C747" i="38"/>
  <c r="C3062" i="38"/>
  <c r="C4320" i="38"/>
  <c r="C2845" i="38"/>
  <c r="C4509" i="38"/>
  <c r="C5463" i="38"/>
  <c r="C2157" i="38"/>
  <c r="C2803" i="38"/>
  <c r="C1280" i="38"/>
  <c r="C4397" i="38"/>
  <c r="C15" i="38"/>
  <c r="C739" i="38"/>
  <c r="C3345" i="38"/>
  <c r="C2383" i="38"/>
  <c r="C3617" i="38"/>
  <c r="C696" i="38"/>
  <c r="C2300" i="38"/>
  <c r="C3780" i="38"/>
  <c r="C4356" i="38"/>
  <c r="C810" i="38"/>
  <c r="C406" i="38"/>
  <c r="C509" i="38"/>
  <c r="C2526" i="38"/>
  <c r="C315" i="38"/>
  <c r="C854" i="38"/>
  <c r="C606" i="38"/>
  <c r="C6025" i="38"/>
  <c r="C4827" i="38"/>
  <c r="C2776" i="38"/>
  <c r="C2669" i="38"/>
  <c r="C4196" i="38"/>
  <c r="C652" i="38"/>
  <c r="C3064" i="38"/>
  <c r="C4213" i="38"/>
  <c r="C3873" i="38"/>
  <c r="C1835" i="38"/>
  <c r="C1333" i="38"/>
  <c r="C4609" i="38"/>
  <c r="C5390" i="38"/>
  <c r="C5561" i="38"/>
  <c r="C306" i="38"/>
  <c r="C2846" i="38"/>
  <c r="C2373" i="38"/>
  <c r="C4031" i="38"/>
  <c r="C4133" i="38"/>
  <c r="C4254" i="38"/>
  <c r="C4978" i="38"/>
  <c r="C2804" i="38"/>
  <c r="C2323" i="38"/>
  <c r="C2105" i="38"/>
  <c r="C3936" i="38"/>
  <c r="C376" i="38"/>
  <c r="C1938" i="38"/>
  <c r="C607" i="38"/>
  <c r="C1394" i="38"/>
  <c r="C1961" i="38"/>
  <c r="C4588" i="38"/>
  <c r="C3581" i="38"/>
  <c r="C339" i="38"/>
  <c r="C4272" i="38"/>
  <c r="C4432" i="38"/>
  <c r="C5344" i="38"/>
  <c r="C5316" i="38"/>
  <c r="C4581" i="38"/>
  <c r="C5536" i="38"/>
  <c r="C1030" i="38"/>
  <c r="C2380" i="38"/>
  <c r="C4117" i="38"/>
  <c r="C3655" i="38"/>
  <c r="C4523" i="38"/>
  <c r="C3565" i="38"/>
  <c r="C2678" i="38"/>
  <c r="C5897" i="38"/>
  <c r="C3524" i="38"/>
  <c r="C3235" i="38"/>
  <c r="C343" i="38"/>
  <c r="C3399" i="38"/>
  <c r="C3427" i="38"/>
  <c r="C3390" i="38"/>
  <c r="C4538" i="38"/>
  <c r="C248" i="38"/>
  <c r="C4728" i="38"/>
  <c r="C252" i="38"/>
  <c r="C1899" i="38"/>
  <c r="C4430" i="38"/>
  <c r="C3314" i="38"/>
  <c r="C4848" i="38"/>
  <c r="C2010" i="38"/>
  <c r="C3315" i="38"/>
  <c r="C4629" i="38"/>
  <c r="C2560" i="38"/>
  <c r="C5499" i="38"/>
  <c r="C4759" i="38"/>
  <c r="C5930" i="38"/>
  <c r="C2316" i="38"/>
  <c r="C493" i="38"/>
  <c r="C1459" i="38"/>
  <c r="C3681" i="38"/>
  <c r="C1974" i="38"/>
  <c r="C5654" i="38"/>
  <c r="C5666" i="38"/>
  <c r="C3050" i="38"/>
  <c r="C5330" i="38"/>
  <c r="C5276" i="38"/>
  <c r="C3414" i="38"/>
  <c r="C1536" i="38"/>
  <c r="C2331" i="38"/>
  <c r="C1638" i="38"/>
  <c r="C6004" i="38"/>
  <c r="C5727" i="38"/>
  <c r="C2169" i="38"/>
  <c r="C979" i="38"/>
  <c r="C2003" i="38"/>
  <c r="C1502" i="38"/>
  <c r="C984" i="38"/>
  <c r="C917" i="38"/>
  <c r="C4525" i="38"/>
  <c r="C3843" i="38"/>
  <c r="C2207" i="38"/>
  <c r="C6121" i="38"/>
  <c r="C2342" i="38"/>
  <c r="C3549" i="38"/>
  <c r="C4339" i="38"/>
  <c r="C4651" i="38"/>
  <c r="C860" i="38"/>
  <c r="C4043" i="38"/>
  <c r="C5504" i="38"/>
  <c r="C3054" i="38"/>
  <c r="C4768" i="38"/>
  <c r="C4844" i="38"/>
  <c r="C2426" i="38"/>
  <c r="C980" i="38"/>
  <c r="C4212" i="38"/>
  <c r="C1331" i="38"/>
  <c r="C5138" i="38"/>
  <c r="C631" i="38"/>
  <c r="C5300" i="38"/>
  <c r="C2824" i="38"/>
  <c r="C4601" i="38"/>
  <c r="C944" i="38"/>
  <c r="C4469" i="38"/>
  <c r="C4249" i="38"/>
  <c r="C6081" i="38"/>
  <c r="C4774" i="38"/>
  <c r="C5272" i="38"/>
  <c r="C4606" i="38"/>
  <c r="C2018" i="38"/>
  <c r="C1588" i="38"/>
  <c r="C257" i="38"/>
  <c r="C4876" i="38"/>
  <c r="C2679" i="38"/>
  <c r="C1875" i="38"/>
  <c r="C2520" i="38"/>
  <c r="C4648" i="38"/>
  <c r="C3264" i="38"/>
  <c r="C1526" i="38"/>
  <c r="C1248" i="38"/>
  <c r="C4607" i="38"/>
  <c r="C4990" i="38"/>
  <c r="C4723" i="38"/>
  <c r="C4775" i="38"/>
  <c r="C1834" i="38"/>
  <c r="C1960" i="38"/>
  <c r="C160" i="38"/>
  <c r="C1537" i="38"/>
  <c r="C1521" i="38"/>
  <c r="C4113" i="38"/>
  <c r="C907" i="38"/>
  <c r="C5257" i="38"/>
  <c r="C4243" i="38"/>
  <c r="C3060" i="38"/>
  <c r="C2469" i="38"/>
  <c r="C5498" i="38"/>
  <c r="C5170" i="38"/>
  <c r="C2697" i="38"/>
  <c r="C5387" i="38"/>
  <c r="C1317" i="38"/>
  <c r="C1920" i="38"/>
  <c r="C3381" i="38"/>
  <c r="C4178" i="38"/>
  <c r="C1037" i="38"/>
  <c r="C1888" i="38"/>
  <c r="C2872" i="38"/>
  <c r="C2093" i="38"/>
  <c r="C3605" i="38"/>
  <c r="C4735" i="38"/>
  <c r="C2494" i="38"/>
  <c r="C1335" i="38"/>
  <c r="C4405" i="38"/>
  <c r="C2234" i="38"/>
  <c r="C5915" i="38"/>
  <c r="C5594" i="38"/>
  <c r="C6094" i="38"/>
  <c r="C850" i="38"/>
  <c r="C6043" i="38"/>
  <c r="C3052" i="38"/>
  <c r="C858" i="38"/>
  <c r="C3672" i="38"/>
  <c r="C3607" i="38"/>
  <c r="C1659" i="38"/>
  <c r="C3239" i="38"/>
  <c r="C1509" i="38"/>
  <c r="C3055" i="38"/>
  <c r="C1486" i="38"/>
  <c r="C4436" i="38"/>
  <c r="C5065" i="38"/>
  <c r="C5017" i="38"/>
  <c r="C4171" i="38"/>
  <c r="C5222" i="38"/>
  <c r="C3059" i="38"/>
  <c r="C516" i="38"/>
  <c r="C4252" i="38"/>
  <c r="C2570" i="38"/>
  <c r="C1809" i="38"/>
  <c r="C2277" i="38"/>
  <c r="C49" i="38"/>
  <c r="C851" i="38"/>
  <c r="C731" i="38"/>
  <c r="C45" i="38"/>
  <c r="C688" i="38"/>
  <c r="C6093" i="38"/>
  <c r="C4510" i="38"/>
  <c r="C5490" i="38"/>
  <c r="C1947" i="38"/>
  <c r="C946" i="38"/>
  <c r="C4291" i="38"/>
  <c r="C3065" i="38"/>
  <c r="C6" i="38"/>
  <c r="C1213" i="38"/>
  <c r="C2847" i="38"/>
  <c r="C456" i="38"/>
  <c r="C2674" i="38"/>
  <c r="C133" i="38"/>
  <c r="C356" i="38"/>
  <c r="C2983" i="38"/>
  <c r="C4526" i="38"/>
  <c r="C4813" i="38"/>
  <c r="C4416" i="38"/>
  <c r="C3215" i="38"/>
  <c r="C4741" i="38"/>
  <c r="C4350" i="38"/>
  <c r="C2834" i="38"/>
  <c r="C3713" i="38"/>
  <c r="C3845" i="38"/>
  <c r="C5089" i="38"/>
  <c r="C5744" i="38"/>
  <c r="C5529" i="38"/>
  <c r="C6124" i="38"/>
  <c r="C1949" i="38"/>
  <c r="C2269" i="38"/>
  <c r="C2335" i="38"/>
  <c r="C4483" i="38"/>
  <c r="C2853" i="38"/>
  <c r="C618" i="38"/>
  <c r="C658" i="38"/>
  <c r="C740" i="38"/>
  <c r="C1786" i="38"/>
  <c r="C1063" i="38"/>
  <c r="C2164" i="38"/>
  <c r="C358" i="38"/>
  <c r="C673" i="38"/>
  <c r="C3559" i="38"/>
  <c r="C5167" i="38"/>
  <c r="C4938" i="38"/>
  <c r="C6128" i="38"/>
  <c r="C4438" i="38"/>
  <c r="C4672" i="38"/>
  <c r="C4617" i="38"/>
  <c r="C5245" i="38"/>
  <c r="C5249" i="38"/>
  <c r="C4909" i="38"/>
  <c r="C5555" i="38"/>
  <c r="C571" i="38"/>
  <c r="C5848" i="38"/>
  <c r="C5743" i="38"/>
  <c r="C5940" i="38"/>
  <c r="C5941" i="38"/>
  <c r="C4919" i="38"/>
  <c r="C3860" i="38"/>
  <c r="C3068" i="38"/>
  <c r="C3072" i="38"/>
  <c r="C3400" i="38"/>
  <c r="C602" i="38"/>
  <c r="C2731" i="38"/>
  <c r="C1821" i="38"/>
  <c r="C1067" i="38"/>
  <c r="C4157" i="38"/>
  <c r="C5758" i="38"/>
  <c r="C5777" i="38"/>
  <c r="C5989" i="38"/>
  <c r="C1594" i="38"/>
  <c r="C1230" i="38"/>
  <c r="C2239" i="38"/>
  <c r="C4809" i="38"/>
  <c r="C5066" i="38"/>
  <c r="C3636" i="38"/>
  <c r="C3623" i="38"/>
  <c r="C1483" i="38"/>
  <c r="C4584" i="38"/>
  <c r="C4331" i="38"/>
  <c r="C1416" i="38"/>
  <c r="C5612" i="38"/>
  <c r="C5638" i="38"/>
  <c r="C2464" i="38"/>
  <c r="C5713" i="38"/>
  <c r="C1170" i="38"/>
  <c r="C5466" i="38"/>
  <c r="C3814" i="38"/>
  <c r="C4881" i="38"/>
  <c r="C3730" i="38"/>
  <c r="C3319" i="38"/>
  <c r="C5193" i="38"/>
  <c r="C5845" i="38"/>
  <c r="C807" i="38"/>
  <c r="C1540" i="38"/>
  <c r="C1142" i="38"/>
  <c r="C898" i="38"/>
  <c r="C2901" i="38"/>
  <c r="C1461" i="38"/>
  <c r="C307" i="38"/>
  <c r="C230" i="38"/>
  <c r="C2255" i="38"/>
  <c r="C2966" i="38"/>
  <c r="C1913" i="38"/>
  <c r="C5482" i="38"/>
  <c r="C5753" i="38"/>
  <c r="C5077" i="38"/>
  <c r="C3754" i="38"/>
  <c r="C3521" i="38"/>
  <c r="C4882" i="38"/>
  <c r="C5465" i="38"/>
  <c r="C5267" i="38"/>
  <c r="C3714" i="38"/>
  <c r="C4311" i="38"/>
  <c r="C2825" i="38"/>
  <c r="C245" i="38"/>
  <c r="C206" i="38"/>
  <c r="C290" i="38"/>
  <c r="C3080" i="38"/>
  <c r="C4742" i="38"/>
  <c r="C2043" i="38"/>
  <c r="C6002" i="38"/>
  <c r="C3297" i="38"/>
  <c r="C3465" i="38"/>
  <c r="C574" i="38"/>
  <c r="C2954" i="38"/>
  <c r="C1458" i="38"/>
  <c r="C2040" i="38"/>
  <c r="C3510" i="38"/>
  <c r="C495" i="38"/>
  <c r="C2237" i="38"/>
  <c r="C3434" i="38"/>
  <c r="C5457" i="38"/>
  <c r="C3051" i="38"/>
  <c r="C1645" i="38"/>
  <c r="C5672" i="38"/>
  <c r="C1593" i="38"/>
  <c r="C1426" i="38"/>
  <c r="C5755" i="38"/>
  <c r="C1737" i="38"/>
  <c r="C4849" i="38"/>
  <c r="C2065" i="38"/>
  <c r="C5442" i="38"/>
  <c r="C5720" i="38"/>
  <c r="C4343" i="38"/>
  <c r="C445" i="38"/>
  <c r="C1229" i="38"/>
  <c r="C2658" i="38"/>
  <c r="C1372" i="38"/>
  <c r="C4508" i="38"/>
  <c r="C5369" i="38"/>
  <c r="C2427" i="38"/>
  <c r="C1204" i="38"/>
  <c r="C1618" i="38"/>
  <c r="C629" i="38"/>
  <c r="C5469" i="38"/>
  <c r="C2428" i="38"/>
  <c r="C3580" i="38"/>
  <c r="C381" i="38"/>
  <c r="C2794" i="38"/>
  <c r="C6122" i="38"/>
  <c r="C3656" i="38"/>
  <c r="C4970" i="38"/>
  <c r="C2521" i="38"/>
  <c r="C1967" i="38"/>
  <c r="C2539" i="38"/>
  <c r="C3890" i="38"/>
  <c r="C888" i="38"/>
  <c r="C4931" i="38"/>
  <c r="C4850" i="38"/>
  <c r="C789" i="38"/>
  <c r="C1698" i="38"/>
  <c r="C238" i="38"/>
  <c r="C436" i="38"/>
  <c r="C645" i="38"/>
  <c r="C4679" i="38"/>
  <c r="C1681" i="38"/>
  <c r="C5633" i="38"/>
  <c r="C3289" i="38"/>
  <c r="C2083" i="38"/>
  <c r="C5209" i="38"/>
  <c r="C4896" i="38"/>
  <c r="C3622" i="38"/>
  <c r="C5073" i="38"/>
  <c r="C5862" i="38"/>
  <c r="C5627" i="38"/>
  <c r="C4761" i="38"/>
  <c r="C6125" i="38"/>
  <c r="C1675" i="38"/>
  <c r="C3539" i="38"/>
  <c r="C6126" i="38"/>
  <c r="C2260" i="38"/>
  <c r="C2026" i="38"/>
  <c r="C3265" i="38"/>
  <c r="C2599" i="38"/>
  <c r="C1104" i="38"/>
  <c r="C2130" i="38"/>
  <c r="C623" i="38"/>
  <c r="C422" i="38"/>
  <c r="C1683" i="38"/>
  <c r="C3815" i="38"/>
  <c r="C196" i="38"/>
  <c r="C5043" i="38"/>
  <c r="C1208" i="38"/>
  <c r="C6129" i="38"/>
  <c r="C3916" i="38"/>
  <c r="C4702" i="38"/>
  <c r="C2718" i="38"/>
  <c r="C4179" i="38"/>
  <c r="C2406" i="38"/>
  <c r="C981" i="38"/>
  <c r="C5665" i="38"/>
  <c r="C5575" i="38"/>
  <c r="C3318" i="38"/>
  <c r="C5980" i="38"/>
  <c r="C5971" i="38"/>
  <c r="C5773" i="38"/>
  <c r="C5325" i="38"/>
  <c r="C3540" i="38"/>
  <c r="C3069" i="38"/>
  <c r="C2875" i="38"/>
  <c r="C1921" i="38"/>
  <c r="C1668" i="38"/>
  <c r="C2158" i="38"/>
  <c r="C2131" i="38"/>
  <c r="C1739" i="38"/>
  <c r="C4398" i="38"/>
  <c r="C3883" i="38"/>
  <c r="C5881" i="38"/>
  <c r="C6034" i="38"/>
  <c r="C2725" i="38"/>
  <c r="C6099" i="38"/>
  <c r="C4176" i="38"/>
  <c r="C4799" i="38"/>
  <c r="C61" i="38"/>
  <c r="C2646" i="38"/>
  <c r="C3720" i="38"/>
  <c r="C4720" i="38"/>
  <c r="C2223" i="38"/>
  <c r="C5374" i="38"/>
  <c r="C1671" i="38"/>
  <c r="C427" i="38"/>
  <c r="C397" i="38"/>
  <c r="C5635" i="38"/>
  <c r="C3844" i="38"/>
  <c r="C2128" i="38"/>
  <c r="C3673" i="38"/>
  <c r="C3586" i="38"/>
  <c r="C5409" i="38"/>
  <c r="C5772" i="38"/>
  <c r="C4406" i="38"/>
  <c r="C329" i="38"/>
  <c r="C336" i="38"/>
  <c r="C2382" i="38"/>
  <c r="C462" i="38"/>
  <c r="C4602" i="38"/>
  <c r="C3061" i="38"/>
  <c r="C5437" i="38"/>
  <c r="C4132" i="38"/>
  <c r="C1162" i="38"/>
  <c r="C4569" i="38"/>
  <c r="C1937" i="38"/>
  <c r="C3781" i="38"/>
  <c r="C5105" i="38"/>
  <c r="C183" i="38"/>
  <c r="C2942" i="38"/>
  <c r="C4520" i="38"/>
  <c r="C2698" i="38"/>
  <c r="C5242" i="38"/>
  <c r="C1848" i="38"/>
  <c r="C1982" i="38"/>
  <c r="C5415" i="38"/>
  <c r="C5372" i="38"/>
  <c r="C5289" i="38"/>
  <c r="C3260" i="38"/>
  <c r="C2217" i="38"/>
  <c r="C5949" i="38"/>
  <c r="C761" i="38"/>
  <c r="C2638" i="38"/>
  <c r="C2423" i="38"/>
  <c r="C39" i="38"/>
  <c r="C755" i="38"/>
  <c r="C1369" i="38"/>
  <c r="C4378" i="38"/>
  <c r="C3454" i="38"/>
  <c r="C5375" i="38"/>
  <c r="C3782" i="38"/>
  <c r="C1348" i="38"/>
  <c r="C2624" i="38"/>
  <c r="C2575" i="38"/>
  <c r="C5783" i="38"/>
  <c r="C5450" i="38"/>
  <c r="C5839" i="38"/>
  <c r="C3363" i="38"/>
  <c r="C1738" i="38"/>
  <c r="C3846" i="38"/>
  <c r="C3682" i="38"/>
  <c r="C711" i="38"/>
  <c r="C3232" i="38"/>
  <c r="C1555" i="38"/>
  <c r="C1634" i="38"/>
  <c r="C2874" i="38"/>
  <c r="C2153" i="38"/>
  <c r="C3001" i="38"/>
  <c r="C985" i="38"/>
  <c r="C2310" i="38"/>
  <c r="C947" i="38"/>
  <c r="C3904" i="38"/>
  <c r="C811" i="38"/>
  <c r="C5996" i="38"/>
  <c r="C5027" i="38"/>
  <c r="C4098" i="38"/>
  <c r="C5295" i="38"/>
  <c r="C4993" i="38"/>
  <c r="C4703" i="38"/>
  <c r="C5484" i="38"/>
  <c r="C5530" i="38"/>
  <c r="C484" i="38"/>
  <c r="C2723" i="38"/>
  <c r="C5912" i="38"/>
  <c r="C1210" i="38"/>
  <c r="C578" i="38"/>
  <c r="C5731" i="38"/>
  <c r="C4935" i="38"/>
  <c r="C1539" i="38"/>
  <c r="C3070" i="38"/>
  <c r="C1768" i="38"/>
  <c r="C1900" i="38"/>
  <c r="C1503" i="38"/>
  <c r="C922" i="38"/>
  <c r="C1373" i="38"/>
  <c r="C2493" i="38"/>
  <c r="C2788" i="38"/>
  <c r="C3837" i="38"/>
  <c r="C822" i="38"/>
  <c r="C1667" i="38"/>
  <c r="C3935" i="38"/>
  <c r="C5592" i="38"/>
  <c r="C1467" i="38"/>
  <c r="C5721" i="38"/>
  <c r="C5380" i="38"/>
  <c r="C2899" i="38"/>
  <c r="C1080" i="38"/>
  <c r="C4802" i="38"/>
  <c r="C377" i="38"/>
  <c r="C2355" i="38"/>
  <c r="C4283" i="38"/>
  <c r="C2787" i="38"/>
  <c r="C2823" i="38"/>
  <c r="C5126" i="38"/>
  <c r="C5009" i="38"/>
  <c r="C558" i="38"/>
  <c r="C223" i="38"/>
  <c r="C3537" i="38"/>
  <c r="C1936" i="38"/>
  <c r="C158" i="38"/>
  <c r="C2712" i="38"/>
  <c r="C5443" i="38"/>
  <c r="C3063" i="38"/>
  <c r="C1052" i="38"/>
  <c r="C1354" i="38"/>
  <c r="C1040" i="38"/>
  <c r="C1538" i="38"/>
  <c r="C587" i="38"/>
  <c r="C355" i="38"/>
  <c r="C311" i="38"/>
  <c r="C5571" i="38"/>
  <c r="C2372" i="38"/>
  <c r="C4930" i="38"/>
  <c r="C1552" i="38"/>
  <c r="C4219" i="38"/>
  <c r="C3823" i="38"/>
  <c r="C5606" i="38"/>
  <c r="C382" i="38"/>
  <c r="C859" i="38"/>
  <c r="C1697" i="38"/>
  <c r="C5582" i="38"/>
  <c r="C5926" i="38"/>
  <c r="C2129" i="38"/>
  <c r="C413" i="38"/>
  <c r="C4255" i="38"/>
  <c r="C34" i="38"/>
  <c r="C3453" i="38"/>
  <c r="C4553" i="38"/>
  <c r="C6086" i="38"/>
  <c r="C4330" i="38"/>
  <c r="C2198" i="38"/>
  <c r="C4934" i="38"/>
  <c r="C2591" i="38"/>
  <c r="C1699" i="38"/>
  <c r="C5340" i="38"/>
  <c r="C5229" i="38"/>
  <c r="C5492" i="38"/>
  <c r="C6102" i="38"/>
  <c r="C1948" i="38"/>
  <c r="C2499" i="38"/>
  <c r="C5429" i="38"/>
  <c r="C786" i="38"/>
  <c r="C1865" i="38"/>
  <c r="C2500" i="38"/>
  <c r="C1017" i="38"/>
  <c r="C2873" i="38"/>
  <c r="C1682" i="38"/>
  <c r="C1113" i="38"/>
  <c r="C457" i="38"/>
  <c r="C3066" i="38"/>
  <c r="C3067" i="38"/>
  <c r="C240" i="38"/>
  <c r="C2470" i="38"/>
  <c r="C1476" i="38"/>
  <c r="C6127" i="38"/>
  <c r="C4437" i="38"/>
  <c r="C4784" i="38"/>
  <c r="C4837" i="38"/>
  <c r="C3396" i="38"/>
  <c r="C3266" i="38"/>
  <c r="C1565" i="38"/>
  <c r="C1209" i="38"/>
  <c r="C1843" i="38"/>
  <c r="C1866" i="38"/>
  <c r="C762" i="38"/>
  <c r="C5526" i="38"/>
  <c r="C6061" i="38"/>
  <c r="C4158" i="38"/>
  <c r="C3895" i="38"/>
  <c r="C2396" i="38"/>
  <c r="C3073" i="38"/>
  <c r="C3957" i="38"/>
  <c r="C2751" i="38"/>
  <c r="C3985" i="38"/>
  <c r="C5234" i="38"/>
  <c r="C5595" i="38"/>
  <c r="C5607" i="38"/>
  <c r="C1573" i="38"/>
  <c r="C1561" i="38"/>
  <c r="C4034" i="38"/>
  <c r="C1460" i="38"/>
  <c r="C1311" i="38"/>
  <c r="C5587" i="38"/>
  <c r="C3077" i="38"/>
  <c r="C832" i="38"/>
  <c r="C1822" i="38"/>
  <c r="C927" i="38"/>
  <c r="C1984" i="38"/>
  <c r="C881" i="38"/>
  <c r="C166" i="38"/>
  <c r="C1510" i="38"/>
  <c r="C4729" i="38"/>
  <c r="C4567" i="38"/>
  <c r="C5810" i="38"/>
  <c r="C5253" i="38"/>
  <c r="C4704" i="38"/>
  <c r="C4891" i="38"/>
  <c r="C4427" i="38"/>
  <c r="C3834" i="38"/>
  <c r="C4421" i="38"/>
  <c r="C72" i="38"/>
  <c r="C116" i="38"/>
  <c r="C3079" i="38"/>
  <c r="C2356" i="38"/>
  <c r="C1057" i="38"/>
  <c r="C3863" i="38"/>
  <c r="C1504" i="38"/>
  <c r="C2990" i="38"/>
  <c r="C1589" i="38"/>
  <c r="C1078" i="38"/>
  <c r="C785" i="38"/>
  <c r="C1684" i="38"/>
  <c r="C2571" i="38"/>
  <c r="C247" i="38"/>
  <c r="C68" i="38"/>
  <c r="C2541" i="38"/>
  <c r="C14" i="38"/>
  <c r="C2724" i="38"/>
  <c r="C1701" i="38"/>
  <c r="C2267" i="38"/>
  <c r="C5381" i="38"/>
  <c r="C3701" i="38"/>
  <c r="C4922" i="38"/>
  <c r="C5156" i="38"/>
  <c r="C5196" i="38"/>
  <c r="C2922" i="38"/>
  <c r="C3428" i="38"/>
  <c r="C3321" i="38"/>
  <c r="C1612" i="38"/>
  <c r="C2069" i="38"/>
  <c r="C286" i="38"/>
  <c r="C368" i="38"/>
  <c r="C3083" i="38"/>
  <c r="C1487" i="38"/>
  <c r="C5166" i="38"/>
  <c r="C1130" i="38"/>
  <c r="C2045" i="38"/>
  <c r="C2542" i="38"/>
  <c r="C2647" i="38"/>
  <c r="C4994" i="38"/>
  <c r="C5095" i="38"/>
  <c r="C5929" i="38"/>
  <c r="C5855" i="38"/>
  <c r="C5031" i="38"/>
  <c r="C5500" i="38"/>
  <c r="C1515" i="38"/>
  <c r="C2057" i="38"/>
  <c r="C1567" i="38"/>
  <c r="C4402" i="38"/>
  <c r="C3087" i="38"/>
  <c r="C5107" i="38"/>
  <c r="C4653" i="38"/>
  <c r="C3089" i="38"/>
  <c r="C2795" i="38"/>
  <c r="C5622" i="38"/>
  <c r="C3528" i="38"/>
  <c r="C5649" i="38"/>
  <c r="C2625" i="38"/>
  <c r="C3367" i="38"/>
  <c r="C1771" i="38"/>
  <c r="C1923" i="38"/>
  <c r="C4044" i="38"/>
  <c r="C3261" i="38"/>
  <c r="C5035" i="38"/>
  <c r="C6080" i="38"/>
  <c r="C2305" i="38"/>
  <c r="C2384" i="38"/>
  <c r="C4622" i="38"/>
  <c r="C5203" i="38"/>
  <c r="C2457" i="38"/>
  <c r="C2716" i="38"/>
  <c r="C5860" i="38"/>
  <c r="C6133" i="38"/>
  <c r="C4484" i="38"/>
  <c r="C4558" i="38"/>
  <c r="C2944" i="38"/>
  <c r="C780" i="38"/>
  <c r="C4014" i="38"/>
  <c r="C1462" i="38"/>
  <c r="C1626" i="38"/>
  <c r="C4455" i="38"/>
  <c r="C500" i="38"/>
  <c r="C522" i="38"/>
  <c r="C1661" i="38"/>
  <c r="C2114" i="38"/>
  <c r="C100" i="38"/>
  <c r="C741" i="38"/>
  <c r="C1740" i="38"/>
  <c r="C5111" i="38"/>
  <c r="C1019" i="38"/>
  <c r="C1831" i="38"/>
  <c r="C2839" i="38"/>
  <c r="C3095" i="38"/>
  <c r="C973" i="38"/>
  <c r="C2789" i="38"/>
  <c r="C2261" i="38"/>
  <c r="C2243" i="38"/>
  <c r="C2948" i="38"/>
  <c r="C2848" i="38"/>
  <c r="C2501" i="38"/>
  <c r="C4045" i="38"/>
  <c r="C1811" i="38"/>
  <c r="C1542" i="38"/>
  <c r="C4422" i="38"/>
  <c r="C846" i="38"/>
  <c r="C6082" i="38"/>
  <c r="C4220" i="38"/>
  <c r="C5121" i="38"/>
  <c r="C4120" i="38"/>
  <c r="C2502" i="38"/>
  <c r="C4187" i="38"/>
  <c r="C1741" i="38"/>
  <c r="C2949" i="38"/>
  <c r="C3541" i="38"/>
  <c r="C2133" i="38"/>
  <c r="C2936" i="38"/>
  <c r="C1225" i="38"/>
  <c r="C4547" i="38"/>
  <c r="C2474" i="38"/>
  <c r="C3760" i="38"/>
  <c r="C3096" i="38"/>
  <c r="C2351" i="38"/>
  <c r="C3435" i="38"/>
  <c r="C2609" i="38"/>
  <c r="C2964" i="38"/>
  <c r="C490" i="38"/>
  <c r="C237" i="38"/>
  <c r="C724" i="38"/>
  <c r="C828" i="38"/>
  <c r="C3874" i="38"/>
  <c r="C1663" i="38"/>
  <c r="C1773" i="38"/>
  <c r="C544" i="38"/>
  <c r="C728" i="38"/>
  <c r="C5825" i="38"/>
  <c r="C3101" i="38"/>
  <c r="C3216" i="38"/>
  <c r="C5057" i="38"/>
  <c r="C3415" i="38"/>
  <c r="C5341" i="38"/>
  <c r="C2890" i="38"/>
  <c r="C1590" i="38"/>
  <c r="C566" i="38"/>
  <c r="C3981" i="38"/>
  <c r="C4627" i="38"/>
  <c r="C4644" i="38"/>
  <c r="C6053" i="38"/>
  <c r="C3305" i="38"/>
  <c r="C2878" i="38"/>
  <c r="C3940" i="38"/>
  <c r="C5977" i="38"/>
  <c r="C1902" i="38"/>
  <c r="C2135" i="38"/>
  <c r="C3856" i="38"/>
  <c r="C4448" i="38"/>
  <c r="C2328" i="38"/>
  <c r="C5542" i="38"/>
  <c r="C2577" i="38"/>
  <c r="C2893" i="38"/>
  <c r="C1450" i="38"/>
  <c r="C2432" i="38"/>
  <c r="C6037" i="38"/>
  <c r="C1243" i="38"/>
  <c r="C1379" i="38"/>
  <c r="C517" i="38"/>
  <c r="C5355" i="38"/>
  <c r="C4280" i="38"/>
  <c r="C5000" i="38"/>
  <c r="C4706" i="38"/>
  <c r="C2626" i="38"/>
  <c r="C2196" i="38"/>
  <c r="C5084" i="38"/>
  <c r="C5211" i="38"/>
  <c r="C2752" i="38"/>
  <c r="C4635" i="38"/>
  <c r="C4286" i="38"/>
  <c r="C6072" i="38"/>
  <c r="C1293" i="38"/>
  <c r="C2906" i="38"/>
  <c r="C5909" i="38"/>
  <c r="C3785" i="38"/>
  <c r="C5067" i="38"/>
  <c r="C1233" i="38"/>
  <c r="C1443" i="38"/>
  <c r="C1429" i="38"/>
  <c r="C1368" i="38"/>
  <c r="C796" i="38"/>
  <c r="C460" i="38"/>
  <c r="C5102" i="38"/>
  <c r="C938" i="38"/>
  <c r="C5981" i="38"/>
  <c r="C1968" i="38"/>
  <c r="C3971" i="38"/>
  <c r="C2512" i="38"/>
  <c r="C2562" i="38"/>
  <c r="C6062" i="38"/>
  <c r="C3365" i="38"/>
  <c r="C2175" i="38"/>
  <c r="C5404" i="38"/>
  <c r="C1950" i="38"/>
  <c r="C3566" i="38"/>
  <c r="C5018" i="38"/>
  <c r="C4861" i="38"/>
  <c r="C5377" i="38"/>
  <c r="C2630" i="38"/>
  <c r="C5583" i="38"/>
  <c r="C5511" i="38"/>
  <c r="C5652" i="38"/>
  <c r="C3074" i="38"/>
  <c r="C1901" i="38"/>
  <c r="C1795" i="38"/>
  <c r="C5323" i="38"/>
  <c r="C3486" i="38"/>
  <c r="C2146" i="38"/>
  <c r="C2224" i="38"/>
  <c r="C3598" i="38"/>
  <c r="C1361" i="38"/>
  <c r="C1329" i="38"/>
  <c r="C1700" i="38"/>
  <c r="C3280" i="38"/>
  <c r="C1002" i="38"/>
  <c r="C5719" i="38"/>
  <c r="C1184" i="38"/>
  <c r="C3281" i="38"/>
  <c r="C4256" i="38"/>
  <c r="C4237" i="38"/>
  <c r="C4852" i="38"/>
  <c r="C2284" i="38"/>
  <c r="C862" i="38"/>
  <c r="C112" i="38"/>
  <c r="C2189" i="38"/>
  <c r="C1541" i="38"/>
  <c r="C264" i="38"/>
  <c r="C695" i="38"/>
  <c r="C4854" i="38"/>
  <c r="C1468" i="38"/>
  <c r="C1566" i="38"/>
  <c r="C426" i="38"/>
  <c r="C334" i="38"/>
  <c r="C229" i="38"/>
  <c r="C118" i="38"/>
  <c r="C175" i="38"/>
  <c r="C4265" i="38"/>
  <c r="C1607" i="38"/>
  <c r="C56" i="38"/>
  <c r="C1775" i="38"/>
  <c r="C1307" i="38"/>
  <c r="C4625" i="38"/>
  <c r="C1132" i="38"/>
  <c r="C3081" i="38"/>
  <c r="C4454" i="38"/>
  <c r="C5147" i="38"/>
  <c r="C4912" i="38"/>
  <c r="C3391" i="38"/>
  <c r="C2974" i="38"/>
  <c r="C1647" i="38"/>
  <c r="C3196" i="38"/>
  <c r="C2397" i="38"/>
  <c r="C562" i="38"/>
  <c r="C113" i="38"/>
  <c r="C1796" i="38"/>
  <c r="C3084" i="38"/>
  <c r="C3658" i="38"/>
  <c r="C1752" i="38"/>
  <c r="C272" i="38"/>
  <c r="C2603" i="38"/>
  <c r="C4439" i="38"/>
  <c r="C4172" i="38"/>
  <c r="C2826" i="38"/>
  <c r="C5155" i="38"/>
  <c r="C5278" i="38"/>
  <c r="C5728" i="38"/>
  <c r="C5653" i="38"/>
  <c r="C6131" i="38"/>
  <c r="C1088" i="38"/>
  <c r="C3402" i="38"/>
  <c r="C4626" i="38"/>
  <c r="C691" i="38"/>
  <c r="C6132" i="38"/>
  <c r="C5151" i="38"/>
  <c r="C4949" i="38"/>
  <c r="C4379" i="38"/>
  <c r="C3884" i="38"/>
  <c r="C1702" i="38"/>
  <c r="C5590" i="38"/>
  <c r="C763" i="38"/>
  <c r="C4806" i="38"/>
  <c r="C1648" i="38"/>
  <c r="C2199" i="38"/>
  <c r="C962" i="38"/>
  <c r="C2325" i="38"/>
  <c r="C3919" i="38"/>
  <c r="C4392" i="38"/>
  <c r="C4104" i="38"/>
  <c r="C3429" i="38"/>
  <c r="C1823" i="38"/>
  <c r="C2385" i="38"/>
  <c r="C4958" i="38"/>
  <c r="C5453" i="38"/>
  <c r="C5822" i="38"/>
  <c r="C5924" i="38"/>
  <c r="C5056" i="38"/>
  <c r="C565" i="38"/>
  <c r="C5417" i="38"/>
  <c r="C4595" i="38"/>
  <c r="C3093" i="38"/>
  <c r="C2472" i="38"/>
  <c r="C4814" i="38"/>
  <c r="C1172" i="38"/>
  <c r="C1308" i="38"/>
  <c r="C3529" i="38"/>
  <c r="C409" i="38"/>
  <c r="C428" i="38"/>
  <c r="C107" i="38"/>
  <c r="C1556" i="38"/>
  <c r="C1801" i="38"/>
  <c r="C1418" i="38"/>
  <c r="C2035" i="38"/>
  <c r="C2947" i="38"/>
  <c r="C5596" i="38"/>
  <c r="C5515" i="38"/>
  <c r="C1662" i="38"/>
  <c r="C2147" i="38"/>
  <c r="C2768" i="38"/>
  <c r="C1517" i="38"/>
  <c r="C4136" i="38"/>
  <c r="C4999" i="38"/>
  <c r="C1703" i="38"/>
  <c r="C1608" i="38"/>
  <c r="C2744" i="38"/>
  <c r="C1876" i="38"/>
  <c r="C2572" i="38"/>
  <c r="C4951" i="38"/>
  <c r="C2447" i="38"/>
  <c r="C6134" i="38"/>
  <c r="C2556" i="38"/>
  <c r="C4984" i="38"/>
  <c r="C2386" i="38"/>
  <c r="C2975" i="38"/>
  <c r="C5430" i="38"/>
  <c r="C2849" i="38"/>
  <c r="C2605" i="38"/>
  <c r="C4724" i="38"/>
  <c r="C4091" i="38"/>
  <c r="C2182" i="38"/>
  <c r="C1455" i="38"/>
  <c r="C2738" i="38"/>
  <c r="C2429" i="38"/>
  <c r="C4372" i="38"/>
  <c r="C2504" i="38"/>
  <c r="C4302" i="38"/>
  <c r="C1405" i="38"/>
  <c r="C943" i="38"/>
  <c r="C5274" i="38"/>
  <c r="C124" i="38"/>
  <c r="C1522" i="38"/>
  <c r="C1350" i="38"/>
  <c r="C4325" i="38"/>
  <c r="C878" i="38"/>
  <c r="C4105" i="38"/>
  <c r="C2827" i="38"/>
  <c r="C526" i="38"/>
  <c r="C1240" i="38"/>
  <c r="C3308" i="38"/>
  <c r="C4198" i="38"/>
  <c r="C934" i="38"/>
  <c r="C3816" i="38"/>
  <c r="C3241" i="38"/>
  <c r="C3784" i="38"/>
  <c r="C5431" i="38"/>
  <c r="C3963" i="38"/>
  <c r="C1128" i="38"/>
  <c r="C3972" i="38"/>
  <c r="C2613" i="38"/>
  <c r="C2357" i="38"/>
  <c r="C3102" i="38"/>
  <c r="C3899" i="38"/>
  <c r="C5556" i="38"/>
  <c r="C5988" i="38"/>
  <c r="C3071" i="38"/>
  <c r="C3355" i="38"/>
  <c r="C3364" i="38"/>
  <c r="C6038" i="38"/>
  <c r="C5619" i="38"/>
  <c r="C4197" i="38"/>
  <c r="C4292" i="38"/>
  <c r="C4618" i="38"/>
  <c r="C4910" i="38"/>
  <c r="C3950" i="38"/>
  <c r="C4546" i="38"/>
  <c r="C1328" i="38"/>
  <c r="C2592" i="38"/>
  <c r="C5112" i="38"/>
  <c r="C5486" i="38"/>
  <c r="C5485" i="38"/>
  <c r="C2056" i="38"/>
  <c r="C3075" i="38"/>
  <c r="C1606" i="38"/>
  <c r="C5153" i="38"/>
  <c r="C5867" i="38"/>
  <c r="C3078" i="38"/>
  <c r="C2660" i="38"/>
  <c r="C712" i="38"/>
  <c r="C829" i="38"/>
  <c r="C665" i="38"/>
  <c r="C391" i="38"/>
  <c r="C348" i="38"/>
  <c r="C3608" i="38"/>
  <c r="C3401" i="38"/>
  <c r="C5842" i="38"/>
  <c r="C4054" i="38"/>
  <c r="C3464" i="38"/>
  <c r="C4890" i="38"/>
  <c r="C4975" i="38"/>
  <c r="C4332" i="38"/>
  <c r="C3366" i="38"/>
  <c r="C369" i="38"/>
  <c r="C3951" i="38"/>
  <c r="C163" i="38"/>
  <c r="C4345" i="38"/>
  <c r="C779" i="38"/>
  <c r="C5973" i="38"/>
  <c r="C1249" i="38"/>
  <c r="C2540" i="38"/>
  <c r="C1758" i="38"/>
  <c r="C1660" i="38"/>
  <c r="C1367" i="38"/>
  <c r="C1349" i="38"/>
  <c r="C1672" i="38"/>
  <c r="C3765" i="38"/>
  <c r="C489" i="38"/>
  <c r="C87" i="38"/>
  <c r="C3320" i="38"/>
  <c r="C4101" i="38"/>
  <c r="C3389" i="38"/>
  <c r="C5256" i="38"/>
  <c r="C1915" i="38"/>
  <c r="C3082" i="38"/>
  <c r="C4293" i="38"/>
  <c r="C4867" i="38"/>
  <c r="C4983" i="38"/>
  <c r="C3887" i="38"/>
  <c r="C2257" i="38"/>
  <c r="C3497" i="38"/>
  <c r="C3783" i="38"/>
  <c r="C378" i="38"/>
  <c r="C147" i="38"/>
  <c r="C4953" i="38"/>
  <c r="C1962" i="38"/>
  <c r="C3085" i="38"/>
  <c r="C2240" i="38"/>
  <c r="C2000" i="38"/>
  <c r="C1155" i="38"/>
  <c r="C4055" i="38"/>
  <c r="C3643" i="38"/>
  <c r="C5006" i="38"/>
  <c r="C5118" i="38"/>
  <c r="C5614" i="38"/>
  <c r="C5823" i="38"/>
  <c r="C3560" i="38"/>
  <c r="C5225" i="38"/>
  <c r="C1417" i="38"/>
  <c r="C2604" i="38"/>
  <c r="C1018" i="38"/>
  <c r="C4276" i="38"/>
  <c r="C3086" i="38"/>
  <c r="C4941" i="38"/>
  <c r="C5384" i="38"/>
  <c r="C2923" i="38"/>
  <c r="C4370" i="38"/>
  <c r="C5019" i="38"/>
  <c r="C4610" i="38"/>
  <c r="C815" i="38"/>
  <c r="C3918" i="38"/>
  <c r="C726" i="38"/>
  <c r="C4381" i="38"/>
  <c r="C1096" i="38"/>
  <c r="C235" i="38"/>
  <c r="C3207" i="38"/>
  <c r="C5146" i="38"/>
  <c r="C4371" i="38"/>
  <c r="C3090" i="38"/>
  <c r="C1097" i="38"/>
  <c r="C3091" i="38"/>
  <c r="C4932" i="38"/>
  <c r="C4575" i="38"/>
  <c r="C5339" i="38"/>
  <c r="C5987" i="38"/>
  <c r="C5887" i="38"/>
  <c r="C385" i="38"/>
  <c r="C3092" i="38"/>
  <c r="C4323" i="38"/>
  <c r="C4206" i="38"/>
  <c r="C5631" i="38"/>
  <c r="C4073" i="38"/>
  <c r="C2132" i="38"/>
  <c r="C4630" i="38"/>
  <c r="C3629" i="38"/>
  <c r="C357" i="38"/>
  <c r="C4886" i="38"/>
  <c r="C1267" i="38"/>
  <c r="C2565" i="38"/>
  <c r="C1562" i="38"/>
  <c r="C1428" i="38"/>
  <c r="C3550" i="38"/>
  <c r="C3252" i="38"/>
  <c r="C5044" i="38"/>
  <c r="C5187" i="38"/>
  <c r="C5745" i="38"/>
  <c r="C2242" i="38"/>
  <c r="C1232" i="38"/>
  <c r="C1577" i="38"/>
  <c r="C2877" i="38"/>
  <c r="C3726" i="38"/>
  <c r="C2648" i="38"/>
  <c r="C742" i="38"/>
  <c r="C5231" i="38"/>
  <c r="C5984" i="38"/>
  <c r="C2004" i="38"/>
  <c r="C3625" i="38"/>
  <c r="C5296" i="38"/>
  <c r="C1219" i="38"/>
  <c r="C180" i="38"/>
  <c r="C4511" i="38"/>
  <c r="C4705" i="38"/>
  <c r="C1772" i="38"/>
  <c r="C3759" i="38"/>
  <c r="C5643" i="38"/>
  <c r="C3732" i="38"/>
  <c r="C3323" i="38"/>
  <c r="C1505" i="38"/>
  <c r="C2557" i="38"/>
  <c r="C3542" i="38"/>
  <c r="C1997" i="38"/>
  <c r="C5129" i="38"/>
  <c r="C2262" i="38"/>
  <c r="C3988" i="38"/>
  <c r="C5819" i="38"/>
  <c r="C6130" i="38"/>
  <c r="C2488" i="38"/>
  <c r="C3683" i="38"/>
  <c r="C2736" i="38"/>
  <c r="C2921" i="38"/>
  <c r="C2943" i="38"/>
  <c r="C2576" i="38"/>
  <c r="C3978" i="38"/>
  <c r="C2654" i="38"/>
  <c r="C2318" i="38"/>
  <c r="C4420" i="38"/>
  <c r="C4997" i="38"/>
  <c r="C4264" i="38"/>
  <c r="C1983" i="38"/>
  <c r="C1360" i="38"/>
  <c r="C4336" i="38"/>
  <c r="C5648" i="38"/>
  <c r="C4134" i="38"/>
  <c r="C3076" i="38"/>
  <c r="C4081" i="38"/>
  <c r="C1231" i="38"/>
  <c r="C6069" i="38"/>
  <c r="C4321" i="38"/>
  <c r="C646" i="38"/>
  <c r="C2019" i="38"/>
  <c r="C662" i="38"/>
  <c r="C1951" i="38"/>
  <c r="C2122" i="38"/>
  <c r="C4527" i="38"/>
  <c r="C3500" i="38"/>
  <c r="C5434" i="38"/>
  <c r="C4828" i="38"/>
  <c r="C5172" i="38"/>
  <c r="C3833" i="38"/>
  <c r="C4090" i="38"/>
  <c r="C4998" i="38"/>
  <c r="C5235" i="38"/>
  <c r="C2324" i="38"/>
  <c r="C2892" i="38"/>
  <c r="C130" i="38"/>
  <c r="C1882" i="38"/>
  <c r="C3628" i="38"/>
  <c r="C1952" i="38"/>
  <c r="C2044" i="38"/>
  <c r="C709" i="38"/>
  <c r="C2471" i="38"/>
  <c r="C667" i="38"/>
  <c r="C322" i="38"/>
  <c r="C523" i="38"/>
  <c r="C54" i="38"/>
  <c r="C165" i="38"/>
  <c r="C282" i="38"/>
  <c r="C1171" i="38"/>
  <c r="C110" i="38"/>
  <c r="C18" i="38"/>
  <c r="C1527" i="38"/>
  <c r="C3466" i="38"/>
  <c r="C2225" i="38"/>
  <c r="C4749" i="38"/>
  <c r="C4135" i="38"/>
  <c r="C4064" i="38"/>
  <c r="C4663" i="38"/>
  <c r="C4594" i="38"/>
  <c r="C3657" i="38"/>
  <c r="C1395" i="38"/>
  <c r="C1922" i="38"/>
  <c r="C956" i="38"/>
  <c r="C788" i="38"/>
  <c r="C2682" i="38"/>
  <c r="C117" i="38"/>
  <c r="C1574" i="38"/>
  <c r="C2991" i="38"/>
  <c r="C5273" i="38"/>
  <c r="C4957" i="38"/>
  <c r="C1969" i="38"/>
  <c r="C1427" i="38"/>
  <c r="C4065" i="38"/>
  <c r="C3322" i="38"/>
  <c r="C2946" i="38"/>
  <c r="C4897" i="38"/>
  <c r="C5101" i="38"/>
  <c r="C5741" i="38"/>
  <c r="C3917" i="38"/>
  <c r="C5317" i="38"/>
  <c r="C2639" i="38"/>
  <c r="C481" i="38"/>
  <c r="C3891" i="38"/>
  <c r="C3864" i="38"/>
  <c r="C3088" i="38"/>
  <c r="C3684" i="38"/>
  <c r="C4028" i="38"/>
  <c r="C4186" i="38"/>
  <c r="C2713" i="38"/>
  <c r="C5444" i="38"/>
  <c r="C5291" i="38"/>
  <c r="C573" i="38"/>
  <c r="C5338" i="38"/>
  <c r="C1365" i="38"/>
  <c r="C2241" i="38"/>
  <c r="C1214" i="38"/>
  <c r="C3570" i="38"/>
  <c r="C5378" i="38"/>
  <c r="C5853" i="38"/>
  <c r="C4382" i="38"/>
  <c r="C3498" i="38"/>
  <c r="C1318" i="38"/>
  <c r="C2876" i="38"/>
  <c r="C4913" i="38"/>
  <c r="C5816" i="38"/>
  <c r="C1064" i="38"/>
  <c r="C753" i="38"/>
  <c r="C323" i="38"/>
  <c r="C4322" i="38"/>
  <c r="C4431" i="38"/>
  <c r="C987" i="38"/>
  <c r="C6028" i="38"/>
  <c r="C3731" i="38"/>
  <c r="C2805" i="38"/>
  <c r="C1114" i="38"/>
  <c r="C524" i="38"/>
  <c r="C4654" i="38"/>
  <c r="C674" i="38"/>
  <c r="C2190" i="38"/>
  <c r="C144" i="38"/>
  <c r="C2473" i="38"/>
  <c r="C2631" i="38"/>
  <c r="C5162" i="38"/>
  <c r="C3561" i="38"/>
  <c r="C4285" i="38"/>
  <c r="C5445" i="38"/>
  <c r="C3094" i="38"/>
  <c r="C1810" i="38"/>
  <c r="C4099" i="38"/>
  <c r="C2737" i="38"/>
  <c r="C1098" i="38"/>
  <c r="C702" i="38"/>
  <c r="C5634" i="38"/>
  <c r="C2321" i="38"/>
  <c r="C5389" i="38"/>
  <c r="C812" i="38"/>
  <c r="C2699" i="38"/>
  <c r="C5176" i="38"/>
  <c r="C5359" i="38"/>
  <c r="C634" i="38"/>
  <c r="C3855" i="38"/>
  <c r="C5411" i="38"/>
  <c r="C2106" i="38"/>
  <c r="C1836" i="38"/>
  <c r="C4399" i="38"/>
  <c r="C5886" i="38"/>
  <c r="C2503" i="38"/>
  <c r="C4324" i="38"/>
  <c r="C2110" i="38"/>
  <c r="C3368" i="38"/>
  <c r="C1511" i="38"/>
  <c r="C1893" i="38"/>
  <c r="C6135" i="38"/>
  <c r="C4474" i="38"/>
  <c r="C3599" i="38"/>
  <c r="C1985" i="38"/>
  <c r="C2887" i="38"/>
  <c r="C1543" i="38"/>
  <c r="C4512" i="38"/>
  <c r="C4383" i="38"/>
  <c r="C184" i="38"/>
  <c r="C3098" i="38"/>
  <c r="C2407" i="38"/>
  <c r="C2700" i="38"/>
  <c r="C3385" i="38"/>
  <c r="C4257" i="38"/>
  <c r="C1676" i="38"/>
  <c r="C4475" i="38"/>
  <c r="C982" i="38"/>
  <c r="C2134" i="38"/>
  <c r="C1953" i="38"/>
  <c r="C4658" i="38"/>
  <c r="C5350" i="38"/>
  <c r="C704" i="38"/>
  <c r="C5432" i="38"/>
  <c r="C5456" i="38"/>
  <c r="C2352" i="38"/>
  <c r="C2510" i="38"/>
  <c r="C5475" i="38"/>
  <c r="C2094" i="38"/>
  <c r="C1211" i="38"/>
  <c r="C3310" i="38"/>
  <c r="C4673" i="38"/>
  <c r="C4082" i="38"/>
  <c r="C3973" i="38"/>
  <c r="C592" i="38"/>
  <c r="C5916" i="38"/>
  <c r="C2319" i="38"/>
  <c r="C5518" i="38"/>
  <c r="C4148" i="38"/>
  <c r="C2807" i="38"/>
  <c r="C2438" i="38"/>
  <c r="C4995" i="38"/>
  <c r="C1924" i="38"/>
  <c r="C4460" i="38"/>
  <c r="C5108" i="38"/>
  <c r="C1998" i="38"/>
  <c r="C1013" i="38"/>
  <c r="C939" i="38"/>
  <c r="C5134" i="38"/>
  <c r="C6040" i="38"/>
  <c r="C4035" i="38"/>
  <c r="C3105" i="38"/>
  <c r="C1987" i="38"/>
  <c r="C5128" i="38"/>
  <c r="C1451" i="38"/>
  <c r="C3748" i="38"/>
  <c r="C1430" i="38"/>
  <c r="C309" i="38"/>
  <c r="C2916" i="38"/>
  <c r="C77" i="38"/>
  <c r="C89" i="38"/>
  <c r="C446" i="38"/>
  <c r="C152" i="38"/>
  <c r="C1769" i="38"/>
  <c r="C2320" i="38"/>
  <c r="C3941" i="38"/>
  <c r="C4603" i="38"/>
  <c r="C5268" i="38"/>
  <c r="C3525" i="38"/>
  <c r="C3501" i="38"/>
  <c r="C3488" i="38"/>
  <c r="C3952" i="38"/>
  <c r="C2165" i="38"/>
  <c r="C4991" i="38"/>
  <c r="C5195" i="38"/>
  <c r="C6137" i="38"/>
  <c r="C776" i="38"/>
  <c r="C270" i="38"/>
  <c r="C2414" i="38"/>
  <c r="C949" i="38"/>
  <c r="C2201" i="38"/>
  <c r="C5397" i="38"/>
  <c r="C3818" i="38"/>
  <c r="C2433" i="38"/>
  <c r="C5148" i="38"/>
  <c r="C5884" i="38"/>
  <c r="C5579" i="38"/>
  <c r="C5509" i="38"/>
  <c r="C2531" i="38"/>
  <c r="C923" i="38"/>
  <c r="C1719" i="38"/>
  <c r="C3982" i="38"/>
  <c r="C4576" i="38"/>
  <c r="C4306" i="38"/>
  <c r="C4803" i="38"/>
  <c r="C1760" i="38"/>
  <c r="C660" i="38"/>
  <c r="C5091" i="38"/>
  <c r="C1635" i="38"/>
  <c r="C3003" i="38"/>
  <c r="C1068" i="38"/>
  <c r="C5083" i="38"/>
  <c r="C6139" i="38"/>
  <c r="C5812" i="38"/>
  <c r="C5307" i="38"/>
  <c r="C5902" i="38"/>
  <c r="C6091" i="38"/>
  <c r="C4281" i="38"/>
  <c r="C3290" i="38"/>
  <c r="C2544" i="38"/>
  <c r="C1488" i="38"/>
  <c r="C1753" i="38"/>
  <c r="C3587" i="38"/>
  <c r="C1761" i="38"/>
  <c r="C5352" i="38"/>
  <c r="C1357" i="38"/>
  <c r="C4334" i="38"/>
  <c r="C5163" i="38"/>
  <c r="C4649" i="38"/>
  <c r="C283" i="38"/>
  <c r="C694" i="38"/>
  <c r="C1970" i="38"/>
  <c r="C3530" i="38"/>
  <c r="C1319" i="38"/>
  <c r="C1704" i="38"/>
  <c r="C1431" i="38"/>
  <c r="C579" i="38"/>
  <c r="C2096" i="38"/>
  <c r="C3922" i="38"/>
  <c r="C4887" i="38"/>
  <c r="C2810" i="38"/>
  <c r="C1591" i="38"/>
  <c r="C1463" i="38"/>
  <c r="C2302" i="38"/>
  <c r="C4942" i="38"/>
  <c r="C518" i="38"/>
  <c r="C1215" i="38"/>
  <c r="C5318" i="38"/>
  <c r="C4181" i="38"/>
  <c r="C706" i="38"/>
  <c r="C2777" i="38"/>
  <c r="C2585" i="38"/>
  <c r="C2894" i="38"/>
  <c r="C4898" i="38"/>
  <c r="C3346" i="38"/>
  <c r="C1971" i="38"/>
  <c r="C2649" i="38"/>
  <c r="C3417" i="38"/>
  <c r="C2732" i="38"/>
  <c r="C3489" i="38"/>
  <c r="C2524" i="38"/>
  <c r="C3109" i="38"/>
  <c r="C3567" i="38"/>
  <c r="C2046" i="38"/>
  <c r="C3347" i="38"/>
  <c r="C1963" i="38"/>
  <c r="C3847" i="38"/>
  <c r="C5481" i="38"/>
  <c r="C3311" i="38"/>
  <c r="C3111" i="38"/>
  <c r="C2663" i="38"/>
  <c r="C2640" i="38"/>
  <c r="C2097" i="38"/>
  <c r="C2614" i="38"/>
  <c r="C4485" i="38"/>
  <c r="C2753" i="38"/>
  <c r="C1189" i="38"/>
  <c r="C1235" i="38"/>
  <c r="C3467" i="38"/>
  <c r="C3516" i="38"/>
  <c r="C1778" i="38"/>
  <c r="C3490" i="38"/>
  <c r="C3341" i="38"/>
  <c r="C3767" i="38"/>
  <c r="C5883" i="38"/>
  <c r="C3118" i="38"/>
  <c r="C3468" i="38"/>
  <c r="C2390" i="38"/>
  <c r="C4083" i="38"/>
  <c r="C1432" i="38"/>
  <c r="C4016" i="38"/>
  <c r="C5861" i="38"/>
  <c r="C1250" i="38"/>
  <c r="C1825" i="38"/>
  <c r="C3825" i="38"/>
  <c r="C4838" i="38"/>
  <c r="C2778" i="38"/>
  <c r="C5214" i="38"/>
  <c r="C3933" i="38"/>
  <c r="C551" i="38"/>
  <c r="C181" i="38"/>
  <c r="C5114" i="38"/>
  <c r="C2754" i="38"/>
  <c r="C2361" i="38"/>
  <c r="C3716" i="38"/>
  <c r="C2210" i="38"/>
  <c r="C1706" i="38"/>
  <c r="C5308" i="38"/>
  <c r="C3122" i="38"/>
  <c r="C1216" i="38"/>
  <c r="C1011" i="38"/>
  <c r="C2755" i="38"/>
  <c r="C2409" i="38"/>
  <c r="C1474" i="38"/>
  <c r="C3203" i="38"/>
  <c r="C1163" i="38"/>
  <c r="C3998" i="38"/>
  <c r="C3994" i="38"/>
  <c r="C4215" i="38"/>
  <c r="C2968" i="38"/>
  <c r="C1026" i="38"/>
  <c r="C5366" i="38"/>
  <c r="C5361" i="38"/>
  <c r="C3219" i="38"/>
  <c r="C4917" i="38"/>
  <c r="C4250" i="38"/>
  <c r="C4139" i="38"/>
  <c r="C458" i="38"/>
  <c r="C3572" i="38"/>
  <c r="C3126" i="38"/>
  <c r="C4815" i="38"/>
  <c r="C3707" i="38"/>
  <c r="C3267" i="38"/>
  <c r="C4268" i="38"/>
  <c r="C5472" i="38"/>
  <c r="C5189" i="38"/>
  <c r="C4498" i="38"/>
  <c r="C1654" i="38"/>
  <c r="C1601" i="38"/>
  <c r="C363" i="38"/>
  <c r="C626" i="38"/>
  <c r="C227" i="38"/>
  <c r="C4216" i="38"/>
  <c r="C2506" i="38"/>
  <c r="C3708" i="38"/>
  <c r="C4140" i="38"/>
  <c r="C3675" i="38"/>
  <c r="C4491" i="38"/>
  <c r="C650" i="38"/>
  <c r="C60" i="38"/>
  <c r="C1382" i="38"/>
  <c r="C1355" i="38"/>
  <c r="C352" i="38"/>
  <c r="C818" i="38"/>
  <c r="C792" i="38"/>
  <c r="C5552" i="38"/>
  <c r="C3809" i="38"/>
  <c r="C4843" i="38"/>
  <c r="C5008" i="38"/>
  <c r="C4550" i="38"/>
  <c r="C563" i="38"/>
  <c r="C2533" i="38"/>
  <c r="C864" i="38"/>
  <c r="C474" i="38"/>
  <c r="C3255" i="38"/>
  <c r="C2686" i="38"/>
  <c r="C3663" i="38"/>
  <c r="C4247" i="38"/>
  <c r="C2977" i="38"/>
  <c r="C2835" i="38"/>
  <c r="C3419" i="38"/>
  <c r="C1690" i="38"/>
  <c r="C940" i="38"/>
  <c r="C594" i="38"/>
  <c r="C5974" i="38"/>
  <c r="C6142" i="38"/>
  <c r="C2797" i="38"/>
  <c r="C3761" i="38"/>
  <c r="C5636" i="38"/>
  <c r="C4862" i="38"/>
  <c r="C4734" i="38"/>
  <c r="C5227" i="38"/>
  <c r="C4142" i="38"/>
  <c r="C3437" i="38"/>
  <c r="C1878" i="38"/>
  <c r="C2138" i="38"/>
  <c r="C2452" i="38"/>
  <c r="C2248" i="38"/>
  <c r="C308" i="38"/>
  <c r="C5559" i="38"/>
  <c r="C4183" i="38"/>
  <c r="C3492" i="38"/>
  <c r="C1869" i="38"/>
  <c r="C5491" i="38"/>
  <c r="C5766" i="38"/>
  <c r="C5955" i="38"/>
  <c r="C5951" i="38"/>
  <c r="C3131" i="38"/>
  <c r="C4750" i="38"/>
  <c r="C4751" i="38"/>
  <c r="C5439" i="38"/>
  <c r="C5550" i="38"/>
  <c r="C5074" i="38"/>
  <c r="C2908" i="38"/>
  <c r="C3568" i="38"/>
  <c r="C1627" i="38"/>
  <c r="C1165" i="38"/>
  <c r="C520" i="38"/>
  <c r="C372" i="38"/>
  <c r="C269" i="38"/>
  <c r="C244" i="38"/>
  <c r="C5870" i="38"/>
  <c r="C2202" i="38"/>
  <c r="C2139" i="38"/>
  <c r="C4017" i="38"/>
  <c r="C5613" i="38"/>
  <c r="C5837" i="38"/>
  <c r="C5676" i="38"/>
  <c r="C6090" i="38"/>
  <c r="C4476" i="38"/>
  <c r="C2221" i="38"/>
  <c r="C4918" i="38"/>
  <c r="C2780" i="38"/>
  <c r="C4869" i="38"/>
  <c r="C3198" i="38"/>
  <c r="C986" i="38"/>
  <c r="C506" i="38"/>
  <c r="C3133" i="38"/>
  <c r="C5319" i="38"/>
  <c r="C3137" i="38"/>
  <c r="C3357" i="38"/>
  <c r="C2693" i="38"/>
  <c r="C4926" i="38"/>
  <c r="C1687" i="38"/>
  <c r="C205" i="38"/>
  <c r="C4856" i="38"/>
  <c r="C1712" i="38"/>
  <c r="C1302" i="38"/>
  <c r="C1059" i="38"/>
  <c r="C2611" i="38"/>
  <c r="C3619" i="38"/>
  <c r="C5995" i="38"/>
  <c r="C5875" i="38"/>
  <c r="C4173" i="38"/>
  <c r="C2733" i="38"/>
  <c r="C1586" i="38"/>
  <c r="C2391" i="38"/>
  <c r="C4790" i="38"/>
  <c r="C4807" i="38"/>
  <c r="C6146" i="38"/>
  <c r="C2715" i="38"/>
  <c r="C1748" i="38"/>
  <c r="C2015" i="38"/>
  <c r="C527" i="38"/>
  <c r="C384" i="38"/>
  <c r="C73" i="38"/>
  <c r="C209" i="38"/>
  <c r="C4412" i="38"/>
  <c r="C3306" i="38"/>
  <c r="C2984" i="38"/>
  <c r="C865" i="38"/>
  <c r="C1058" i="38"/>
  <c r="C1673" i="38"/>
  <c r="C43" i="38"/>
  <c r="C1713" i="38"/>
  <c r="C2543" i="38"/>
  <c r="C108" i="38"/>
  <c r="C4312" i="38"/>
  <c r="C734" i="38"/>
  <c r="C3562" i="38"/>
  <c r="C3324" i="38"/>
  <c r="C2950" i="38"/>
  <c r="C4877" i="38"/>
  <c r="C2436" i="38"/>
  <c r="C3817" i="38"/>
  <c r="C5513" i="38"/>
  <c r="C4621" i="38"/>
  <c r="C4851" i="38"/>
  <c r="C3375" i="38"/>
  <c r="C3734" i="38"/>
  <c r="C3746" i="38"/>
  <c r="C2924" i="38"/>
  <c r="C1212" i="38"/>
  <c r="C2584" i="38"/>
  <c r="C499" i="38"/>
  <c r="C440" i="38"/>
  <c r="C319" i="38"/>
  <c r="C698" i="38"/>
  <c r="C5661" i="38"/>
  <c r="C1544" i="38"/>
  <c r="C4690" i="38"/>
  <c r="C4596" i="38"/>
  <c r="C2336" i="38"/>
  <c r="C1374" i="38"/>
  <c r="C4021" i="38"/>
  <c r="C3356" i="38"/>
  <c r="C5090" i="38"/>
  <c r="C1188" i="38"/>
  <c r="C5204" i="38"/>
  <c r="C4812" i="38"/>
  <c r="C8" i="38"/>
  <c r="C2285" i="38"/>
  <c r="C1986" i="38"/>
  <c r="C4472" i="38"/>
  <c r="C3747" i="38"/>
  <c r="C612" i="38"/>
  <c r="C1396" i="38"/>
  <c r="C863" i="38"/>
  <c r="C5505" i="38"/>
  <c r="C4965" i="38"/>
  <c r="C263" i="38"/>
  <c r="C1743" i="38"/>
  <c r="C1159" i="38"/>
  <c r="C321" i="38"/>
  <c r="C935" i="38"/>
  <c r="C4180" i="38"/>
  <c r="C4440" i="38"/>
  <c r="C5001" i="38"/>
  <c r="C1084" i="38"/>
  <c r="C3515" i="38"/>
  <c r="C2951" i="38"/>
  <c r="C1160" i="38"/>
  <c r="C3735" i="38"/>
  <c r="C545" i="38"/>
  <c r="C1492" i="38"/>
  <c r="C5667" i="38"/>
  <c r="C1685" i="38"/>
  <c r="C225" i="38"/>
  <c r="C2809" i="38"/>
  <c r="C1799" i="38"/>
  <c r="C2200" i="38"/>
  <c r="C3369" i="38"/>
  <c r="C2191" i="38"/>
  <c r="C4612" i="38"/>
  <c r="C4668" i="38"/>
  <c r="C1759" i="38"/>
  <c r="C799" i="38"/>
  <c r="C5950" i="38"/>
  <c r="C1802" i="38"/>
  <c r="C5608" i="38"/>
  <c r="C4137" i="38"/>
  <c r="C3704" i="38"/>
  <c r="C2218" i="38"/>
  <c r="C2578" i="38"/>
  <c r="C1041" i="38"/>
  <c r="C2925" i="38"/>
  <c r="C5468" i="38"/>
  <c r="C5356" i="38"/>
  <c r="C3644" i="38"/>
  <c r="C4925" i="38"/>
  <c r="C2523" i="38"/>
  <c r="C5531" i="38"/>
  <c r="C5767" i="38"/>
  <c r="C3705" i="38"/>
  <c r="C3659" i="38"/>
  <c r="C2358" i="38"/>
  <c r="C5975" i="38"/>
  <c r="C6085" i="38"/>
  <c r="C1824" i="38"/>
  <c r="C2566" i="38"/>
  <c r="C572" i="38"/>
  <c r="C813" i="38"/>
  <c r="C1744" i="38"/>
  <c r="C1939" i="38"/>
  <c r="C3787" i="38"/>
  <c r="C4542" i="38"/>
  <c r="C2275" i="38"/>
  <c r="C1639" i="38"/>
  <c r="C1053" i="38"/>
  <c r="C9" i="38"/>
  <c r="C1195" i="38"/>
  <c r="C1262" i="38"/>
  <c r="C3282" i="38"/>
  <c r="C4414" i="38"/>
  <c r="C1234" i="38"/>
  <c r="C689" i="38"/>
  <c r="C3888" i="38"/>
  <c r="C512" i="38"/>
  <c r="C3107" i="38"/>
  <c r="C4456" i="38"/>
  <c r="C4046" i="38"/>
  <c r="C2907" i="38"/>
  <c r="C2154" i="38"/>
  <c r="C1598" i="38"/>
  <c r="C2513" i="38"/>
  <c r="C4152" i="38"/>
  <c r="C5527" i="38"/>
  <c r="C2784" i="38"/>
  <c r="C1206" i="38"/>
  <c r="C4529" i="38"/>
  <c r="C371" i="38"/>
  <c r="C3588" i="38"/>
  <c r="C2424" i="38"/>
  <c r="C3004" i="38"/>
  <c r="C1619" i="38"/>
  <c r="C3522" i="38"/>
  <c r="C1122" i="38"/>
  <c r="C2545" i="38"/>
  <c r="C1889" i="38"/>
  <c r="C1686" i="38"/>
  <c r="C2895" i="38"/>
  <c r="C3986" i="38"/>
  <c r="C3110" i="38"/>
  <c r="C2593" i="38"/>
  <c r="C3789" i="38"/>
  <c r="C2580" i="38"/>
  <c r="C3835" i="38"/>
  <c r="C3618" i="38"/>
  <c r="C4496" i="38"/>
  <c r="C5376" i="38"/>
  <c r="C3112" i="38"/>
  <c r="C2360" i="38"/>
  <c r="C2926" i="38"/>
  <c r="C3115" i="38"/>
  <c r="C1746" i="38"/>
  <c r="C3293" i="38"/>
  <c r="C1545" i="38"/>
  <c r="C839" i="38"/>
  <c r="C1989" i="38"/>
  <c r="C2840" i="38"/>
  <c r="C2312" i="38"/>
  <c r="C3925" i="38"/>
  <c r="C1336" i="38"/>
  <c r="C2268" i="38"/>
  <c r="C2443" i="38"/>
  <c r="C5911" i="38"/>
  <c r="C5547" i="38"/>
  <c r="C5157" i="38"/>
  <c r="C2368" i="38"/>
  <c r="C4373" i="38"/>
  <c r="C3685" i="38"/>
  <c r="C632" i="38"/>
  <c r="C5913" i="38"/>
  <c r="C1439" i="38"/>
  <c r="C3958" i="38"/>
  <c r="C2439" i="38"/>
  <c r="C2685" i="38"/>
  <c r="C5710" i="38"/>
  <c r="C3002" i="38"/>
  <c r="C1334" i="38"/>
  <c r="C5968" i="38"/>
  <c r="C3808" i="38"/>
  <c r="C4106" i="38"/>
  <c r="C4167" i="38"/>
  <c r="C3943" i="38"/>
  <c r="C4804" i="38"/>
  <c r="C4655" i="38"/>
  <c r="C3503" i="38"/>
  <c r="C3749" i="38"/>
  <c r="C3123" i="38"/>
  <c r="C3686" i="38"/>
  <c r="C450" i="38"/>
  <c r="C2246" i="38"/>
  <c r="C3790" i="38"/>
  <c r="C1609" i="38"/>
  <c r="C765" i="38"/>
  <c r="C613" i="38"/>
  <c r="C2967" i="38"/>
  <c r="C2287" i="38"/>
  <c r="C2137" i="38"/>
  <c r="C1110" i="38"/>
  <c r="C3124" i="38"/>
  <c r="C2060" i="38"/>
  <c r="C5416" i="38"/>
  <c r="C2416" i="38"/>
  <c r="C5115" i="38"/>
  <c r="C4110" i="38"/>
  <c r="C3666" i="38"/>
  <c r="C1027" i="38"/>
  <c r="C3303" i="38"/>
  <c r="C3127" i="38"/>
  <c r="C4778" i="38"/>
  <c r="C4326" i="38"/>
  <c r="C5045" i="38"/>
  <c r="C5135" i="38"/>
  <c r="C5557" i="38"/>
  <c r="C3967" i="38"/>
  <c r="C635" i="38"/>
  <c r="C2714" i="38"/>
  <c r="C2166" i="38"/>
  <c r="C718" i="38"/>
  <c r="C294" i="38"/>
  <c r="C157" i="38"/>
  <c r="C4570" i="38"/>
  <c r="C304" i="38"/>
  <c r="C4986" i="38"/>
  <c r="C4141" i="38"/>
  <c r="C4245" i="38"/>
  <c r="C4313" i="38"/>
  <c r="C2529" i="38"/>
  <c r="C2049" i="38"/>
  <c r="C1868" i="38"/>
  <c r="C909" i="38"/>
  <c r="C374" i="38"/>
  <c r="C525" i="38"/>
  <c r="C5395" i="38"/>
  <c r="C743" i="38"/>
  <c r="C4295" i="38"/>
  <c r="C3937" i="38"/>
  <c r="C4107" i="38"/>
  <c r="C963" i="38"/>
  <c r="C115" i="38"/>
  <c r="C1532" i="38"/>
  <c r="C643" i="38"/>
  <c r="C598" i="38"/>
  <c r="C3676" i="38"/>
  <c r="C2288" i="38"/>
  <c r="C970" i="38"/>
  <c r="C1282" i="38"/>
  <c r="C2478" i="38"/>
  <c r="C1763" i="38"/>
  <c r="C1793" i="38"/>
  <c r="C836" i="38"/>
  <c r="C2616" i="38"/>
  <c r="C331" i="38"/>
  <c r="C5999" i="38"/>
  <c r="C1620" i="38"/>
  <c r="C3291" i="38"/>
  <c r="C5306" i="38"/>
  <c r="C5581" i="38"/>
  <c r="C4025" i="38"/>
  <c r="C5747" i="38"/>
  <c r="C6017" i="38"/>
  <c r="C2534" i="38"/>
  <c r="C2701" i="38"/>
  <c r="C2179" i="38"/>
  <c r="C4074" i="38"/>
  <c r="C4300" i="38"/>
  <c r="C685" i="38"/>
  <c r="C5391" i="38"/>
  <c r="C6144" i="38"/>
  <c r="C3995" i="38"/>
  <c r="C3246" i="38"/>
  <c r="C3838" i="38"/>
  <c r="C5401" i="38"/>
  <c r="C5793" i="38"/>
  <c r="C5978" i="38"/>
  <c r="C6014" i="38"/>
  <c r="C534" i="38"/>
  <c r="C4899" i="38"/>
  <c r="C5347" i="38"/>
  <c r="C4950" i="38"/>
  <c r="C5371" i="38"/>
  <c r="C2888" i="38"/>
  <c r="C2008" i="38"/>
  <c r="C3348" i="38"/>
  <c r="C1339" i="38"/>
  <c r="C4777" i="38"/>
  <c r="C609" i="38"/>
  <c r="C208" i="38"/>
  <c r="C95" i="38"/>
  <c r="C806" i="38"/>
  <c r="C4830" i="38"/>
  <c r="C2289" i="38"/>
  <c r="C1854" i="38"/>
  <c r="C5052" i="38"/>
  <c r="C330" i="38"/>
  <c r="C3097" i="38"/>
  <c r="C3733" i="38"/>
  <c r="C448" i="38"/>
  <c r="C3099" i="38"/>
  <c r="C1742" i="38"/>
  <c r="C5275" i="38"/>
  <c r="C2683" i="38"/>
  <c r="C3702" i="38"/>
  <c r="C5910" i="38"/>
  <c r="C669" i="38"/>
  <c r="C5213" i="38"/>
  <c r="C5757" i="38"/>
  <c r="C3242" i="38"/>
  <c r="C2437" i="38"/>
  <c r="C3665" i="38"/>
  <c r="C2806" i="38"/>
  <c r="C5392" i="38"/>
  <c r="C4674" i="38"/>
  <c r="C4470" i="38"/>
  <c r="C5703" i="38"/>
  <c r="C6136" i="38"/>
  <c r="C5709" i="38"/>
  <c r="C959" i="38"/>
  <c r="C4548" i="38"/>
  <c r="C1484" i="38"/>
  <c r="C5119" i="38"/>
  <c r="C3487" i="38"/>
  <c r="C4114" i="38"/>
  <c r="C1512" i="38"/>
  <c r="C5476" i="38"/>
  <c r="C2828" i="38"/>
  <c r="C5602" i="38"/>
  <c r="C924" i="38"/>
  <c r="C4872" i="38"/>
  <c r="C3351" i="38"/>
  <c r="C3800" i="38"/>
  <c r="C2939" i="38"/>
  <c r="C2095" i="38"/>
  <c r="C948" i="38"/>
  <c r="C705" i="38"/>
  <c r="C4346" i="38"/>
  <c r="C5075" i="38"/>
  <c r="C3920" i="38"/>
  <c r="C996" i="38"/>
  <c r="C126" i="38"/>
  <c r="C242" i="38"/>
  <c r="C191" i="38"/>
  <c r="C324" i="38"/>
  <c r="C1257" i="38"/>
  <c r="C3786" i="38"/>
  <c r="C2808" i="38"/>
  <c r="C4676" i="38"/>
  <c r="C4513" i="38"/>
  <c r="C2459" i="38"/>
  <c r="C3921" i="38"/>
  <c r="C2176" i="38"/>
  <c r="C1534" i="38"/>
  <c r="C1942" i="38"/>
  <c r="C5464" i="38"/>
  <c r="C5931" i="38"/>
  <c r="C4528" i="38"/>
  <c r="C3403" i="38"/>
  <c r="C960" i="38"/>
  <c r="C2286" i="38"/>
  <c r="C1156" i="38"/>
  <c r="C3543" i="38"/>
  <c r="C2684" i="38"/>
  <c r="C3436" i="38"/>
  <c r="C5540" i="38"/>
  <c r="C899" i="38"/>
  <c r="C5365" i="38"/>
  <c r="C6138" i="38"/>
  <c r="C5629" i="38"/>
  <c r="C5188" i="38"/>
  <c r="C5122" i="38"/>
  <c r="C4549" i="38"/>
  <c r="C3106" i="38"/>
  <c r="C4645" i="38"/>
  <c r="C3218" i="38"/>
  <c r="C4964" i="38"/>
  <c r="C749" i="38"/>
  <c r="C543" i="38"/>
  <c r="C5331" i="38"/>
  <c r="C890" i="38"/>
  <c r="C5236" i="38"/>
  <c r="C2339" i="38"/>
  <c r="C5301" i="38"/>
  <c r="C5458" i="38"/>
  <c r="C5425" i="38"/>
  <c r="C5808" i="38"/>
  <c r="C6059" i="38"/>
  <c r="C6140" i="38"/>
  <c r="C2244" i="38"/>
  <c r="C1723" i="38"/>
  <c r="C2148" i="38"/>
  <c r="C2902" i="38"/>
  <c r="C1397" i="38"/>
  <c r="C1301" i="38"/>
  <c r="C4500" i="38"/>
  <c r="C469" i="38"/>
  <c r="C4636" i="38"/>
  <c r="C4832" i="38"/>
  <c r="C5032" i="38"/>
  <c r="C5470" i="38"/>
  <c r="C67" i="38"/>
  <c r="C2415" i="38"/>
  <c r="C908" i="38"/>
  <c r="C2177" i="38"/>
  <c r="C3326" i="38"/>
  <c r="C2220" i="38"/>
  <c r="C1804" i="38"/>
  <c r="C4335" i="38"/>
  <c r="C4127" i="38"/>
  <c r="C3923" i="38"/>
  <c r="C4794" i="38"/>
  <c r="C3724" i="38"/>
  <c r="C1079" i="38"/>
  <c r="C2178" i="38"/>
  <c r="C3416" i="38"/>
  <c r="C3924" i="38"/>
  <c r="C3865" i="38"/>
  <c r="C2359" i="38"/>
  <c r="C3964" i="38"/>
  <c r="C2311" i="38"/>
  <c r="C655" i="38"/>
  <c r="C1883" i="38"/>
  <c r="C764" i="38"/>
  <c r="C5832" i="38"/>
  <c r="C620" i="38"/>
  <c r="C1273" i="38"/>
  <c r="C1724" i="38"/>
  <c r="C3253" i="38"/>
  <c r="C3302" i="38"/>
  <c r="C3868" i="38"/>
  <c r="C2831" i="38"/>
  <c r="C3788" i="38"/>
  <c r="C2769" i="38"/>
  <c r="C2976" i="38"/>
  <c r="C3645" i="38"/>
  <c r="C3430" i="38"/>
  <c r="C1269" i="38"/>
  <c r="C2627" i="38"/>
  <c r="C333" i="38"/>
  <c r="C2005" i="38"/>
  <c r="C3113" i="38"/>
  <c r="C4092" i="38"/>
  <c r="C3114" i="38"/>
  <c r="C4590" i="38"/>
  <c r="C4952" i="38"/>
  <c r="C1398" i="38"/>
  <c r="C3254" i="38"/>
  <c r="C5896" i="38"/>
  <c r="C1578" i="38"/>
  <c r="C2389" i="38"/>
  <c r="C2745" i="38"/>
  <c r="C2680" i="38"/>
  <c r="C3327" i="38"/>
  <c r="C1762" i="38"/>
  <c r="C928" i="38"/>
  <c r="C3116" i="38"/>
  <c r="C4282" i="38"/>
  <c r="C2085" i="38"/>
  <c r="C2601" i="38"/>
  <c r="C2615" i="38"/>
  <c r="C2296" i="38"/>
  <c r="C5562" i="38"/>
  <c r="C59" i="38"/>
  <c r="C1794" i="38"/>
  <c r="C2245" i="38"/>
  <c r="C2408" i="38"/>
  <c r="C4833" i="38"/>
  <c r="C5502" i="38"/>
  <c r="C4062" i="38"/>
  <c r="C1895" i="38"/>
  <c r="C405" i="38"/>
  <c r="C1716" i="38"/>
  <c r="C2563" i="38"/>
  <c r="C4084" i="38"/>
  <c r="C2854" i="38"/>
  <c r="C5081" i="38"/>
  <c r="C4029" i="38"/>
  <c r="C5199" i="38"/>
  <c r="C3120" i="38"/>
  <c r="C1754" i="38"/>
  <c r="C1747" i="38"/>
  <c r="C502" i="38"/>
  <c r="C2011" i="38"/>
  <c r="C4936" i="38"/>
  <c r="C4805" i="38"/>
  <c r="C2098" i="38"/>
  <c r="C6022" i="38"/>
  <c r="C3706" i="38"/>
  <c r="C3244" i="38"/>
  <c r="C1294" i="38"/>
  <c r="C2192" i="38"/>
  <c r="C900" i="38"/>
  <c r="C1004" i="38"/>
  <c r="C2664" i="38"/>
  <c r="C3819" i="38"/>
  <c r="C3876" i="38"/>
  <c r="C5519" i="38"/>
  <c r="C1433" i="38"/>
  <c r="C2001" i="38"/>
  <c r="C3380" i="38"/>
  <c r="C3128" i="38"/>
  <c r="C3826" i="38"/>
  <c r="C4294" i="38"/>
  <c r="C2313" i="38"/>
  <c r="C4944" i="38"/>
  <c r="C4428" i="38"/>
  <c r="C128" i="38"/>
  <c r="C2514" i="38"/>
  <c r="C4056" i="38"/>
  <c r="C1236" i="38"/>
  <c r="C1136" i="38"/>
  <c r="C404" i="38"/>
  <c r="C249" i="38"/>
  <c r="C1281" i="38"/>
  <c r="C5998" i="38"/>
  <c r="C4779" i="38"/>
  <c r="C4228" i="38"/>
  <c r="C4687" i="38"/>
  <c r="C1320" i="38"/>
  <c r="C824" i="38"/>
  <c r="C1085" i="38"/>
  <c r="C2263" i="38"/>
  <c r="C1270" i="38"/>
  <c r="C597" i="38"/>
  <c r="C326" i="38"/>
  <c r="C5690" i="38"/>
  <c r="C4374" i="38"/>
  <c r="C3404" i="38"/>
  <c r="C3687" i="38"/>
  <c r="C3504" i="38"/>
  <c r="C365" i="38"/>
  <c r="C134" i="38"/>
  <c r="C1926" i="38"/>
  <c r="C537" i="38"/>
  <c r="C819" i="38"/>
  <c r="C1066" i="38"/>
  <c r="C5036" i="38"/>
  <c r="C2641" i="38"/>
  <c r="C26" i="38"/>
  <c r="C1185" i="38"/>
  <c r="C3197" i="38"/>
  <c r="C1237" i="38"/>
  <c r="C1850" i="38"/>
  <c r="C2756" i="38"/>
  <c r="C2061" i="38"/>
  <c r="C5726" i="38"/>
  <c r="C1044" i="38"/>
  <c r="C4385" i="38"/>
  <c r="C4873" i="38"/>
  <c r="C5733" i="38"/>
  <c r="C4845" i="38"/>
  <c r="C5798" i="38"/>
  <c r="C6143" i="38"/>
  <c r="C4730" i="38"/>
  <c r="C1779" i="38"/>
  <c r="C3130" i="38"/>
  <c r="C2211" i="38"/>
  <c r="C2276" i="38"/>
  <c r="C608" i="38"/>
  <c r="C5478" i="38"/>
  <c r="C3298" i="38"/>
  <c r="C2404" i="38"/>
  <c r="C3905" i="38"/>
  <c r="C2992" i="38"/>
  <c r="C5508" i="38"/>
  <c r="C3839" i="38"/>
  <c r="C1908" i="38"/>
  <c r="C3939" i="38"/>
  <c r="C408" i="38"/>
  <c r="C3100" i="38"/>
  <c r="C2558" i="38"/>
  <c r="C3898" i="38"/>
  <c r="C2448" i="38"/>
  <c r="C5564" i="38"/>
  <c r="C5918" i="38"/>
  <c r="C619" i="38"/>
  <c r="C1837" i="38"/>
  <c r="C5669" i="38"/>
  <c r="C4384" i="38"/>
  <c r="C2084" i="38"/>
  <c r="C3217" i="38"/>
  <c r="C1312" i="38"/>
  <c r="C2661" i="38"/>
  <c r="C814" i="38"/>
  <c r="C1020" i="38"/>
  <c r="C5684" i="38"/>
  <c r="C1343" i="38"/>
  <c r="C5020" i="38"/>
  <c r="C1954" i="38"/>
  <c r="C1776" i="38"/>
  <c r="C3208" i="38"/>
  <c r="C3103" i="38"/>
  <c r="C4776" i="38"/>
  <c r="C4589" i="38"/>
  <c r="C4423" i="38"/>
  <c r="C4675" i="38"/>
  <c r="C2033" i="38"/>
  <c r="C3104" i="38"/>
  <c r="C874" i="38"/>
  <c r="C5140" i="38"/>
  <c r="C3703" i="38"/>
  <c r="C4664" i="38"/>
  <c r="C2829" i="38"/>
  <c r="C1069" i="38"/>
  <c r="C1003" i="38"/>
  <c r="C2830" i="38"/>
  <c r="C3325" i="38"/>
  <c r="C876" i="38"/>
  <c r="C472" i="38"/>
  <c r="C316" i="38"/>
  <c r="C92" i="38"/>
  <c r="C293" i="38"/>
  <c r="C226" i="38"/>
  <c r="C449" i="38"/>
  <c r="C4764" i="38"/>
  <c r="C4785" i="38"/>
  <c r="C3942" i="38"/>
  <c r="C1867" i="38"/>
  <c r="C2458" i="38"/>
  <c r="C2475" i="38"/>
  <c r="C4559" i="38"/>
  <c r="C300" i="38"/>
  <c r="C2209" i="38"/>
  <c r="C437" i="38"/>
  <c r="C5283" i="38"/>
  <c r="C1988" i="38"/>
  <c r="C1090" i="38"/>
  <c r="C140" i="38"/>
  <c r="C2387" i="38"/>
  <c r="C4611" i="38"/>
  <c r="C3824" i="38"/>
  <c r="C2014" i="38"/>
  <c r="C2632" i="38"/>
  <c r="C4226" i="38"/>
  <c r="C5326" i="38"/>
  <c r="C5572" i="38"/>
  <c r="C5271" i="38"/>
  <c r="C5477" i="38"/>
  <c r="C5618" i="38"/>
  <c r="C5197" i="38"/>
  <c r="C4560" i="38"/>
  <c r="C461" i="38"/>
  <c r="C1045" i="38"/>
  <c r="C4015" i="38"/>
  <c r="C1143" i="38"/>
  <c r="C2911" i="38"/>
  <c r="C5406" i="38"/>
  <c r="C803" i="38"/>
  <c r="C1048" i="38"/>
  <c r="C5342" i="38"/>
  <c r="C5284" i="38"/>
  <c r="C5400" i="38"/>
  <c r="C5424" i="38"/>
  <c r="C5693" i="38"/>
  <c r="C5765" i="38"/>
  <c r="C5764" i="38"/>
  <c r="C4417" i="38"/>
  <c r="C6141" i="38"/>
  <c r="C2662" i="38"/>
  <c r="C856" i="38"/>
  <c r="C1777" i="38"/>
  <c r="C2600" i="38"/>
  <c r="C2670" i="38"/>
  <c r="C4539" i="38"/>
  <c r="C2995" i="38"/>
  <c r="C5345" i="38"/>
  <c r="C3502" i="38"/>
  <c r="C5382" i="38"/>
  <c r="C5986" i="38"/>
  <c r="C1161" i="38"/>
  <c r="C3600" i="38"/>
  <c r="C2219" i="38"/>
  <c r="C2505" i="38"/>
  <c r="C2058" i="38"/>
  <c r="C2059" i="38"/>
  <c r="C2527" i="38"/>
  <c r="C4266" i="38"/>
  <c r="C5697" i="38"/>
  <c r="C4006" i="38"/>
  <c r="C1711" i="38"/>
  <c r="C2912" i="38"/>
  <c r="C1705" i="38"/>
  <c r="C1065" i="38"/>
  <c r="C1380" i="38"/>
  <c r="C2579" i="38"/>
  <c r="C2337" i="38"/>
  <c r="C5846" i="38"/>
  <c r="C1381" i="38"/>
  <c r="C2796" i="38"/>
  <c r="C580" i="38"/>
  <c r="C4227" i="38"/>
  <c r="C3270" i="38"/>
  <c r="C2115" i="38"/>
  <c r="C5689" i="38"/>
  <c r="C4577" i="38"/>
  <c r="C3108" i="38"/>
  <c r="C2027" i="38"/>
  <c r="C2403" i="38"/>
  <c r="C1745" i="38"/>
  <c r="C2388" i="38"/>
  <c r="C2123" i="38"/>
  <c r="C4267" i="38"/>
  <c r="C3511" i="38"/>
  <c r="C4214" i="38"/>
  <c r="C1940" i="38"/>
  <c r="C3889" i="38"/>
  <c r="C1241" i="38"/>
  <c r="C3194" i="38"/>
  <c r="C990" i="38"/>
  <c r="C5788" i="38"/>
  <c r="C5205" i="38"/>
  <c r="C3418" i="38"/>
  <c r="C2006" i="38"/>
  <c r="C5113" i="38"/>
  <c r="C4149" i="38"/>
  <c r="C4303" i="38"/>
  <c r="C228" i="38"/>
  <c r="C2532" i="38"/>
  <c r="C3582" i="38"/>
  <c r="C2586" i="38"/>
  <c r="C3965" i="38"/>
  <c r="C2581" i="38"/>
  <c r="C2007" i="38"/>
  <c r="C1144" i="38"/>
  <c r="C5588" i="38"/>
  <c r="C3117" i="38"/>
  <c r="C4007" i="38"/>
  <c r="C3376" i="38"/>
  <c r="C2047" i="38"/>
  <c r="C2048" i="38"/>
  <c r="C875" i="38"/>
  <c r="C501" i="38"/>
  <c r="C62" i="38"/>
  <c r="C3243" i="38"/>
  <c r="C3571" i="38"/>
  <c r="C950" i="38"/>
  <c r="C1849" i="38"/>
  <c r="C4855" i="38"/>
  <c r="C2067" i="38"/>
  <c r="C2610" i="38"/>
  <c r="C5768" i="38"/>
  <c r="C3875" i="38"/>
  <c r="C4943" i="38"/>
  <c r="C4407" i="38"/>
  <c r="C2398" i="38"/>
  <c r="C1877" i="38"/>
  <c r="C3119" i="38"/>
  <c r="C5440" i="38"/>
  <c r="C3121" i="38"/>
  <c r="C1258" i="38"/>
  <c r="C2136" i="38"/>
  <c r="C549" i="38"/>
  <c r="C1787" i="38"/>
  <c r="C641" i="38"/>
  <c r="C4481" i="38"/>
  <c r="C3944" i="38"/>
  <c r="C4829" i="38"/>
  <c r="C1925" i="38"/>
  <c r="C3902" i="38"/>
  <c r="C4351" i="38"/>
  <c r="C4138" i="38"/>
  <c r="C4959" i="38"/>
  <c r="C1599" i="38"/>
  <c r="C1955" i="38"/>
  <c r="C3801" i="38"/>
  <c r="C3328" i="38"/>
  <c r="C3329" i="38"/>
  <c r="C2476" i="38"/>
  <c r="C2879" i="38"/>
  <c r="C3125" i="38"/>
  <c r="C4788" i="38"/>
  <c r="C3630" i="38"/>
  <c r="C4408" i="38"/>
  <c r="C4743" i="38"/>
  <c r="C5144" i="38"/>
  <c r="C5145" i="38"/>
  <c r="C433" i="38"/>
  <c r="C3220" i="38"/>
  <c r="C2247" i="38"/>
  <c r="C648" i="38"/>
  <c r="C699" i="38"/>
  <c r="C122" i="38"/>
  <c r="C797" i="38"/>
  <c r="C2353" i="38"/>
  <c r="C5190" i="38"/>
  <c r="C4623" i="38"/>
  <c r="C541" i="38"/>
  <c r="C2770" i="38"/>
  <c r="C424" i="38"/>
  <c r="C3791" i="38"/>
  <c r="C2477" i="38"/>
  <c r="C2314" i="38"/>
  <c r="C4182" i="38"/>
  <c r="C4066" i="38"/>
  <c r="C1478" i="38"/>
  <c r="C342" i="38"/>
  <c r="C4441" i="38"/>
  <c r="C5983" i="38"/>
  <c r="C5811" i="38"/>
  <c r="C4888" i="38"/>
  <c r="C5573" i="38"/>
  <c r="C719" i="38"/>
  <c r="C2050" i="38"/>
  <c r="C966" i="38"/>
  <c r="C241" i="38"/>
  <c r="C715" i="38"/>
  <c r="C1021" i="38"/>
  <c r="C5543" i="38"/>
  <c r="C5754" i="38"/>
  <c r="C6076" i="38"/>
  <c r="C4362" i="38"/>
  <c r="C4093" i="38"/>
  <c r="C3457" i="38"/>
  <c r="C3531" i="38"/>
  <c r="C4063" i="38"/>
  <c r="C4883" i="38"/>
  <c r="C1764" i="38"/>
  <c r="C4641" i="38"/>
  <c r="C2037" i="38"/>
  <c r="C1295" i="38"/>
  <c r="C5038" i="38"/>
  <c r="C727" i="38"/>
  <c r="C120" i="38"/>
  <c r="C2567" i="38"/>
  <c r="C918" i="38"/>
  <c r="C4144" i="38"/>
  <c r="C3221" i="38"/>
  <c r="C5814" i="38"/>
  <c r="C4442" i="38"/>
  <c r="C1602" i="38"/>
  <c r="C3769" i="38"/>
  <c r="C5139" i="38"/>
  <c r="C2952" i="38"/>
  <c r="C870" i="38"/>
  <c r="C1655" i="38"/>
  <c r="C4515" i="38"/>
  <c r="C720" i="38"/>
  <c r="C70" i="38"/>
  <c r="C202" i="38"/>
  <c r="C4018" i="38"/>
  <c r="C4961" i="38"/>
  <c r="C218" i="38"/>
  <c r="C1628" i="38"/>
  <c r="C260" i="38"/>
  <c r="C1956" i="38"/>
  <c r="C1714" i="38"/>
  <c r="C997" i="38"/>
  <c r="C5412" i="38"/>
  <c r="C5206" i="38"/>
  <c r="C4238" i="38"/>
  <c r="C3717" i="38"/>
  <c r="C5149" i="38"/>
  <c r="C3877" i="38"/>
  <c r="C459" i="38"/>
  <c r="C877" i="38"/>
  <c r="C192" i="38"/>
  <c r="C4516" i="38"/>
  <c r="C4665" i="38"/>
  <c r="C4985" i="38"/>
  <c r="C4646" i="38"/>
  <c r="C1977" i="38"/>
  <c r="C2374" i="38"/>
  <c r="C1991" i="38"/>
  <c r="C265" i="38"/>
  <c r="C2880" i="38"/>
  <c r="C681" i="38"/>
  <c r="C6019" i="38"/>
  <c r="C3271" i="38"/>
  <c r="C2937" i="38"/>
  <c r="C2291" i="38"/>
  <c r="C2959" i="38"/>
  <c r="C883" i="38"/>
  <c r="C2628" i="38"/>
  <c r="C3142" i="38"/>
  <c r="C3740" i="38"/>
  <c r="C2270" i="38"/>
  <c r="C882" i="38"/>
  <c r="C1435" i="38"/>
  <c r="C3563" i="38"/>
  <c r="C5560" i="38"/>
  <c r="C5797" i="38"/>
  <c r="C4591" i="38"/>
  <c r="C3144" i="38"/>
  <c r="C2620" i="38"/>
  <c r="C2781" i="38"/>
  <c r="C302" i="38"/>
  <c r="C2417" i="38"/>
  <c r="C507" i="38"/>
  <c r="C503" i="38"/>
  <c r="C4069" i="38"/>
  <c r="C1493" i="38"/>
  <c r="C5679" i="38"/>
  <c r="C5716" i="38"/>
  <c r="C5493" i="38"/>
  <c r="C172" i="38"/>
  <c r="C1909" i="38"/>
  <c r="C4365" i="38"/>
  <c r="C2928" i="38"/>
  <c r="C2362" i="38"/>
  <c r="C1444" i="38"/>
  <c r="C1630" i="38"/>
  <c r="C3342" i="38"/>
  <c r="C3609" i="38"/>
  <c r="C767" i="38"/>
  <c r="C5159" i="38"/>
  <c r="C4746" i="38"/>
  <c r="C492" i="38"/>
  <c r="C5933" i="38"/>
  <c r="C5920" i="38"/>
  <c r="C3150" i="38"/>
  <c r="C6084" i="38"/>
  <c r="C4737" i="38"/>
  <c r="C2881" i="38"/>
  <c r="C4465" i="38"/>
  <c r="C5538" i="38"/>
  <c r="C800" i="38"/>
  <c r="C6149" i="38"/>
  <c r="C4493" i="38"/>
  <c r="C4199" i="38"/>
  <c r="C5438" i="38"/>
  <c r="C5410" i="38"/>
  <c r="C5597" i="38"/>
  <c r="C5711" i="38"/>
  <c r="C3153" i="38"/>
  <c r="C2914" i="38"/>
  <c r="C3268" i="38"/>
  <c r="C4905" i="38"/>
  <c r="C2522" i="38"/>
  <c r="C5748" i="38"/>
  <c r="C5433" i="38"/>
  <c r="C3156" i="38"/>
  <c r="C4566" i="38"/>
  <c r="C1146" i="38"/>
  <c r="C750" i="38"/>
  <c r="C528" i="38"/>
  <c r="C288" i="38"/>
  <c r="C5164" i="38"/>
  <c r="C5782" i="38"/>
  <c r="C6008" i="38"/>
  <c r="C2030" i="38"/>
  <c r="C2652" i="38"/>
  <c r="C1584" i="38"/>
  <c r="C504" i="38"/>
  <c r="C2051" i="38"/>
  <c r="C47" i="38"/>
  <c r="C4532" i="38"/>
  <c r="C4251" i="38"/>
  <c r="C5495" i="38"/>
  <c r="C5694" i="38"/>
  <c r="C5872" i="38"/>
  <c r="C5069" i="38"/>
  <c r="C4109" i="38"/>
  <c r="C2016" i="38"/>
  <c r="C4884" i="38"/>
  <c r="C4429" i="38"/>
  <c r="C1674" i="38"/>
  <c r="C729" i="38"/>
  <c r="C279" i="38"/>
  <c r="C305" i="38"/>
  <c r="C5698" i="38"/>
  <c r="C5186" i="38"/>
  <c r="C2702" i="38"/>
  <c r="C1688" i="38"/>
  <c r="C1356" i="38"/>
  <c r="C4274" i="38"/>
  <c r="C5626" i="38"/>
  <c r="C6153" i="38"/>
  <c r="C2031" i="38"/>
  <c r="C2720" i="38"/>
  <c r="C1805" i="38"/>
  <c r="C2960" i="38"/>
  <c r="C1931" i="38"/>
  <c r="C2399" i="38"/>
  <c r="C3827" i="38"/>
  <c r="C3828" i="38"/>
  <c r="C2618" i="38"/>
  <c r="C2073" i="38"/>
  <c r="C3610" i="38"/>
  <c r="C2761" i="38"/>
  <c r="C505" i="38"/>
  <c r="C69" i="38"/>
  <c r="C1715" i="38"/>
  <c r="C3161" i="38"/>
  <c r="C3928" i="38"/>
  <c r="C837" i="38"/>
  <c r="C1099" i="38"/>
  <c r="C473" i="38"/>
  <c r="C318" i="38"/>
  <c r="C4125" i="38"/>
  <c r="C6020" i="38"/>
  <c r="C1186" i="38"/>
  <c r="C3637" i="38"/>
  <c r="C1469" i="38"/>
  <c r="C5078" i="38"/>
  <c r="C3688" i="38"/>
  <c r="C5407" i="38"/>
  <c r="C5700" i="38"/>
  <c r="C6154" i="38"/>
  <c r="C2978" i="38"/>
  <c r="C2741" i="38"/>
  <c r="C5351" i="38"/>
  <c r="C2465" i="38"/>
  <c r="C3162" i="38"/>
  <c r="C1890" i="38"/>
  <c r="C5093" i="38"/>
  <c r="C3164" i="38"/>
  <c r="C3166" i="38"/>
  <c r="C5221" i="38"/>
  <c r="C1730" i="38"/>
  <c r="C5169" i="38"/>
  <c r="C5959" i="38"/>
  <c r="C6098" i="38"/>
  <c r="C6067" i="38"/>
  <c r="C1445" i="38"/>
  <c r="C2932" i="38"/>
  <c r="C569" i="38"/>
  <c r="C2568" i="38"/>
  <c r="C2449" i="38"/>
  <c r="C5370" i="38"/>
  <c r="C5922" i="38"/>
  <c r="C4161" i="38"/>
  <c r="C3551" i="38"/>
  <c r="C3446" i="38"/>
  <c r="C3849" i="38"/>
  <c r="C1892" i="38"/>
  <c r="C88" i="38"/>
  <c r="C3409" i="38"/>
  <c r="C84" i="38"/>
  <c r="C3406" i="38"/>
  <c r="C1291" i="38"/>
  <c r="C3169" i="38"/>
  <c r="C2017" i="38"/>
  <c r="C2909" i="38"/>
  <c r="C1513" i="38"/>
  <c r="C173" i="38"/>
  <c r="C337" i="38"/>
  <c r="C5641" i="38"/>
  <c r="C3352" i="38"/>
  <c r="C4847" i="38"/>
  <c r="C5212" i="38"/>
  <c r="C5346" i="38"/>
  <c r="C4122" i="38"/>
  <c r="C624" i="38"/>
  <c r="C2507" i="38"/>
  <c r="C1508" i="38"/>
  <c r="C2193" i="38"/>
  <c r="C687" i="38"/>
  <c r="C390" i="38"/>
  <c r="C941" i="38"/>
  <c r="C5403" i="38"/>
  <c r="C1828" i="38"/>
  <c r="C1694" i="38"/>
  <c r="C4915" i="38"/>
  <c r="C4667" i="38"/>
  <c r="C3575" i="38"/>
  <c r="C2813" i="38"/>
  <c r="C5072" i="38"/>
  <c r="C5678" i="38"/>
  <c r="C5632" i="38"/>
  <c r="C6048" i="38"/>
  <c r="C1060" i="38"/>
  <c r="C801" i="38"/>
  <c r="C3226" i="38"/>
  <c r="C804" i="38"/>
  <c r="C661" i="38"/>
  <c r="C3423" i="38"/>
  <c r="C4517" i="38"/>
  <c r="C4816" i="38"/>
  <c r="C5358" i="38"/>
  <c r="C4795" i="38"/>
  <c r="C5749" i="38"/>
  <c r="C1494" i="38"/>
  <c r="C6029" i="38"/>
  <c r="C2053" i="38"/>
  <c r="C1480" i="38"/>
  <c r="C1839" i="38"/>
  <c r="C1304" i="38"/>
  <c r="C5327" i="38"/>
  <c r="C6031" i="38"/>
  <c r="C5553" i="38"/>
  <c r="C3284" i="38"/>
  <c r="C2264" i="38"/>
  <c r="C5501" i="38"/>
  <c r="C5880" i="38"/>
  <c r="C4786" i="38"/>
  <c r="C429" i="38"/>
  <c r="C559" i="38"/>
  <c r="C5085" i="38"/>
  <c r="C2425" i="38"/>
  <c r="C2746" i="38"/>
  <c r="C2927" i="38"/>
  <c r="C3304" i="38"/>
  <c r="C5368" i="38"/>
  <c r="C5817" i="38"/>
  <c r="C3953" i="38"/>
  <c r="C5459" i="38"/>
  <c r="C4868" i="38"/>
  <c r="C6005" i="38"/>
  <c r="C4409" i="38"/>
  <c r="C5736" i="38"/>
  <c r="C5191" i="38"/>
  <c r="C3711" i="38"/>
  <c r="C1032" i="38"/>
  <c r="C781" i="38"/>
  <c r="C162" i="38"/>
  <c r="C4159" i="38"/>
  <c r="C1717" i="38"/>
  <c r="C5448" i="38"/>
  <c r="C5790" i="38"/>
  <c r="C6088" i="38"/>
  <c r="C1927" i="38"/>
  <c r="C4659" i="38"/>
  <c r="C2779" i="38"/>
  <c r="C2996" i="38"/>
  <c r="C4269" i="38"/>
  <c r="C312" i="38"/>
  <c r="C3134" i="38"/>
  <c r="C3693" i="38"/>
  <c r="C1990" i="38"/>
  <c r="C1691" i="38"/>
  <c r="C1152" i="38"/>
  <c r="C1829" i="38"/>
  <c r="C5871" i="38"/>
  <c r="C3736" i="38"/>
  <c r="C1366" i="38"/>
  <c r="C1592" i="38"/>
  <c r="C5237" i="38"/>
  <c r="C5982" i="38"/>
  <c r="C3330" i="38"/>
  <c r="C3573" i="38"/>
  <c r="C2183" i="38"/>
  <c r="C5238" i="38"/>
  <c r="C6041" i="38"/>
  <c r="C1826" i="38"/>
  <c r="C2258" i="38"/>
  <c r="C2124" i="38"/>
  <c r="C647" i="38"/>
  <c r="C85" i="38"/>
  <c r="C86" i="38"/>
  <c r="C2546" i="38"/>
  <c r="C2212" i="38"/>
  <c r="C670" i="38"/>
  <c r="C5441" i="38"/>
  <c r="C508" i="38"/>
  <c r="C2086" i="38"/>
  <c r="C1692" i="38"/>
  <c r="C5625" i="38"/>
  <c r="C5990" i="38"/>
  <c r="C4160" i="38"/>
  <c r="C2249" i="38"/>
  <c r="C2548" i="38"/>
  <c r="C4554" i="38"/>
  <c r="C4745" i="38"/>
  <c r="C1472" i="38"/>
  <c r="C419" i="38"/>
  <c r="C2850" i="38"/>
  <c r="C4036" i="38"/>
  <c r="C4403" i="38"/>
  <c r="C4048" i="38"/>
  <c r="C3445" i="38"/>
  <c r="C2440" i="38"/>
  <c r="C1375" i="38"/>
  <c r="C2431" i="38"/>
  <c r="C3926" i="38"/>
  <c r="C496" i="38"/>
  <c r="C234" i="38"/>
  <c r="C5900" i="38"/>
  <c r="C1815" i="38"/>
  <c r="C2665" i="38"/>
  <c r="C1256" i="38"/>
  <c r="C2444" i="38"/>
  <c r="C3344" i="38"/>
  <c r="C3139" i="38"/>
  <c r="C3143" i="38"/>
  <c r="C4492" i="38"/>
  <c r="C5133" i="38"/>
  <c r="C2441" i="38"/>
  <c r="C3927" i="38"/>
  <c r="C2446" i="38"/>
  <c r="C3359" i="38"/>
  <c r="C3954" i="38"/>
  <c r="C3473" i="38"/>
  <c r="C3145" i="38"/>
  <c r="C1407" i="38"/>
  <c r="C766" i="38"/>
  <c r="C1568" i="38"/>
  <c r="C825" i="38"/>
  <c r="C2740" i="38"/>
  <c r="C4753" i="38"/>
  <c r="C1260" i="38"/>
  <c r="C1583" i="38"/>
  <c r="C5609" i="38"/>
  <c r="C5809" i="38"/>
  <c r="C4894" i="38"/>
  <c r="C3147" i="38"/>
  <c r="C4364" i="38"/>
  <c r="C4348" i="38"/>
  <c r="C513" i="38"/>
  <c r="C347" i="38"/>
  <c r="C353" i="38"/>
  <c r="C590" i="38"/>
  <c r="C1993" i="38"/>
  <c r="C1145" i="38"/>
  <c r="C4593" i="38"/>
  <c r="C1086" i="38"/>
  <c r="C1007" i="38"/>
  <c r="C325" i="38"/>
  <c r="C1376" i="38"/>
  <c r="C2228" i="38"/>
  <c r="C3151" i="38"/>
  <c r="C6148" i="38"/>
  <c r="C5002" i="38"/>
  <c r="C2993" i="38"/>
  <c r="C4817" i="38"/>
  <c r="C5789" i="38"/>
  <c r="C143" i="38"/>
  <c r="C4530" i="38"/>
  <c r="C3601" i="38"/>
  <c r="C5068" i="38"/>
  <c r="C4757" i="38"/>
  <c r="C5610" i="38"/>
  <c r="C5639" i="38"/>
  <c r="C6049" i="38"/>
  <c r="C3377" i="38"/>
  <c r="C3762" i="38"/>
  <c r="C4947" i="38"/>
  <c r="C2953" i="38"/>
  <c r="C4487" i="38"/>
  <c r="C5876" i="38"/>
  <c r="C4147" i="38"/>
  <c r="C5207" i="38"/>
  <c r="C3224" i="38"/>
  <c r="C3545" i="38"/>
  <c r="C568" i="38"/>
  <c r="C816" i="38"/>
  <c r="C653" i="38"/>
  <c r="C5343" i="38"/>
  <c r="C5907" i="38"/>
  <c r="C5994" i="38"/>
  <c r="C1485" i="38"/>
  <c r="C2292" i="38"/>
  <c r="C1321" i="38"/>
  <c r="C1054" i="38"/>
  <c r="C488" i="38"/>
  <c r="C141" i="38"/>
  <c r="C2962" i="38"/>
  <c r="C3405" i="38"/>
  <c r="C5503" i="38"/>
  <c r="C5762" i="38"/>
  <c r="C5680" i="38"/>
  <c r="C965" i="38"/>
  <c r="C4239" i="38"/>
  <c r="C3647" i="38"/>
  <c r="C3668" i="38"/>
  <c r="C3662" i="38"/>
  <c r="C2364" i="38"/>
  <c r="C150" i="38"/>
  <c r="C389" i="38"/>
  <c r="C561" i="38"/>
  <c r="C4597" i="38"/>
  <c r="C4974" i="38"/>
  <c r="C4095" i="38"/>
  <c r="C1507" i="38"/>
  <c r="C3378" i="38"/>
  <c r="C1580" i="38"/>
  <c r="C5734" i="38"/>
  <c r="C2719" i="38"/>
  <c r="C3648" i="38"/>
  <c r="C3392" i="38"/>
  <c r="C1238" i="38"/>
  <c r="C2100" i="38"/>
  <c r="C3803" i="38"/>
  <c r="C855" i="38"/>
  <c r="C4666" i="38"/>
  <c r="C2882" i="38"/>
  <c r="C2344" i="38"/>
  <c r="C4901" i="38"/>
  <c r="C1943" i="38"/>
  <c r="C2704" i="38"/>
  <c r="C600" i="38"/>
  <c r="C83" i="38"/>
  <c r="C3158" i="38"/>
  <c r="C1070" i="38"/>
  <c r="C1127" i="38"/>
  <c r="C843" i="38"/>
  <c r="C616" i="38"/>
  <c r="C485" i="38"/>
  <c r="C171" i="38"/>
  <c r="C261" i="38"/>
  <c r="C5603" i="38"/>
  <c r="C2705" i="38"/>
  <c r="C3283" i="38"/>
  <c r="C3331" i="38"/>
  <c r="C5012" i="38"/>
  <c r="C5396" i="38"/>
  <c r="C5835" i="38"/>
  <c r="C5737" i="38"/>
  <c r="C2483" i="38"/>
  <c r="C1693" i="38"/>
  <c r="C2931" i="38"/>
  <c r="C4153" i="38"/>
  <c r="C4202" i="38"/>
  <c r="C2573" i="38"/>
  <c r="C5123" i="38"/>
  <c r="C5141" i="38"/>
  <c r="C3165" i="38"/>
  <c r="C5029" i="38"/>
  <c r="C4386" i="38"/>
  <c r="C4725" i="38"/>
  <c r="C5598" i="38"/>
  <c r="C5943" i="38"/>
  <c r="C6095" i="38"/>
  <c r="C6155" i="38"/>
  <c r="C1470" i="38"/>
  <c r="C838" i="38"/>
  <c r="C1197" i="38"/>
  <c r="C3422" i="38"/>
  <c r="C599" i="38"/>
  <c r="C5487" i="38"/>
  <c r="C5142" i="38"/>
  <c r="C4713" i="38"/>
  <c r="C4121" i="38"/>
  <c r="C2070" i="38"/>
  <c r="C3989" i="38"/>
  <c r="C3602" i="38"/>
  <c r="C430" i="38"/>
  <c r="C1401" i="38"/>
  <c r="C411" i="38"/>
  <c r="C2489" i="38"/>
  <c r="C3523" i="38"/>
  <c r="C3333" i="38"/>
  <c r="C1564" i="38"/>
  <c r="C3170" i="38"/>
  <c r="C1148" i="38"/>
  <c r="C231" i="38"/>
  <c r="C2552" i="38"/>
  <c r="C4533" i="38"/>
  <c r="C3990" i="38"/>
  <c r="C4928" i="38"/>
  <c r="C5279" i="38"/>
  <c r="C5521" i="38"/>
  <c r="C4831" i="38"/>
  <c r="C425" i="38"/>
  <c r="C1440" i="38"/>
  <c r="C954" i="38"/>
  <c r="C879" i="38"/>
  <c r="C2052" i="38"/>
  <c r="C349" i="38"/>
  <c r="C735" i="38"/>
  <c r="C5324" i="38"/>
  <c r="C303" i="38"/>
  <c r="C4707" i="38"/>
  <c r="C5010" i="38"/>
  <c r="C5022" i="38"/>
  <c r="C3980" i="38"/>
  <c r="C2466" i="38"/>
  <c r="C5309" i="38"/>
  <c r="C5658" i="38"/>
  <c r="C5671" i="38"/>
  <c r="C2363" i="38"/>
  <c r="C867" i="38"/>
  <c r="C1964" i="38"/>
  <c r="C713" i="38"/>
  <c r="C929" i="38"/>
  <c r="C539" i="38"/>
  <c r="C4146" i="38"/>
  <c r="C4992" i="38"/>
  <c r="C4578" i="38"/>
  <c r="C5420" i="38"/>
  <c r="C4150" i="38"/>
  <c r="C5025" i="38"/>
  <c r="C5033" i="38"/>
  <c r="C6042" i="38"/>
  <c r="C3470" i="38"/>
  <c r="C1972" i="38"/>
  <c r="C1005" i="38"/>
  <c r="C2297" i="38"/>
  <c r="C5724" i="38"/>
  <c r="C6032" i="38"/>
  <c r="C4163" i="38"/>
  <c r="C2442" i="38"/>
  <c r="C1622" i="38"/>
  <c r="C5062" i="38"/>
  <c r="C5901" i="38"/>
  <c r="C5894" i="38"/>
  <c r="C2884" i="38"/>
  <c r="C1496" i="38"/>
  <c r="C2516" i="38"/>
  <c r="C1994" i="38"/>
  <c r="C5702" i="38"/>
  <c r="C5878" i="38"/>
  <c r="C5914" i="38"/>
  <c r="C6087" i="38"/>
  <c r="C4410" i="38"/>
  <c r="C4019" i="38"/>
  <c r="C5701" i="38"/>
  <c r="C546" i="38"/>
  <c r="C3694" i="38"/>
  <c r="C3737" i="38"/>
  <c r="C3810" i="38"/>
  <c r="C3336" i="38"/>
  <c r="C3721" i="38"/>
  <c r="C5408" i="38"/>
  <c r="C5663" i="38"/>
  <c r="C6160" i="38"/>
  <c r="C1550" i="38"/>
  <c r="C1167" i="38"/>
  <c r="C435" i="38"/>
  <c r="C1341" i="38"/>
  <c r="C2798" i="38"/>
  <c r="C805" i="38"/>
  <c r="C2227" i="38"/>
  <c r="C6077" i="38"/>
  <c r="C3569" i="38"/>
  <c r="C3649" i="38"/>
  <c r="C5003" i="38"/>
  <c r="C5451" i="38"/>
  <c r="C5807" i="38"/>
  <c r="C5260" i="38"/>
  <c r="C5292" i="38"/>
  <c r="C1390" i="38"/>
  <c r="C2168" i="38"/>
  <c r="C1330" i="38"/>
  <c r="C782" i="38"/>
  <c r="C2303" i="38"/>
  <c r="C2430" i="38"/>
  <c r="C1259" i="38"/>
  <c r="C625" i="38"/>
  <c r="C4840" i="38"/>
  <c r="C1123" i="38"/>
  <c r="C4637" i="38"/>
  <c r="C3974" i="38"/>
  <c r="C284" i="38"/>
  <c r="C5168" i="38"/>
  <c r="C744" i="38"/>
  <c r="C2739" i="38"/>
  <c r="C3245" i="38"/>
  <c r="C5756" i="38"/>
  <c r="C6024" i="38"/>
  <c r="C2913" i="38"/>
  <c r="C5673" i="38"/>
  <c r="C4143" i="38"/>
  <c r="C3469" i="38"/>
  <c r="C3857" i="38"/>
  <c r="C1419" i="38"/>
  <c r="C540" i="38"/>
  <c r="C4026" i="38"/>
  <c r="C4047" i="38"/>
  <c r="C5570" i="38"/>
  <c r="C5735" i="38"/>
  <c r="C6145" i="38"/>
  <c r="C2290" i="38"/>
  <c r="C3132" i="38"/>
  <c r="C3438" i="38"/>
  <c r="C4168" i="38"/>
  <c r="C4495" i="38"/>
  <c r="C1613" i="38"/>
  <c r="C3135" i="38"/>
  <c r="C2785" i="38"/>
  <c r="C1042" i="38"/>
  <c r="C2582" i="38"/>
  <c r="C5171" i="38"/>
  <c r="C216" i="38"/>
  <c r="C3138" i="38"/>
  <c r="C1664" i="38"/>
  <c r="C1546" i="38"/>
  <c r="C2280" i="38"/>
  <c r="C5398" i="38"/>
  <c r="C5662" i="38"/>
  <c r="C2997" i="38"/>
  <c r="C2140" i="38"/>
  <c r="C1049" i="38"/>
  <c r="C4514" i="38"/>
  <c r="C5774" i="38"/>
  <c r="C2306" i="38"/>
  <c r="C2642" i="38"/>
  <c r="C983" i="38"/>
  <c r="C220" i="38"/>
  <c r="C94" i="38"/>
  <c r="C2480" i="38"/>
  <c r="C3660" i="38"/>
  <c r="C2159" i="38"/>
  <c r="C583" i="38"/>
  <c r="C434" i="38"/>
  <c r="C1389" i="38"/>
  <c r="C3222" i="38"/>
  <c r="C1729" i="38"/>
  <c r="C5021" i="38"/>
  <c r="C5938" i="38"/>
  <c r="C4962" i="38"/>
  <c r="C4108" i="38"/>
  <c r="C2643" i="38"/>
  <c r="C3848" i="38"/>
  <c r="C4893" i="38"/>
  <c r="C1179" i="38"/>
  <c r="C871" i="38"/>
  <c r="C3900" i="38"/>
  <c r="C3975" i="38"/>
  <c r="C2940" i="38"/>
  <c r="C4221" i="38"/>
  <c r="C3755" i="38"/>
  <c r="C2651" i="38"/>
  <c r="C1340" i="38"/>
  <c r="C1115" i="38"/>
  <c r="C1992" i="38"/>
  <c r="C866" i="38"/>
  <c r="C5087" i="38"/>
  <c r="C4418" i="38"/>
  <c r="C4363" i="38"/>
  <c r="C1827" i="38"/>
  <c r="C1158" i="38"/>
  <c r="C414" i="38"/>
  <c r="C2764" i="38"/>
  <c r="C3140" i="38"/>
  <c r="C4094" i="38"/>
  <c r="C2141" i="38"/>
  <c r="C396" i="38"/>
  <c r="C710" i="38"/>
  <c r="C3201" i="38"/>
  <c r="C3544" i="38"/>
  <c r="C1640" i="38"/>
  <c r="C5879" i="38"/>
  <c r="C4752" i="38"/>
  <c r="C3146" i="38"/>
  <c r="C1116" i="38"/>
  <c r="C3223" i="38"/>
  <c r="C4592" i="38"/>
  <c r="C4189" i="38"/>
  <c r="C5462" i="38"/>
  <c r="C44" i="38"/>
  <c r="C1629" i="38"/>
  <c r="C2677" i="38"/>
  <c r="C5446" i="38"/>
  <c r="C2482" i="38"/>
  <c r="C3741" i="38"/>
  <c r="C4946" i="38"/>
  <c r="C4565" i="38"/>
  <c r="C4857" i="38"/>
  <c r="C3792" i="38"/>
  <c r="C921" i="38"/>
  <c r="C919" i="38"/>
  <c r="C3879" i="38"/>
  <c r="C3148" i="38"/>
  <c r="C1166" i="38"/>
  <c r="C407" i="38"/>
  <c r="C1547" i="38"/>
  <c r="C889" i="38"/>
  <c r="C5953" i="38"/>
  <c r="C5905" i="38"/>
  <c r="C3149" i="38"/>
  <c r="C5970" i="38"/>
  <c r="C2155" i="38"/>
  <c r="C2410" i="38"/>
  <c r="C3615" i="38"/>
  <c r="C5367" i="38"/>
  <c r="C5615" i="38"/>
  <c r="C104" i="38"/>
  <c r="C4531" i="38"/>
  <c r="C4973" i="38"/>
  <c r="C5405" i="38"/>
  <c r="C5707" i="38"/>
  <c r="C5630" i="38"/>
  <c r="C5215" i="38"/>
  <c r="C6150" i="38"/>
  <c r="C1533" i="38"/>
  <c r="C4477" i="38"/>
  <c r="C5269" i="38"/>
  <c r="C2099" i="38"/>
  <c r="C5200" i="38"/>
  <c r="C5718" i="38"/>
  <c r="C3154" i="38"/>
  <c r="C4604" i="38"/>
  <c r="C2150" i="38"/>
  <c r="C1285" i="38"/>
  <c r="C1812" i="38"/>
  <c r="C550" i="38"/>
  <c r="C768" i="38"/>
  <c r="C5660" i="38"/>
  <c r="C5921" i="38"/>
  <c r="C6089" i="38"/>
  <c r="C936" i="38"/>
  <c r="C1506" i="38"/>
  <c r="C675" i="38"/>
  <c r="C1765" i="38"/>
  <c r="C64" i="38"/>
  <c r="C239" i="38"/>
  <c r="C3225" i="38"/>
  <c r="C3421" i="38"/>
  <c r="C5013" i="38"/>
  <c r="C5836" i="38"/>
  <c r="C5695" i="38"/>
  <c r="C2896" i="38"/>
  <c r="C2338" i="38"/>
  <c r="C4521" i="38"/>
  <c r="C4927" i="38"/>
  <c r="C2116" i="38"/>
  <c r="C582" i="38"/>
  <c r="C102" i="38"/>
  <c r="C591" i="38"/>
  <c r="C1400" i="38"/>
  <c r="C3959" i="38"/>
  <c r="C3455" i="38"/>
  <c r="C976" i="38"/>
  <c r="C884" i="38"/>
  <c r="C3370" i="38"/>
  <c r="C5447" i="38"/>
  <c r="C5584" i="38"/>
  <c r="C2203" i="38"/>
  <c r="C2757" i="38"/>
  <c r="C3979" i="38"/>
  <c r="C783" i="38"/>
  <c r="C953" i="38"/>
  <c r="C2703" i="38"/>
  <c r="C360" i="38"/>
  <c r="C3204" i="38"/>
  <c r="C3880" i="38"/>
  <c r="C2594" i="38"/>
  <c r="C4684" i="38"/>
  <c r="C1271" i="38"/>
  <c r="C1175" i="38"/>
  <c r="C692" i="38"/>
  <c r="C4076" i="38"/>
  <c r="C3159" i="38"/>
  <c r="C4050" i="38"/>
  <c r="C1932" i="38"/>
  <c r="C1252" i="38"/>
  <c r="C1933" i="38"/>
  <c r="C974" i="38"/>
  <c r="C2930" i="38"/>
  <c r="C2125" i="38"/>
  <c r="C5962" i="38"/>
  <c r="C2851" i="38"/>
  <c r="C4207" i="38"/>
  <c r="C4551" i="38"/>
  <c r="C2832" i="38"/>
  <c r="C5681" i="38"/>
  <c r="C5813" i="38"/>
  <c r="C5829" i="38"/>
  <c r="C3689" i="38"/>
  <c r="C1124" i="38"/>
  <c r="C2812" i="38"/>
  <c r="C4380" i="38"/>
  <c r="C3611" i="38"/>
  <c r="C5467" i="38"/>
  <c r="C5461" i="38"/>
  <c r="C5125" i="38"/>
  <c r="C1528" i="38"/>
  <c r="C4555" i="38"/>
  <c r="C4259" i="38"/>
  <c r="C3272" i="38"/>
  <c r="C5037" i="38"/>
  <c r="C5979" i="38"/>
  <c r="C6052" i="38"/>
  <c r="C6156" i="38"/>
  <c r="C1529" i="38"/>
  <c r="C1217" i="38"/>
  <c r="C2706" i="38"/>
  <c r="C2938" i="38"/>
  <c r="C4875" i="38"/>
  <c r="C5670" i="38"/>
  <c r="C519" i="38"/>
  <c r="C2107" i="38"/>
  <c r="C2933" i="38"/>
  <c r="C1383" i="38"/>
  <c r="C3766" i="38"/>
  <c r="C817" i="38"/>
  <c r="C601" i="38"/>
  <c r="C637" i="38"/>
  <c r="C3167" i="38"/>
  <c r="C2550" i="38"/>
  <c r="C2375" i="38"/>
  <c r="C2376" i="38"/>
  <c r="C2251" i="38"/>
  <c r="C4677" i="38"/>
  <c r="C486" i="38"/>
  <c r="C262" i="38"/>
  <c r="C320" i="38"/>
  <c r="C3960" i="38"/>
  <c r="C4614" i="38"/>
  <c r="C2345" i="38"/>
  <c r="C2722" i="38"/>
  <c r="C3861" i="38"/>
  <c r="C3589" i="38"/>
  <c r="C1436" i="38"/>
  <c r="C2508" i="38"/>
  <c r="C1100" i="38"/>
  <c r="C1362" i="38"/>
  <c r="C1781" i="38"/>
  <c r="C826" i="38"/>
  <c r="C769" i="38"/>
  <c r="C3987" i="38"/>
  <c r="C258" i="38"/>
  <c r="C5699" i="38"/>
  <c r="C5086" i="38"/>
  <c r="C3439" i="38"/>
  <c r="C1806" i="38"/>
  <c r="C3795" i="38"/>
  <c r="C5337" i="38"/>
  <c r="C4085" i="38"/>
  <c r="C5385" i="38"/>
  <c r="C1224" i="38"/>
  <c r="C1603" i="38"/>
  <c r="C4839" i="38"/>
  <c r="C1755" i="38"/>
  <c r="C5723" i="38"/>
  <c r="C5120" i="38"/>
  <c r="C483" i="38"/>
  <c r="C3491" i="38"/>
  <c r="C564" i="38"/>
  <c r="C5784" i="38"/>
  <c r="C5760" i="38"/>
  <c r="C3129" i="38"/>
  <c r="C1164" i="38"/>
  <c r="C2036" i="38"/>
  <c r="C5677" i="38"/>
  <c r="C6060" i="38"/>
  <c r="C4568" i="38"/>
  <c r="C5576" i="38"/>
  <c r="C638" i="38"/>
  <c r="C1838" i="38"/>
  <c r="C722" i="38"/>
  <c r="C345" i="38"/>
  <c r="C1434" i="38"/>
  <c r="C1579" i="38"/>
  <c r="C5449" i="38"/>
  <c r="C5833" i="38"/>
  <c r="C6051" i="38"/>
  <c r="C2479" i="38"/>
  <c r="C2111" i="38"/>
  <c r="C3906" i="38"/>
  <c r="C3420" i="38"/>
  <c r="C4960" i="38"/>
  <c r="C3553" i="38"/>
  <c r="C1732" i="38"/>
  <c r="C3136" i="38"/>
  <c r="C1928" i="38"/>
  <c r="C2149" i="38"/>
  <c r="C4314" i="38"/>
  <c r="C418" i="38"/>
  <c r="C267" i="38"/>
  <c r="C3247" i="38"/>
  <c r="C951" i="38"/>
  <c r="C3199" i="38"/>
  <c r="C1563" i="38"/>
  <c r="C5976" i="38"/>
  <c r="C5058" i="38"/>
  <c r="C2028" i="38"/>
  <c r="C1929" i="38"/>
  <c r="C2650" i="38"/>
  <c r="C4347" i="38"/>
  <c r="C1105" i="38"/>
  <c r="C1388" i="38"/>
  <c r="C2020" i="38"/>
  <c r="C707" i="38"/>
  <c r="C215" i="38"/>
  <c r="C90" i="38"/>
  <c r="C4258" i="38"/>
  <c r="C2547" i="38"/>
  <c r="C2343" i="38"/>
  <c r="C586" i="38"/>
  <c r="C176" i="38"/>
  <c r="C2029" i="38"/>
  <c r="C1650" i="38"/>
  <c r="C852" i="38"/>
  <c r="C989" i="38"/>
  <c r="C6147" i="38"/>
  <c r="C4375" i="38"/>
  <c r="C5219" i="38"/>
  <c r="C5154" i="38"/>
  <c r="C5251" i="38"/>
  <c r="C1930" i="38"/>
  <c r="C581" i="38"/>
  <c r="C5604" i="38"/>
  <c r="C5320" i="38"/>
  <c r="C4878" i="38"/>
  <c r="C4731" i="38"/>
  <c r="C4945" i="38"/>
  <c r="C3667" i="38"/>
  <c r="C1399" i="38"/>
  <c r="C2841" i="38"/>
  <c r="C2811" i="38"/>
  <c r="C555" i="38"/>
  <c r="C3517" i="38"/>
  <c r="C4188" i="38"/>
  <c r="C5059" i="38"/>
  <c r="C2460" i="38"/>
  <c r="C913" i="38"/>
  <c r="C4376" i="38"/>
  <c r="C3999" i="38"/>
  <c r="C4049" i="38"/>
  <c r="C3141" i="38"/>
  <c r="C4075" i="38"/>
  <c r="C5264" i="38"/>
  <c r="C4057" i="38"/>
  <c r="C1043" i="38"/>
  <c r="C2985" i="38"/>
  <c r="C5532" i="38"/>
  <c r="C4200" i="38"/>
  <c r="C5785" i="38"/>
  <c r="C5243" i="38"/>
  <c r="C4900" i="38"/>
  <c r="C2481" i="38"/>
  <c r="C686" i="38"/>
  <c r="C1220" i="38"/>
  <c r="C362" i="38"/>
  <c r="C1351" i="38"/>
  <c r="C482" i="38"/>
  <c r="C3299" i="38"/>
  <c r="C4304" i="38"/>
  <c r="C5092" i="38"/>
  <c r="C5520" i="38"/>
  <c r="C1222" i="38"/>
  <c r="C3583" i="38"/>
  <c r="C4846" i="38"/>
  <c r="C2392" i="38"/>
  <c r="C400" i="38"/>
  <c r="C771" i="38"/>
  <c r="C595" i="38"/>
  <c r="C1082" i="38"/>
  <c r="C1263" i="38"/>
  <c r="C3200" i="38"/>
  <c r="C246" i="38"/>
  <c r="C491" i="38"/>
  <c r="C1851" i="38"/>
  <c r="C651" i="38"/>
  <c r="C790" i="38"/>
  <c r="C5908" i="38"/>
  <c r="C3152" i="38"/>
  <c r="C2969" i="38"/>
  <c r="C1251" i="38"/>
  <c r="C4284" i="38"/>
  <c r="C5524" i="38"/>
  <c r="C5473" i="38"/>
  <c r="C105" i="38"/>
  <c r="C3584" i="38"/>
  <c r="C4184" i="38"/>
  <c r="C5259" i="38"/>
  <c r="C5644" i="38"/>
  <c r="C5617" i="38"/>
  <c r="C5869" i="38"/>
  <c r="C6151" i="38"/>
  <c r="C1290" i="38"/>
  <c r="C2929" i="38"/>
  <c r="C4413" i="38"/>
  <c r="C3793" i="38"/>
  <c r="C5838" i="38"/>
  <c r="C5535" i="38"/>
  <c r="C3155" i="38"/>
  <c r="C1910" i="38"/>
  <c r="C2250" i="38"/>
  <c r="C1774" i="38"/>
  <c r="C952" i="38"/>
  <c r="C287" i="38"/>
  <c r="C3646" i="38"/>
  <c r="C5674" i="38"/>
  <c r="C5972" i="38"/>
  <c r="C6152" i="38"/>
  <c r="C1756" i="38"/>
  <c r="C1479" i="38"/>
  <c r="C570" i="38"/>
  <c r="C3631" i="38"/>
  <c r="C53" i="38"/>
  <c r="C212" i="38"/>
  <c r="C4357" i="38"/>
  <c r="C5252" i="38"/>
  <c r="C5664" i="38"/>
  <c r="C5799" i="38"/>
  <c r="C5285" i="38"/>
  <c r="C161" i="38"/>
  <c r="C4390" i="38"/>
  <c r="C1641" i="38"/>
  <c r="C4204" i="38"/>
  <c r="C1725" i="38"/>
  <c r="C553" i="38"/>
  <c r="C177" i="38"/>
  <c r="C2528" i="38"/>
  <c r="C5769" i="38"/>
  <c r="C5160" i="38"/>
  <c r="C5116" i="38"/>
  <c r="C2062" i="38"/>
  <c r="C1636" i="38"/>
  <c r="C4229" i="38"/>
  <c r="C4296" i="38"/>
  <c r="C6079" i="38"/>
  <c r="C3709" i="38"/>
  <c r="C4145" i="38"/>
  <c r="C2617" i="38"/>
  <c r="C1553" i="38"/>
  <c r="C910" i="38"/>
  <c r="C1852" i="38"/>
  <c r="C3157" i="38"/>
  <c r="C4377" i="38"/>
  <c r="C2836" i="38"/>
  <c r="C4688" i="38"/>
  <c r="C5216" i="38"/>
  <c r="C3379" i="38"/>
  <c r="C920" i="38"/>
  <c r="C178" i="38"/>
  <c r="C4033" i="38"/>
  <c r="C3160" i="38"/>
  <c r="C1770" i="38"/>
  <c r="C514" i="38"/>
  <c r="C1726" i="38"/>
  <c r="C1120" i="38"/>
  <c r="C219" i="38"/>
  <c r="C2515" i="38"/>
  <c r="C5889" i="38"/>
  <c r="C5952" i="38"/>
  <c r="C2771" i="38"/>
  <c r="C1800" i="38"/>
  <c r="C3574" i="38"/>
  <c r="C4818" i="38"/>
  <c r="C5616" i="38"/>
  <c r="C5779" i="38"/>
  <c r="C5963" i="38"/>
  <c r="C1253" i="38"/>
  <c r="C2453" i="38"/>
  <c r="C2687" i="38"/>
  <c r="C5094" i="38"/>
  <c r="C3564" i="38"/>
  <c r="C4333" i="38"/>
  <c r="C5565" i="38"/>
  <c r="C52" i="38"/>
  <c r="C203" i="38"/>
  <c r="C1102" i="38"/>
  <c r="C3738" i="38"/>
  <c r="C142" i="38"/>
  <c r="C253" i="38"/>
  <c r="C532" i="38"/>
  <c r="C3372" i="38"/>
  <c r="C1979" i="38"/>
  <c r="C3650" i="38"/>
  <c r="C3250" i="38"/>
  <c r="C41" i="38"/>
  <c r="C213" i="38"/>
  <c r="C3931" i="38"/>
  <c r="C4240" i="38"/>
  <c r="C5061" i="38"/>
  <c r="C129" i="38"/>
  <c r="C547" i="38"/>
  <c r="C410" i="38"/>
  <c r="C1464" i="38"/>
  <c r="C12" i="38"/>
  <c r="C5048" i="38"/>
  <c r="C1891" i="38"/>
  <c r="C1061" i="38"/>
  <c r="C4709" i="38"/>
  <c r="C65" i="38"/>
  <c r="C93" i="38"/>
  <c r="C633" i="38"/>
  <c r="C3945" i="38"/>
  <c r="C3424" i="38"/>
  <c r="C2608" i="38"/>
  <c r="C3191" i="38"/>
  <c r="C4061" i="38"/>
  <c r="C642" i="38"/>
  <c r="C236" i="38"/>
  <c r="C1012" i="38"/>
  <c r="C1841" i="38"/>
  <c r="C3977" i="38"/>
  <c r="C3286" i="38"/>
  <c r="C3188" i="38"/>
  <c r="C588" i="38"/>
  <c r="C4231" i="38"/>
  <c r="C2760" i="38"/>
  <c r="C2717" i="38"/>
  <c r="C1966" i="38"/>
  <c r="C1651" i="38"/>
  <c r="C1531" i="38"/>
  <c r="C5732" i="38"/>
  <c r="C5958" i="38"/>
  <c r="C5640" i="38"/>
  <c r="C5729" i="38"/>
  <c r="C5262" i="38"/>
  <c r="C3820" i="38"/>
  <c r="C2518" i="38"/>
  <c r="C4536" i="38"/>
  <c r="C159" i="38"/>
  <c r="C3725" i="38"/>
  <c r="C5394" i="38"/>
  <c r="C2253" i="38"/>
  <c r="C2485" i="38"/>
  <c r="C28" i="38"/>
  <c r="C379" i="38"/>
  <c r="C1322" i="38"/>
  <c r="C3829" i="38"/>
  <c r="C4478" i="38"/>
  <c r="C2668" i="38"/>
  <c r="C3186" i="38"/>
  <c r="C4124" i="38"/>
  <c r="C2598" i="38"/>
  <c r="C5525" i="38"/>
  <c r="C5070" i="38"/>
  <c r="C2667" i="38"/>
  <c r="C4726" i="38"/>
  <c r="C10" i="38"/>
  <c r="C5263" i="38"/>
  <c r="C5004" i="38"/>
  <c r="C1242" i="38"/>
  <c r="C2151" i="38"/>
  <c r="C2222" i="38"/>
  <c r="C2021" i="38"/>
  <c r="C4858" i="38"/>
  <c r="C6010" i="38"/>
  <c r="C530" i="38"/>
  <c r="C1975" i="38"/>
  <c r="C3493" i="38"/>
  <c r="C2666" i="38"/>
  <c r="C4721" i="38"/>
  <c r="C1530" i="38"/>
  <c r="C5192" i="38"/>
  <c r="C3612" i="38"/>
  <c r="C5402" i="38"/>
  <c r="C4466" i="38"/>
  <c r="C1855" i="38"/>
  <c r="C2621" i="38"/>
  <c r="C2903" i="38"/>
  <c r="C1268" i="38"/>
  <c r="C6006" i="38"/>
  <c r="C1727" i="38"/>
  <c r="C4307" i="38"/>
  <c r="C2606" i="38"/>
  <c r="C2885" i="38"/>
  <c r="C4415" i="38"/>
  <c r="C4598" i="38"/>
  <c r="C3178" i="38"/>
  <c r="C1050" i="38"/>
  <c r="C5379" i="38"/>
  <c r="C5854" i="38"/>
  <c r="C777" i="38"/>
  <c r="C1149" i="38"/>
  <c r="C2758" i="38"/>
  <c r="C1071" i="38"/>
  <c r="C5322" i="38"/>
  <c r="C5740" i="38"/>
  <c r="C2915" i="38"/>
  <c r="C4030" i="38"/>
  <c r="C4732" i="38"/>
  <c r="C5890" i="38"/>
  <c r="C3458" i="38"/>
  <c r="C971" i="38"/>
  <c r="C3337" i="38"/>
  <c r="C830" i="38"/>
  <c r="C2038" i="38"/>
  <c r="C6056" i="38"/>
  <c r="C5623" i="38"/>
  <c r="C5177" i="38"/>
  <c r="C2461" i="38"/>
  <c r="C1707" i="38"/>
  <c r="C4765" i="38"/>
  <c r="C680" i="38"/>
  <c r="C2112" i="38"/>
  <c r="C2772" i="38"/>
  <c r="C6011" i="38"/>
  <c r="C5820" i="38"/>
  <c r="C5858" i="38"/>
  <c r="C1274" i="38"/>
  <c r="C1788" i="38"/>
  <c r="C3227" i="38"/>
  <c r="C5891" i="38"/>
  <c r="C5539" i="38"/>
  <c r="C4096" i="38"/>
  <c r="C6064" i="38"/>
  <c r="C2602" i="38"/>
  <c r="C745" i="38"/>
  <c r="C6050" i="38"/>
  <c r="C5574" i="38"/>
  <c r="C5321" i="38"/>
  <c r="C4446" i="38"/>
  <c r="C119" i="38"/>
  <c r="C477" i="38"/>
  <c r="C1157" i="38"/>
  <c r="C3862" i="38"/>
  <c r="C4714" i="38"/>
  <c r="C497" i="38"/>
  <c r="C1313" i="38"/>
  <c r="C5348" i="38"/>
  <c r="C4678" i="38"/>
  <c r="C1033" i="38"/>
  <c r="C3168" i="38"/>
  <c r="C5097" i="38"/>
  <c r="C6157" i="38"/>
  <c r="C3332" i="38"/>
  <c r="C6096" i="38"/>
  <c r="C4058" i="38"/>
  <c r="C98" i="38"/>
  <c r="C1009" i="38"/>
  <c r="C3802" i="38"/>
  <c r="C4715" i="38"/>
  <c r="C40" i="38"/>
  <c r="C421" i="38"/>
  <c r="C531" i="38"/>
  <c r="C2395" i="38"/>
  <c r="C3896" i="38"/>
  <c r="C2935" i="38"/>
  <c r="C4165" i="38"/>
  <c r="C36" i="38"/>
  <c r="C415" i="38"/>
  <c r="C2142" i="38"/>
  <c r="C4889" i="38"/>
  <c r="C4552" i="38"/>
  <c r="C75" i="38"/>
  <c r="C361" i="38"/>
  <c r="C794" i="38"/>
  <c r="C3997" i="38"/>
  <c r="C4411" i="38"/>
  <c r="C676" i="38"/>
  <c r="C1275" i="38"/>
  <c r="C2655" i="38"/>
  <c r="C1958" i="38"/>
  <c r="C76" i="38"/>
  <c r="C584" i="38"/>
  <c r="C1266" i="38"/>
  <c r="C4388" i="38"/>
  <c r="C1751" i="38"/>
  <c r="C1081" i="38"/>
  <c r="C3190" i="38"/>
  <c r="C5047" i="38"/>
  <c r="C403" i="38"/>
  <c r="C388" i="38"/>
  <c r="C964" i="38"/>
  <c r="C2346" i="38"/>
  <c r="C3532" i="38"/>
  <c r="C4967" i="38"/>
  <c r="C1652" i="38"/>
  <c r="C911" i="38"/>
  <c r="C4001" i="38"/>
  <c r="C1151" i="38"/>
  <c r="C1870" i="38"/>
  <c r="C2394" i="38"/>
  <c r="C1384" i="38"/>
  <c r="C11" i="38"/>
  <c r="C5945" i="38"/>
  <c r="C5942" i="38"/>
  <c r="C5714" i="38"/>
  <c r="C5523" i="38"/>
  <c r="C5497" i="38"/>
  <c r="C4022" i="38"/>
  <c r="C4494" i="38"/>
  <c r="C137" i="38"/>
  <c r="C417" i="38"/>
  <c r="C1750" i="38"/>
  <c r="C5131" i="38"/>
  <c r="C644" i="38"/>
  <c r="C1497" i="38"/>
  <c r="C31" i="38"/>
  <c r="C567" i="38"/>
  <c r="C1363" i="38"/>
  <c r="C4686" i="38"/>
  <c r="C4782" i="38"/>
  <c r="C3494" i="38"/>
  <c r="C3185" i="38"/>
  <c r="C4656" i="38"/>
  <c r="C5533" i="38"/>
  <c r="C4449" i="38"/>
  <c r="C4615" i="38"/>
  <c r="C3966" i="38"/>
  <c r="C3930" i="38"/>
  <c r="C5795" i="38"/>
  <c r="C4819" i="38"/>
  <c r="C4572" i="38"/>
  <c r="C1519" i="38"/>
  <c r="C1402" i="38"/>
  <c r="C4273" i="38"/>
  <c r="C1957" i="38"/>
  <c r="C5928" i="38"/>
  <c r="C5843" i="38"/>
  <c r="C1840" i="38"/>
  <c r="C2486" i="38"/>
  <c r="C4263" i="38"/>
  <c r="C4191" i="38"/>
  <c r="C3585" i="38"/>
  <c r="C3182" i="38"/>
  <c r="C5230" i="38"/>
  <c r="C4571" i="38"/>
  <c r="C5566" i="38"/>
  <c r="C1832" i="38"/>
  <c r="C930" i="38"/>
  <c r="C4579" i="38"/>
  <c r="C1884" i="38"/>
  <c r="C5373" i="38"/>
  <c r="C5228" i="38"/>
  <c r="C4115" i="38"/>
  <c r="C3691" i="38"/>
  <c r="C1198" i="38"/>
  <c r="C2517" i="38"/>
  <c r="C2837" i="38"/>
  <c r="C4966" i="38"/>
  <c r="C3177" i="38"/>
  <c r="C3441" i="38"/>
  <c r="C5780" i="38"/>
  <c r="C5830" i="38"/>
  <c r="C423" i="38"/>
  <c r="C1514" i="38"/>
  <c r="C1996" i="38"/>
  <c r="C3175" i="38"/>
  <c r="C5217" i="38"/>
  <c r="C5770" i="38"/>
  <c r="C2707" i="38"/>
  <c r="C4298" i="38"/>
  <c r="C3174" i="38"/>
  <c r="C5620" i="38"/>
  <c r="C3343" i="38"/>
  <c r="C4834" i="38"/>
  <c r="C2782" i="38"/>
  <c r="C1873" i="38"/>
  <c r="C603" i="38"/>
  <c r="C5882" i="38"/>
  <c r="C5759" i="38"/>
  <c r="C3505" i="38"/>
  <c r="C1995" i="38"/>
  <c r="C2842" i="38"/>
  <c r="C3335" i="38"/>
  <c r="C1471" i="38"/>
  <c r="C4059" i="38"/>
  <c r="C4297" i="38"/>
  <c r="C6000" i="38"/>
  <c r="C5834" i="38"/>
  <c r="C5704" i="38"/>
  <c r="C1309" i="38"/>
  <c r="C1264" i="38"/>
  <c r="C1314" i="38"/>
  <c r="C5864" i="38"/>
  <c r="C4811" i="38"/>
  <c r="C2087" i="38"/>
  <c r="C5847" i="38"/>
  <c r="C2883" i="38"/>
  <c r="C2979" i="38"/>
  <c r="C5840" i="38"/>
  <c r="C5383" i="38"/>
  <c r="C4444" i="38"/>
  <c r="C3858" i="38"/>
  <c r="C354" i="38"/>
  <c r="C2160" i="38"/>
  <c r="C6018" i="38"/>
  <c r="C1548" i="38"/>
  <c r="C251" i="38"/>
  <c r="C465" i="38"/>
  <c r="C1475" i="38"/>
  <c r="C5266" i="38"/>
  <c r="C296" i="38"/>
  <c r="C2213" i="38"/>
  <c r="C170" i="38"/>
  <c r="C1749" i="38"/>
  <c r="C5655" i="38"/>
  <c r="C1147" i="38"/>
  <c r="C6026" i="38"/>
  <c r="C4613" i="38"/>
  <c r="C179" i="38"/>
  <c r="C214" i="38"/>
  <c r="C3209" i="38"/>
  <c r="C4543" i="38"/>
  <c r="C4479" i="38"/>
  <c r="C16" i="38"/>
  <c r="C1173" i="38"/>
  <c r="C611" i="38"/>
  <c r="C2299" i="38"/>
  <c r="C3651" i="38"/>
  <c r="C3513" i="38"/>
  <c r="C21" i="38"/>
  <c r="C38" i="38"/>
  <c r="C1272" i="38"/>
  <c r="C4217" i="38"/>
  <c r="C4316" i="38"/>
  <c r="C4789" i="38"/>
  <c r="C99" i="38"/>
  <c r="C453" i="38"/>
  <c r="C1385" i="38"/>
  <c r="C3794" i="38"/>
  <c r="C4885" i="38"/>
  <c r="C901" i="38"/>
  <c r="C793" i="38"/>
  <c r="C4154" i="38"/>
  <c r="C33" i="38"/>
  <c r="C114" i="38"/>
  <c r="C346" i="38"/>
  <c r="C1452" i="38"/>
  <c r="C2987" i="38"/>
  <c r="C2152" i="38"/>
  <c r="C2266" i="38"/>
  <c r="C3447" i="38"/>
  <c r="C5362" i="38"/>
  <c r="C470" i="38"/>
  <c r="C610" i="38"/>
  <c r="C1342" i="38"/>
  <c r="C3249" i="38"/>
  <c r="C4404" i="38"/>
  <c r="C5659" i="38"/>
  <c r="C109" i="38"/>
  <c r="C1108" i="38"/>
  <c r="C5270" i="38"/>
  <c r="C770" i="38"/>
  <c r="C2214" i="38"/>
  <c r="C2986" i="38"/>
  <c r="C3456" i="38"/>
  <c r="C5302" i="38"/>
  <c r="C6007" i="38"/>
  <c r="C5708" i="38"/>
  <c r="C5781" i="38"/>
  <c r="C5645" i="38"/>
  <c r="C5646" i="38"/>
  <c r="C3669" i="38"/>
  <c r="C2934" i="38"/>
  <c r="C439" i="38"/>
  <c r="C2999" i="38"/>
  <c r="C2759" i="38"/>
  <c r="C3603" i="38"/>
  <c r="C1177" i="38"/>
  <c r="C2252" i="38"/>
  <c r="C32" i="38"/>
  <c r="C1034" i="38"/>
  <c r="C2108" i="38"/>
  <c r="C4580" i="38"/>
  <c r="C3205" i="38"/>
  <c r="C3661" i="38"/>
  <c r="C3184" i="38"/>
  <c r="C3371" i="38"/>
  <c r="C5046" i="38"/>
  <c r="C4762" i="38"/>
  <c r="C4541" i="38"/>
  <c r="C4185" i="38"/>
  <c r="C4738" i="38"/>
  <c r="C5831" i="38"/>
  <c r="C1265" i="38"/>
  <c r="C3442" i="38"/>
  <c r="C1585" i="38"/>
  <c r="C2509" i="38"/>
  <c r="C2833" i="38"/>
  <c r="C2393" i="38"/>
  <c r="C5992" i="38"/>
  <c r="C1518" i="38"/>
  <c r="C1965" i="38"/>
  <c r="C4744" i="38"/>
  <c r="C4718" i="38"/>
  <c r="C4123" i="38"/>
  <c r="C2886" i="38"/>
  <c r="C3181" i="38"/>
  <c r="C5877" i="38"/>
  <c r="C5297" i="38"/>
  <c r="C5522" i="38"/>
  <c r="C1107" i="38"/>
  <c r="C2597" i="38"/>
  <c r="C1973" i="38"/>
  <c r="C2815" i="38"/>
  <c r="C3929" i="38"/>
  <c r="C4638" i="38"/>
  <c r="C4727" i="38"/>
  <c r="C3850" i="38"/>
  <c r="C1935" i="38"/>
  <c r="C3756" i="38"/>
  <c r="C2980" i="38"/>
  <c r="C5208" i="38"/>
  <c r="C3176" i="38"/>
  <c r="C5239" i="38"/>
  <c r="C5675" i="38"/>
  <c r="C1642" i="38"/>
  <c r="C393" i="38"/>
  <c r="C1239" i="38"/>
  <c r="C2644" i="38"/>
  <c r="C5993" i="38"/>
  <c r="C4488" i="38"/>
  <c r="C5791" i="38"/>
  <c r="C3440" i="38"/>
  <c r="C2307" i="38"/>
  <c r="C6161" i="38"/>
  <c r="C4754" i="38"/>
  <c r="C2671" i="38"/>
  <c r="C3690" i="38"/>
  <c r="C487" i="38"/>
  <c r="C2265" i="38"/>
  <c r="C1101" i="38"/>
  <c r="C5706" i="38"/>
  <c r="C5422" i="38"/>
  <c r="C2405" i="38"/>
  <c r="C3996" i="38"/>
  <c r="C4164" i="38"/>
  <c r="C2366" i="38"/>
  <c r="C2226" i="38"/>
  <c r="C2814" i="38"/>
  <c r="C4535" i="38"/>
  <c r="C5964" i="38"/>
  <c r="C5895" i="38"/>
  <c r="C4870" i="38"/>
  <c r="C868" i="38"/>
  <c r="C1549" i="38"/>
  <c r="C6158" i="38"/>
  <c r="C5888" i="38"/>
  <c r="C1978" i="38"/>
  <c r="C2484" i="38"/>
  <c r="C5778" i="38"/>
  <c r="C1176" i="38"/>
  <c r="C3334" i="38"/>
  <c r="C5800" i="38"/>
  <c r="C4349" i="38"/>
  <c r="C4810" i="38"/>
  <c r="C4534" i="38"/>
  <c r="C438" i="38"/>
  <c r="C2063" i="38"/>
  <c r="C5685" i="38"/>
  <c r="C5173" i="38"/>
  <c r="C2569" i="38"/>
  <c r="C441" i="38"/>
  <c r="C475" i="38"/>
  <c r="C4787" i="38"/>
  <c r="C359" i="38"/>
  <c r="C2032" i="38"/>
  <c r="C2587" i="38"/>
  <c r="C2549" i="38"/>
  <c r="C5226" i="38"/>
  <c r="C1557" i="38"/>
  <c r="C6047" i="38"/>
  <c r="C3512" i="38"/>
  <c r="C148" i="38"/>
  <c r="C101" i="38"/>
  <c r="C1023" i="38"/>
  <c r="C4968" i="38"/>
  <c r="C5642" i="38"/>
  <c r="C25" i="38"/>
  <c r="C478" i="38"/>
  <c r="C1035" i="38"/>
  <c r="C1709" i="38"/>
  <c r="C4246" i="38"/>
  <c r="C3472" i="38"/>
  <c r="C37" i="38"/>
  <c r="C149" i="38"/>
  <c r="C2988" i="38"/>
  <c r="C4275" i="38"/>
  <c r="C4223" i="38"/>
  <c r="C135" i="38"/>
  <c r="C250" i="38"/>
  <c r="C431" i="38"/>
  <c r="C1180" i="38"/>
  <c r="C5060" i="38"/>
  <c r="C723" i="38"/>
  <c r="C3257" i="38"/>
  <c r="C593" i="38"/>
  <c r="C4619" i="38"/>
  <c r="C46" i="38"/>
  <c r="C82" i="38"/>
  <c r="C869" i="38"/>
  <c r="C3616" i="38"/>
  <c r="C1022" i="38"/>
  <c r="C1789" i="38"/>
  <c r="C3192" i="38"/>
  <c r="C3509" i="38"/>
  <c r="C1575" i="38"/>
  <c r="C1453" i="38"/>
  <c r="C1283" i="38"/>
  <c r="C2101" i="38"/>
  <c r="C3360" i="38"/>
  <c r="C4519" i="38"/>
  <c r="C3189" i="38"/>
  <c r="C207" i="38"/>
  <c r="C1689" i="38"/>
  <c r="C3851" i="38"/>
  <c r="C1028" i="38"/>
  <c r="C4260" i="38"/>
  <c r="C3547" i="38"/>
  <c r="C3471" i="38"/>
  <c r="C6071" i="38"/>
  <c r="C5956" i="38"/>
  <c r="C5815" i="38"/>
  <c r="C5637" i="38"/>
  <c r="C5261" i="38"/>
  <c r="C5312" i="38"/>
  <c r="C3248" i="38"/>
  <c r="C4327" i="38"/>
  <c r="C111" i="38"/>
  <c r="C5071" i="38"/>
  <c r="C2322" i="38"/>
  <c r="C1610" i="38"/>
  <c r="C3285" i="38"/>
  <c r="C2204" i="38"/>
  <c r="C78" i="38"/>
  <c r="C1481" i="38"/>
  <c r="C2369" i="38"/>
  <c r="C3546" i="38"/>
  <c r="C2607" i="38"/>
  <c r="C3187" i="38"/>
  <c r="C3508" i="38"/>
  <c r="C4979" i="38"/>
  <c r="C5494" i="38"/>
  <c r="C5063" i="38"/>
  <c r="C4796" i="38"/>
  <c r="C4391" i="38"/>
  <c r="C5605" i="38"/>
  <c r="C4841" i="38"/>
  <c r="C3256" i="38"/>
  <c r="C2994" i="38"/>
  <c r="C2064" i="38"/>
  <c r="C3349" i="38"/>
  <c r="C937" i="38"/>
  <c r="C4222" i="38"/>
  <c r="C6068" i="38"/>
  <c r="C442" i="38"/>
  <c r="C2790" i="38"/>
  <c r="C4315" i="38"/>
  <c r="C5179" i="38"/>
  <c r="C4340" i="38"/>
  <c r="C3183" i="38"/>
  <c r="C3180" i="38"/>
  <c r="C5479" i="38"/>
  <c r="C5454" i="38"/>
  <c r="C4387" i="38"/>
  <c r="C1292" i="38"/>
  <c r="C3228" i="38"/>
  <c r="C2293" i="38"/>
  <c r="C2773" i="38"/>
  <c r="C5892" i="38"/>
  <c r="C5265" i="38"/>
  <c r="C4781" i="38"/>
  <c r="C4067" i="38"/>
  <c r="C2708" i="38"/>
  <c r="C3710" i="38"/>
  <c r="C4052" i="38"/>
  <c r="C3179" i="38"/>
  <c r="C1117" i="38"/>
  <c r="C4879" i="38"/>
  <c r="C5906" i="38"/>
  <c r="C2619" i="38"/>
  <c r="C1038" i="38"/>
  <c r="C2596" i="38"/>
  <c r="C2721" i="38"/>
  <c r="C5546" i="38"/>
  <c r="C5335" i="38"/>
  <c r="C5250" i="38"/>
  <c r="C4051" i="38"/>
  <c r="C2194" i="38"/>
  <c r="C6063" i="38"/>
  <c r="C2595" i="38"/>
  <c r="C1934" i="38"/>
  <c r="C2298" i="38"/>
  <c r="C998" i="38"/>
  <c r="C2071" i="38"/>
  <c r="C2088" i="38"/>
  <c r="C5705" i="38"/>
  <c r="C4685" i="38"/>
  <c r="C4708" i="38"/>
  <c r="C1708" i="38"/>
  <c r="C3300" i="38"/>
  <c r="C3173" i="38"/>
  <c r="C4205" i="38"/>
  <c r="C4008" i="38"/>
  <c r="C6159" i="38"/>
  <c r="C5939" i="38"/>
  <c r="C5824" i="38"/>
  <c r="C5130" i="38"/>
  <c r="C2742" i="38"/>
  <c r="C2167" i="38"/>
  <c r="C5688" i="38"/>
  <c r="C5826" i="38"/>
  <c r="C3869" i="38"/>
  <c r="C6046" i="38"/>
  <c r="C4518" i="38"/>
  <c r="C659" i="38"/>
  <c r="C3172" i="38"/>
  <c r="C3431" i="38"/>
  <c r="C5050" i="38"/>
  <c r="C4230" i="38"/>
  <c r="C4162" i="38"/>
  <c r="C841" i="38"/>
  <c r="C1621" i="38"/>
  <c r="C5857" i="38"/>
  <c r="C4100" i="38"/>
  <c r="C2281" i="38"/>
  <c r="C700" i="38"/>
  <c r="C617" i="38"/>
  <c r="C3171" i="38"/>
  <c r="C2551" i="38"/>
  <c r="C2963" i="38"/>
  <c r="C96" i="38"/>
  <c r="C4902" i="38"/>
  <c r="C3202" i="38"/>
  <c r="C1903" i="38"/>
  <c r="C3976" i="38"/>
  <c r="C3163" i="38"/>
  <c r="E6158" i="38"/>
  <c r="E6137" i="38"/>
  <c r="E6114" i="38"/>
  <c r="E6094" i="38"/>
  <c r="E6073" i="38"/>
  <c r="E6030" i="38"/>
  <c r="E5998" i="38"/>
  <c r="E5966" i="38"/>
  <c r="E5934" i="38"/>
  <c r="E5902" i="38"/>
  <c r="E5870" i="38"/>
  <c r="E5838" i="38"/>
  <c r="E5806" i="38"/>
  <c r="E5774" i="38"/>
  <c r="E5742" i="38"/>
  <c r="E5706" i="38"/>
  <c r="E5662" i="38"/>
  <c r="E5621" i="38"/>
  <c r="E5578" i="38"/>
  <c r="E5534" i="38"/>
  <c r="E5493" i="38"/>
  <c r="E5450" i="38"/>
  <c r="E5406" i="38"/>
  <c r="E5365" i="38"/>
  <c r="E5322" i="38"/>
  <c r="E5278" i="38"/>
  <c r="E5237" i="38"/>
  <c r="E5173" i="38"/>
  <c r="E5103" i="38"/>
  <c r="E5046" i="38"/>
  <c r="E4987" i="38"/>
  <c r="E4902" i="38"/>
  <c r="E4817" i="38"/>
  <c r="E4677" i="38"/>
  <c r="E4565" i="38"/>
  <c r="E4485" i="38"/>
  <c r="E4410" i="38"/>
  <c r="E4335" i="38"/>
  <c r="E4113" i="38"/>
  <c r="E3689" i="38"/>
  <c r="E3092" i="38"/>
  <c r="E1663" i="38"/>
  <c r="E258" i="38"/>
  <c r="E409" i="38"/>
  <c r="E942" i="38"/>
  <c r="E1177" i="38"/>
  <c r="E1343" i="38"/>
  <c r="E1471" i="38"/>
  <c r="E1599" i="38"/>
  <c r="E1722" i="38"/>
  <c r="E1807" i="38"/>
  <c r="E1892" i="38"/>
  <c r="E1978" i="38"/>
  <c r="E2063" i="38"/>
  <c r="E2148" i="38"/>
  <c r="E2234" i="38"/>
  <c r="E2312" i="38"/>
  <c r="E2376" i="38"/>
  <c r="E2440" i="38"/>
  <c r="E2504" i="38"/>
  <c r="E2568" i="38"/>
  <c r="E2632" i="38"/>
  <c r="E2696" i="38"/>
  <c r="E2760" i="38"/>
  <c r="E2824" i="38"/>
  <c r="E2868" i="38"/>
  <c r="E2911" i="38"/>
  <c r="E2953" i="38"/>
  <c r="E2996" i="38"/>
  <c r="E3039" i="38"/>
  <c r="E3081" i="38"/>
  <c r="E3124" i="38"/>
  <c r="E3167" i="38"/>
  <c r="E3209" i="38"/>
  <c r="E3241" i="38"/>
  <c r="E3284" i="38"/>
  <c r="E3327" i="38"/>
  <c r="E3369" i="38"/>
  <c r="E3412" i="38"/>
  <c r="E3455" i="38"/>
  <c r="E3497" i="38"/>
  <c r="E3540" i="38"/>
  <c r="E3583" i="38"/>
  <c r="E3625" i="38"/>
  <c r="E3668" i="38"/>
  <c r="E3711" i="38"/>
  <c r="E3753" i="38"/>
  <c r="E3796" i="38"/>
  <c r="E3838" i="38"/>
  <c r="E3870" i="38"/>
  <c r="E3899" i="38"/>
  <c r="E3921" i="38"/>
  <c r="E3942" i="38"/>
  <c r="E3963" i="38"/>
  <c r="E3983" i="38"/>
  <c r="E3994" i="38"/>
  <c r="E4005" i="38"/>
  <c r="E4015" i="38"/>
  <c r="E4026" i="38"/>
  <c r="E4037" i="38"/>
  <c r="E4047" i="38"/>
  <c r="E4058" i="38"/>
  <c r="E4069" i="38"/>
  <c r="E4079" i="38"/>
  <c r="E4090" i="38"/>
  <c r="E4101" i="38"/>
  <c r="E4111" i="38"/>
  <c r="E4122" i="38"/>
  <c r="E4133" i="38"/>
  <c r="E4143" i="38"/>
  <c r="E4154" i="38"/>
  <c r="E4165" i="38"/>
  <c r="E4175" i="38"/>
  <c r="E4186" i="38"/>
  <c r="E4197" i="38"/>
  <c r="E4207" i="38"/>
  <c r="E4218" i="38"/>
  <c r="E4229" i="38"/>
  <c r="E4239" i="38"/>
  <c r="E4250" i="38"/>
  <c r="E4261" i="38"/>
  <c r="E4271" i="38"/>
  <c r="E4282" i="38"/>
  <c r="E4293" i="38"/>
  <c r="E4303" i="38"/>
  <c r="E4314" i="38"/>
  <c r="E4325" i="38"/>
  <c r="E857" i="38"/>
  <c r="E1134" i="38"/>
  <c r="E1305" i="38"/>
  <c r="E1439" i="38"/>
  <c r="E1567" i="38"/>
  <c r="E1695" i="38"/>
  <c r="E1786" i="38"/>
  <c r="E1871" i="38"/>
  <c r="E1956" i="38"/>
  <c r="E2042" i="38"/>
  <c r="E2127" i="38"/>
  <c r="E2212" i="38"/>
  <c r="E2296" i="38"/>
  <c r="E2360" i="38"/>
  <c r="E2424" i="38"/>
  <c r="E2488" i="38"/>
  <c r="E2552" i="38"/>
  <c r="E2616" i="38"/>
  <c r="E2680" i="38"/>
  <c r="E2744" i="38"/>
  <c r="E2808" i="38"/>
  <c r="E2857" i="38"/>
  <c r="E2900" i="38"/>
  <c r="E2943" i="38"/>
  <c r="E2985" i="38"/>
  <c r="E3028" i="38"/>
  <c r="E3071" i="38"/>
  <c r="E3113" i="38"/>
  <c r="E3156" i="38"/>
  <c r="E3199" i="38"/>
  <c r="E3231" i="38"/>
  <c r="E3273" i="38"/>
  <c r="E3316" i="38"/>
  <c r="E3359" i="38"/>
  <c r="E3401" i="38"/>
  <c r="E3444" i="38"/>
  <c r="E3487" i="38"/>
  <c r="E3529" i="38"/>
  <c r="E3572" i="38"/>
  <c r="E3615" i="38"/>
  <c r="E3657" i="38"/>
  <c r="E3700" i="38"/>
  <c r="E3743" i="38"/>
  <c r="E3785" i="38"/>
  <c r="E3828" i="38"/>
  <c r="E3862" i="38"/>
  <c r="E3894" i="38"/>
  <c r="E3915" i="38"/>
  <c r="E3937" i="38"/>
  <c r="E3958" i="38"/>
  <c r="E3979" i="38"/>
  <c r="E3990" i="38"/>
  <c r="E4001" i="38"/>
  <c r="E4011" i="38"/>
  <c r="E4022" i="38"/>
  <c r="E4033" i="38"/>
  <c r="E4043" i="38"/>
  <c r="E4054" i="38"/>
  <c r="E4065" i="38"/>
  <c r="E4075" i="38"/>
  <c r="E4086" i="38"/>
  <c r="E4097" i="38"/>
  <c r="E4107" i="38"/>
  <c r="E4118" i="38"/>
  <c r="E4129" i="38"/>
  <c r="E4139" i="38"/>
  <c r="E4150" i="38"/>
  <c r="E4161" i="38"/>
  <c r="E4171" i="38"/>
  <c r="E4182" i="38"/>
  <c r="E4193" i="38"/>
  <c r="E4203" i="38"/>
  <c r="E4214" i="38"/>
  <c r="E4225" i="38"/>
  <c r="E4235" i="38"/>
  <c r="E4246" i="38"/>
  <c r="E4257" i="38"/>
  <c r="E4267" i="38"/>
  <c r="E4278" i="38"/>
  <c r="E4289" i="38"/>
  <c r="E4299" i="38"/>
  <c r="E4310" i="38"/>
  <c r="E4321" i="38"/>
  <c r="E4331" i="38"/>
  <c r="E757" i="38"/>
  <c r="E1262" i="38"/>
  <c r="E1535" i="38"/>
  <c r="E1764" i="38"/>
  <c r="E1935" i="38"/>
  <c r="E2106" i="38"/>
  <c r="E2276" i="38"/>
  <c r="E2408" i="38"/>
  <c r="E2536" i="38"/>
  <c r="E2664" i="38"/>
  <c r="E2792" i="38"/>
  <c r="E2889" i="38"/>
  <c r="E2975" i="38"/>
  <c r="E3060" i="38"/>
  <c r="E3145" i="38"/>
  <c r="E3229" i="38"/>
  <c r="E3305" i="38"/>
  <c r="E3391" i="38"/>
  <c r="E3476" i="38"/>
  <c r="E3561" i="38"/>
  <c r="E3647" i="38"/>
  <c r="E3732" i="38"/>
  <c r="E3817" i="38"/>
  <c r="E3886" i="38"/>
  <c r="E3931" i="38"/>
  <c r="E3974" i="38"/>
  <c r="E3999" i="38"/>
  <c r="E4021" i="38"/>
  <c r="E4042" i="38"/>
  <c r="E4063" i="38"/>
  <c r="E4085" i="38"/>
  <c r="E4106" i="38"/>
  <c r="E4127" i="38"/>
  <c r="E4149" i="38"/>
  <c r="E4170" i="38"/>
  <c r="E4191" i="38"/>
  <c r="E4213" i="38"/>
  <c r="E4234" i="38"/>
  <c r="E4255" i="38"/>
  <c r="E4277" i="38"/>
  <c r="E4298" i="38"/>
  <c r="E4319" i="38"/>
  <c r="E4337" i="38"/>
  <c r="E4347" i="38"/>
  <c r="E4358" i="38"/>
  <c r="E4369" i="38"/>
  <c r="E4379" i="38"/>
  <c r="E4390" i="38"/>
  <c r="E4401" i="38"/>
  <c r="E4411" i="38"/>
  <c r="E4422" i="38"/>
  <c r="E4433" i="38"/>
  <c r="E4443" i="38"/>
  <c r="E4454" i="38"/>
  <c r="E4465" i="38"/>
  <c r="E4475" i="38"/>
  <c r="E4486" i="38"/>
  <c r="E4497" i="38"/>
  <c r="E4507" i="38"/>
  <c r="E4518" i="38"/>
  <c r="E4529" i="38"/>
  <c r="E4539" i="38"/>
  <c r="E4550" i="38"/>
  <c r="E4561" i="38"/>
  <c r="E4571" i="38"/>
  <c r="E4582" i="38"/>
  <c r="E4593" i="38"/>
  <c r="E4603" i="38"/>
  <c r="E4614" i="38"/>
  <c r="E4625" i="38"/>
  <c r="E4635" i="38"/>
  <c r="E4646" i="38"/>
  <c r="E4657" i="38"/>
  <c r="E4667" i="38"/>
  <c r="E4678" i="38"/>
  <c r="E4689" i="38"/>
  <c r="E4699" i="38"/>
  <c r="E4710" i="38"/>
  <c r="E4721" i="38"/>
  <c r="E4731" i="38"/>
  <c r="E4742" i="38"/>
  <c r="E4753" i="38"/>
  <c r="E4763" i="38"/>
  <c r="E4774" i="38"/>
  <c r="E4785" i="38"/>
  <c r="E1028" i="38"/>
  <c r="E1407" i="38"/>
  <c r="E1743" i="38"/>
  <c r="E1999" i="38"/>
  <c r="E2191" i="38"/>
  <c r="E2392" i="38"/>
  <c r="E2584" i="38"/>
  <c r="E2728" i="38"/>
  <c r="E2879" i="38"/>
  <c r="E3007" i="38"/>
  <c r="E3103" i="38"/>
  <c r="E3220" i="38"/>
  <c r="E3337" i="38"/>
  <c r="E3433" i="38"/>
  <c r="E3551" i="38"/>
  <c r="E3679" i="38"/>
  <c r="E3775" i="38"/>
  <c r="E3878" i="38"/>
  <c r="E3947" i="38"/>
  <c r="E3989" i="38"/>
  <c r="E4017" i="38"/>
  <c r="E4049" i="38"/>
  <c r="E4074" i="38"/>
  <c r="E4102" i="38"/>
  <c r="E4134" i="38"/>
  <c r="E4159" i="38"/>
  <c r="E4187" i="38"/>
  <c r="E4219" i="38"/>
  <c r="E4245" i="38"/>
  <c r="E4273" i="38"/>
  <c r="E4305" i="38"/>
  <c r="E4330" i="38"/>
  <c r="E4346" i="38"/>
  <c r="E4362" i="38"/>
  <c r="E4374" i="38"/>
  <c r="E4389" i="38"/>
  <c r="E4405" i="38"/>
  <c r="E4417" i="38"/>
  <c r="E4431" i="38"/>
  <c r="E4447" i="38"/>
  <c r="E4459" i="38"/>
  <c r="E4474" i="38"/>
  <c r="E4490" i="38"/>
  <c r="E4502" i="38"/>
  <c r="E4517" i="38"/>
  <c r="E4533" i="38"/>
  <c r="E4545" i="38"/>
  <c r="E4559" i="38"/>
  <c r="E4575" i="38"/>
  <c r="E4587" i="38"/>
  <c r="E4602" i="38"/>
  <c r="E4618" i="38"/>
  <c r="E4630" i="38"/>
  <c r="E4645" i="38"/>
  <c r="E4661" i="38"/>
  <c r="E4673" i="38"/>
  <c r="E4687" i="38"/>
  <c r="E4703" i="38"/>
  <c r="E4715" i="38"/>
  <c r="E4730" i="38"/>
  <c r="E4746" i="38"/>
  <c r="E4758" i="38"/>
  <c r="E4773" i="38"/>
  <c r="E4789" i="38"/>
  <c r="E4799" i="38"/>
  <c r="E4810" i="38"/>
  <c r="E4821" i="38"/>
  <c r="E4831" i="38"/>
  <c r="E4842" i="38"/>
  <c r="E4853" i="38"/>
  <c r="E4863" i="38"/>
  <c r="E4874" i="38"/>
  <c r="E4885" i="38"/>
  <c r="E4895" i="38"/>
  <c r="E4906" i="38"/>
  <c r="E4917" i="38"/>
  <c r="E4927" i="38"/>
  <c r="E4938" i="38"/>
  <c r="E4949" i="38"/>
  <c r="E4959" i="38"/>
  <c r="E4970" i="38"/>
  <c r="E4981" i="38"/>
  <c r="E4991" i="38"/>
  <c r="E5002" i="38"/>
  <c r="E5013" i="38"/>
  <c r="E5023" i="38"/>
  <c r="E5034" i="38"/>
  <c r="E5045" i="38"/>
  <c r="E5055" i="38"/>
  <c r="E5066" i="38"/>
  <c r="E5077" i="38"/>
  <c r="E5087" i="38"/>
  <c r="E5098" i="38"/>
  <c r="E5109" i="38"/>
  <c r="E5119" i="38"/>
  <c r="E5129" i="38"/>
  <c r="E5137" i="38"/>
  <c r="E5145" i="38"/>
  <c r="E5153" i="38"/>
  <c r="E5161" i="38"/>
  <c r="E5169" i="38"/>
  <c r="E5177" i="38"/>
  <c r="E5185" i="38"/>
  <c r="E5193" i="38"/>
  <c r="E5201" i="38"/>
  <c r="E5209" i="38"/>
  <c r="E5217" i="38"/>
  <c r="E5225" i="38"/>
  <c r="E5233" i="38"/>
  <c r="E5241" i="38"/>
  <c r="E5249" i="38"/>
  <c r="E5257" i="38"/>
  <c r="E5265" i="38"/>
  <c r="E5273" i="38"/>
  <c r="E5281" i="38"/>
  <c r="E5289" i="38"/>
  <c r="E5297" i="38"/>
  <c r="E5305" i="38"/>
  <c r="E5313" i="38"/>
  <c r="E5321" i="38"/>
  <c r="E5329" i="38"/>
  <c r="E5337" i="38"/>
  <c r="E5345" i="38"/>
  <c r="E5353" i="38"/>
  <c r="E5361" i="38"/>
  <c r="E5369" i="38"/>
  <c r="E5377" i="38"/>
  <c r="E5385" i="38"/>
  <c r="E5393" i="38"/>
  <c r="E5401" i="38"/>
  <c r="E5409" i="38"/>
  <c r="E5417" i="38"/>
  <c r="E5425" i="38"/>
  <c r="E5433" i="38"/>
  <c r="E5441" i="38"/>
  <c r="E5449" i="38"/>
  <c r="E5457" i="38"/>
  <c r="E5465" i="38"/>
  <c r="E5473" i="38"/>
  <c r="E5481" i="38"/>
  <c r="E5489" i="38"/>
  <c r="E5497" i="38"/>
  <c r="E5505" i="38"/>
  <c r="E5513" i="38"/>
  <c r="E5521" i="38"/>
  <c r="E5529" i="38"/>
  <c r="E5537" i="38"/>
  <c r="E5545" i="38"/>
  <c r="E5553" i="38"/>
  <c r="E5561" i="38"/>
  <c r="E5569" i="38"/>
  <c r="E5577" i="38"/>
  <c r="E5585" i="38"/>
  <c r="E5593" i="38"/>
  <c r="E5601" i="38"/>
  <c r="E5609" i="38"/>
  <c r="E5617" i="38"/>
  <c r="E5625" i="38"/>
  <c r="E5633" i="38"/>
  <c r="E5641" i="38"/>
  <c r="E5649" i="38"/>
  <c r="E5657" i="38"/>
  <c r="E5665" i="38"/>
  <c r="E5673" i="38"/>
  <c r="E5681" i="38"/>
  <c r="E5689" i="38"/>
  <c r="E5697" i="38"/>
  <c r="E5705" i="38"/>
  <c r="E5713" i="38"/>
  <c r="E5721" i="38"/>
  <c r="E608" i="38"/>
  <c r="E1503" i="38"/>
  <c r="E1850" i="38"/>
  <c r="E2170" i="38"/>
  <c r="E2456" i="38"/>
  <c r="E2648" i="38"/>
  <c r="E2847" i="38"/>
  <c r="E3017" i="38"/>
  <c r="E3177" i="38"/>
  <c r="E3295" i="38"/>
  <c r="E3465" i="38"/>
  <c r="E3604" i="38"/>
  <c r="E3764" i="38"/>
  <c r="E3905" i="38"/>
  <c r="E3969" i="38"/>
  <c r="E4010" i="38"/>
  <c r="E4053" i="38"/>
  <c r="E4091" i="38"/>
  <c r="E4123" i="38"/>
  <c r="E4166" i="38"/>
  <c r="E4202" i="38"/>
  <c r="E4241" i="38"/>
  <c r="E4283" i="38"/>
  <c r="E4315" i="38"/>
  <c r="E4342" i="38"/>
  <c r="E4363" i="38"/>
  <c r="E4383" i="38"/>
  <c r="E4399" i="38"/>
  <c r="E4421" i="38"/>
  <c r="E4438" i="38"/>
  <c r="E4458" i="38"/>
  <c r="E4479" i="38"/>
  <c r="E4495" i="38"/>
  <c r="E4513" i="38"/>
  <c r="E4534" i="38"/>
  <c r="E4554" i="38"/>
  <c r="E4570" i="38"/>
  <c r="E4591" i="38"/>
  <c r="E4609" i="38"/>
  <c r="E4629" i="38"/>
  <c r="E4650" i="38"/>
  <c r="E4666" i="38"/>
  <c r="E4683" i="38"/>
  <c r="E4705" i="38"/>
  <c r="E4725" i="38"/>
  <c r="E4741" i="38"/>
  <c r="E4762" i="38"/>
  <c r="E4779" i="38"/>
  <c r="E4795" i="38"/>
  <c r="E4811" i="38"/>
  <c r="E4826" i="38"/>
  <c r="E4838" i="38"/>
  <c r="E4854" i="38"/>
  <c r="E4869" i="38"/>
  <c r="E4881" i="38"/>
  <c r="E4897" i="38"/>
  <c r="E4911" i="38"/>
  <c r="E4923" i="38"/>
  <c r="E4939" i="38"/>
  <c r="E4954" i="38"/>
  <c r="E4966" i="38"/>
  <c r="E4982" i="38"/>
  <c r="E4997" i="38"/>
  <c r="E5009" i="38"/>
  <c r="E5025" i="38"/>
  <c r="E5039" i="38"/>
  <c r="E5051" i="38"/>
  <c r="E5067" i="38"/>
  <c r="E5082" i="38"/>
  <c r="E5094" i="38"/>
  <c r="E5110" i="38"/>
  <c r="E5125" i="38"/>
  <c r="E5134" i="38"/>
  <c r="E5146" i="38"/>
  <c r="E5157" i="38"/>
  <c r="E5166" i="38"/>
  <c r="E5178" i="38"/>
  <c r="E5189" i="38"/>
  <c r="E5198" i="38"/>
  <c r="E5210" i="38"/>
  <c r="E5221" i="38"/>
  <c r="E5230" i="38"/>
  <c r="E5242" i="38"/>
  <c r="E5253" i="38"/>
  <c r="E5262" i="38"/>
  <c r="E5274" i="38"/>
  <c r="E5285" i="38"/>
  <c r="E5294" i="38"/>
  <c r="E5306" i="38"/>
  <c r="E5317" i="38"/>
  <c r="E5326" i="38"/>
  <c r="E5338" i="38"/>
  <c r="E5349" i="38"/>
  <c r="E5358" i="38"/>
  <c r="E5370" i="38"/>
  <c r="E5381" i="38"/>
  <c r="E5390" i="38"/>
  <c r="E5402" i="38"/>
  <c r="E5413" i="38"/>
  <c r="E5422" i="38"/>
  <c r="E5434" i="38"/>
  <c r="E5445" i="38"/>
  <c r="E5454" i="38"/>
  <c r="E5466" i="38"/>
  <c r="E5477" i="38"/>
  <c r="E5486" i="38"/>
  <c r="E5498" i="38"/>
  <c r="E5509" i="38"/>
  <c r="E5518" i="38"/>
  <c r="E5530" i="38"/>
  <c r="E5541" i="38"/>
  <c r="E5550" i="38"/>
  <c r="E5562" i="38"/>
  <c r="E5573" i="38"/>
  <c r="E5582" i="38"/>
  <c r="E5594" i="38"/>
  <c r="E5605" i="38"/>
  <c r="E5614" i="38"/>
  <c r="E5626" i="38"/>
  <c r="E5637" i="38"/>
  <c r="E5646" i="38"/>
  <c r="E5658" i="38"/>
  <c r="E5669" i="38"/>
  <c r="E5678" i="38"/>
  <c r="E5690" i="38"/>
  <c r="E5701" i="38"/>
  <c r="E5710" i="38"/>
  <c r="E5722" i="38"/>
  <c r="E5730" i="38"/>
  <c r="E5738" i="38"/>
  <c r="E5746" i="38"/>
  <c r="E5754" i="38"/>
  <c r="E5762" i="38"/>
  <c r="E5770" i="38"/>
  <c r="E5778" i="38"/>
  <c r="E5786" i="38"/>
  <c r="E5794" i="38"/>
  <c r="E5802" i="38"/>
  <c r="E5810" i="38"/>
  <c r="E5818" i="38"/>
  <c r="E5826" i="38"/>
  <c r="E5834" i="38"/>
  <c r="E5842" i="38"/>
  <c r="E5850" i="38"/>
  <c r="E5858" i="38"/>
  <c r="E5866" i="38"/>
  <c r="E5874" i="38"/>
  <c r="E5882" i="38"/>
  <c r="E5890" i="38"/>
  <c r="E5898" i="38"/>
  <c r="E5906" i="38"/>
  <c r="E5914" i="38"/>
  <c r="E5922" i="38"/>
  <c r="E5930" i="38"/>
  <c r="E5938" i="38"/>
  <c r="E5946" i="38"/>
  <c r="E5954" i="38"/>
  <c r="E5962" i="38"/>
  <c r="E5970" i="38"/>
  <c r="E5978" i="38"/>
  <c r="E5986" i="38"/>
  <c r="E5994" i="38"/>
  <c r="E6002" i="38"/>
  <c r="E6010" i="38"/>
  <c r="E6018" i="38"/>
  <c r="E6026" i="38"/>
  <c r="E6034" i="38"/>
  <c r="E6042" i="38"/>
  <c r="E6050" i="38"/>
  <c r="E6058" i="38"/>
  <c r="E1092" i="38"/>
  <c r="E1631" i="38"/>
  <c r="E1914" i="38"/>
  <c r="E2255" i="38"/>
  <c r="E2472" i="38"/>
  <c r="E2712" i="38"/>
  <c r="E2921" i="38"/>
  <c r="E3049" i="38"/>
  <c r="E3188" i="38"/>
  <c r="E3348" i="38"/>
  <c r="E3508" i="38"/>
  <c r="E3636" i="38"/>
  <c r="E3807" i="38"/>
  <c r="E3910" i="38"/>
  <c r="E3985" i="38"/>
  <c r="E4027" i="38"/>
  <c r="E4059" i="38"/>
  <c r="E4095" i="38"/>
  <c r="E4138" i="38"/>
  <c r="E4177" i="38"/>
  <c r="E4209" i="38"/>
  <c r="E4251" i="38"/>
  <c r="E4287" i="38"/>
  <c r="E4326" i="38"/>
  <c r="E4351" i="38"/>
  <c r="E4367" i="38"/>
  <c r="E4385" i="38"/>
  <c r="E4406" i="38"/>
  <c r="E4426" i="38"/>
  <c r="E4442" i="38"/>
  <c r="E4463" i="38"/>
  <c r="E4481" i="38"/>
  <c r="E4501" i="38"/>
  <c r="E4522" i="38"/>
  <c r="E4538" i="38"/>
  <c r="E4555" i="38"/>
  <c r="E4577" i="38"/>
  <c r="E4597" i="38"/>
  <c r="E4613" i="38"/>
  <c r="E4634" i="38"/>
  <c r="E4651" i="38"/>
  <c r="E4671" i="38"/>
  <c r="E4693" i="38"/>
  <c r="E4709" i="38"/>
  <c r="E4726" i="38"/>
  <c r="E4747" i="38"/>
  <c r="E4767" i="38"/>
  <c r="E4783" i="38"/>
  <c r="E4801" i="38"/>
  <c r="E4815" i="38"/>
  <c r="E4827" i="38"/>
  <c r="E4843" i="38"/>
  <c r="E4858" i="38"/>
  <c r="E4870" i="38"/>
  <c r="E4886" i="38"/>
  <c r="E4901" i="38"/>
  <c r="E4913" i="38"/>
  <c r="E4929" i="38"/>
  <c r="E4943" i="38"/>
  <c r="E4955" i="38"/>
  <c r="E4971" i="38"/>
  <c r="E4986" i="38"/>
  <c r="E4998" i="38"/>
  <c r="E5014" i="38"/>
  <c r="E5029" i="38"/>
  <c r="E5041" i="38"/>
  <c r="E5057" i="38"/>
  <c r="E5071" i="38"/>
  <c r="E5083" i="38"/>
  <c r="E5099" i="38"/>
  <c r="E5114" i="38"/>
  <c r="E5126" i="38"/>
  <c r="E5138" i="38"/>
  <c r="E5149" i="38"/>
  <c r="E5158" i="38"/>
  <c r="E5170" i="38"/>
  <c r="E5181" i="38"/>
  <c r="E5190" i="38"/>
  <c r="E5202" i="38"/>
  <c r="E5213" i="38"/>
  <c r="E5222" i="38"/>
  <c r="E5234" i="38"/>
  <c r="E5245" i="38"/>
  <c r="E5254" i="38"/>
  <c r="E5266" i="38"/>
  <c r="E5277" i="38"/>
  <c r="E5286" i="38"/>
  <c r="E5298" i="38"/>
  <c r="E5309" i="38"/>
  <c r="E5318" i="38"/>
  <c r="E5330" i="38"/>
  <c r="E5341" i="38"/>
  <c r="E5350" i="38"/>
  <c r="E5362" i="38"/>
  <c r="E5373" i="38"/>
  <c r="E5382" i="38"/>
  <c r="E5394" i="38"/>
  <c r="E5405" i="38"/>
  <c r="E5414" i="38"/>
  <c r="E5426" i="38"/>
  <c r="E5437" i="38"/>
  <c r="E5446" i="38"/>
  <c r="E5458" i="38"/>
  <c r="E5469" i="38"/>
  <c r="E5478" i="38"/>
  <c r="E5490" i="38"/>
  <c r="E5501" i="38"/>
  <c r="E5510" i="38"/>
  <c r="E5522" i="38"/>
  <c r="E5533" i="38"/>
  <c r="E5542" i="38"/>
  <c r="E5554" i="38"/>
  <c r="E5565" i="38"/>
  <c r="E5574" i="38"/>
  <c r="E5586" i="38"/>
  <c r="E5597" i="38"/>
  <c r="E5606" i="38"/>
  <c r="E5618" i="38"/>
  <c r="E5629" i="38"/>
  <c r="E5638" i="38"/>
  <c r="E5650" i="38"/>
  <c r="E5661" i="38"/>
  <c r="E5670" i="38"/>
  <c r="E5682" i="38"/>
  <c r="E5693" i="38"/>
  <c r="E5702" i="38"/>
  <c r="E5714" i="38"/>
  <c r="E5725" i="38"/>
  <c r="E5733" i="38"/>
  <c r="E5741" i="38"/>
  <c r="E5749" i="38"/>
  <c r="E5757" i="38"/>
  <c r="E5765" i="38"/>
  <c r="E5773" i="38"/>
  <c r="E5781" i="38"/>
  <c r="E5789" i="38"/>
  <c r="E5797" i="38"/>
  <c r="E5805" i="38"/>
  <c r="E5813" i="38"/>
  <c r="E5821" i="38"/>
  <c r="E5829" i="38"/>
  <c r="E5837" i="38"/>
  <c r="E5845" i="38"/>
  <c r="E5853" i="38"/>
  <c r="E5861" i="38"/>
  <c r="E5869" i="38"/>
  <c r="E5877" i="38"/>
  <c r="E5885" i="38"/>
  <c r="E5893" i="38"/>
  <c r="E5901" i="38"/>
  <c r="E5909" i="38"/>
  <c r="E5917" i="38"/>
  <c r="E5925" i="38"/>
  <c r="E5933" i="38"/>
  <c r="E5941" i="38"/>
  <c r="E5949" i="38"/>
  <c r="E5957" i="38"/>
  <c r="E5965" i="38"/>
  <c r="E5973" i="38"/>
  <c r="E5981" i="38"/>
  <c r="E5989" i="38"/>
  <c r="E5997" i="38"/>
  <c r="E6005" i="38"/>
  <c r="E6013" i="38"/>
  <c r="E6021" i="38"/>
  <c r="E6029" i="38"/>
  <c r="E6037" i="38"/>
  <c r="E6045" i="38"/>
  <c r="E6053" i="38"/>
  <c r="E6061" i="38"/>
  <c r="E6069" i="38"/>
  <c r="E6077" i="38"/>
  <c r="E6085" i="38"/>
  <c r="E6093" i="38"/>
  <c r="E6101" i="38"/>
  <c r="E6109" i="38"/>
  <c r="E6117" i="38"/>
  <c r="E6125" i="38"/>
  <c r="E6133" i="38"/>
  <c r="E6141" i="38"/>
  <c r="E6149" i="38"/>
  <c r="E6157" i="38"/>
  <c r="E6154" i="38"/>
  <c r="E6145" i="38"/>
  <c r="E6134" i="38"/>
  <c r="E6122" i="38"/>
  <c r="E6113" i="38"/>
  <c r="E6102" i="38"/>
  <c r="E6090" i="38"/>
  <c r="E6081" i="38"/>
  <c r="E6070" i="38"/>
  <c r="E6057" i="38"/>
  <c r="E6041" i="38"/>
  <c r="E6025" i="38"/>
  <c r="E6009" i="38"/>
  <c r="E5993" i="38"/>
  <c r="E5977" i="38"/>
  <c r="E5961" i="38"/>
  <c r="E5945" i="38"/>
  <c r="E5929" i="38"/>
  <c r="E5913" i="38"/>
  <c r="E5897" i="38"/>
  <c r="E5881" i="38"/>
  <c r="E5865" i="38"/>
  <c r="E5849" i="38"/>
  <c r="E5833" i="38"/>
  <c r="E5817" i="38"/>
  <c r="E5801" i="38"/>
  <c r="E5785" i="38"/>
  <c r="E5769" i="38"/>
  <c r="E5753" i="38"/>
  <c r="E5737" i="38"/>
  <c r="E5718" i="38"/>
  <c r="E5698" i="38"/>
  <c r="E5677" i="38"/>
  <c r="E5654" i="38"/>
  <c r="E5634" i="38"/>
  <c r="E5613" i="38"/>
  <c r="E5590" i="38"/>
  <c r="E5570" i="38"/>
  <c r="E5549" i="38"/>
  <c r="E5526" i="38"/>
  <c r="E5506" i="38"/>
  <c r="E5485" i="38"/>
  <c r="E5462" i="38"/>
  <c r="E5442" i="38"/>
  <c r="E5421" i="38"/>
  <c r="E5398" i="38"/>
  <c r="E5378" i="38"/>
  <c r="E5357" i="38"/>
  <c r="E5334" i="38"/>
  <c r="E5314" i="38"/>
  <c r="E5293" i="38"/>
  <c r="E5270" i="38"/>
  <c r="E5250" i="38"/>
  <c r="E5229" i="38"/>
  <c r="E5206" i="38"/>
  <c r="E5186" i="38"/>
  <c r="E5165" i="38"/>
  <c r="E5142" i="38"/>
  <c r="E5121" i="38"/>
  <c r="E5093" i="38"/>
  <c r="E5062" i="38"/>
  <c r="E5035" i="38"/>
  <c r="E5007" i="38"/>
  <c r="E4977" i="38"/>
  <c r="E4950" i="38"/>
  <c r="E4922" i="38"/>
  <c r="E4891" i="38"/>
  <c r="E4865" i="38"/>
  <c r="E4837" i="38"/>
  <c r="E4806" i="38"/>
  <c r="E4778" i="38"/>
  <c r="E4737" i="38"/>
  <c r="E4698" i="38"/>
  <c r="E4662" i="38"/>
  <c r="E4623" i="38"/>
  <c r="E4586" i="38"/>
  <c r="E4549" i="38"/>
  <c r="E4511" i="38"/>
  <c r="E4470" i="38"/>
  <c r="E4437" i="38"/>
  <c r="E4395" i="38"/>
  <c r="E4357" i="38"/>
  <c r="E4309" i="38"/>
  <c r="E4230" i="38"/>
  <c r="E4155" i="38"/>
  <c r="E4081" i="38"/>
  <c r="E4006" i="38"/>
  <c r="E3854" i="38"/>
  <c r="E3593" i="38"/>
  <c r="E3263" i="38"/>
  <c r="E2964" i="38"/>
  <c r="E2600" i="38"/>
  <c r="E2084" i="38"/>
  <c r="E1375" i="38"/>
  <c r="E6146" i="38"/>
  <c r="E6126" i="38"/>
  <c r="E6105" i="38"/>
  <c r="E6082" i="38"/>
  <c r="E6062" i="38"/>
  <c r="E6046" i="38"/>
  <c r="E6014" i="38"/>
  <c r="E5982" i="38"/>
  <c r="E5950" i="38"/>
  <c r="E5918" i="38"/>
  <c r="E5886" i="38"/>
  <c r="E5854" i="38"/>
  <c r="E5822" i="38"/>
  <c r="E5790" i="38"/>
  <c r="E5758" i="38"/>
  <c r="E5726" i="38"/>
  <c r="E5685" i="38"/>
  <c r="E5642" i="38"/>
  <c r="E5598" i="38"/>
  <c r="E5557" i="38"/>
  <c r="E5514" i="38"/>
  <c r="E5470" i="38"/>
  <c r="E5429" i="38"/>
  <c r="E5386" i="38"/>
  <c r="E5342" i="38"/>
  <c r="E5301" i="38"/>
  <c r="E5258" i="38"/>
  <c r="E5214" i="38"/>
  <c r="E5194" i="38"/>
  <c r="E5150" i="38"/>
  <c r="E5130" i="38"/>
  <c r="E5073" i="38"/>
  <c r="E5018" i="38"/>
  <c r="E4961" i="38"/>
  <c r="E4933" i="38"/>
  <c r="E4875" i="38"/>
  <c r="E4847" i="38"/>
  <c r="E4790" i="38"/>
  <c r="E4751" i="38"/>
  <c r="E4714" i="38"/>
  <c r="E4639" i="38"/>
  <c r="E4598" i="38"/>
  <c r="E4523" i="38"/>
  <c r="E4449" i="38"/>
  <c r="E4373" i="38"/>
  <c r="E4262" i="38"/>
  <c r="E4181" i="38"/>
  <c r="E4031" i="38"/>
  <c r="E3926" i="38"/>
  <c r="E3380" i="38"/>
  <c r="E2776" i="38"/>
  <c r="E2" i="38"/>
  <c r="E6153" i="38"/>
  <c r="E6142" i="38"/>
  <c r="E6130" i="38"/>
  <c r="E6121" i="38"/>
  <c r="E6110" i="38"/>
  <c r="E6098" i="38"/>
  <c r="E6089" i="38"/>
  <c r="E6078" i="38"/>
  <c r="E6066" i="38"/>
  <c r="E6054" i="38"/>
  <c r="E6038" i="38"/>
  <c r="E6022" i="38"/>
  <c r="E6006" i="38"/>
  <c r="E5990" i="38"/>
  <c r="E5974" i="38"/>
  <c r="E5958" i="38"/>
  <c r="E5942" i="38"/>
  <c r="E5926" i="38"/>
  <c r="E5910" i="38"/>
  <c r="E5894" i="38"/>
  <c r="E5878" i="38"/>
  <c r="E5862" i="38"/>
  <c r="E5846" i="38"/>
  <c r="E5830" i="38"/>
  <c r="E5814" i="38"/>
  <c r="E5798" i="38"/>
  <c r="E5782" i="38"/>
  <c r="E5766" i="38"/>
  <c r="E5750" i="38"/>
  <c r="E5734" i="38"/>
  <c r="E5717" i="38"/>
  <c r="E5694" i="38"/>
  <c r="E5674" i="38"/>
  <c r="E5653" i="38"/>
  <c r="E5630" i="38"/>
  <c r="E5610" i="38"/>
  <c r="E5589" i="38"/>
  <c r="E5566" i="38"/>
  <c r="E5546" i="38"/>
  <c r="E5525" i="38"/>
  <c r="E5502" i="38"/>
  <c r="E5482" i="38"/>
  <c r="E5461" i="38"/>
  <c r="E5438" i="38"/>
  <c r="E5418" i="38"/>
  <c r="E5397" i="38"/>
  <c r="E5374" i="38"/>
  <c r="E5354" i="38"/>
  <c r="E5333" i="38"/>
  <c r="E5310" i="38"/>
  <c r="E5290" i="38"/>
  <c r="E5269" i="38"/>
  <c r="E5246" i="38"/>
  <c r="E5226" i="38"/>
  <c r="E5205" i="38"/>
  <c r="E5182" i="38"/>
  <c r="E5162" i="38"/>
  <c r="E5141" i="38"/>
  <c r="E5115" i="38"/>
  <c r="E5089" i="38"/>
  <c r="E5061" i="38"/>
  <c r="E5030" i="38"/>
  <c r="E5003" i="38"/>
  <c r="E4975" i="38"/>
  <c r="E4945" i="38"/>
  <c r="E4918" i="38"/>
  <c r="E4890" i="38"/>
  <c r="E4859" i="38"/>
  <c r="E4833" i="38"/>
  <c r="E4805" i="38"/>
  <c r="E4769" i="38"/>
  <c r="E4735" i="38"/>
  <c r="E4694" i="38"/>
  <c r="E4655" i="38"/>
  <c r="E4619" i="38"/>
  <c r="E4581" i="38"/>
  <c r="E4543" i="38"/>
  <c r="E4506" i="38"/>
  <c r="E4469" i="38"/>
  <c r="E4427" i="38"/>
  <c r="E4394" i="38"/>
  <c r="E4353" i="38"/>
  <c r="E4294" i="38"/>
  <c r="E4223" i="38"/>
  <c r="E4145" i="38"/>
  <c r="E4070" i="38"/>
  <c r="E3995" i="38"/>
  <c r="E3846" i="38"/>
  <c r="E3519" i="38"/>
  <c r="E3252" i="38"/>
  <c r="E2932" i="38"/>
  <c r="E2520" i="38"/>
  <c r="E2020" i="38"/>
  <c r="E1220" i="38"/>
  <c r="E3978" i="38"/>
  <c r="E3973" i="38"/>
  <c r="E3967" i="38"/>
  <c r="E3962" i="38"/>
  <c r="E3957" i="38"/>
  <c r="E3951" i="38"/>
  <c r="E3946" i="38"/>
  <c r="E3941" i="38"/>
  <c r="E3935" i="38"/>
  <c r="E3930" i="38"/>
  <c r="E3925" i="38"/>
  <c r="E3919" i="38"/>
  <c r="E3914" i="38"/>
  <c r="E3909" i="38"/>
  <c r="E3903" i="38"/>
  <c r="E3898" i="38"/>
  <c r="E3893" i="38"/>
  <c r="E3885" i="38"/>
  <c r="E3877" i="38"/>
  <c r="E3869" i="38"/>
  <c r="E3861" i="38"/>
  <c r="E3853" i="38"/>
  <c r="E3845" i="38"/>
  <c r="E3837" i="38"/>
  <c r="E3827" i="38"/>
  <c r="E3816" i="38"/>
  <c r="E3805" i="38"/>
  <c r="E3795" i="38"/>
  <c r="E3784" i="38"/>
  <c r="E3773" i="38"/>
  <c r="E3763" i="38"/>
  <c r="E3752" i="38"/>
  <c r="E3741" i="38"/>
  <c r="E3731" i="38"/>
  <c r="E3720" i="38"/>
  <c r="E3709" i="38"/>
  <c r="E3699" i="38"/>
  <c r="E3688" i="38"/>
  <c r="E3677" i="38"/>
  <c r="E3667" i="38"/>
  <c r="E3656" i="38"/>
  <c r="E3645" i="38"/>
  <c r="E3635" i="38"/>
  <c r="E3624" i="38"/>
  <c r="E3613" i="38"/>
  <c r="E3603" i="38"/>
  <c r="E3592" i="38"/>
  <c r="E3581" i="38"/>
  <c r="E3571" i="38"/>
  <c r="E3560" i="38"/>
  <c r="E3549" i="38"/>
  <c r="E3539" i="38"/>
  <c r="E3528" i="38"/>
  <c r="E3517" i="38"/>
  <c r="E3507" i="38"/>
  <c r="E3496" i="38"/>
  <c r="E3485" i="38"/>
  <c r="E3475" i="38"/>
  <c r="E3464" i="38"/>
  <c r="E3453" i="38"/>
  <c r="E3443" i="38"/>
  <c r="E3432" i="38"/>
  <c r="E3421" i="38"/>
  <c r="E3411" i="38"/>
  <c r="E3400" i="38"/>
  <c r="E3389" i="38"/>
  <c r="E3379" i="38"/>
  <c r="E3368" i="38"/>
  <c r="E3357" i="38"/>
  <c r="E3347" i="38"/>
  <c r="E3336" i="38"/>
  <c r="E3325" i="38"/>
  <c r="E3315" i="38"/>
  <c r="E3304" i="38"/>
  <c r="E3293" i="38"/>
  <c r="E3283" i="38"/>
  <c r="E3272" i="38"/>
  <c r="E3261" i="38"/>
  <c r="E3251" i="38"/>
  <c r="E3240" i="38"/>
  <c r="E3219" i="38"/>
  <c r="E3208" i="38"/>
  <c r="E3197" i="38"/>
  <c r="E3187" i="38"/>
  <c r="E3176" i="38"/>
  <c r="E3165" i="38"/>
  <c r="E3155" i="38"/>
  <c r="E3144" i="38"/>
  <c r="E3133" i="38"/>
  <c r="E3123" i="38"/>
  <c r="E3112" i="38"/>
  <c r="E3101" i="38"/>
  <c r="E3091" i="38"/>
  <c r="E3080" i="38"/>
  <c r="E3069" i="38"/>
  <c r="E3059" i="38"/>
  <c r="E3048" i="38"/>
  <c r="E3037" i="38"/>
  <c r="E3027" i="38"/>
  <c r="E3016" i="38"/>
  <c r="E3005" i="38"/>
  <c r="E2995" i="38"/>
  <c r="E2984" i="38"/>
  <c r="E2973" i="38"/>
  <c r="E2963" i="38"/>
  <c r="E2952" i="38"/>
  <c r="E2941" i="38"/>
  <c r="E2931" i="38"/>
  <c r="E2920" i="38"/>
  <c r="E2909" i="38"/>
  <c r="E2899" i="38"/>
  <c r="E2888" i="38"/>
  <c r="E2877" i="38"/>
  <c r="E2867" i="38"/>
  <c r="E2856" i="38"/>
  <c r="E2845" i="38"/>
  <c r="E2835" i="38"/>
  <c r="E2823" i="38"/>
  <c r="E2807" i="38"/>
  <c r="E2791" i="38"/>
  <c r="E2775" i="38"/>
  <c r="E2759" i="38"/>
  <c r="E2743" i="38"/>
  <c r="E2727" i="38"/>
  <c r="E2711" i="38"/>
  <c r="E2695" i="38"/>
  <c r="E2679" i="38"/>
  <c r="E2663" i="38"/>
  <c r="E2647" i="38"/>
  <c r="E2631" i="38"/>
  <c r="E2615" i="38"/>
  <c r="E2599" i="38"/>
  <c r="E2583" i="38"/>
  <c r="E2567" i="38"/>
  <c r="E2551" i="38"/>
  <c r="E2535" i="38"/>
  <c r="E2519" i="38"/>
  <c r="E2503" i="38"/>
  <c r="E2487" i="38"/>
  <c r="E2471" i="38"/>
  <c r="E2455" i="38"/>
  <c r="E2439" i="38"/>
  <c r="E2423" i="38"/>
  <c r="E2407" i="38"/>
  <c r="E2391" i="38"/>
  <c r="E2375" i="38"/>
  <c r="E2359" i="38"/>
  <c r="E2343" i="38"/>
  <c r="E2327" i="38"/>
  <c r="E2311" i="38"/>
  <c r="E2295" i="38"/>
  <c r="E2275" i="38"/>
  <c r="E2254" i="38"/>
  <c r="E2232" i="38"/>
  <c r="E2211" i="38"/>
  <c r="E2190" i="38"/>
  <c r="E2168" i="38"/>
  <c r="E2147" i="38"/>
  <c r="E2126" i="38"/>
  <c r="E2104" i="38"/>
  <c r="E2083" i="38"/>
  <c r="E2062" i="38"/>
  <c r="E2040" i="38"/>
  <c r="E2019" i="38"/>
  <c r="E1998" i="38"/>
  <c r="E1976" i="38"/>
  <c r="E1955" i="38"/>
  <c r="E1934" i="38"/>
  <c r="E1912" i="38"/>
  <c r="E1891" i="38"/>
  <c r="E1870" i="38"/>
  <c r="E1848" i="38"/>
  <c r="E1827" i="38"/>
  <c r="E1806" i="38"/>
  <c r="E1784" i="38"/>
  <c r="E1763" i="38"/>
  <c r="E1742" i="38"/>
  <c r="E1720" i="38"/>
  <c r="E1694" i="38"/>
  <c r="E1662" i="38"/>
  <c r="E1630" i="38"/>
  <c r="E1598" i="38"/>
  <c r="E1566" i="38"/>
  <c r="E1534" i="38"/>
  <c r="E1502" i="38"/>
  <c r="E1470" i="38"/>
  <c r="E1438" i="38"/>
  <c r="E1406" i="38"/>
  <c r="E1374" i="38"/>
  <c r="E1342" i="38"/>
  <c r="E1304" i="38"/>
  <c r="E1261" i="38"/>
  <c r="E1218" i="38"/>
  <c r="E1176" i="38"/>
  <c r="E1133" i="38"/>
  <c r="E1090" i="38"/>
  <c r="E1026" i="38"/>
  <c r="E941" i="38"/>
  <c r="E856" i="38"/>
  <c r="E756" i="38"/>
  <c r="E606" i="38"/>
  <c r="E408" i="38"/>
  <c r="E6160" i="38"/>
  <c r="E6156" i="38"/>
  <c r="E6152" i="38"/>
  <c r="E6148" i="38"/>
  <c r="E6144" i="38"/>
  <c r="E6140" i="38"/>
  <c r="E6136" i="38"/>
  <c r="E6132" i="38"/>
  <c r="E6128" i="38"/>
  <c r="E6124" i="38"/>
  <c r="E6120" i="38"/>
  <c r="E6116" i="38"/>
  <c r="E6112" i="38"/>
  <c r="E6108" i="38"/>
  <c r="E6104" i="38"/>
  <c r="E6100" i="38"/>
  <c r="E6096" i="38"/>
  <c r="E6092" i="38"/>
  <c r="E6088" i="38"/>
  <c r="E6084" i="38"/>
  <c r="E6080" i="38"/>
  <c r="E6076" i="38"/>
  <c r="E6072" i="38"/>
  <c r="E6068" i="38"/>
  <c r="E6064" i="38"/>
  <c r="E6060" i="38"/>
  <c r="E6056" i="38"/>
  <c r="E6052" i="38"/>
  <c r="E6048" i="38"/>
  <c r="E6044" i="38"/>
  <c r="E6040" i="38"/>
  <c r="E6036" i="38"/>
  <c r="E6032" i="38"/>
  <c r="E6028" i="38"/>
  <c r="E6024" i="38"/>
  <c r="E6020" i="38"/>
  <c r="E6016" i="38"/>
  <c r="E6012" i="38"/>
  <c r="E6008" i="38"/>
  <c r="E6004" i="38"/>
  <c r="E6000" i="38"/>
  <c r="E5996" i="38"/>
  <c r="E5992" i="38"/>
  <c r="E5988" i="38"/>
  <c r="E5984" i="38"/>
  <c r="E5980" i="38"/>
  <c r="E5976" i="38"/>
  <c r="E5972" i="38"/>
  <c r="E5968" i="38"/>
  <c r="E5964" i="38"/>
  <c r="E5960" i="38"/>
  <c r="E5956" i="38"/>
  <c r="E5952" i="38"/>
  <c r="E5948" i="38"/>
  <c r="E5944" i="38"/>
  <c r="E5940" i="38"/>
  <c r="E5936" i="38"/>
  <c r="E5932" i="38"/>
  <c r="E5928" i="38"/>
  <c r="E5924" i="38"/>
  <c r="E5920" i="38"/>
  <c r="E5916" i="38"/>
  <c r="E5912" i="38"/>
  <c r="E5908" i="38"/>
  <c r="E5904" i="38"/>
  <c r="E5900" i="38"/>
  <c r="E5896" i="38"/>
  <c r="E5892" i="38"/>
  <c r="E5888" i="38"/>
  <c r="E5884" i="38"/>
  <c r="E5880" i="38"/>
  <c r="E5876" i="38"/>
  <c r="E5872" i="38"/>
  <c r="E5868" i="38"/>
  <c r="E5864" i="38"/>
  <c r="E5860" i="38"/>
  <c r="E5856" i="38"/>
  <c r="E5852" i="38"/>
  <c r="E5848" i="38"/>
  <c r="E5844" i="38"/>
  <c r="E5840" i="38"/>
  <c r="E5836" i="38"/>
  <c r="E5832" i="38"/>
  <c r="E5828" i="38"/>
  <c r="E5824" i="38"/>
  <c r="E5820" i="38"/>
  <c r="E5816" i="38"/>
  <c r="E5812" i="38"/>
  <c r="E5808" i="38"/>
  <c r="E5804" i="38"/>
  <c r="E5800" i="38"/>
  <c r="E5796" i="38"/>
  <c r="E5792" i="38"/>
  <c r="E5788" i="38"/>
  <c r="E5784" i="38"/>
  <c r="E5780" i="38"/>
  <c r="E5776" i="38"/>
  <c r="E5772" i="38"/>
  <c r="E5768" i="38"/>
  <c r="E5764" i="38"/>
  <c r="E5760" i="38"/>
  <c r="E5756" i="38"/>
  <c r="E5752" i="38"/>
  <c r="E5748" i="38"/>
  <c r="E5744" i="38"/>
  <c r="E5740" i="38"/>
  <c r="E5736" i="38"/>
  <c r="E5732" i="38"/>
  <c r="E5728" i="38"/>
  <c r="E5724" i="38"/>
  <c r="E5720" i="38"/>
  <c r="E5716" i="38"/>
  <c r="E5712" i="38"/>
  <c r="E5708" i="38"/>
  <c r="E5704" i="38"/>
  <c r="E5700" i="38"/>
  <c r="E5696" i="38"/>
  <c r="E5692" i="38"/>
  <c r="E5688" i="38"/>
  <c r="E5684" i="38"/>
  <c r="E5680" i="38"/>
  <c r="E5676" i="38"/>
  <c r="E5672" i="38"/>
  <c r="E5668" i="38"/>
  <c r="E5664" i="38"/>
  <c r="E5660" i="38"/>
  <c r="E5656" i="38"/>
  <c r="E5652" i="38"/>
  <c r="E5648" i="38"/>
  <c r="E5644" i="38"/>
  <c r="E5640" i="38"/>
  <c r="E5636" i="38"/>
  <c r="E5632" i="38"/>
  <c r="E5628" i="38"/>
  <c r="E5624" i="38"/>
  <c r="E5620" i="38"/>
  <c r="E5616" i="38"/>
  <c r="E5612" i="38"/>
  <c r="E5608" i="38"/>
  <c r="E5604" i="38"/>
  <c r="E5600" i="38"/>
  <c r="E5596" i="38"/>
  <c r="E5592" i="38"/>
  <c r="E5588" i="38"/>
  <c r="E5584" i="38"/>
  <c r="E5580" i="38"/>
  <c r="E5576" i="38"/>
  <c r="E5572" i="38"/>
  <c r="E5568" i="38"/>
  <c r="E5564" i="38"/>
  <c r="E5560" i="38"/>
  <c r="E5556" i="38"/>
  <c r="E5552" i="38"/>
  <c r="E5548" i="38"/>
  <c r="E5544" i="38"/>
  <c r="E5540" i="38"/>
  <c r="E5536" i="38"/>
  <c r="E5532" i="38"/>
  <c r="E5528" i="38"/>
  <c r="E5524" i="38"/>
  <c r="E5520" i="38"/>
  <c r="E5516" i="38"/>
  <c r="E5512" i="38"/>
  <c r="E5508" i="38"/>
  <c r="E5504" i="38"/>
  <c r="E5500" i="38"/>
  <c r="E5496" i="38"/>
  <c r="E5492" i="38"/>
  <c r="E5488" i="38"/>
  <c r="E5484" i="38"/>
  <c r="E5480" i="38"/>
  <c r="E5476" i="38"/>
  <c r="E5472" i="38"/>
  <c r="E5468" i="38"/>
  <c r="E5464" i="38"/>
  <c r="E5460" i="38"/>
  <c r="E5456" i="38"/>
  <c r="E5452" i="38"/>
  <c r="E5448" i="38"/>
  <c r="E5444" i="38"/>
  <c r="E5440" i="38"/>
  <c r="E5436" i="38"/>
  <c r="E5432" i="38"/>
  <c r="E5428" i="38"/>
  <c r="E5424" i="38"/>
  <c r="E5420" i="38"/>
  <c r="E5416" i="38"/>
  <c r="E5412" i="38"/>
  <c r="E5408" i="38"/>
  <c r="E5404" i="38"/>
  <c r="E5400" i="38"/>
  <c r="E5396" i="38"/>
  <c r="E5392" i="38"/>
  <c r="E5388" i="38"/>
  <c r="E5384" i="38"/>
  <c r="E5380" i="38"/>
  <c r="E5376" i="38"/>
  <c r="E5372" i="38"/>
  <c r="E5368" i="38"/>
  <c r="E5364" i="38"/>
  <c r="E5360" i="38"/>
  <c r="E5356" i="38"/>
  <c r="E5352" i="38"/>
  <c r="E5348" i="38"/>
  <c r="E5344" i="38"/>
  <c r="E5340" i="38"/>
  <c r="E5336" i="38"/>
  <c r="E5332" i="38"/>
  <c r="E5328" i="38"/>
  <c r="E5324" i="38"/>
  <c r="E5320" i="38"/>
  <c r="E5316" i="38"/>
  <c r="E5312" i="38"/>
  <c r="E5308" i="38"/>
  <c r="E5304" i="38"/>
  <c r="E5300" i="38"/>
  <c r="E5296" i="38"/>
  <c r="E5292" i="38"/>
  <c r="E5288" i="38"/>
  <c r="E5284" i="38"/>
  <c r="E5280" i="38"/>
  <c r="E5276" i="38"/>
  <c r="E5272" i="38"/>
  <c r="E5268" i="38"/>
  <c r="E5264" i="38"/>
  <c r="E5260" i="38"/>
  <c r="E5256" i="38"/>
  <c r="E5252" i="38"/>
  <c r="E5248" i="38"/>
  <c r="E5244" i="38"/>
  <c r="E5240" i="38"/>
  <c r="E5236" i="38"/>
  <c r="E5232" i="38"/>
  <c r="E5228" i="38"/>
  <c r="E5224" i="38"/>
  <c r="E5220" i="38"/>
  <c r="E5216" i="38"/>
  <c r="E5212" i="38"/>
  <c r="E5208" i="38"/>
  <c r="E5204" i="38"/>
  <c r="E5200" i="38"/>
  <c r="E5196" i="38"/>
  <c r="E5192" i="38"/>
  <c r="E5188" i="38"/>
  <c r="E5184" i="38"/>
  <c r="E5180" i="38"/>
  <c r="E5176" i="38"/>
  <c r="E5172" i="38"/>
  <c r="E5168" i="38"/>
  <c r="E5164" i="38"/>
  <c r="E5160" i="38"/>
  <c r="E5156" i="38"/>
  <c r="E5152" i="38"/>
  <c r="E5148" i="38"/>
  <c r="E5144" i="38"/>
  <c r="E5140" i="38"/>
  <c r="E5136" i="38"/>
  <c r="E5132" i="38"/>
  <c r="E5128" i="38"/>
  <c r="E5123" i="38"/>
  <c r="E5118" i="38"/>
  <c r="E5113" i="38"/>
  <c r="E5107" i="38"/>
  <c r="E5102" i="38"/>
  <c r="E5097" i="38"/>
  <c r="E5091" i="38"/>
  <c r="E5086" i="38"/>
  <c r="E5081" i="38"/>
  <c r="E5075" i="38"/>
  <c r="E5070" i="38"/>
  <c r="E5065" i="38"/>
  <c r="E5059" i="38"/>
  <c r="E5054" i="38"/>
  <c r="E5049" i="38"/>
  <c r="E5043" i="38"/>
  <c r="E5038" i="38"/>
  <c r="E5033" i="38"/>
  <c r="E5027" i="38"/>
  <c r="E5022" i="38"/>
  <c r="E5017" i="38"/>
  <c r="E5011" i="38"/>
  <c r="E5006" i="38"/>
  <c r="E5001" i="38"/>
  <c r="E4995" i="38"/>
  <c r="E4990" i="38"/>
  <c r="E4985" i="38"/>
  <c r="E4979" i="38"/>
  <c r="E4974" i="38"/>
  <c r="E4969" i="38"/>
  <c r="E4963" i="38"/>
  <c r="E4958" i="38"/>
  <c r="E4953" i="38"/>
  <c r="E4947" i="38"/>
  <c r="E4942" i="38"/>
  <c r="E4937" i="38"/>
  <c r="E4931" i="38"/>
  <c r="E4926" i="38"/>
  <c r="E4921" i="38"/>
  <c r="E4915" i="38"/>
  <c r="E4910" i="38"/>
  <c r="E4905" i="38"/>
  <c r="E4899" i="38"/>
  <c r="E4894" i="38"/>
  <c r="E4889" i="38"/>
  <c r="E4883" i="38"/>
  <c r="E4878" i="38"/>
  <c r="E4873" i="38"/>
  <c r="E4867" i="38"/>
  <c r="E4862" i="38"/>
  <c r="E4857" i="38"/>
  <c r="E4851" i="38"/>
  <c r="E4846" i="38"/>
  <c r="E4841" i="38"/>
  <c r="E4835" i="38"/>
  <c r="E4830" i="38"/>
  <c r="E4825" i="38"/>
  <c r="E4819" i="38"/>
  <c r="E4814" i="38"/>
  <c r="E4809" i="38"/>
  <c r="E4803" i="38"/>
  <c r="E4798" i="38"/>
  <c r="E4793" i="38"/>
  <c r="E4787" i="38"/>
  <c r="E4782" i="38"/>
  <c r="E4777" i="38"/>
  <c r="E4771" i="38"/>
  <c r="E4766" i="38"/>
  <c r="E4761" i="38"/>
  <c r="E4755" i="38"/>
  <c r="E4750" i="38"/>
  <c r="E4745" i="38"/>
  <c r="E4739" i="38"/>
  <c r="E4734" i="38"/>
  <c r="E4729" i="38"/>
  <c r="E4723" i="38"/>
  <c r="E4718" i="38"/>
  <c r="E4713" i="38"/>
  <c r="E4707" i="38"/>
  <c r="E4702" i="38"/>
  <c r="E4697" i="38"/>
  <c r="E4691" i="38"/>
  <c r="E4686" i="38"/>
  <c r="E4681" i="38"/>
  <c r="E4675" i="38"/>
  <c r="E4670" i="38"/>
  <c r="E4665" i="38"/>
  <c r="E4659" i="38"/>
  <c r="E4654" i="38"/>
  <c r="E4649" i="38"/>
  <c r="E4643" i="38"/>
  <c r="E4638" i="38"/>
  <c r="E4633" i="38"/>
  <c r="E4627" i="38"/>
  <c r="E4622" i="38"/>
  <c r="E4617" i="38"/>
  <c r="E4611" i="38"/>
  <c r="E4606" i="38"/>
  <c r="E4601" i="38"/>
  <c r="E4595" i="38"/>
  <c r="E4590" i="38"/>
  <c r="E4585" i="38"/>
  <c r="E4579" i="38"/>
  <c r="E4574" i="38"/>
  <c r="E4569" i="38"/>
  <c r="E4563" i="38"/>
  <c r="E4558" i="38"/>
  <c r="E4553" i="38"/>
  <c r="E4547" i="38"/>
  <c r="E4542" i="38"/>
  <c r="E4537" i="38"/>
  <c r="E4531" i="38"/>
  <c r="E4526" i="38"/>
  <c r="E4521" i="38"/>
  <c r="E4515" i="38"/>
  <c r="E4510" i="38"/>
  <c r="E4505" i="38"/>
  <c r="E4499" i="38"/>
  <c r="E4494" i="38"/>
  <c r="E4489" i="38"/>
  <c r="E4483" i="38"/>
  <c r="E4478" i="38"/>
  <c r="E4473" i="38"/>
  <c r="E4467" i="38"/>
  <c r="E4462" i="38"/>
  <c r="E4457" i="38"/>
  <c r="E4451" i="38"/>
  <c r="E4446" i="38"/>
  <c r="E4441" i="38"/>
  <c r="E4435" i="38"/>
  <c r="E4430" i="38"/>
  <c r="E4425" i="38"/>
  <c r="E4419" i="38"/>
  <c r="E4414" i="38"/>
  <c r="E4409" i="38"/>
  <c r="E4403" i="38"/>
  <c r="E4398" i="38"/>
  <c r="E4393" i="38"/>
  <c r="E4387" i="38"/>
  <c r="E4382" i="38"/>
  <c r="E4377" i="38"/>
  <c r="E4371" i="38"/>
  <c r="E4366" i="38"/>
  <c r="E4361" i="38"/>
  <c r="E4355" i="38"/>
  <c r="E4350" i="38"/>
  <c r="E4345" i="38"/>
  <c r="E4339" i="38"/>
  <c r="E4334" i="38"/>
  <c r="E4329" i="38"/>
  <c r="E4323" i="38"/>
  <c r="E4318" i="38"/>
  <c r="E4313" i="38"/>
  <c r="E4307" i="38"/>
  <c r="E4302" i="38"/>
  <c r="E4297" i="38"/>
  <c r="E4291" i="38"/>
  <c r="E4286" i="38"/>
  <c r="E4281" i="38"/>
  <c r="E4275" i="38"/>
  <c r="E4270" i="38"/>
  <c r="E4265" i="38"/>
  <c r="E4259" i="38"/>
  <c r="E4254" i="38"/>
  <c r="E4249" i="38"/>
  <c r="E4243" i="38"/>
  <c r="E4238" i="38"/>
  <c r="E4233" i="38"/>
  <c r="E4227" i="38"/>
  <c r="E4222" i="38"/>
  <c r="E4217" i="38"/>
  <c r="E4211" i="38"/>
  <c r="E4206" i="38"/>
  <c r="E4201" i="38"/>
  <c r="E4195" i="38"/>
  <c r="E4190" i="38"/>
  <c r="E4185" i="38"/>
  <c r="E4179" i="38"/>
  <c r="E4174" i="38"/>
  <c r="E4169" i="38"/>
  <c r="E4163" i="38"/>
  <c r="E4158" i="38"/>
  <c r="E4153" i="38"/>
  <c r="E4147" i="38"/>
  <c r="E4142" i="38"/>
  <c r="E4137" i="38"/>
  <c r="E4131" i="38"/>
  <c r="E4126" i="38"/>
  <c r="E4121" i="38"/>
  <c r="E4115" i="38"/>
  <c r="E4110" i="38"/>
  <c r="E4105" i="38"/>
  <c r="E4099" i="38"/>
  <c r="E4094" i="38"/>
  <c r="E4089" i="38"/>
  <c r="E4083" i="38"/>
  <c r="E4078" i="38"/>
  <c r="E4073" i="38"/>
  <c r="E4067" i="38"/>
  <c r="E4062" i="38"/>
  <c r="E4057" i="38"/>
  <c r="E4051" i="38"/>
  <c r="E4046" i="38"/>
  <c r="E4041" i="38"/>
  <c r="E4035" i="38"/>
  <c r="E4030" i="38"/>
  <c r="E4025" i="38"/>
  <c r="E4019" i="38"/>
  <c r="E4014" i="38"/>
  <c r="E4009" i="38"/>
  <c r="E4003" i="38"/>
  <c r="E3998" i="38"/>
  <c r="E3993" i="38"/>
  <c r="E3987" i="38"/>
  <c r="E3982" i="38"/>
  <c r="E3977" i="38"/>
  <c r="E3971" i="38"/>
  <c r="E3966" i="38"/>
  <c r="E3961" i="38"/>
  <c r="E3955" i="38"/>
  <c r="E3950" i="38"/>
  <c r="E3945" i="38"/>
  <c r="E3939" i="38"/>
  <c r="E3934" i="38"/>
  <c r="E3929" i="38"/>
  <c r="E3923" i="38"/>
  <c r="E3918" i="38"/>
  <c r="E3913" i="38"/>
  <c r="E3907" i="38"/>
  <c r="E3902" i="38"/>
  <c r="E3897" i="38"/>
  <c r="E3890" i="38"/>
  <c r="E3882" i="38"/>
  <c r="E3874" i="38"/>
  <c r="E3866" i="38"/>
  <c r="E3858" i="38"/>
  <c r="E3850" i="38"/>
  <c r="E3842" i="38"/>
  <c r="E3833" i="38"/>
  <c r="E3823" i="38"/>
  <c r="E3812" i="38"/>
  <c r="E3801" i="38"/>
  <c r="E3791" i="38"/>
  <c r="E3780" i="38"/>
  <c r="E3769" i="38"/>
  <c r="E3759" i="38"/>
  <c r="E3748" i="38"/>
  <c r="E3737" i="38"/>
  <c r="E3727" i="38"/>
  <c r="E3716" i="38"/>
  <c r="E3705" i="38"/>
  <c r="E3695" i="38"/>
  <c r="E3684" i="38"/>
  <c r="E3673" i="38"/>
  <c r="E3663" i="38"/>
  <c r="E3652" i="38"/>
  <c r="E3641" i="38"/>
  <c r="E3631" i="38"/>
  <c r="E3620" i="38"/>
  <c r="E3609" i="38"/>
  <c r="E3599" i="38"/>
  <c r="E3588" i="38"/>
  <c r="E3577" i="38"/>
  <c r="E3567" i="38"/>
  <c r="E3556" i="38"/>
  <c r="E3545" i="38"/>
  <c r="E3535" i="38"/>
  <c r="E3524" i="38"/>
  <c r="E3513" i="38"/>
  <c r="E3503" i="38"/>
  <c r="E3492" i="38"/>
  <c r="E3481" i="38"/>
  <c r="E3471" i="38"/>
  <c r="E3460" i="38"/>
  <c r="E3449" i="38"/>
  <c r="E3439" i="38"/>
  <c r="E3428" i="38"/>
  <c r="E3417" i="38"/>
  <c r="E3407" i="38"/>
  <c r="E3396" i="38"/>
  <c r="E3385" i="38"/>
  <c r="E3375" i="38"/>
  <c r="E3364" i="38"/>
  <c r="E3353" i="38"/>
  <c r="E3343" i="38"/>
  <c r="E3332" i="38"/>
  <c r="E3321" i="38"/>
  <c r="E3311" i="38"/>
  <c r="E3300" i="38"/>
  <c r="E3289" i="38"/>
  <c r="E3279" i="38"/>
  <c r="E3268" i="38"/>
  <c r="E3257" i="38"/>
  <c r="E3247" i="38"/>
  <c r="E3236" i="38"/>
  <c r="E3225" i="38"/>
  <c r="E3215" i="38"/>
  <c r="E3204" i="38"/>
  <c r="E3193" i="38"/>
  <c r="E3183" i="38"/>
  <c r="E3172" i="38"/>
  <c r="E3161" i="38"/>
  <c r="E3151" i="38"/>
  <c r="E3140" i="38"/>
  <c r="E3129" i="38"/>
  <c r="E3119" i="38"/>
  <c r="E3108" i="38"/>
  <c r="E3097" i="38"/>
  <c r="E3087" i="38"/>
  <c r="E3076" i="38"/>
  <c r="E3065" i="38"/>
  <c r="E3055" i="38"/>
  <c r="E3044" i="38"/>
  <c r="E3033" i="38"/>
  <c r="E3023" i="38"/>
  <c r="E3012" i="38"/>
  <c r="E3001" i="38"/>
  <c r="E2991" i="38"/>
  <c r="E2980" i="38"/>
  <c r="E2969" i="38"/>
  <c r="E2959" i="38"/>
  <c r="E2948" i="38"/>
  <c r="E2937" i="38"/>
  <c r="E2927" i="38"/>
  <c r="E2916" i="38"/>
  <c r="E2905" i="38"/>
  <c r="E2895" i="38"/>
  <c r="E2884" i="38"/>
  <c r="E2873" i="38"/>
  <c r="E2863" i="38"/>
  <c r="E2852" i="38"/>
  <c r="E2841" i="38"/>
  <c r="E2831" i="38"/>
  <c r="E2816" i="38"/>
  <c r="E2800" i="38"/>
  <c r="E2784" i="38"/>
  <c r="E2768" i="38"/>
  <c r="E2752" i="38"/>
  <c r="E2736" i="38"/>
  <c r="E2720" i="38"/>
  <c r="E2704" i="38"/>
  <c r="E2688" i="38"/>
  <c r="E2672" i="38"/>
  <c r="E2656" i="38"/>
  <c r="E2640" i="38"/>
  <c r="E2624" i="38"/>
  <c r="E2608" i="38"/>
  <c r="E2592" i="38"/>
  <c r="E2576" i="38"/>
  <c r="E2560" i="38"/>
  <c r="E2544" i="38"/>
  <c r="E2528" i="38"/>
  <c r="E2512" i="38"/>
  <c r="E2496" i="38"/>
  <c r="E2480" i="38"/>
  <c r="E2464" i="38"/>
  <c r="E2448" i="38"/>
  <c r="E2432" i="38"/>
  <c r="E2416" i="38"/>
  <c r="E2400" i="38"/>
  <c r="E2384" i="38"/>
  <c r="E2368" i="38"/>
  <c r="E2352" i="38"/>
  <c r="E2336" i="38"/>
  <c r="E2320" i="38"/>
  <c r="E2304" i="38"/>
  <c r="E2287" i="38"/>
  <c r="E2266" i="38"/>
  <c r="E2244" i="38"/>
  <c r="E2223" i="38"/>
  <c r="E2202" i="38"/>
  <c r="E2180" i="38"/>
  <c r="E2159" i="38"/>
  <c r="E2138" i="38"/>
  <c r="E2116" i="38"/>
  <c r="E2095" i="38"/>
  <c r="E2074" i="38"/>
  <c r="E2052" i="38"/>
  <c r="E2031" i="38"/>
  <c r="E2010" i="38"/>
  <c r="E1988" i="38"/>
  <c r="E1967" i="38"/>
  <c r="E1946" i="38"/>
  <c r="E1924" i="38"/>
  <c r="E1903" i="38"/>
  <c r="E1882" i="38"/>
  <c r="E1860" i="38"/>
  <c r="E1839" i="38"/>
  <c r="E1818" i="38"/>
  <c r="E1796" i="38"/>
  <c r="E1775" i="38"/>
  <c r="E1754" i="38"/>
  <c r="E1732" i="38"/>
  <c r="E1711" i="38"/>
  <c r="E1679" i="38"/>
  <c r="E1647" i="38"/>
  <c r="E1615" i="38"/>
  <c r="E1583" i="38"/>
  <c r="E1551" i="38"/>
  <c r="E1519" i="38"/>
  <c r="E1487" i="38"/>
  <c r="E1455" i="38"/>
  <c r="E1423" i="38"/>
  <c r="E1391" i="38"/>
  <c r="E1359" i="38"/>
  <c r="E1326" i="38"/>
  <c r="E1284" i="38"/>
  <c r="E1241" i="38"/>
  <c r="E1198" i="38"/>
  <c r="E1156" i="38"/>
  <c r="E1113" i="38"/>
  <c r="E1066" i="38"/>
  <c r="E985" i="38"/>
  <c r="E900" i="38"/>
  <c r="E814" i="38"/>
  <c r="E693" i="38"/>
  <c r="E522" i="38"/>
  <c r="E3" i="38"/>
  <c r="E7" i="38"/>
  <c r="E11" i="38"/>
  <c r="E15" i="38"/>
  <c r="E19" i="38"/>
  <c r="E23" i="38"/>
  <c r="E27" i="38"/>
  <c r="E31" i="38"/>
  <c r="E35" i="38"/>
  <c r="E39" i="38"/>
  <c r="E43" i="38"/>
  <c r="E47" i="38"/>
  <c r="E51" i="38"/>
  <c r="E55" i="38"/>
  <c r="E59" i="38"/>
  <c r="E63" i="38"/>
  <c r="E67" i="38"/>
  <c r="E71" i="38"/>
  <c r="E75" i="38"/>
  <c r="E79" i="38"/>
  <c r="E83" i="38"/>
  <c r="E87" i="38"/>
  <c r="E91" i="38"/>
  <c r="E95" i="38"/>
  <c r="E99" i="38"/>
  <c r="E103" i="38"/>
  <c r="E107" i="38"/>
  <c r="E111" i="38"/>
  <c r="E115" i="38"/>
  <c r="E119" i="38"/>
  <c r="E123" i="38"/>
  <c r="E127" i="38"/>
  <c r="E131" i="38"/>
  <c r="E135" i="38"/>
  <c r="E139" i="38"/>
  <c r="E143" i="38"/>
  <c r="E147" i="38"/>
  <c r="E151" i="38"/>
  <c r="E155" i="38"/>
  <c r="E159" i="38"/>
  <c r="E163" i="38"/>
  <c r="E167" i="38"/>
  <c r="E171" i="38"/>
  <c r="E175" i="38"/>
  <c r="E179" i="38"/>
  <c r="E183" i="38"/>
  <c r="E187" i="38"/>
  <c r="E191" i="38"/>
  <c r="E195" i="38"/>
  <c r="E199" i="38"/>
  <c r="E203" i="38"/>
  <c r="E207" i="38"/>
  <c r="E211" i="38"/>
  <c r="E215" i="38"/>
  <c r="E219" i="38"/>
  <c r="E223" i="38"/>
  <c r="E227" i="38"/>
  <c r="E231" i="38"/>
  <c r="E235" i="38"/>
  <c r="E239" i="38"/>
  <c r="E243" i="38"/>
  <c r="E247" i="38"/>
  <c r="E251" i="38"/>
  <c r="E255" i="38"/>
  <c r="E259" i="38"/>
  <c r="E263" i="38"/>
  <c r="E4" i="38"/>
  <c r="E8" i="38"/>
  <c r="E12" i="38"/>
  <c r="E16" i="38"/>
  <c r="E20" i="38"/>
  <c r="E24" i="38"/>
  <c r="E28" i="38"/>
  <c r="E32" i="38"/>
  <c r="E36" i="38"/>
  <c r="E40" i="38"/>
  <c r="E44" i="38"/>
  <c r="E48" i="38"/>
  <c r="E52" i="38"/>
  <c r="E56" i="38"/>
  <c r="E60" i="38"/>
  <c r="E64" i="38"/>
  <c r="E68" i="38"/>
  <c r="E72" i="38"/>
  <c r="E76" i="38"/>
  <c r="E80" i="38"/>
  <c r="E84" i="38"/>
  <c r="E88" i="38"/>
  <c r="E92" i="38"/>
  <c r="E96" i="38"/>
  <c r="E100" i="38"/>
  <c r="E104" i="38"/>
  <c r="E108" i="38"/>
  <c r="E112" i="38"/>
  <c r="E116" i="38"/>
  <c r="E120" i="38"/>
  <c r="E124" i="38"/>
  <c r="E128" i="38"/>
  <c r="E132" i="38"/>
  <c r="E136" i="38"/>
  <c r="E140" i="38"/>
  <c r="E144" i="38"/>
  <c r="E148" i="38"/>
  <c r="E152" i="38"/>
  <c r="E156" i="38"/>
  <c r="E160" i="38"/>
  <c r="E164" i="38"/>
  <c r="E168" i="38"/>
  <c r="E172" i="38"/>
  <c r="E176" i="38"/>
  <c r="E180" i="38"/>
  <c r="E184" i="38"/>
  <c r="E188" i="38"/>
  <c r="E192" i="38"/>
  <c r="E196" i="38"/>
  <c r="E200" i="38"/>
  <c r="E204" i="38"/>
  <c r="E208" i="38"/>
  <c r="E212" i="38"/>
  <c r="E216" i="38"/>
  <c r="E220" i="38"/>
  <c r="E224" i="38"/>
  <c r="E228" i="38"/>
  <c r="E232" i="38"/>
  <c r="E236" i="38"/>
  <c r="E240" i="38"/>
  <c r="E244" i="38"/>
  <c r="E248" i="38"/>
  <c r="E252" i="38"/>
  <c r="E256" i="38"/>
  <c r="E260" i="38"/>
  <c r="E264" i="38"/>
  <c r="E268" i="38"/>
  <c r="E272" i="38"/>
  <c r="E276" i="38"/>
  <c r="E280" i="38"/>
  <c r="E284" i="38"/>
  <c r="E288" i="38"/>
  <c r="E292" i="38"/>
  <c r="E296" i="38"/>
  <c r="E300" i="38"/>
  <c r="E304" i="38"/>
  <c r="E308" i="38"/>
  <c r="E312" i="38"/>
  <c r="E316" i="38"/>
  <c r="E320" i="38"/>
  <c r="E324" i="38"/>
  <c r="E328" i="38"/>
  <c r="E332" i="38"/>
  <c r="E336" i="38"/>
  <c r="E340" i="38"/>
  <c r="E5" i="38"/>
  <c r="E13" i="38"/>
  <c r="E21" i="38"/>
  <c r="E29" i="38"/>
  <c r="E37" i="38"/>
  <c r="E45" i="38"/>
  <c r="E53" i="38"/>
  <c r="E61" i="38"/>
  <c r="E69" i="38"/>
  <c r="E77" i="38"/>
  <c r="E85" i="38"/>
  <c r="E93" i="38"/>
  <c r="E101" i="38"/>
  <c r="E109" i="38"/>
  <c r="E117" i="38"/>
  <c r="E125" i="38"/>
  <c r="E133" i="38"/>
  <c r="E141" i="38"/>
  <c r="E149" i="38"/>
  <c r="E157" i="38"/>
  <c r="E165" i="38"/>
  <c r="E173" i="38"/>
  <c r="E181" i="38"/>
  <c r="E189" i="38"/>
  <c r="E197" i="38"/>
  <c r="E205" i="38"/>
  <c r="E213" i="38"/>
  <c r="E221" i="38"/>
  <c r="E229" i="38"/>
  <c r="E237" i="38"/>
  <c r="E245" i="38"/>
  <c r="E253" i="38"/>
  <c r="E261" i="38"/>
  <c r="E267" i="38"/>
  <c r="E273" i="38"/>
  <c r="E278" i="38"/>
  <c r="E283" i="38"/>
  <c r="E289" i="38"/>
  <c r="E294" i="38"/>
  <c r="E299" i="38"/>
  <c r="E305" i="38"/>
  <c r="E310" i="38"/>
  <c r="E315" i="38"/>
  <c r="E321" i="38"/>
  <c r="E326" i="38"/>
  <c r="E331" i="38"/>
  <c r="E337" i="38"/>
  <c r="E342" i="38"/>
  <c r="E346" i="38"/>
  <c r="E350" i="38"/>
  <c r="E354" i="38"/>
  <c r="E358" i="38"/>
  <c r="E362" i="38"/>
  <c r="E366" i="38"/>
  <c r="E370" i="38"/>
  <c r="E374" i="38"/>
  <c r="E378" i="38"/>
  <c r="E382" i="38"/>
  <c r="E386" i="38"/>
  <c r="E390" i="38"/>
  <c r="E394" i="38"/>
  <c r="E398" i="38"/>
  <c r="E402" i="38"/>
  <c r="E406" i="38"/>
  <c r="E410" i="38"/>
  <c r="E414" i="38"/>
  <c r="E418" i="38"/>
  <c r="E422" i="38"/>
  <c r="E426" i="38"/>
  <c r="E430" i="38"/>
  <c r="E434" i="38"/>
  <c r="E438" i="38"/>
  <c r="E442" i="38"/>
  <c r="E446" i="38"/>
  <c r="E450" i="38"/>
  <c r="E454" i="38"/>
  <c r="E458" i="38"/>
  <c r="E462" i="38"/>
  <c r="E466" i="38"/>
  <c r="E470" i="38"/>
  <c r="E474" i="38"/>
  <c r="E478" i="38"/>
  <c r="E482" i="38"/>
  <c r="E486" i="38"/>
  <c r="E490" i="38"/>
  <c r="E6" i="38"/>
  <c r="E14" i="38"/>
  <c r="E22" i="38"/>
  <c r="E30" i="38"/>
  <c r="E38" i="38"/>
  <c r="E46" i="38"/>
  <c r="E54" i="38"/>
  <c r="E62" i="38"/>
  <c r="E70" i="38"/>
  <c r="E78" i="38"/>
  <c r="E86" i="38"/>
  <c r="E94" i="38"/>
  <c r="E102" i="38"/>
  <c r="E110" i="38"/>
  <c r="E118" i="38"/>
  <c r="E126" i="38"/>
  <c r="E134" i="38"/>
  <c r="E142" i="38"/>
  <c r="E150" i="38"/>
  <c r="E158" i="38"/>
  <c r="E166" i="38"/>
  <c r="E174" i="38"/>
  <c r="E182" i="38"/>
  <c r="E190" i="38"/>
  <c r="E198" i="38"/>
  <c r="E206" i="38"/>
  <c r="E214" i="38"/>
  <c r="E222" i="38"/>
  <c r="E230" i="38"/>
  <c r="E238" i="38"/>
  <c r="E246" i="38"/>
  <c r="E254" i="38"/>
  <c r="E262" i="38"/>
  <c r="E269" i="38"/>
  <c r="E274" i="38"/>
  <c r="E279" i="38"/>
  <c r="E285" i="38"/>
  <c r="E290" i="38"/>
  <c r="E295" i="38"/>
  <c r="E301" i="38"/>
  <c r="E306" i="38"/>
  <c r="E311" i="38"/>
  <c r="E317" i="38"/>
  <c r="E322" i="38"/>
  <c r="E327" i="38"/>
  <c r="E333" i="38"/>
  <c r="E338" i="38"/>
  <c r="E343" i="38"/>
  <c r="E347" i="38"/>
  <c r="E351" i="38"/>
  <c r="E355" i="38"/>
  <c r="E359" i="38"/>
  <c r="E363" i="38"/>
  <c r="E367" i="38"/>
  <c r="E371" i="38"/>
  <c r="E375" i="38"/>
  <c r="E379" i="38"/>
  <c r="E383" i="38"/>
  <c r="E387" i="38"/>
  <c r="E391" i="38"/>
  <c r="E395" i="38"/>
  <c r="E399" i="38"/>
  <c r="E403" i="38"/>
  <c r="E407" i="38"/>
  <c r="E411" i="38"/>
  <c r="E415" i="38"/>
  <c r="E419" i="38"/>
  <c r="E423" i="38"/>
  <c r="E427" i="38"/>
  <c r="E431" i="38"/>
  <c r="E435" i="38"/>
  <c r="E439" i="38"/>
  <c r="E443" i="38"/>
  <c r="E447" i="38"/>
  <c r="E451" i="38"/>
  <c r="E455" i="38"/>
  <c r="E459" i="38"/>
  <c r="E463" i="38"/>
  <c r="E467" i="38"/>
  <c r="E471" i="38"/>
  <c r="E475" i="38"/>
  <c r="E479" i="38"/>
  <c r="E483" i="38"/>
  <c r="E487" i="38"/>
  <c r="E491" i="38"/>
  <c r="E495" i="38"/>
  <c r="E499" i="38"/>
  <c r="E503" i="38"/>
  <c r="E507" i="38"/>
  <c r="E511" i="38"/>
  <c r="E515" i="38"/>
  <c r="E519" i="38"/>
  <c r="E523" i="38"/>
  <c r="E527" i="38"/>
  <c r="E531" i="38"/>
  <c r="E535" i="38"/>
  <c r="E539" i="38"/>
  <c r="E543" i="38"/>
  <c r="E547" i="38"/>
  <c r="E551" i="38"/>
  <c r="E555" i="38"/>
  <c r="E559" i="38"/>
  <c r="E563" i="38"/>
  <c r="E567" i="38"/>
  <c r="E571" i="38"/>
  <c r="E575" i="38"/>
  <c r="E579" i="38"/>
  <c r="E583" i="38"/>
  <c r="E587" i="38"/>
  <c r="E591" i="38"/>
  <c r="E595" i="38"/>
  <c r="E599" i="38"/>
  <c r="E603" i="38"/>
  <c r="E607" i="38"/>
  <c r="E611" i="38"/>
  <c r="E615" i="38"/>
  <c r="E619" i="38"/>
  <c r="E623" i="38"/>
  <c r="E627" i="38"/>
  <c r="E631" i="38"/>
  <c r="E635" i="38"/>
  <c r="E639" i="38"/>
  <c r="E643" i="38"/>
  <c r="E647" i="38"/>
  <c r="E651" i="38"/>
  <c r="E655" i="38"/>
  <c r="E659" i="38"/>
  <c r="E663" i="38"/>
  <c r="E667" i="38"/>
  <c r="E671" i="38"/>
  <c r="E675" i="38"/>
  <c r="E679" i="38"/>
  <c r="E683" i="38"/>
  <c r="E687" i="38"/>
  <c r="E691" i="38"/>
  <c r="E9" i="38"/>
  <c r="E25" i="38"/>
  <c r="E41" i="38"/>
  <c r="E57" i="38"/>
  <c r="E73" i="38"/>
  <c r="E89" i="38"/>
  <c r="E105" i="38"/>
  <c r="E121" i="38"/>
  <c r="E137" i="38"/>
  <c r="E153" i="38"/>
  <c r="E169" i="38"/>
  <c r="E185" i="38"/>
  <c r="E201" i="38"/>
  <c r="E217" i="38"/>
  <c r="E233" i="38"/>
  <c r="E249" i="38"/>
  <c r="E265" i="38"/>
  <c r="E275" i="38"/>
  <c r="E286" i="38"/>
  <c r="E297" i="38"/>
  <c r="E307" i="38"/>
  <c r="E318" i="38"/>
  <c r="E329" i="38"/>
  <c r="E339" i="38"/>
  <c r="E348" i="38"/>
  <c r="E356" i="38"/>
  <c r="E364" i="38"/>
  <c r="E372" i="38"/>
  <c r="E380" i="38"/>
  <c r="E388" i="38"/>
  <c r="E396" i="38"/>
  <c r="E404" i="38"/>
  <c r="E412" i="38"/>
  <c r="E420" i="38"/>
  <c r="E428" i="38"/>
  <c r="E436" i="38"/>
  <c r="E444" i="38"/>
  <c r="E452" i="38"/>
  <c r="E460" i="38"/>
  <c r="E468" i="38"/>
  <c r="E476" i="38"/>
  <c r="E484" i="38"/>
  <c r="E492" i="38"/>
  <c r="E497" i="38"/>
  <c r="E502" i="38"/>
  <c r="E508" i="38"/>
  <c r="E513" i="38"/>
  <c r="E518" i="38"/>
  <c r="E524" i="38"/>
  <c r="E529" i="38"/>
  <c r="E534" i="38"/>
  <c r="E540" i="38"/>
  <c r="E545" i="38"/>
  <c r="E550" i="38"/>
  <c r="E556" i="38"/>
  <c r="E561" i="38"/>
  <c r="E566" i="38"/>
  <c r="E572" i="38"/>
  <c r="E577" i="38"/>
  <c r="E582" i="38"/>
  <c r="E588" i="38"/>
  <c r="E593" i="38"/>
  <c r="E598" i="38"/>
  <c r="E604" i="38"/>
  <c r="E609" i="38"/>
  <c r="E614" i="38"/>
  <c r="E620" i="38"/>
  <c r="E625" i="38"/>
  <c r="E630" i="38"/>
  <c r="E636" i="38"/>
  <c r="E641" i="38"/>
  <c r="E646" i="38"/>
  <c r="E652" i="38"/>
  <c r="E657" i="38"/>
  <c r="E662" i="38"/>
  <c r="E668" i="38"/>
  <c r="E673" i="38"/>
  <c r="E678" i="38"/>
  <c r="E684" i="38"/>
  <c r="E689" i="38"/>
  <c r="E694" i="38"/>
  <c r="E698" i="38"/>
  <c r="E702" i="38"/>
  <c r="E706" i="38"/>
  <c r="E710" i="38"/>
  <c r="E714" i="38"/>
  <c r="E718" i="38"/>
  <c r="E722" i="38"/>
  <c r="E726" i="38"/>
  <c r="E730" i="38"/>
  <c r="E734" i="38"/>
  <c r="E738" i="38"/>
  <c r="E742" i="38"/>
  <c r="E746" i="38"/>
  <c r="E750" i="38"/>
  <c r="E754" i="38"/>
  <c r="E758" i="38"/>
  <c r="E762" i="38"/>
  <c r="E766" i="38"/>
  <c r="E770" i="38"/>
  <c r="E774" i="38"/>
  <c r="E778" i="38"/>
  <c r="E782" i="38"/>
  <c r="E786" i="38"/>
  <c r="E790" i="38"/>
  <c r="E794" i="38"/>
  <c r="E798" i="38"/>
  <c r="E10" i="38"/>
  <c r="E26" i="38"/>
  <c r="E42" i="38"/>
  <c r="E58" i="38"/>
  <c r="E74" i="38"/>
  <c r="E90" i="38"/>
  <c r="E106" i="38"/>
  <c r="E122" i="38"/>
  <c r="E138" i="38"/>
  <c r="E154" i="38"/>
  <c r="E170" i="38"/>
  <c r="E186" i="38"/>
  <c r="E202" i="38"/>
  <c r="E218" i="38"/>
  <c r="E234" i="38"/>
  <c r="E250" i="38"/>
  <c r="E266" i="38"/>
  <c r="E277" i="38"/>
  <c r="E287" i="38"/>
  <c r="E298" i="38"/>
  <c r="E309" i="38"/>
  <c r="E319" i="38"/>
  <c r="E330" i="38"/>
  <c r="E341" i="38"/>
  <c r="E349" i="38"/>
  <c r="E357" i="38"/>
  <c r="E365" i="38"/>
  <c r="E373" i="38"/>
  <c r="E381" i="38"/>
  <c r="E389" i="38"/>
  <c r="E397" i="38"/>
  <c r="E405" i="38"/>
  <c r="E413" i="38"/>
  <c r="E421" i="38"/>
  <c r="E429" i="38"/>
  <c r="E437" i="38"/>
  <c r="E445" i="38"/>
  <c r="E453" i="38"/>
  <c r="E461" i="38"/>
  <c r="E469" i="38"/>
  <c r="E477" i="38"/>
  <c r="E485" i="38"/>
  <c r="E493" i="38"/>
  <c r="E498" i="38"/>
  <c r="E504" i="38"/>
  <c r="E509" i="38"/>
  <c r="E514" i="38"/>
  <c r="E520" i="38"/>
  <c r="E525" i="38"/>
  <c r="E530" i="38"/>
  <c r="E536" i="38"/>
  <c r="E541" i="38"/>
  <c r="E546" i="38"/>
  <c r="E552" i="38"/>
  <c r="E557" i="38"/>
  <c r="E562" i="38"/>
  <c r="E568" i="38"/>
  <c r="E573" i="38"/>
  <c r="E578" i="38"/>
  <c r="E584" i="38"/>
  <c r="E589" i="38"/>
  <c r="E594" i="38"/>
  <c r="E600" i="38"/>
  <c r="E605" i="38"/>
  <c r="E610" i="38"/>
  <c r="E616" i="38"/>
  <c r="E621" i="38"/>
  <c r="E626" i="38"/>
  <c r="E632" i="38"/>
  <c r="E637" i="38"/>
  <c r="E642" i="38"/>
  <c r="E648" i="38"/>
  <c r="E653" i="38"/>
  <c r="E658" i="38"/>
  <c r="E664" i="38"/>
  <c r="E669" i="38"/>
  <c r="E674" i="38"/>
  <c r="E680" i="38"/>
  <c r="E685" i="38"/>
  <c r="E690" i="38"/>
  <c r="E695" i="38"/>
  <c r="E699" i="38"/>
  <c r="E703" i="38"/>
  <c r="E707" i="38"/>
  <c r="E711" i="38"/>
  <c r="E715" i="38"/>
  <c r="E719" i="38"/>
  <c r="E723" i="38"/>
  <c r="E727" i="38"/>
  <c r="E731" i="38"/>
  <c r="E735" i="38"/>
  <c r="E739" i="38"/>
  <c r="E743" i="38"/>
  <c r="E747" i="38"/>
  <c r="E751" i="38"/>
  <c r="E755" i="38"/>
  <c r="E759" i="38"/>
  <c r="E763" i="38"/>
  <c r="E767" i="38"/>
  <c r="E771" i="38"/>
  <c r="E775" i="38"/>
  <c r="E779" i="38"/>
  <c r="E783" i="38"/>
  <c r="E787" i="38"/>
  <c r="E791" i="38"/>
  <c r="E795" i="38"/>
  <c r="E799" i="38"/>
  <c r="E803" i="38"/>
  <c r="E807" i="38"/>
  <c r="E811" i="38"/>
  <c r="E815" i="38"/>
  <c r="E819" i="38"/>
  <c r="E823" i="38"/>
  <c r="E827" i="38"/>
  <c r="E831" i="38"/>
  <c r="E835" i="38"/>
  <c r="E839" i="38"/>
  <c r="E843" i="38"/>
  <c r="E847" i="38"/>
  <c r="E851" i="38"/>
  <c r="E855" i="38"/>
  <c r="E859" i="38"/>
  <c r="E863" i="38"/>
  <c r="E867" i="38"/>
  <c r="E871" i="38"/>
  <c r="E875" i="38"/>
  <c r="E879" i="38"/>
  <c r="E883" i="38"/>
  <c r="E887" i="38"/>
  <c r="E891" i="38"/>
  <c r="E895" i="38"/>
  <c r="E899" i="38"/>
  <c r="E903" i="38"/>
  <c r="E907" i="38"/>
  <c r="E911" i="38"/>
  <c r="E915" i="38"/>
  <c r="E919" i="38"/>
  <c r="E923" i="38"/>
  <c r="E927" i="38"/>
  <c r="E931" i="38"/>
  <c r="E935" i="38"/>
  <c r="E939" i="38"/>
  <c r="E943" i="38"/>
  <c r="E947" i="38"/>
  <c r="E951" i="38"/>
  <c r="E955" i="38"/>
  <c r="E959" i="38"/>
  <c r="E963" i="38"/>
  <c r="E967" i="38"/>
  <c r="E971" i="38"/>
  <c r="E975" i="38"/>
  <c r="E979" i="38"/>
  <c r="E983" i="38"/>
  <c r="E987" i="38"/>
  <c r="E991" i="38"/>
  <c r="E995" i="38"/>
  <c r="E999" i="38"/>
  <c r="E1003" i="38"/>
  <c r="E1007" i="38"/>
  <c r="E1011" i="38"/>
  <c r="E1015" i="38"/>
  <c r="E1019" i="38"/>
  <c r="E1023" i="38"/>
  <c r="E1027" i="38"/>
  <c r="E1031" i="38"/>
  <c r="E1035" i="38"/>
  <c r="E1039" i="38"/>
  <c r="E1043" i="38"/>
  <c r="E1047" i="38"/>
  <c r="E1051" i="38"/>
  <c r="E17" i="38"/>
  <c r="E49" i="38"/>
  <c r="E81" i="38"/>
  <c r="E113" i="38"/>
  <c r="E145" i="38"/>
  <c r="E177" i="38"/>
  <c r="E209" i="38"/>
  <c r="E241" i="38"/>
  <c r="E270" i="38"/>
  <c r="E291" i="38"/>
  <c r="E313" i="38"/>
  <c r="E334" i="38"/>
  <c r="E352" i="38"/>
  <c r="E368" i="38"/>
  <c r="E384" i="38"/>
  <c r="E400" i="38"/>
  <c r="E416" i="38"/>
  <c r="E432" i="38"/>
  <c r="E448" i="38"/>
  <c r="E464" i="38"/>
  <c r="E480" i="38"/>
  <c r="E494" i="38"/>
  <c r="E505" i="38"/>
  <c r="E516" i="38"/>
  <c r="E526" i="38"/>
  <c r="E537" i="38"/>
  <c r="E548" i="38"/>
  <c r="E558" i="38"/>
  <c r="E569" i="38"/>
  <c r="E580" i="38"/>
  <c r="E590" i="38"/>
  <c r="E601" i="38"/>
  <c r="E612" i="38"/>
  <c r="E622" i="38"/>
  <c r="E633" i="38"/>
  <c r="E644" i="38"/>
  <c r="E654" i="38"/>
  <c r="E665" i="38"/>
  <c r="E676" i="38"/>
  <c r="E686" i="38"/>
  <c r="E696" i="38"/>
  <c r="E704" i="38"/>
  <c r="E712" i="38"/>
  <c r="E720" i="38"/>
  <c r="E728" i="38"/>
  <c r="E736" i="38"/>
  <c r="E744" i="38"/>
  <c r="E752" i="38"/>
  <c r="E760" i="38"/>
  <c r="E768" i="38"/>
  <c r="E776" i="38"/>
  <c r="E784" i="38"/>
  <c r="E792" i="38"/>
  <c r="E800" i="38"/>
  <c r="E805" i="38"/>
  <c r="E810" i="38"/>
  <c r="E816" i="38"/>
  <c r="E821" i="38"/>
  <c r="E826" i="38"/>
  <c r="E832" i="38"/>
  <c r="E837" i="38"/>
  <c r="E842" i="38"/>
  <c r="E848" i="38"/>
  <c r="E853" i="38"/>
  <c r="E858" i="38"/>
  <c r="E864" i="38"/>
  <c r="E869" i="38"/>
  <c r="E874" i="38"/>
  <c r="E880" i="38"/>
  <c r="E885" i="38"/>
  <c r="E890" i="38"/>
  <c r="E896" i="38"/>
  <c r="E901" i="38"/>
  <c r="E906" i="38"/>
  <c r="E912" i="38"/>
  <c r="E917" i="38"/>
  <c r="E922" i="38"/>
  <c r="E928" i="38"/>
  <c r="E933" i="38"/>
  <c r="E938" i="38"/>
  <c r="E944" i="38"/>
  <c r="E949" i="38"/>
  <c r="E954" i="38"/>
  <c r="E960" i="38"/>
  <c r="E965" i="38"/>
  <c r="E970" i="38"/>
  <c r="E976" i="38"/>
  <c r="E981" i="38"/>
  <c r="E986" i="38"/>
  <c r="E992" i="38"/>
  <c r="E997" i="38"/>
  <c r="E1002" i="38"/>
  <c r="E1008" i="38"/>
  <c r="E1013" i="38"/>
  <c r="E1018" i="38"/>
  <c r="E1024" i="38"/>
  <c r="E1029" i="38"/>
  <c r="E1034" i="38"/>
  <c r="E1040" i="38"/>
  <c r="E1045" i="38"/>
  <c r="E1050" i="38"/>
  <c r="E1055" i="38"/>
  <c r="E1059" i="38"/>
  <c r="E1063" i="38"/>
  <c r="E1067" i="38"/>
  <c r="E1071" i="38"/>
  <c r="E1075" i="38"/>
  <c r="E1079" i="38"/>
  <c r="E1083" i="38"/>
  <c r="E1087" i="38"/>
  <c r="E1091" i="38"/>
  <c r="E1095" i="38"/>
  <c r="E1099" i="38"/>
  <c r="E1103" i="38"/>
  <c r="E1107" i="38"/>
  <c r="E1111" i="38"/>
  <c r="E1115" i="38"/>
  <c r="E1119" i="38"/>
  <c r="E1123" i="38"/>
  <c r="E1127" i="38"/>
  <c r="E1131" i="38"/>
  <c r="E1135" i="38"/>
  <c r="E1139" i="38"/>
  <c r="E1143" i="38"/>
  <c r="E1147" i="38"/>
  <c r="E1151" i="38"/>
  <c r="E1155" i="38"/>
  <c r="E1159" i="38"/>
  <c r="E1163" i="38"/>
  <c r="E1167" i="38"/>
  <c r="E1171" i="38"/>
  <c r="E1175" i="38"/>
  <c r="E1179" i="38"/>
  <c r="E1183" i="38"/>
  <c r="E1187" i="38"/>
  <c r="E1191" i="38"/>
  <c r="E1195" i="38"/>
  <c r="E1199" i="38"/>
  <c r="E1203" i="38"/>
  <c r="E1207" i="38"/>
  <c r="E1211" i="38"/>
  <c r="E1215" i="38"/>
  <c r="E1219" i="38"/>
  <c r="E1223" i="38"/>
  <c r="E1227" i="38"/>
  <c r="E1231" i="38"/>
  <c r="E1235" i="38"/>
  <c r="E1239" i="38"/>
  <c r="E1243" i="38"/>
  <c r="E1247" i="38"/>
  <c r="E1251" i="38"/>
  <c r="E1255" i="38"/>
  <c r="E1259" i="38"/>
  <c r="E1263" i="38"/>
  <c r="E1267" i="38"/>
  <c r="E1271" i="38"/>
  <c r="E1275" i="38"/>
  <c r="E1279" i="38"/>
  <c r="E1283" i="38"/>
  <c r="E1287" i="38"/>
  <c r="E1291" i="38"/>
  <c r="E1295" i="38"/>
  <c r="E1299" i="38"/>
  <c r="E1303" i="38"/>
  <c r="E1307" i="38"/>
  <c r="E1311" i="38"/>
  <c r="E1315" i="38"/>
  <c r="E1319" i="38"/>
  <c r="E1323" i="38"/>
  <c r="E1327" i="38"/>
  <c r="E18" i="38"/>
  <c r="E50" i="38"/>
  <c r="E82" i="38"/>
  <c r="E114" i="38"/>
  <c r="E146" i="38"/>
  <c r="E178" i="38"/>
  <c r="E210" i="38"/>
  <c r="E242" i="38"/>
  <c r="E271" i="38"/>
  <c r="E293" i="38"/>
  <c r="E314" i="38"/>
  <c r="E335" i="38"/>
  <c r="E353" i="38"/>
  <c r="E369" i="38"/>
  <c r="E385" i="38"/>
  <c r="E401" i="38"/>
  <c r="E417" i="38"/>
  <c r="E433" i="38"/>
  <c r="E449" i="38"/>
  <c r="E465" i="38"/>
  <c r="E481" i="38"/>
  <c r="E496" i="38"/>
  <c r="E506" i="38"/>
  <c r="E517" i="38"/>
  <c r="E528" i="38"/>
  <c r="E538" i="38"/>
  <c r="E549" i="38"/>
  <c r="E560" i="38"/>
  <c r="E570" i="38"/>
  <c r="E581" i="38"/>
  <c r="E592" i="38"/>
  <c r="E602" i="38"/>
  <c r="E613" i="38"/>
  <c r="E624" i="38"/>
  <c r="E634" i="38"/>
  <c r="E645" i="38"/>
  <c r="E656" i="38"/>
  <c r="E666" i="38"/>
  <c r="E677" i="38"/>
  <c r="E688" i="38"/>
  <c r="E697" i="38"/>
  <c r="E705" i="38"/>
  <c r="E713" i="38"/>
  <c r="E721" i="38"/>
  <c r="E729" i="38"/>
  <c r="E737" i="38"/>
  <c r="E745" i="38"/>
  <c r="E753" i="38"/>
  <c r="E761" i="38"/>
  <c r="E769" i="38"/>
  <c r="E777" i="38"/>
  <c r="E785" i="38"/>
  <c r="E793" i="38"/>
  <c r="E801" i="38"/>
  <c r="E806" i="38"/>
  <c r="E812" i="38"/>
  <c r="E817" i="38"/>
  <c r="E822" i="38"/>
  <c r="E828" i="38"/>
  <c r="E833" i="38"/>
  <c r="E838" i="38"/>
  <c r="E844" i="38"/>
  <c r="E849" i="38"/>
  <c r="E854" i="38"/>
  <c r="E860" i="38"/>
  <c r="E865" i="38"/>
  <c r="E870" i="38"/>
  <c r="E876" i="38"/>
  <c r="E881" i="38"/>
  <c r="E886" i="38"/>
  <c r="E892" i="38"/>
  <c r="E897" i="38"/>
  <c r="E902" i="38"/>
  <c r="E908" i="38"/>
  <c r="E913" i="38"/>
  <c r="E918" i="38"/>
  <c r="E924" i="38"/>
  <c r="E929" i="38"/>
  <c r="E934" i="38"/>
  <c r="E940" i="38"/>
  <c r="E945" i="38"/>
  <c r="E950" i="38"/>
  <c r="E956" i="38"/>
  <c r="E961" i="38"/>
  <c r="E966" i="38"/>
  <c r="E972" i="38"/>
  <c r="E977" i="38"/>
  <c r="E982" i="38"/>
  <c r="E988" i="38"/>
  <c r="E993" i="38"/>
  <c r="E998" i="38"/>
  <c r="E1004" i="38"/>
  <c r="E1009" i="38"/>
  <c r="E1014" i="38"/>
  <c r="E1020" i="38"/>
  <c r="E1025" i="38"/>
  <c r="E1030" i="38"/>
  <c r="E1036" i="38"/>
  <c r="E1041" i="38"/>
  <c r="E1046" i="38"/>
  <c r="E1052" i="38"/>
  <c r="E1056" i="38"/>
  <c r="E1060" i="38"/>
  <c r="E1064" i="38"/>
  <c r="E1068" i="38"/>
  <c r="E1072" i="38"/>
  <c r="E1076" i="38"/>
  <c r="E33" i="38"/>
  <c r="E97" i="38"/>
  <c r="E161" i="38"/>
  <c r="E225" i="38"/>
  <c r="E281" i="38"/>
  <c r="E323" i="38"/>
  <c r="E360" i="38"/>
  <c r="E392" i="38"/>
  <c r="E424" i="38"/>
  <c r="E456" i="38"/>
  <c r="E488" i="38"/>
  <c r="E510" i="38"/>
  <c r="E532" i="38"/>
  <c r="E553" i="38"/>
  <c r="E574" i="38"/>
  <c r="E596" i="38"/>
  <c r="E617" i="38"/>
  <c r="E638" i="38"/>
  <c r="E660" i="38"/>
  <c r="E681" i="38"/>
  <c r="E700" i="38"/>
  <c r="E716" i="38"/>
  <c r="E732" i="38"/>
  <c r="E748" i="38"/>
  <c r="E764" i="38"/>
  <c r="E780" i="38"/>
  <c r="E796" i="38"/>
  <c r="E808" i="38"/>
  <c r="E818" i="38"/>
  <c r="E829" i="38"/>
  <c r="E840" i="38"/>
  <c r="E850" i="38"/>
  <c r="E861" i="38"/>
  <c r="E872" i="38"/>
  <c r="E882" i="38"/>
  <c r="E893" i="38"/>
  <c r="E904" i="38"/>
  <c r="E914" i="38"/>
  <c r="E925" i="38"/>
  <c r="E936" i="38"/>
  <c r="E946" i="38"/>
  <c r="E957" i="38"/>
  <c r="E968" i="38"/>
  <c r="E978" i="38"/>
  <c r="E989" i="38"/>
  <c r="E1000" i="38"/>
  <c r="E1010" i="38"/>
  <c r="E1021" i="38"/>
  <c r="E1032" i="38"/>
  <c r="E1042" i="38"/>
  <c r="E1053" i="38"/>
  <c r="E1061" i="38"/>
  <c r="E1069" i="38"/>
  <c r="E1077" i="38"/>
  <c r="E1082" i="38"/>
  <c r="E1088" i="38"/>
  <c r="E1093" i="38"/>
  <c r="E1098" i="38"/>
  <c r="E1104" i="38"/>
  <c r="E1109" i="38"/>
  <c r="E1114" i="38"/>
  <c r="E1120" i="38"/>
  <c r="E1125" i="38"/>
  <c r="E1130" i="38"/>
  <c r="E1136" i="38"/>
  <c r="E1141" i="38"/>
  <c r="E1146" i="38"/>
  <c r="E1152" i="38"/>
  <c r="E1157" i="38"/>
  <c r="E1162" i="38"/>
  <c r="E1168" i="38"/>
  <c r="E1173" i="38"/>
  <c r="E1178" i="38"/>
  <c r="E1184" i="38"/>
  <c r="E1189" i="38"/>
  <c r="E1194" i="38"/>
  <c r="E1200" i="38"/>
  <c r="E1205" i="38"/>
  <c r="E1210" i="38"/>
  <c r="E1216" i="38"/>
  <c r="E1221" i="38"/>
  <c r="E1226" i="38"/>
  <c r="E1232" i="38"/>
  <c r="E1237" i="38"/>
  <c r="E1242" i="38"/>
  <c r="E1248" i="38"/>
  <c r="E1253" i="38"/>
  <c r="E1258" i="38"/>
  <c r="E1264" i="38"/>
  <c r="E1269" i="38"/>
  <c r="E1274" i="38"/>
  <c r="E1280" i="38"/>
  <c r="E1285" i="38"/>
  <c r="E1290" i="38"/>
  <c r="E1296" i="38"/>
  <c r="E1301" i="38"/>
  <c r="E1306" i="38"/>
  <c r="E1312" i="38"/>
  <c r="E1317" i="38"/>
  <c r="E1322" i="38"/>
  <c r="E1328" i="38"/>
  <c r="E1332" i="38"/>
  <c r="E1336" i="38"/>
  <c r="E1340" i="38"/>
  <c r="E1344" i="38"/>
  <c r="E1348" i="38"/>
  <c r="E1352" i="38"/>
  <c r="E1356" i="38"/>
  <c r="E1360" i="38"/>
  <c r="E1364" i="38"/>
  <c r="E1368" i="38"/>
  <c r="E1372" i="38"/>
  <c r="E1376" i="38"/>
  <c r="E1380" i="38"/>
  <c r="E1384" i="38"/>
  <c r="E1388" i="38"/>
  <c r="E1392" i="38"/>
  <c r="E1396" i="38"/>
  <c r="E1400" i="38"/>
  <c r="E1404" i="38"/>
  <c r="E1408" i="38"/>
  <c r="E1412" i="38"/>
  <c r="E1416" i="38"/>
  <c r="E1420" i="38"/>
  <c r="E1424" i="38"/>
  <c r="E1428" i="38"/>
  <c r="E1432" i="38"/>
  <c r="E1436" i="38"/>
  <c r="E1440" i="38"/>
  <c r="E1444" i="38"/>
  <c r="E1448" i="38"/>
  <c r="E1452" i="38"/>
  <c r="E1456" i="38"/>
  <c r="E1460" i="38"/>
  <c r="E1464" i="38"/>
  <c r="E1468" i="38"/>
  <c r="E1472" i="38"/>
  <c r="E1476" i="38"/>
  <c r="E1480" i="38"/>
  <c r="E1484" i="38"/>
  <c r="E1488" i="38"/>
  <c r="E1492" i="38"/>
  <c r="E1496" i="38"/>
  <c r="E1500" i="38"/>
  <c r="E1504" i="38"/>
  <c r="E1508" i="38"/>
  <c r="E1512" i="38"/>
  <c r="E1516" i="38"/>
  <c r="E1520" i="38"/>
  <c r="E1524" i="38"/>
  <c r="E1528" i="38"/>
  <c r="E1532" i="38"/>
  <c r="E1536" i="38"/>
  <c r="E1540" i="38"/>
  <c r="E1544" i="38"/>
  <c r="E1548" i="38"/>
  <c r="E1552" i="38"/>
  <c r="E1556" i="38"/>
  <c r="E1560" i="38"/>
  <c r="E1564" i="38"/>
  <c r="E1568" i="38"/>
  <c r="E1572" i="38"/>
  <c r="E1576" i="38"/>
  <c r="E1580" i="38"/>
  <c r="E1584" i="38"/>
  <c r="E1588" i="38"/>
  <c r="E1592" i="38"/>
  <c r="E1596" i="38"/>
  <c r="E1600" i="38"/>
  <c r="E1604" i="38"/>
  <c r="E1608" i="38"/>
  <c r="E1612" i="38"/>
  <c r="E1616" i="38"/>
  <c r="E1620" i="38"/>
  <c r="E1624" i="38"/>
  <c r="E1628" i="38"/>
  <c r="E1632" i="38"/>
  <c r="E1636" i="38"/>
  <c r="E1640" i="38"/>
  <c r="E1644" i="38"/>
  <c r="E1648" i="38"/>
  <c r="E1652" i="38"/>
  <c r="E1656" i="38"/>
  <c r="E1660" i="38"/>
  <c r="E1664" i="38"/>
  <c r="E1668" i="38"/>
  <c r="E1672" i="38"/>
  <c r="E1676" i="38"/>
  <c r="E1680" i="38"/>
  <c r="E1684" i="38"/>
  <c r="E1688" i="38"/>
  <c r="E1692" i="38"/>
  <c r="E1696" i="38"/>
  <c r="E1700" i="38"/>
  <c r="E1704" i="38"/>
  <c r="E1708" i="38"/>
  <c r="E34" i="38"/>
  <c r="E98" i="38"/>
  <c r="E162" i="38"/>
  <c r="E226" i="38"/>
  <c r="E282" i="38"/>
  <c r="E325" i="38"/>
  <c r="E361" i="38"/>
  <c r="E393" i="38"/>
  <c r="E425" i="38"/>
  <c r="E457" i="38"/>
  <c r="E489" i="38"/>
  <c r="E512" i="38"/>
  <c r="E533" i="38"/>
  <c r="E554" i="38"/>
  <c r="E576" i="38"/>
  <c r="E597" i="38"/>
  <c r="E618" i="38"/>
  <c r="E640" i="38"/>
  <c r="E661" i="38"/>
  <c r="E682" i="38"/>
  <c r="E701" i="38"/>
  <c r="E717" i="38"/>
  <c r="E733" i="38"/>
  <c r="E749" i="38"/>
  <c r="E765" i="38"/>
  <c r="E781" i="38"/>
  <c r="E797" i="38"/>
  <c r="E809" i="38"/>
  <c r="E820" i="38"/>
  <c r="E830" i="38"/>
  <c r="E841" i="38"/>
  <c r="E852" i="38"/>
  <c r="E862" i="38"/>
  <c r="E873" i="38"/>
  <c r="E884" i="38"/>
  <c r="E894" i="38"/>
  <c r="E905" i="38"/>
  <c r="E916" i="38"/>
  <c r="E926" i="38"/>
  <c r="E937" i="38"/>
  <c r="E948" i="38"/>
  <c r="E958" i="38"/>
  <c r="E969" i="38"/>
  <c r="E980" i="38"/>
  <c r="E990" i="38"/>
  <c r="E1001" i="38"/>
  <c r="E1012" i="38"/>
  <c r="E1022" i="38"/>
  <c r="E1033" i="38"/>
  <c r="E1044" i="38"/>
  <c r="E1054" i="38"/>
  <c r="E1062" i="38"/>
  <c r="E1070" i="38"/>
  <c r="E1078" i="38"/>
  <c r="E1084" i="38"/>
  <c r="E1089" i="38"/>
  <c r="E1094" i="38"/>
  <c r="E1100" i="38"/>
  <c r="E1105" i="38"/>
  <c r="E1110" i="38"/>
  <c r="E1116" i="38"/>
  <c r="E1121" i="38"/>
  <c r="E1126" i="38"/>
  <c r="E1132" i="38"/>
  <c r="E1137" i="38"/>
  <c r="E1142" i="38"/>
  <c r="E1148" i="38"/>
  <c r="E1153" i="38"/>
  <c r="E1158" i="38"/>
  <c r="E1164" i="38"/>
  <c r="E1169" i="38"/>
  <c r="E1174" i="38"/>
  <c r="E1180" i="38"/>
  <c r="E1185" i="38"/>
  <c r="E1190" i="38"/>
  <c r="E1196" i="38"/>
  <c r="E1201" i="38"/>
  <c r="E1206" i="38"/>
  <c r="E1212" i="38"/>
  <c r="E1217" i="38"/>
  <c r="E1222" i="38"/>
  <c r="E1228" i="38"/>
  <c r="E1233" i="38"/>
  <c r="E1238" i="38"/>
  <c r="E1244" i="38"/>
  <c r="E1249" i="38"/>
  <c r="E1254" i="38"/>
  <c r="E1260" i="38"/>
  <c r="E1265" i="38"/>
  <c r="E1270" i="38"/>
  <c r="E1276" i="38"/>
  <c r="E1281" i="38"/>
  <c r="E1286" i="38"/>
  <c r="E1292" i="38"/>
  <c r="E1297" i="38"/>
  <c r="E1302" i="38"/>
  <c r="E1308" i="38"/>
  <c r="E1313" i="38"/>
  <c r="E1318" i="38"/>
  <c r="E1324" i="38"/>
  <c r="E1329" i="38"/>
  <c r="E1333" i="38"/>
  <c r="E1337" i="38"/>
  <c r="E1341" i="38"/>
  <c r="E1345" i="38"/>
  <c r="E1349" i="38"/>
  <c r="E1353" i="38"/>
  <c r="E1357" i="38"/>
  <c r="E1361" i="38"/>
  <c r="E1365" i="38"/>
  <c r="E1369" i="38"/>
  <c r="E1373" i="38"/>
  <c r="E1377" i="38"/>
  <c r="E1381" i="38"/>
  <c r="E1385" i="38"/>
  <c r="E1389" i="38"/>
  <c r="E1393" i="38"/>
  <c r="E1397" i="38"/>
  <c r="E1401" i="38"/>
  <c r="E1405" i="38"/>
  <c r="E1409" i="38"/>
  <c r="E1413" i="38"/>
  <c r="E1417" i="38"/>
  <c r="E1421" i="38"/>
  <c r="E1425" i="38"/>
  <c r="E1429" i="38"/>
  <c r="E1433" i="38"/>
  <c r="E1437" i="38"/>
  <c r="E1441" i="38"/>
  <c r="E1445" i="38"/>
  <c r="E1449" i="38"/>
  <c r="E1453" i="38"/>
  <c r="E1457" i="38"/>
  <c r="E1461" i="38"/>
  <c r="E1465" i="38"/>
  <c r="E1469" i="38"/>
  <c r="E1473" i="38"/>
  <c r="E1477" i="38"/>
  <c r="E1481" i="38"/>
  <c r="E1485" i="38"/>
  <c r="E1489" i="38"/>
  <c r="E1493" i="38"/>
  <c r="E1497" i="38"/>
  <c r="E1501" i="38"/>
  <c r="E1505" i="38"/>
  <c r="E1509" i="38"/>
  <c r="E1513" i="38"/>
  <c r="E1517" i="38"/>
  <c r="E1521" i="38"/>
  <c r="E1525" i="38"/>
  <c r="E1529" i="38"/>
  <c r="E1533" i="38"/>
  <c r="E1537" i="38"/>
  <c r="E1541" i="38"/>
  <c r="E1545" i="38"/>
  <c r="E1549" i="38"/>
  <c r="E1553" i="38"/>
  <c r="E1557" i="38"/>
  <c r="E1561" i="38"/>
  <c r="E1565" i="38"/>
  <c r="E1569" i="38"/>
  <c r="E1573" i="38"/>
  <c r="E1577" i="38"/>
  <c r="E1581" i="38"/>
  <c r="E1585" i="38"/>
  <c r="E1589" i="38"/>
  <c r="E1593" i="38"/>
  <c r="E1597" i="38"/>
  <c r="E1601" i="38"/>
  <c r="E1605" i="38"/>
  <c r="E1609" i="38"/>
  <c r="E1613" i="38"/>
  <c r="E1617" i="38"/>
  <c r="E1621" i="38"/>
  <c r="E1625" i="38"/>
  <c r="E1629" i="38"/>
  <c r="E1633" i="38"/>
  <c r="E1637" i="38"/>
  <c r="E1641" i="38"/>
  <c r="E1645" i="38"/>
  <c r="E1649" i="38"/>
  <c r="E1653" i="38"/>
  <c r="E1657" i="38"/>
  <c r="E1661" i="38"/>
  <c r="E1665" i="38"/>
  <c r="E1669" i="38"/>
  <c r="E1673" i="38"/>
  <c r="E1677" i="38"/>
  <c r="E1681" i="38"/>
  <c r="E1685" i="38"/>
  <c r="E1689" i="38"/>
  <c r="E1693" i="38"/>
  <c r="E1697" i="38"/>
  <c r="E1701" i="38"/>
  <c r="E1705" i="38"/>
  <c r="E1709" i="38"/>
  <c r="E1713" i="38"/>
  <c r="E1717" i="38"/>
  <c r="E1721" i="38"/>
  <c r="E1725" i="38"/>
  <c r="E1729" i="38"/>
  <c r="E1733" i="38"/>
  <c r="E1737" i="38"/>
  <c r="E1741" i="38"/>
  <c r="E1745" i="38"/>
  <c r="E1749" i="38"/>
  <c r="E1753" i="38"/>
  <c r="E1757" i="38"/>
  <c r="E1761" i="38"/>
  <c r="E1765" i="38"/>
  <c r="E1769" i="38"/>
  <c r="E1773" i="38"/>
  <c r="E1777" i="38"/>
  <c r="E1781" i="38"/>
  <c r="E1785" i="38"/>
  <c r="E1789" i="38"/>
  <c r="E1793" i="38"/>
  <c r="E1797" i="38"/>
  <c r="E1801" i="38"/>
  <c r="E1805" i="38"/>
  <c r="E1809" i="38"/>
  <c r="E1813" i="38"/>
  <c r="E1817" i="38"/>
  <c r="E1821" i="38"/>
  <c r="E1825" i="38"/>
  <c r="E1829" i="38"/>
  <c r="E1833" i="38"/>
  <c r="E1837" i="38"/>
  <c r="E1841" i="38"/>
  <c r="E1845" i="38"/>
  <c r="E1849" i="38"/>
  <c r="E1853" i="38"/>
  <c r="E1857" i="38"/>
  <c r="E1861" i="38"/>
  <c r="E1865" i="38"/>
  <c r="E1869" i="38"/>
  <c r="E1873" i="38"/>
  <c r="E1877" i="38"/>
  <c r="E1881" i="38"/>
  <c r="E1885" i="38"/>
  <c r="E1889" i="38"/>
  <c r="E1893" i="38"/>
  <c r="E1897" i="38"/>
  <c r="E1901" i="38"/>
  <c r="E1905" i="38"/>
  <c r="E1909" i="38"/>
  <c r="E1913" i="38"/>
  <c r="E1917" i="38"/>
  <c r="E1921" i="38"/>
  <c r="E1925" i="38"/>
  <c r="E1929" i="38"/>
  <c r="E1933" i="38"/>
  <c r="E1937" i="38"/>
  <c r="E1941" i="38"/>
  <c r="E1945" i="38"/>
  <c r="E1949" i="38"/>
  <c r="E1953" i="38"/>
  <c r="E1957" i="38"/>
  <c r="E1961" i="38"/>
  <c r="E1965" i="38"/>
  <c r="E1969" i="38"/>
  <c r="E1973" i="38"/>
  <c r="E1977" i="38"/>
  <c r="E1981" i="38"/>
  <c r="E1985" i="38"/>
  <c r="E1989" i="38"/>
  <c r="E1993" i="38"/>
  <c r="E1997" i="38"/>
  <c r="E2001" i="38"/>
  <c r="E2005" i="38"/>
  <c r="E2009" i="38"/>
  <c r="E2013" i="38"/>
  <c r="E2017" i="38"/>
  <c r="E2021" i="38"/>
  <c r="E2025" i="38"/>
  <c r="E2029" i="38"/>
  <c r="E2033" i="38"/>
  <c r="E2037" i="38"/>
  <c r="E2041" i="38"/>
  <c r="E2045" i="38"/>
  <c r="E2049" i="38"/>
  <c r="E2053" i="38"/>
  <c r="E2057" i="38"/>
  <c r="E2061" i="38"/>
  <c r="E2065" i="38"/>
  <c r="E2069" i="38"/>
  <c r="E2073" i="38"/>
  <c r="E2077" i="38"/>
  <c r="E2081" i="38"/>
  <c r="E2085" i="38"/>
  <c r="E2089" i="38"/>
  <c r="E2093" i="38"/>
  <c r="E2097" i="38"/>
  <c r="E2101" i="38"/>
  <c r="E2105" i="38"/>
  <c r="E2109" i="38"/>
  <c r="E2113" i="38"/>
  <c r="E2117" i="38"/>
  <c r="E2121" i="38"/>
  <c r="E2125" i="38"/>
  <c r="E2129" i="38"/>
  <c r="E2133" i="38"/>
  <c r="E2137" i="38"/>
  <c r="E2141" i="38"/>
  <c r="E2145" i="38"/>
  <c r="E2149" i="38"/>
  <c r="E2153" i="38"/>
  <c r="E2157" i="38"/>
  <c r="E2161" i="38"/>
  <c r="E2165" i="38"/>
  <c r="E2169" i="38"/>
  <c r="E2173" i="38"/>
  <c r="E2177" i="38"/>
  <c r="E2181" i="38"/>
  <c r="E2185" i="38"/>
  <c r="E2189" i="38"/>
  <c r="E2193" i="38"/>
  <c r="E2197" i="38"/>
  <c r="E2201" i="38"/>
  <c r="E2205" i="38"/>
  <c r="E2209" i="38"/>
  <c r="E2213" i="38"/>
  <c r="E2217" i="38"/>
  <c r="E2221" i="38"/>
  <c r="E2225" i="38"/>
  <c r="E2229" i="38"/>
  <c r="E2233" i="38"/>
  <c r="E2237" i="38"/>
  <c r="E2241" i="38"/>
  <c r="E2245" i="38"/>
  <c r="E2249" i="38"/>
  <c r="E2253" i="38"/>
  <c r="E2257" i="38"/>
  <c r="E2261" i="38"/>
  <c r="E2265" i="38"/>
  <c r="E2269" i="38"/>
  <c r="E2273" i="38"/>
  <c r="E2277" i="38"/>
  <c r="E2281" i="38"/>
  <c r="E2285" i="38"/>
  <c r="E2289" i="38"/>
  <c r="E65" i="38"/>
  <c r="E193" i="38"/>
  <c r="E302" i="38"/>
  <c r="E376" i="38"/>
  <c r="E440" i="38"/>
  <c r="E500" i="38"/>
  <c r="E542" i="38"/>
  <c r="E585" i="38"/>
  <c r="E628" i="38"/>
  <c r="E670" i="38"/>
  <c r="E708" i="38"/>
  <c r="E740" i="38"/>
  <c r="E772" i="38"/>
  <c r="E802" i="38"/>
  <c r="E824" i="38"/>
  <c r="E845" i="38"/>
  <c r="E866" i="38"/>
  <c r="E888" i="38"/>
  <c r="E909" i="38"/>
  <c r="E930" i="38"/>
  <c r="E952" i="38"/>
  <c r="E973" i="38"/>
  <c r="E994" i="38"/>
  <c r="E1016" i="38"/>
  <c r="E1037" i="38"/>
  <c r="E1057" i="38"/>
  <c r="E1073" i="38"/>
  <c r="E1085" i="38"/>
  <c r="E1096" i="38"/>
  <c r="E1106" i="38"/>
  <c r="E1117" i="38"/>
  <c r="E1128" i="38"/>
  <c r="E1138" i="38"/>
  <c r="E1149" i="38"/>
  <c r="E1160" i="38"/>
  <c r="E1170" i="38"/>
  <c r="E1181" i="38"/>
  <c r="E1192" i="38"/>
  <c r="E1202" i="38"/>
  <c r="E1213" i="38"/>
  <c r="E1224" i="38"/>
  <c r="E1234" i="38"/>
  <c r="E1245" i="38"/>
  <c r="E1256" i="38"/>
  <c r="E1266" i="38"/>
  <c r="E1277" i="38"/>
  <c r="E1288" i="38"/>
  <c r="E1298" i="38"/>
  <c r="E1309" i="38"/>
  <c r="E1320" i="38"/>
  <c r="E1330" i="38"/>
  <c r="E1338" i="38"/>
  <c r="E1346" i="38"/>
  <c r="E1354" i="38"/>
  <c r="E1362" i="38"/>
  <c r="E1370" i="38"/>
  <c r="E1378" i="38"/>
  <c r="E1386" i="38"/>
  <c r="E1394" i="38"/>
  <c r="E1402" i="38"/>
  <c r="E1410" i="38"/>
  <c r="E1418" i="38"/>
  <c r="E1426" i="38"/>
  <c r="E1434" i="38"/>
  <c r="E1442" i="38"/>
  <c r="E1450" i="38"/>
  <c r="E1458" i="38"/>
  <c r="E1466" i="38"/>
  <c r="E1474" i="38"/>
  <c r="E1482" i="38"/>
  <c r="E1490" i="38"/>
  <c r="E1498" i="38"/>
  <c r="E1506" i="38"/>
  <c r="E1514" i="38"/>
  <c r="E1522" i="38"/>
  <c r="E1530" i="38"/>
  <c r="E1538" i="38"/>
  <c r="E1546" i="38"/>
  <c r="E1554" i="38"/>
  <c r="E1562" i="38"/>
  <c r="E1570" i="38"/>
  <c r="E1578" i="38"/>
  <c r="E1586" i="38"/>
  <c r="E1594" i="38"/>
  <c r="E1602" i="38"/>
  <c r="E1610" i="38"/>
  <c r="E1618" i="38"/>
  <c r="E1626" i="38"/>
  <c r="E1634" i="38"/>
  <c r="E1642" i="38"/>
  <c r="E1650" i="38"/>
  <c r="E1658" i="38"/>
  <c r="E1666" i="38"/>
  <c r="E1674" i="38"/>
  <c r="E1682" i="38"/>
  <c r="E1690" i="38"/>
  <c r="E1698" i="38"/>
  <c r="E1706" i="38"/>
  <c r="E1712" i="38"/>
  <c r="E1718" i="38"/>
  <c r="E1723" i="38"/>
  <c r="E1728" i="38"/>
  <c r="E1734" i="38"/>
  <c r="E1739" i="38"/>
  <c r="E1744" i="38"/>
  <c r="E1750" i="38"/>
  <c r="E1755" i="38"/>
  <c r="E1760" i="38"/>
  <c r="E1766" i="38"/>
  <c r="E1771" i="38"/>
  <c r="E1776" i="38"/>
  <c r="E1782" i="38"/>
  <c r="E1787" i="38"/>
  <c r="E1792" i="38"/>
  <c r="E1798" i="38"/>
  <c r="E1803" i="38"/>
  <c r="E1808" i="38"/>
  <c r="E1814" i="38"/>
  <c r="E1819" i="38"/>
  <c r="E1824" i="38"/>
  <c r="E1830" i="38"/>
  <c r="E1835" i="38"/>
  <c r="E1840" i="38"/>
  <c r="E1846" i="38"/>
  <c r="E1851" i="38"/>
  <c r="E1856" i="38"/>
  <c r="E1862" i="38"/>
  <c r="E1867" i="38"/>
  <c r="E1872" i="38"/>
  <c r="E1878" i="38"/>
  <c r="E1883" i="38"/>
  <c r="E1888" i="38"/>
  <c r="E1894" i="38"/>
  <c r="E1899" i="38"/>
  <c r="E1904" i="38"/>
  <c r="E1910" i="38"/>
  <c r="E1915" i="38"/>
  <c r="E1920" i="38"/>
  <c r="E1926" i="38"/>
  <c r="E1931" i="38"/>
  <c r="E1936" i="38"/>
  <c r="E1942" i="38"/>
  <c r="E1947" i="38"/>
  <c r="E1952" i="38"/>
  <c r="E1958" i="38"/>
  <c r="E1963" i="38"/>
  <c r="E1968" i="38"/>
  <c r="E1974" i="38"/>
  <c r="E1979" i="38"/>
  <c r="E1984" i="38"/>
  <c r="E1990" i="38"/>
  <c r="E1995" i="38"/>
  <c r="E2000" i="38"/>
  <c r="E2006" i="38"/>
  <c r="E2011" i="38"/>
  <c r="E2016" i="38"/>
  <c r="E2022" i="38"/>
  <c r="E2027" i="38"/>
  <c r="E2032" i="38"/>
  <c r="E2038" i="38"/>
  <c r="E2043" i="38"/>
  <c r="E2048" i="38"/>
  <c r="E2054" i="38"/>
  <c r="E2059" i="38"/>
  <c r="E2064" i="38"/>
  <c r="E2070" i="38"/>
  <c r="E2075" i="38"/>
  <c r="E2080" i="38"/>
  <c r="E2086" i="38"/>
  <c r="E2091" i="38"/>
  <c r="E2096" i="38"/>
  <c r="E2102" i="38"/>
  <c r="E2107" i="38"/>
  <c r="E2112" i="38"/>
  <c r="E2118" i="38"/>
  <c r="E2123" i="38"/>
  <c r="E2128" i="38"/>
  <c r="E2134" i="38"/>
  <c r="E2139" i="38"/>
  <c r="E2144" i="38"/>
  <c r="E2150" i="38"/>
  <c r="E2155" i="38"/>
  <c r="E2160" i="38"/>
  <c r="E2166" i="38"/>
  <c r="E2171" i="38"/>
  <c r="E2176" i="38"/>
  <c r="E2182" i="38"/>
  <c r="E2187" i="38"/>
  <c r="E2192" i="38"/>
  <c r="E2198" i="38"/>
  <c r="E2203" i="38"/>
  <c r="E2208" i="38"/>
  <c r="E2214" i="38"/>
  <c r="E2219" i="38"/>
  <c r="E2224" i="38"/>
  <c r="E2230" i="38"/>
  <c r="E2235" i="38"/>
  <c r="E2240" i="38"/>
  <c r="E2246" i="38"/>
  <c r="E2251" i="38"/>
  <c r="E2256" i="38"/>
  <c r="E2262" i="38"/>
  <c r="E2267" i="38"/>
  <c r="E2272" i="38"/>
  <c r="E2278" i="38"/>
  <c r="E2283" i="38"/>
  <c r="E2288" i="38"/>
  <c r="E2293" i="38"/>
  <c r="E2297" i="38"/>
  <c r="E2301" i="38"/>
  <c r="E2305" i="38"/>
  <c r="E2309" i="38"/>
  <c r="E2313" i="38"/>
  <c r="E2317" i="38"/>
  <c r="E2321" i="38"/>
  <c r="E2325" i="38"/>
  <c r="E2329" i="38"/>
  <c r="E2333" i="38"/>
  <c r="E2337" i="38"/>
  <c r="E2341" i="38"/>
  <c r="E2345" i="38"/>
  <c r="E2349" i="38"/>
  <c r="E2353" i="38"/>
  <c r="E2357" i="38"/>
  <c r="E2361" i="38"/>
  <c r="E2365" i="38"/>
  <c r="E2369" i="38"/>
  <c r="E2373" i="38"/>
  <c r="E2377" i="38"/>
  <c r="E2381" i="38"/>
  <c r="E2385" i="38"/>
  <c r="E2389" i="38"/>
  <c r="E2393" i="38"/>
  <c r="E2397" i="38"/>
  <c r="E2401" i="38"/>
  <c r="E2405" i="38"/>
  <c r="E2409" i="38"/>
  <c r="E2413" i="38"/>
  <c r="E2417" i="38"/>
  <c r="E2421" i="38"/>
  <c r="E2425" i="38"/>
  <c r="E2429" i="38"/>
  <c r="E2433" i="38"/>
  <c r="E2437" i="38"/>
  <c r="E2441" i="38"/>
  <c r="E2445" i="38"/>
  <c r="E2449" i="38"/>
  <c r="E2453" i="38"/>
  <c r="E2457" i="38"/>
  <c r="E2461" i="38"/>
  <c r="E2465" i="38"/>
  <c r="E2469" i="38"/>
  <c r="E2473" i="38"/>
  <c r="E2477" i="38"/>
  <c r="E2481" i="38"/>
  <c r="E2485" i="38"/>
  <c r="E2489" i="38"/>
  <c r="E2493" i="38"/>
  <c r="E2497" i="38"/>
  <c r="E2501" i="38"/>
  <c r="E2505" i="38"/>
  <c r="E2509" i="38"/>
  <c r="E2513" i="38"/>
  <c r="E2517" i="38"/>
  <c r="E2521" i="38"/>
  <c r="E2525" i="38"/>
  <c r="E2529" i="38"/>
  <c r="E2533" i="38"/>
  <c r="E2537" i="38"/>
  <c r="E2541" i="38"/>
  <c r="E2545" i="38"/>
  <c r="E2549" i="38"/>
  <c r="E2553" i="38"/>
  <c r="E2557" i="38"/>
  <c r="E2561" i="38"/>
  <c r="E2565" i="38"/>
  <c r="E2569" i="38"/>
  <c r="E2573" i="38"/>
  <c r="E2577" i="38"/>
  <c r="E2581" i="38"/>
  <c r="E2585" i="38"/>
  <c r="E2589" i="38"/>
  <c r="E2593" i="38"/>
  <c r="E2597" i="38"/>
  <c r="E2601" i="38"/>
  <c r="E2605" i="38"/>
  <c r="E2609" i="38"/>
  <c r="E2613" i="38"/>
  <c r="E2617" i="38"/>
  <c r="E2621" i="38"/>
  <c r="E2625" i="38"/>
  <c r="E2629" i="38"/>
  <c r="E2633" i="38"/>
  <c r="E2637" i="38"/>
  <c r="E2641" i="38"/>
  <c r="E2645" i="38"/>
  <c r="E2649" i="38"/>
  <c r="E2653" i="38"/>
  <c r="E2657" i="38"/>
  <c r="E2661" i="38"/>
  <c r="E2665" i="38"/>
  <c r="E2669" i="38"/>
  <c r="E2673" i="38"/>
  <c r="E2677" i="38"/>
  <c r="E2681" i="38"/>
  <c r="E2685" i="38"/>
  <c r="E2689" i="38"/>
  <c r="E2693" i="38"/>
  <c r="E2697" i="38"/>
  <c r="E2701" i="38"/>
  <c r="E2705" i="38"/>
  <c r="E2709" i="38"/>
  <c r="E2713" i="38"/>
  <c r="E2717" i="38"/>
  <c r="E2721" i="38"/>
  <c r="E2725" i="38"/>
  <c r="E2729" i="38"/>
  <c r="E2733" i="38"/>
  <c r="E2737" i="38"/>
  <c r="E2741" i="38"/>
  <c r="E2745" i="38"/>
  <c r="E2749" i="38"/>
  <c r="E2753" i="38"/>
  <c r="E2757" i="38"/>
  <c r="E2761" i="38"/>
  <c r="E2765" i="38"/>
  <c r="E2769" i="38"/>
  <c r="E2773" i="38"/>
  <c r="E2777" i="38"/>
  <c r="E2781" i="38"/>
  <c r="E2785" i="38"/>
  <c r="E2789" i="38"/>
  <c r="E2793" i="38"/>
  <c r="E2797" i="38"/>
  <c r="E2801" i="38"/>
  <c r="E2805" i="38"/>
  <c r="E2809" i="38"/>
  <c r="E2813" i="38"/>
  <c r="E2817" i="38"/>
  <c r="E2821" i="38"/>
  <c r="E2825" i="38"/>
  <c r="E66" i="38"/>
  <c r="E194" i="38"/>
  <c r="E303" i="38"/>
  <c r="E377" i="38"/>
  <c r="E441" i="38"/>
  <c r="E501" i="38"/>
  <c r="E544" i="38"/>
  <c r="E586" i="38"/>
  <c r="E629" i="38"/>
  <c r="E672" i="38"/>
  <c r="E709" i="38"/>
  <c r="E741" i="38"/>
  <c r="E773" i="38"/>
  <c r="E804" i="38"/>
  <c r="E825" i="38"/>
  <c r="E846" i="38"/>
  <c r="E868" i="38"/>
  <c r="E889" i="38"/>
  <c r="E910" i="38"/>
  <c r="E932" i="38"/>
  <c r="E953" i="38"/>
  <c r="E974" i="38"/>
  <c r="E996" i="38"/>
  <c r="E1017" i="38"/>
  <c r="E1038" i="38"/>
  <c r="E1058" i="38"/>
  <c r="E1074" i="38"/>
  <c r="E1086" i="38"/>
  <c r="E1097" i="38"/>
  <c r="E1108" i="38"/>
  <c r="E1118" i="38"/>
  <c r="E1129" i="38"/>
  <c r="E1140" i="38"/>
  <c r="E1150" i="38"/>
  <c r="E1161" i="38"/>
  <c r="E1172" i="38"/>
  <c r="E1182" i="38"/>
  <c r="E1193" i="38"/>
  <c r="E1204" i="38"/>
  <c r="E1214" i="38"/>
  <c r="E1225" i="38"/>
  <c r="E1236" i="38"/>
  <c r="E1246" i="38"/>
  <c r="E1257" i="38"/>
  <c r="E1268" i="38"/>
  <c r="E1278" i="38"/>
  <c r="E1289" i="38"/>
  <c r="E1300" i="38"/>
  <c r="E1310" i="38"/>
  <c r="E1321" i="38"/>
  <c r="E1331" i="38"/>
  <c r="E1339" i="38"/>
  <c r="E1347" i="38"/>
  <c r="E1355" i="38"/>
  <c r="E1363" i="38"/>
  <c r="E1371" i="38"/>
  <c r="E1379" i="38"/>
  <c r="E1387" i="38"/>
  <c r="E1395" i="38"/>
  <c r="E1403" i="38"/>
  <c r="E1411" i="38"/>
  <c r="E1419" i="38"/>
  <c r="E1427" i="38"/>
  <c r="E1435" i="38"/>
  <c r="E1443" i="38"/>
  <c r="E1451" i="38"/>
  <c r="E1459" i="38"/>
  <c r="E1467" i="38"/>
  <c r="E1475" i="38"/>
  <c r="E1483" i="38"/>
  <c r="E1491" i="38"/>
  <c r="E1499" i="38"/>
  <c r="E1507" i="38"/>
  <c r="E1515" i="38"/>
  <c r="E1523" i="38"/>
  <c r="E1531" i="38"/>
  <c r="E1539" i="38"/>
  <c r="E1547" i="38"/>
  <c r="E1555" i="38"/>
  <c r="E1563" i="38"/>
  <c r="E1571" i="38"/>
  <c r="E1579" i="38"/>
  <c r="E1587" i="38"/>
  <c r="E1595" i="38"/>
  <c r="E1603" i="38"/>
  <c r="E1611" i="38"/>
  <c r="E1619" i="38"/>
  <c r="E1627" i="38"/>
  <c r="E1635" i="38"/>
  <c r="E1643" i="38"/>
  <c r="E1651" i="38"/>
  <c r="E1659" i="38"/>
  <c r="E1667" i="38"/>
  <c r="E1675" i="38"/>
  <c r="E1683" i="38"/>
  <c r="E1691" i="38"/>
  <c r="E1699" i="38"/>
  <c r="E1707" i="38"/>
  <c r="E1714" i="38"/>
  <c r="E1719" i="38"/>
  <c r="E1724" i="38"/>
  <c r="E1730" i="38"/>
  <c r="E1735" i="38"/>
  <c r="E1740" i="38"/>
  <c r="E1746" i="38"/>
  <c r="E1751" i="38"/>
  <c r="E1756" i="38"/>
  <c r="E1762" i="38"/>
  <c r="E1767" i="38"/>
  <c r="E1772" i="38"/>
  <c r="E1778" i="38"/>
  <c r="E1783" i="38"/>
  <c r="E1788" i="38"/>
  <c r="E1794" i="38"/>
  <c r="E1799" i="38"/>
  <c r="E1804" i="38"/>
  <c r="E1810" i="38"/>
  <c r="E1815" i="38"/>
  <c r="E1820" i="38"/>
  <c r="E1826" i="38"/>
  <c r="E1831" i="38"/>
  <c r="E1836" i="38"/>
  <c r="E1842" i="38"/>
  <c r="E1847" i="38"/>
  <c r="E1852" i="38"/>
  <c r="E1858" i="38"/>
  <c r="E1863" i="38"/>
  <c r="E1868" i="38"/>
  <c r="E1874" i="38"/>
  <c r="E1879" i="38"/>
  <c r="E1884" i="38"/>
  <c r="E1890" i="38"/>
  <c r="E1895" i="38"/>
  <c r="E1900" i="38"/>
  <c r="E1906" i="38"/>
  <c r="E1911" i="38"/>
  <c r="E1916" i="38"/>
  <c r="E1922" i="38"/>
  <c r="E1927" i="38"/>
  <c r="E1932" i="38"/>
  <c r="E1938" i="38"/>
  <c r="E1943" i="38"/>
  <c r="E1948" i="38"/>
  <c r="E1954" i="38"/>
  <c r="E1959" i="38"/>
  <c r="E1964" i="38"/>
  <c r="E1970" i="38"/>
  <c r="E1975" i="38"/>
  <c r="E1980" i="38"/>
  <c r="E1986" i="38"/>
  <c r="E1991" i="38"/>
  <c r="E1996" i="38"/>
  <c r="E2002" i="38"/>
  <c r="E2007" i="38"/>
  <c r="E2012" i="38"/>
  <c r="E2018" i="38"/>
  <c r="E2023" i="38"/>
  <c r="E2028" i="38"/>
  <c r="E2034" i="38"/>
  <c r="E2039" i="38"/>
  <c r="E2044" i="38"/>
  <c r="E2050" i="38"/>
  <c r="E2055" i="38"/>
  <c r="E2060" i="38"/>
  <c r="E2066" i="38"/>
  <c r="E2071" i="38"/>
  <c r="E2076" i="38"/>
  <c r="E2082" i="38"/>
  <c r="E2087" i="38"/>
  <c r="E2092" i="38"/>
  <c r="E2098" i="38"/>
  <c r="E2103" i="38"/>
  <c r="E2108" i="38"/>
  <c r="E2114" i="38"/>
  <c r="E2119" i="38"/>
  <c r="E2124" i="38"/>
  <c r="E2130" i="38"/>
  <c r="E2135" i="38"/>
  <c r="E2140" i="38"/>
  <c r="E2146" i="38"/>
  <c r="E2151" i="38"/>
  <c r="E2156" i="38"/>
  <c r="E2162" i="38"/>
  <c r="E2167" i="38"/>
  <c r="E2172" i="38"/>
  <c r="E2178" i="38"/>
  <c r="E2183" i="38"/>
  <c r="E2188" i="38"/>
  <c r="E2194" i="38"/>
  <c r="E2199" i="38"/>
  <c r="E2204" i="38"/>
  <c r="E2210" i="38"/>
  <c r="E2215" i="38"/>
  <c r="E2220" i="38"/>
  <c r="E2226" i="38"/>
  <c r="E2231" i="38"/>
  <c r="E2236" i="38"/>
  <c r="E2242" i="38"/>
  <c r="E2247" i="38"/>
  <c r="E2252" i="38"/>
  <c r="E2258" i="38"/>
  <c r="E2263" i="38"/>
  <c r="E2268" i="38"/>
  <c r="E2274" i="38"/>
  <c r="E2279" i="38"/>
  <c r="E2284" i="38"/>
  <c r="E2290" i="38"/>
  <c r="E2294" i="38"/>
  <c r="E2298" i="38"/>
  <c r="E2302" i="38"/>
  <c r="E2306" i="38"/>
  <c r="E2310" i="38"/>
  <c r="E2314" i="38"/>
  <c r="E2318" i="38"/>
  <c r="E2322" i="38"/>
  <c r="E2326" i="38"/>
  <c r="E2330" i="38"/>
  <c r="E2334" i="38"/>
  <c r="E2338" i="38"/>
  <c r="E2342" i="38"/>
  <c r="E2346" i="38"/>
  <c r="E2350" i="38"/>
  <c r="E2354" i="38"/>
  <c r="E2358" i="38"/>
  <c r="E2362" i="38"/>
  <c r="E2366" i="38"/>
  <c r="E2370" i="38"/>
  <c r="E2374" i="38"/>
  <c r="E2378" i="38"/>
  <c r="E2382" i="38"/>
  <c r="E2386" i="38"/>
  <c r="E2390" i="38"/>
  <c r="E2394" i="38"/>
  <c r="E2398" i="38"/>
  <c r="E2402" i="38"/>
  <c r="E2406" i="38"/>
  <c r="E2410" i="38"/>
  <c r="E2414" i="38"/>
  <c r="E2418" i="38"/>
  <c r="E2422" i="38"/>
  <c r="E2426" i="38"/>
  <c r="E2430" i="38"/>
  <c r="E2434" i="38"/>
  <c r="E2438" i="38"/>
  <c r="E2442" i="38"/>
  <c r="E2446" i="38"/>
  <c r="E2450" i="38"/>
  <c r="E2454" i="38"/>
  <c r="E2458" i="38"/>
  <c r="E2462" i="38"/>
  <c r="E2466" i="38"/>
  <c r="E2470" i="38"/>
  <c r="E2474" i="38"/>
  <c r="E2478" i="38"/>
  <c r="E2482" i="38"/>
  <c r="E2486" i="38"/>
  <c r="E2490" i="38"/>
  <c r="E2494" i="38"/>
  <c r="E2498" i="38"/>
  <c r="E2502" i="38"/>
  <c r="E2506" i="38"/>
  <c r="E2510" i="38"/>
  <c r="E2514" i="38"/>
  <c r="E2518" i="38"/>
  <c r="E2522" i="38"/>
  <c r="E2526" i="38"/>
  <c r="E2530" i="38"/>
  <c r="E2534" i="38"/>
  <c r="E2538" i="38"/>
  <c r="E2542" i="38"/>
  <c r="E2546" i="38"/>
  <c r="E2550" i="38"/>
  <c r="E2554" i="38"/>
  <c r="E2558" i="38"/>
  <c r="E2562" i="38"/>
  <c r="E2566" i="38"/>
  <c r="E2570" i="38"/>
  <c r="E2574" i="38"/>
  <c r="E2578" i="38"/>
  <c r="E2582" i="38"/>
  <c r="E2586" i="38"/>
  <c r="E2590" i="38"/>
  <c r="E2594" i="38"/>
  <c r="E2598" i="38"/>
  <c r="E2602" i="38"/>
  <c r="E2606" i="38"/>
  <c r="E2610" i="38"/>
  <c r="E2614" i="38"/>
  <c r="E2618" i="38"/>
  <c r="E2622" i="38"/>
  <c r="E2626" i="38"/>
  <c r="E2630" i="38"/>
  <c r="E2634" i="38"/>
  <c r="E2638" i="38"/>
  <c r="E2642" i="38"/>
  <c r="E2646" i="38"/>
  <c r="E2650" i="38"/>
  <c r="E2654" i="38"/>
  <c r="E2658" i="38"/>
  <c r="E2662" i="38"/>
  <c r="E2666" i="38"/>
  <c r="E2670" i="38"/>
  <c r="E2674" i="38"/>
  <c r="E2678" i="38"/>
  <c r="E2682" i="38"/>
  <c r="E2686" i="38"/>
  <c r="E2690" i="38"/>
  <c r="E2694" i="38"/>
  <c r="E2698" i="38"/>
  <c r="E2702" i="38"/>
  <c r="E2706" i="38"/>
  <c r="E2710" i="38"/>
  <c r="E2714" i="38"/>
  <c r="E2718" i="38"/>
  <c r="E2722" i="38"/>
  <c r="E2726" i="38"/>
  <c r="E2730" i="38"/>
  <c r="E2734" i="38"/>
  <c r="E2738" i="38"/>
  <c r="E2742" i="38"/>
  <c r="E2746" i="38"/>
  <c r="E2750" i="38"/>
  <c r="E2754" i="38"/>
  <c r="E2758" i="38"/>
  <c r="E2762" i="38"/>
  <c r="E2766" i="38"/>
  <c r="E2770" i="38"/>
  <c r="E2774" i="38"/>
  <c r="E2778" i="38"/>
  <c r="E2782" i="38"/>
  <c r="E2786" i="38"/>
  <c r="E2790" i="38"/>
  <c r="E2794" i="38"/>
  <c r="E2798" i="38"/>
  <c r="E2802" i="38"/>
  <c r="E2806" i="38"/>
  <c r="E2810" i="38"/>
  <c r="E2814" i="38"/>
  <c r="E2818" i="38"/>
  <c r="E2822" i="38"/>
  <c r="E2826" i="38"/>
  <c r="E2830" i="38"/>
  <c r="E2834" i="38"/>
  <c r="E2838" i="38"/>
  <c r="E2842" i="38"/>
  <c r="E2846" i="38"/>
  <c r="E2850" i="38"/>
  <c r="E2854" i="38"/>
  <c r="E2858" i="38"/>
  <c r="E2862" i="38"/>
  <c r="E2866" i="38"/>
  <c r="E2870" i="38"/>
  <c r="E2874" i="38"/>
  <c r="E2878" i="38"/>
  <c r="E2882" i="38"/>
  <c r="E2886" i="38"/>
  <c r="E2890" i="38"/>
  <c r="E2894" i="38"/>
  <c r="E2898" i="38"/>
  <c r="E2902" i="38"/>
  <c r="E2906" i="38"/>
  <c r="E2910" i="38"/>
  <c r="E2914" i="38"/>
  <c r="E2918" i="38"/>
  <c r="E2922" i="38"/>
  <c r="E2926" i="38"/>
  <c r="E2930" i="38"/>
  <c r="E2934" i="38"/>
  <c r="E2938" i="38"/>
  <c r="E2942" i="38"/>
  <c r="E2946" i="38"/>
  <c r="E2950" i="38"/>
  <c r="E2954" i="38"/>
  <c r="E2958" i="38"/>
  <c r="E2962" i="38"/>
  <c r="E2966" i="38"/>
  <c r="E2970" i="38"/>
  <c r="E2974" i="38"/>
  <c r="E2978" i="38"/>
  <c r="E2982" i="38"/>
  <c r="E2986" i="38"/>
  <c r="E2990" i="38"/>
  <c r="E2994" i="38"/>
  <c r="E2998" i="38"/>
  <c r="E3002" i="38"/>
  <c r="E3006" i="38"/>
  <c r="E3010" i="38"/>
  <c r="E3014" i="38"/>
  <c r="E3018" i="38"/>
  <c r="E3022" i="38"/>
  <c r="E3026" i="38"/>
  <c r="E3030" i="38"/>
  <c r="E3034" i="38"/>
  <c r="E3038" i="38"/>
  <c r="E3042" i="38"/>
  <c r="E3046" i="38"/>
  <c r="E3050" i="38"/>
  <c r="E3054" i="38"/>
  <c r="E3058" i="38"/>
  <c r="E3062" i="38"/>
  <c r="E3066" i="38"/>
  <c r="E3070" i="38"/>
  <c r="E3074" i="38"/>
  <c r="E3078" i="38"/>
  <c r="E3082" i="38"/>
  <c r="E3086" i="38"/>
  <c r="E3090" i="38"/>
  <c r="E3094" i="38"/>
  <c r="E3098" i="38"/>
  <c r="E3102" i="38"/>
  <c r="E3106" i="38"/>
  <c r="E3110" i="38"/>
  <c r="E3114" i="38"/>
  <c r="E3118" i="38"/>
  <c r="E3122" i="38"/>
  <c r="E3126" i="38"/>
  <c r="E3130" i="38"/>
  <c r="E3134" i="38"/>
  <c r="E3138" i="38"/>
  <c r="E3142" i="38"/>
  <c r="E3146" i="38"/>
  <c r="E3150" i="38"/>
  <c r="E3154" i="38"/>
  <c r="E3158" i="38"/>
  <c r="E3162" i="38"/>
  <c r="E3166" i="38"/>
  <c r="E3170" i="38"/>
  <c r="E3174" i="38"/>
  <c r="E3178" i="38"/>
  <c r="E3182" i="38"/>
  <c r="E3186" i="38"/>
  <c r="E3190" i="38"/>
  <c r="E3194" i="38"/>
  <c r="E3198" i="38"/>
  <c r="E3202" i="38"/>
  <c r="E3206" i="38"/>
  <c r="E3210" i="38"/>
  <c r="E3214" i="38"/>
  <c r="E3218" i="38"/>
  <c r="E3222" i="38"/>
  <c r="E3226" i="38"/>
  <c r="E3230" i="38"/>
  <c r="E3234" i="38"/>
  <c r="E3238" i="38"/>
  <c r="E3242" i="38"/>
  <c r="E3246" i="38"/>
  <c r="E3250" i="38"/>
  <c r="E3254" i="38"/>
  <c r="E3258" i="38"/>
  <c r="E3262" i="38"/>
  <c r="E3266" i="38"/>
  <c r="E3270" i="38"/>
  <c r="E3274" i="38"/>
  <c r="E3278" i="38"/>
  <c r="E3282" i="38"/>
  <c r="E3286" i="38"/>
  <c r="E3290" i="38"/>
  <c r="E3294" i="38"/>
  <c r="E3298" i="38"/>
  <c r="E3302" i="38"/>
  <c r="E3306" i="38"/>
  <c r="E3310" i="38"/>
  <c r="E3314" i="38"/>
  <c r="E3318" i="38"/>
  <c r="E3322" i="38"/>
  <c r="E3326" i="38"/>
  <c r="E3330" i="38"/>
  <c r="E3334" i="38"/>
  <c r="E3338" i="38"/>
  <c r="E3342" i="38"/>
  <c r="E3346" i="38"/>
  <c r="E3350" i="38"/>
  <c r="E3354" i="38"/>
  <c r="E3358" i="38"/>
  <c r="E3362" i="38"/>
  <c r="E3366" i="38"/>
  <c r="E3370" i="38"/>
  <c r="E3374" i="38"/>
  <c r="E3378" i="38"/>
  <c r="E3382" i="38"/>
  <c r="E3386" i="38"/>
  <c r="E3390" i="38"/>
  <c r="E3394" i="38"/>
  <c r="E3398" i="38"/>
  <c r="E3402" i="38"/>
  <c r="E3406" i="38"/>
  <c r="E3410" i="38"/>
  <c r="E3414" i="38"/>
  <c r="E3418" i="38"/>
  <c r="E3422" i="38"/>
  <c r="E3426" i="38"/>
  <c r="E3430" i="38"/>
  <c r="E3434" i="38"/>
  <c r="E3438" i="38"/>
  <c r="E3442" i="38"/>
  <c r="E3446" i="38"/>
  <c r="E3450" i="38"/>
  <c r="E3454" i="38"/>
  <c r="E3458" i="38"/>
  <c r="E3462" i="38"/>
  <c r="E3466" i="38"/>
  <c r="E3470" i="38"/>
  <c r="E3474" i="38"/>
  <c r="E3478" i="38"/>
  <c r="E3482" i="38"/>
  <c r="E3486" i="38"/>
  <c r="E3490" i="38"/>
  <c r="E3494" i="38"/>
  <c r="E3498" i="38"/>
  <c r="E3502" i="38"/>
  <c r="E3506" i="38"/>
  <c r="E3510" i="38"/>
  <c r="E3514" i="38"/>
  <c r="E3518" i="38"/>
  <c r="E3522" i="38"/>
  <c r="E3526" i="38"/>
  <c r="E3530" i="38"/>
  <c r="E3534" i="38"/>
  <c r="E3538" i="38"/>
  <c r="E3542" i="38"/>
  <c r="E3546" i="38"/>
  <c r="E3550" i="38"/>
  <c r="E3554" i="38"/>
  <c r="E3558" i="38"/>
  <c r="E3562" i="38"/>
  <c r="E3566" i="38"/>
  <c r="E3570" i="38"/>
  <c r="E3574" i="38"/>
  <c r="E3578" i="38"/>
  <c r="E3582" i="38"/>
  <c r="E3586" i="38"/>
  <c r="E3590" i="38"/>
  <c r="E3594" i="38"/>
  <c r="E3598" i="38"/>
  <c r="E3602" i="38"/>
  <c r="E3606" i="38"/>
  <c r="E3610" i="38"/>
  <c r="E3614" i="38"/>
  <c r="E3618" i="38"/>
  <c r="E3622" i="38"/>
  <c r="E3626" i="38"/>
  <c r="E3630" i="38"/>
  <c r="E3634" i="38"/>
  <c r="E3638" i="38"/>
  <c r="E3642" i="38"/>
  <c r="E3646" i="38"/>
  <c r="E3650" i="38"/>
  <c r="E3654" i="38"/>
  <c r="E3658" i="38"/>
  <c r="E3662" i="38"/>
  <c r="E3666" i="38"/>
  <c r="E3670" i="38"/>
  <c r="E3674" i="38"/>
  <c r="E3678" i="38"/>
  <c r="E3682" i="38"/>
  <c r="E3686" i="38"/>
  <c r="E3690" i="38"/>
  <c r="E3694" i="38"/>
  <c r="E3698" i="38"/>
  <c r="E3702" i="38"/>
  <c r="E3706" i="38"/>
  <c r="E3710" i="38"/>
  <c r="E3714" i="38"/>
  <c r="E3718" i="38"/>
  <c r="E3722" i="38"/>
  <c r="E3726" i="38"/>
  <c r="E3730" i="38"/>
  <c r="E3734" i="38"/>
  <c r="E3738" i="38"/>
  <c r="E3742" i="38"/>
  <c r="E3746" i="38"/>
  <c r="E3750" i="38"/>
  <c r="E3754" i="38"/>
  <c r="E3758" i="38"/>
  <c r="E3762" i="38"/>
  <c r="E3766" i="38"/>
  <c r="E3770" i="38"/>
  <c r="E3774" i="38"/>
  <c r="E3778" i="38"/>
  <c r="E3782" i="38"/>
  <c r="E3786" i="38"/>
  <c r="E3790" i="38"/>
  <c r="E3794" i="38"/>
  <c r="E3798" i="38"/>
  <c r="E3802" i="38"/>
  <c r="E3806" i="38"/>
  <c r="E3810" i="38"/>
  <c r="E3814" i="38"/>
  <c r="E3818" i="38"/>
  <c r="E3822" i="38"/>
  <c r="E3826" i="38"/>
  <c r="E3830" i="38"/>
  <c r="E3834" i="38"/>
  <c r="E129" i="38"/>
  <c r="E344" i="38"/>
  <c r="E472" i="38"/>
  <c r="E564" i="38"/>
  <c r="E649" i="38"/>
  <c r="E724" i="38"/>
  <c r="E788" i="38"/>
  <c r="E834" i="38"/>
  <c r="E877" i="38"/>
  <c r="E920" i="38"/>
  <c r="E962" i="38"/>
  <c r="E1005" i="38"/>
  <c r="E1048" i="38"/>
  <c r="E1080" i="38"/>
  <c r="E1101" i="38"/>
  <c r="E1122" i="38"/>
  <c r="E1144" i="38"/>
  <c r="E1165" i="38"/>
  <c r="E1186" i="38"/>
  <c r="E1208" i="38"/>
  <c r="E1229" i="38"/>
  <c r="E1250" i="38"/>
  <c r="E1272" i="38"/>
  <c r="E1293" i="38"/>
  <c r="E1314" i="38"/>
  <c r="E1334" i="38"/>
  <c r="E1350" i="38"/>
  <c r="E1366" i="38"/>
  <c r="E1382" i="38"/>
  <c r="E1398" i="38"/>
  <c r="E1414" i="38"/>
  <c r="E1430" i="38"/>
  <c r="E1446" i="38"/>
  <c r="E1462" i="38"/>
  <c r="E1478" i="38"/>
  <c r="E1494" i="38"/>
  <c r="E1510" i="38"/>
  <c r="E1526" i="38"/>
  <c r="E1542" i="38"/>
  <c r="E1558" i="38"/>
  <c r="E1574" i="38"/>
  <c r="E1590" i="38"/>
  <c r="E1606" i="38"/>
  <c r="E1622" i="38"/>
  <c r="E1638" i="38"/>
  <c r="E1654" i="38"/>
  <c r="E1670" i="38"/>
  <c r="E1686" i="38"/>
  <c r="E1702" i="38"/>
  <c r="E1715" i="38"/>
  <c r="E1726" i="38"/>
  <c r="E1736" i="38"/>
  <c r="E1747" i="38"/>
  <c r="E1758" i="38"/>
  <c r="E1768" i="38"/>
  <c r="E1779" i="38"/>
  <c r="E1790" i="38"/>
  <c r="E1800" i="38"/>
  <c r="E1811" i="38"/>
  <c r="E1822" i="38"/>
  <c r="E1832" i="38"/>
  <c r="E1843" i="38"/>
  <c r="E1854" i="38"/>
  <c r="E1864" i="38"/>
  <c r="E1875" i="38"/>
  <c r="E1886" i="38"/>
  <c r="E1896" i="38"/>
  <c r="E1907" i="38"/>
  <c r="E1918" i="38"/>
  <c r="E1928" i="38"/>
  <c r="E1939" i="38"/>
  <c r="E1950" i="38"/>
  <c r="E1960" i="38"/>
  <c r="E1971" i="38"/>
  <c r="E1982" i="38"/>
  <c r="E1992" i="38"/>
  <c r="E2003" i="38"/>
  <c r="E2014" i="38"/>
  <c r="E2024" i="38"/>
  <c r="E2035" i="38"/>
  <c r="E2046" i="38"/>
  <c r="E2056" i="38"/>
  <c r="E2067" i="38"/>
  <c r="E2078" i="38"/>
  <c r="E2088" i="38"/>
  <c r="E2099" i="38"/>
  <c r="E2110" i="38"/>
  <c r="E2120" i="38"/>
  <c r="E2131" i="38"/>
  <c r="E2142" i="38"/>
  <c r="E2152" i="38"/>
  <c r="E2163" i="38"/>
  <c r="E2174" i="38"/>
  <c r="E2184" i="38"/>
  <c r="E2195" i="38"/>
  <c r="E2206" i="38"/>
  <c r="E2216" i="38"/>
  <c r="E2227" i="38"/>
  <c r="E2238" i="38"/>
  <c r="E2248" i="38"/>
  <c r="E2259" i="38"/>
  <c r="E2270" i="38"/>
  <c r="E2280" i="38"/>
  <c r="E2291" i="38"/>
  <c r="E2299" i="38"/>
  <c r="E2307" i="38"/>
  <c r="E2315" i="38"/>
  <c r="E2323" i="38"/>
  <c r="E2331" i="38"/>
  <c r="E2339" i="38"/>
  <c r="E2347" i="38"/>
  <c r="E2355" i="38"/>
  <c r="E2363" i="38"/>
  <c r="E2371" i="38"/>
  <c r="E2379" i="38"/>
  <c r="E2387" i="38"/>
  <c r="E2395" i="38"/>
  <c r="E2403" i="38"/>
  <c r="E2411" i="38"/>
  <c r="E2419" i="38"/>
  <c r="E2427" i="38"/>
  <c r="E2435" i="38"/>
  <c r="E2443" i="38"/>
  <c r="E2451" i="38"/>
  <c r="E2459" i="38"/>
  <c r="E2467" i="38"/>
  <c r="E2475" i="38"/>
  <c r="E2483" i="38"/>
  <c r="E2491" i="38"/>
  <c r="E2499" i="38"/>
  <c r="E2507" i="38"/>
  <c r="E2515" i="38"/>
  <c r="E2523" i="38"/>
  <c r="E2531" i="38"/>
  <c r="E2539" i="38"/>
  <c r="E2547" i="38"/>
  <c r="E2555" i="38"/>
  <c r="E2563" i="38"/>
  <c r="E2571" i="38"/>
  <c r="E2579" i="38"/>
  <c r="E2587" i="38"/>
  <c r="E2595" i="38"/>
  <c r="E2603" i="38"/>
  <c r="E2611" i="38"/>
  <c r="E2619" i="38"/>
  <c r="E2627" i="38"/>
  <c r="E2635" i="38"/>
  <c r="E2643" i="38"/>
  <c r="E2651" i="38"/>
  <c r="E2659" i="38"/>
  <c r="E2667" i="38"/>
  <c r="E2675" i="38"/>
  <c r="E2683" i="38"/>
  <c r="E2691" i="38"/>
  <c r="E2699" i="38"/>
  <c r="E2707" i="38"/>
  <c r="E2715" i="38"/>
  <c r="E2723" i="38"/>
  <c r="E2731" i="38"/>
  <c r="E2739" i="38"/>
  <c r="E2747" i="38"/>
  <c r="E2755" i="38"/>
  <c r="E2763" i="38"/>
  <c r="E2771" i="38"/>
  <c r="E2779" i="38"/>
  <c r="E2787" i="38"/>
  <c r="E2795" i="38"/>
  <c r="E2803" i="38"/>
  <c r="E2811" i="38"/>
  <c r="E2819" i="38"/>
  <c r="E2827" i="38"/>
  <c r="E2832" i="38"/>
  <c r="E2837" i="38"/>
  <c r="E2843" i="38"/>
  <c r="E2848" i="38"/>
  <c r="E2853" i="38"/>
  <c r="E2859" i="38"/>
  <c r="E2864" i="38"/>
  <c r="E2869" i="38"/>
  <c r="E2875" i="38"/>
  <c r="E2880" i="38"/>
  <c r="E2885" i="38"/>
  <c r="E2891" i="38"/>
  <c r="E2896" i="38"/>
  <c r="E2901" i="38"/>
  <c r="E2907" i="38"/>
  <c r="E2912" i="38"/>
  <c r="E2917" i="38"/>
  <c r="E2923" i="38"/>
  <c r="E2928" i="38"/>
  <c r="E2933" i="38"/>
  <c r="E2939" i="38"/>
  <c r="E2944" i="38"/>
  <c r="E2949" i="38"/>
  <c r="E2955" i="38"/>
  <c r="E2960" i="38"/>
  <c r="E2965" i="38"/>
  <c r="E2971" i="38"/>
  <c r="E2976" i="38"/>
  <c r="E2981" i="38"/>
  <c r="E2987" i="38"/>
  <c r="E2992" i="38"/>
  <c r="E2997" i="38"/>
  <c r="E3003" i="38"/>
  <c r="E3008" i="38"/>
  <c r="E3013" i="38"/>
  <c r="E3019" i="38"/>
  <c r="E3024" i="38"/>
  <c r="E3029" i="38"/>
  <c r="E3035" i="38"/>
  <c r="E3040" i="38"/>
  <c r="E3045" i="38"/>
  <c r="E3051" i="38"/>
  <c r="E3056" i="38"/>
  <c r="E3061" i="38"/>
  <c r="E3067" i="38"/>
  <c r="E3072" i="38"/>
  <c r="E3077" i="38"/>
  <c r="E3083" i="38"/>
  <c r="E3088" i="38"/>
  <c r="E3093" i="38"/>
  <c r="E3099" i="38"/>
  <c r="E3104" i="38"/>
  <c r="E3109" i="38"/>
  <c r="E3115" i="38"/>
  <c r="E3120" i="38"/>
  <c r="E3125" i="38"/>
  <c r="E3131" i="38"/>
  <c r="E3136" i="38"/>
  <c r="E3141" i="38"/>
  <c r="E3147" i="38"/>
  <c r="E3152" i="38"/>
  <c r="E3157" i="38"/>
  <c r="E3163" i="38"/>
  <c r="E3168" i="38"/>
  <c r="E3173" i="38"/>
  <c r="E3179" i="38"/>
  <c r="E3184" i="38"/>
  <c r="E3189" i="38"/>
  <c r="E3195" i="38"/>
  <c r="E3200" i="38"/>
  <c r="E3205" i="38"/>
  <c r="E3211" i="38"/>
  <c r="E3216" i="38"/>
  <c r="E3221" i="38"/>
  <c r="E3227" i="38"/>
  <c r="E3232" i="38"/>
  <c r="E3237" i="38"/>
  <c r="E3243" i="38"/>
  <c r="E3248" i="38"/>
  <c r="E3253" i="38"/>
  <c r="E3259" i="38"/>
  <c r="E3264" i="38"/>
  <c r="E3269" i="38"/>
  <c r="E3275" i="38"/>
  <c r="E3280" i="38"/>
  <c r="E3285" i="38"/>
  <c r="E3291" i="38"/>
  <c r="E3296" i="38"/>
  <c r="E3301" i="38"/>
  <c r="E3307" i="38"/>
  <c r="E3312" i="38"/>
  <c r="E3317" i="38"/>
  <c r="E3323" i="38"/>
  <c r="E3328" i="38"/>
  <c r="E3333" i="38"/>
  <c r="E3339" i="38"/>
  <c r="E3344" i="38"/>
  <c r="E3349" i="38"/>
  <c r="E3355" i="38"/>
  <c r="E3360" i="38"/>
  <c r="E3365" i="38"/>
  <c r="E3371" i="38"/>
  <c r="E3376" i="38"/>
  <c r="E3381" i="38"/>
  <c r="E3387" i="38"/>
  <c r="E3392" i="38"/>
  <c r="E3397" i="38"/>
  <c r="E3403" i="38"/>
  <c r="E3408" i="38"/>
  <c r="E3413" i="38"/>
  <c r="E3419" i="38"/>
  <c r="E3424" i="38"/>
  <c r="E3429" i="38"/>
  <c r="E3435" i="38"/>
  <c r="E3440" i="38"/>
  <c r="E3445" i="38"/>
  <c r="E3451" i="38"/>
  <c r="E3456" i="38"/>
  <c r="E3461" i="38"/>
  <c r="E3467" i="38"/>
  <c r="E3472" i="38"/>
  <c r="E3477" i="38"/>
  <c r="E3483" i="38"/>
  <c r="E3488" i="38"/>
  <c r="E3493" i="38"/>
  <c r="E3499" i="38"/>
  <c r="E3504" i="38"/>
  <c r="E3509" i="38"/>
  <c r="E3515" i="38"/>
  <c r="E3520" i="38"/>
  <c r="E3525" i="38"/>
  <c r="E3531" i="38"/>
  <c r="E3536" i="38"/>
  <c r="E3541" i="38"/>
  <c r="E3547" i="38"/>
  <c r="E3552" i="38"/>
  <c r="E3557" i="38"/>
  <c r="E3563" i="38"/>
  <c r="E3568" i="38"/>
  <c r="E3573" i="38"/>
  <c r="E3579" i="38"/>
  <c r="E3584" i="38"/>
  <c r="E3589" i="38"/>
  <c r="E3595" i="38"/>
  <c r="E3600" i="38"/>
  <c r="E3605" i="38"/>
  <c r="E3611" i="38"/>
  <c r="E3616" i="38"/>
  <c r="E3621" i="38"/>
  <c r="E3627" i="38"/>
  <c r="E3632" i="38"/>
  <c r="E3637" i="38"/>
  <c r="E3643" i="38"/>
  <c r="E3648" i="38"/>
  <c r="E3653" i="38"/>
  <c r="E3659" i="38"/>
  <c r="E3664" i="38"/>
  <c r="E3669" i="38"/>
  <c r="E3675" i="38"/>
  <c r="E3680" i="38"/>
  <c r="E3685" i="38"/>
  <c r="E3691" i="38"/>
  <c r="E3696" i="38"/>
  <c r="E3701" i="38"/>
  <c r="E3707" i="38"/>
  <c r="E3712" i="38"/>
  <c r="E3717" i="38"/>
  <c r="E3723" i="38"/>
  <c r="E3728" i="38"/>
  <c r="E3733" i="38"/>
  <c r="E3739" i="38"/>
  <c r="E3744" i="38"/>
  <c r="E3749" i="38"/>
  <c r="E3755" i="38"/>
  <c r="E3760" i="38"/>
  <c r="E3765" i="38"/>
  <c r="E3771" i="38"/>
  <c r="E3776" i="38"/>
  <c r="E3781" i="38"/>
  <c r="E3787" i="38"/>
  <c r="E3792" i="38"/>
  <c r="E3797" i="38"/>
  <c r="E3803" i="38"/>
  <c r="E3808" i="38"/>
  <c r="E3813" i="38"/>
  <c r="E3819" i="38"/>
  <c r="E3824" i="38"/>
  <c r="E3829" i="38"/>
  <c r="E3835" i="38"/>
  <c r="E3839" i="38"/>
  <c r="E3843" i="38"/>
  <c r="E3847" i="38"/>
  <c r="E3851" i="38"/>
  <c r="E3855" i="38"/>
  <c r="E3859" i="38"/>
  <c r="E3863" i="38"/>
  <c r="E3867" i="38"/>
  <c r="E3871" i="38"/>
  <c r="E3875" i="38"/>
  <c r="E3879" i="38"/>
  <c r="E3883" i="38"/>
  <c r="E3887" i="38"/>
  <c r="E3891" i="38"/>
  <c r="E130" i="38"/>
  <c r="E345" i="38"/>
  <c r="E473" i="38"/>
  <c r="E565" i="38"/>
  <c r="E650" i="38"/>
  <c r="E725" i="38"/>
  <c r="E789" i="38"/>
  <c r="E836" i="38"/>
  <c r="E878" i="38"/>
  <c r="E921" i="38"/>
  <c r="E964" i="38"/>
  <c r="E1006" i="38"/>
  <c r="E1049" i="38"/>
  <c r="E1081" i="38"/>
  <c r="E1102" i="38"/>
  <c r="E1124" i="38"/>
  <c r="E1145" i="38"/>
  <c r="E1166" i="38"/>
  <c r="E1188" i="38"/>
  <c r="E1209" i="38"/>
  <c r="E1230" i="38"/>
  <c r="E1252" i="38"/>
  <c r="E1273" i="38"/>
  <c r="E1294" i="38"/>
  <c r="E1316" i="38"/>
  <c r="E1335" i="38"/>
  <c r="E1351" i="38"/>
  <c r="E1367" i="38"/>
  <c r="E1383" i="38"/>
  <c r="E1399" i="38"/>
  <c r="E1415" i="38"/>
  <c r="E1431" i="38"/>
  <c r="E1447" i="38"/>
  <c r="E1463" i="38"/>
  <c r="E1479" i="38"/>
  <c r="E1495" i="38"/>
  <c r="E1511" i="38"/>
  <c r="E1527" i="38"/>
  <c r="E1543" i="38"/>
  <c r="E1559" i="38"/>
  <c r="E1575" i="38"/>
  <c r="E1591" i="38"/>
  <c r="E1607" i="38"/>
  <c r="E1623" i="38"/>
  <c r="E1639" i="38"/>
  <c r="E1655" i="38"/>
  <c r="E1671" i="38"/>
  <c r="E1687" i="38"/>
  <c r="E1703" i="38"/>
  <c r="E1716" i="38"/>
  <c r="E1727" i="38"/>
  <c r="E1738" i="38"/>
  <c r="E1748" i="38"/>
  <c r="E1759" i="38"/>
  <c r="E1770" i="38"/>
  <c r="E1780" i="38"/>
  <c r="E1791" i="38"/>
  <c r="E1802" i="38"/>
  <c r="E1812" i="38"/>
  <c r="E1823" i="38"/>
  <c r="E1834" i="38"/>
  <c r="E1844" i="38"/>
  <c r="E1855" i="38"/>
  <c r="E1866" i="38"/>
  <c r="E1876" i="38"/>
  <c r="E1887" i="38"/>
  <c r="E1898" i="38"/>
  <c r="E1908" i="38"/>
  <c r="E1919" i="38"/>
  <c r="E1930" i="38"/>
  <c r="E1940" i="38"/>
  <c r="E1951" i="38"/>
  <c r="E1962" i="38"/>
  <c r="E1972" i="38"/>
  <c r="E1983" i="38"/>
  <c r="E1994" i="38"/>
  <c r="E2004" i="38"/>
  <c r="E2015" i="38"/>
  <c r="E2026" i="38"/>
  <c r="E2036" i="38"/>
  <c r="E2047" i="38"/>
  <c r="E2058" i="38"/>
  <c r="E2068" i="38"/>
  <c r="E2079" i="38"/>
  <c r="E2090" i="38"/>
  <c r="E2100" i="38"/>
  <c r="E2111" i="38"/>
  <c r="E2122" i="38"/>
  <c r="E2132" i="38"/>
  <c r="E2143" i="38"/>
  <c r="E2154" i="38"/>
  <c r="E2164" i="38"/>
  <c r="E2175" i="38"/>
  <c r="E2186" i="38"/>
  <c r="E2196" i="38"/>
  <c r="E2207" i="38"/>
  <c r="E2218" i="38"/>
  <c r="E2228" i="38"/>
  <c r="E2239" i="38"/>
  <c r="E2250" i="38"/>
  <c r="E2260" i="38"/>
  <c r="E2271" i="38"/>
  <c r="E2282" i="38"/>
  <c r="E2292" i="38"/>
  <c r="E2300" i="38"/>
  <c r="E2308" i="38"/>
  <c r="E2316" i="38"/>
  <c r="E2324" i="38"/>
  <c r="E2332" i="38"/>
  <c r="E2340" i="38"/>
  <c r="E2348" i="38"/>
  <c r="E2356" i="38"/>
  <c r="E2364" i="38"/>
  <c r="E2372" i="38"/>
  <c r="E2380" i="38"/>
  <c r="E2388" i="38"/>
  <c r="E2396" i="38"/>
  <c r="E2404" i="38"/>
  <c r="E2412" i="38"/>
  <c r="E2420" i="38"/>
  <c r="E2428" i="38"/>
  <c r="E2436" i="38"/>
  <c r="E2444" i="38"/>
  <c r="E2452" i="38"/>
  <c r="E2460" i="38"/>
  <c r="E2468" i="38"/>
  <c r="E2476" i="38"/>
  <c r="E2484" i="38"/>
  <c r="E2492" i="38"/>
  <c r="E2500" i="38"/>
  <c r="E2508" i="38"/>
  <c r="E2516" i="38"/>
  <c r="E2524" i="38"/>
  <c r="E2532" i="38"/>
  <c r="E2540" i="38"/>
  <c r="E2548" i="38"/>
  <c r="E2556" i="38"/>
  <c r="E2564" i="38"/>
  <c r="E2572" i="38"/>
  <c r="E2580" i="38"/>
  <c r="E2588" i="38"/>
  <c r="E2596" i="38"/>
  <c r="E2604" i="38"/>
  <c r="E2612" i="38"/>
  <c r="E2620" i="38"/>
  <c r="E2628" i="38"/>
  <c r="E2636" i="38"/>
  <c r="E2644" i="38"/>
  <c r="E2652" i="38"/>
  <c r="E2660" i="38"/>
  <c r="E2668" i="38"/>
  <c r="E2676" i="38"/>
  <c r="E2684" i="38"/>
  <c r="E2692" i="38"/>
  <c r="E2700" i="38"/>
  <c r="E2708" i="38"/>
  <c r="E2716" i="38"/>
  <c r="E2724" i="38"/>
  <c r="E2732" i="38"/>
  <c r="E2740" i="38"/>
  <c r="E2748" i="38"/>
  <c r="E2756" i="38"/>
  <c r="E2764" i="38"/>
  <c r="E2772" i="38"/>
  <c r="E2780" i="38"/>
  <c r="E2788" i="38"/>
  <c r="E2796" i="38"/>
  <c r="E2804" i="38"/>
  <c r="E2812" i="38"/>
  <c r="E2820" i="38"/>
  <c r="E2828" i="38"/>
  <c r="E2833" i="38"/>
  <c r="E2839" i="38"/>
  <c r="E2844" i="38"/>
  <c r="E2849" i="38"/>
  <c r="E2855" i="38"/>
  <c r="E2860" i="38"/>
  <c r="E2865" i="38"/>
  <c r="E2871" i="38"/>
  <c r="E2876" i="38"/>
  <c r="E2881" i="38"/>
  <c r="E2887" i="38"/>
  <c r="E2892" i="38"/>
  <c r="E2897" i="38"/>
  <c r="E2903" i="38"/>
  <c r="E2908" i="38"/>
  <c r="E2913" i="38"/>
  <c r="E2919" i="38"/>
  <c r="E2924" i="38"/>
  <c r="E2929" i="38"/>
  <c r="E2935" i="38"/>
  <c r="E2940" i="38"/>
  <c r="E2945" i="38"/>
  <c r="E2951" i="38"/>
  <c r="E2956" i="38"/>
  <c r="E2961" i="38"/>
  <c r="E2967" i="38"/>
  <c r="E2972" i="38"/>
  <c r="E2977" i="38"/>
  <c r="E2983" i="38"/>
  <c r="E2988" i="38"/>
  <c r="E2993" i="38"/>
  <c r="E2999" i="38"/>
  <c r="E3004" i="38"/>
  <c r="E3009" i="38"/>
  <c r="E3015" i="38"/>
  <c r="E3020" i="38"/>
  <c r="E3025" i="38"/>
  <c r="E3031" i="38"/>
  <c r="E3036" i="38"/>
  <c r="E3041" i="38"/>
  <c r="E3047" i="38"/>
  <c r="E3052" i="38"/>
  <c r="E3057" i="38"/>
  <c r="E3063" i="38"/>
  <c r="E3068" i="38"/>
  <c r="E3073" i="38"/>
  <c r="E3079" i="38"/>
  <c r="E3084" i="38"/>
  <c r="E3089" i="38"/>
  <c r="E3095" i="38"/>
  <c r="E3100" i="38"/>
  <c r="E3105" i="38"/>
  <c r="E3111" i="38"/>
  <c r="E3116" i="38"/>
  <c r="E3121" i="38"/>
  <c r="E3127" i="38"/>
  <c r="E3132" i="38"/>
  <c r="E3137" i="38"/>
  <c r="E3143" i="38"/>
  <c r="E3148" i="38"/>
  <c r="E3153" i="38"/>
  <c r="E3159" i="38"/>
  <c r="E3164" i="38"/>
  <c r="E3169" i="38"/>
  <c r="E3175" i="38"/>
  <c r="E3180" i="38"/>
  <c r="E3185" i="38"/>
  <c r="E3191" i="38"/>
  <c r="E3196" i="38"/>
  <c r="E3201" i="38"/>
  <c r="E3207" i="38"/>
  <c r="E3212" i="38"/>
  <c r="E3217" i="38"/>
  <c r="E3223" i="38"/>
  <c r="E3228" i="38"/>
  <c r="E3233" i="38"/>
  <c r="E3239" i="38"/>
  <c r="E3244" i="38"/>
  <c r="E3249" i="38"/>
  <c r="E3255" i="38"/>
  <c r="E3260" i="38"/>
  <c r="E3265" i="38"/>
  <c r="E3271" i="38"/>
  <c r="E3276" i="38"/>
  <c r="E3281" i="38"/>
  <c r="E3287" i="38"/>
  <c r="E3292" i="38"/>
  <c r="E3297" i="38"/>
  <c r="E3303" i="38"/>
  <c r="E3308" i="38"/>
  <c r="E3313" i="38"/>
  <c r="E3319" i="38"/>
  <c r="E3324" i="38"/>
  <c r="E3329" i="38"/>
  <c r="E3335" i="38"/>
  <c r="E3340" i="38"/>
  <c r="E3345" i="38"/>
  <c r="E3351" i="38"/>
  <c r="E3356" i="38"/>
  <c r="E3361" i="38"/>
  <c r="E3367" i="38"/>
  <c r="E3372" i="38"/>
  <c r="E3377" i="38"/>
  <c r="E3383" i="38"/>
  <c r="E3388" i="38"/>
  <c r="E3393" i="38"/>
  <c r="E3399" i="38"/>
  <c r="E3404" i="38"/>
  <c r="E3409" i="38"/>
  <c r="E3415" i="38"/>
  <c r="E3420" i="38"/>
  <c r="E3425" i="38"/>
  <c r="E3431" i="38"/>
  <c r="E3436" i="38"/>
  <c r="E3441" i="38"/>
  <c r="E3447" i="38"/>
  <c r="E3452" i="38"/>
  <c r="E3457" i="38"/>
  <c r="E3463" i="38"/>
  <c r="E3468" i="38"/>
  <c r="E3473" i="38"/>
  <c r="E3479" i="38"/>
  <c r="E3484" i="38"/>
  <c r="E3489" i="38"/>
  <c r="E3495" i="38"/>
  <c r="E3500" i="38"/>
  <c r="E3505" i="38"/>
  <c r="E3511" i="38"/>
  <c r="E3516" i="38"/>
  <c r="E3521" i="38"/>
  <c r="E3527" i="38"/>
  <c r="E3532" i="38"/>
  <c r="E3537" i="38"/>
  <c r="E3543" i="38"/>
  <c r="E3548" i="38"/>
  <c r="E3553" i="38"/>
  <c r="E3559" i="38"/>
  <c r="E3564" i="38"/>
  <c r="E3569" i="38"/>
  <c r="E3575" i="38"/>
  <c r="E3580" i="38"/>
  <c r="E3585" i="38"/>
  <c r="E3591" i="38"/>
  <c r="E3596" i="38"/>
  <c r="E3601" i="38"/>
  <c r="E3607" i="38"/>
  <c r="E3612" i="38"/>
  <c r="E3617" i="38"/>
  <c r="E3623" i="38"/>
  <c r="E3628" i="38"/>
  <c r="E3633" i="38"/>
  <c r="E3639" i="38"/>
  <c r="E3644" i="38"/>
  <c r="E3649" i="38"/>
  <c r="E3655" i="38"/>
  <c r="E3660" i="38"/>
  <c r="E3665" i="38"/>
  <c r="E3671" i="38"/>
  <c r="E3676" i="38"/>
  <c r="E3681" i="38"/>
  <c r="E3687" i="38"/>
  <c r="E3692" i="38"/>
  <c r="E3697" i="38"/>
  <c r="E3703" i="38"/>
  <c r="E3708" i="38"/>
  <c r="E3713" i="38"/>
  <c r="E3719" i="38"/>
  <c r="E3724" i="38"/>
  <c r="E3729" i="38"/>
  <c r="E3735" i="38"/>
  <c r="E3740" i="38"/>
  <c r="E3745" i="38"/>
  <c r="E3751" i="38"/>
  <c r="E3756" i="38"/>
  <c r="E3761" i="38"/>
  <c r="E3767" i="38"/>
  <c r="E3772" i="38"/>
  <c r="E3777" i="38"/>
  <c r="E3783" i="38"/>
  <c r="E3788" i="38"/>
  <c r="E3793" i="38"/>
  <c r="E3799" i="38"/>
  <c r="E3804" i="38"/>
  <c r="E3809" i="38"/>
  <c r="E3815" i="38"/>
  <c r="E3820" i="38"/>
  <c r="E3825" i="38"/>
  <c r="E3831" i="38"/>
  <c r="E3836" i="38"/>
  <c r="E3840" i="38"/>
  <c r="E3844" i="38"/>
  <c r="E3848" i="38"/>
  <c r="E3852" i="38"/>
  <c r="E3856" i="38"/>
  <c r="E3860" i="38"/>
  <c r="E3864" i="38"/>
  <c r="E3868" i="38"/>
  <c r="E3872" i="38"/>
  <c r="E3876" i="38"/>
  <c r="E3880" i="38"/>
  <c r="E3884" i="38"/>
  <c r="E3888" i="38"/>
  <c r="E3892" i="38"/>
  <c r="E3896" i="38"/>
  <c r="E3900" i="38"/>
  <c r="E3904" i="38"/>
  <c r="E3908" i="38"/>
  <c r="E3912" i="38"/>
  <c r="E3916" i="38"/>
  <c r="E3920" i="38"/>
  <c r="E3924" i="38"/>
  <c r="E3928" i="38"/>
  <c r="E3932" i="38"/>
  <c r="E3936" i="38"/>
  <c r="E3940" i="38"/>
  <c r="E3944" i="38"/>
  <c r="E3948" i="38"/>
  <c r="E3952" i="38"/>
  <c r="E3956" i="38"/>
  <c r="E3960" i="38"/>
  <c r="E3964" i="38"/>
  <c r="E3968" i="38"/>
  <c r="E3972" i="38"/>
  <c r="E3976" i="38"/>
  <c r="E3980" i="38"/>
  <c r="E3984" i="38"/>
  <c r="E3988" i="38"/>
  <c r="E3992" i="38"/>
  <c r="E3996" i="38"/>
  <c r="E4000" i="38"/>
  <c r="E4004" i="38"/>
  <c r="E4008" i="38"/>
  <c r="E4012" i="38"/>
  <c r="E4016" i="38"/>
  <c r="E4020" i="38"/>
  <c r="E4024" i="38"/>
  <c r="E4028" i="38"/>
  <c r="E4032" i="38"/>
  <c r="E4036" i="38"/>
  <c r="E4040" i="38"/>
  <c r="E4044" i="38"/>
  <c r="E4048" i="38"/>
  <c r="E4052" i="38"/>
  <c r="E4056" i="38"/>
  <c r="E4060" i="38"/>
  <c r="E4064" i="38"/>
  <c r="E4068" i="38"/>
  <c r="E4072" i="38"/>
  <c r="E4076" i="38"/>
  <c r="E4080" i="38"/>
  <c r="E4084" i="38"/>
  <c r="E4088" i="38"/>
  <c r="E4092" i="38"/>
  <c r="E4096" i="38"/>
  <c r="E4100" i="38"/>
  <c r="E4104" i="38"/>
  <c r="E4108" i="38"/>
  <c r="E4112" i="38"/>
  <c r="E4116" i="38"/>
  <c r="E4120" i="38"/>
  <c r="E4124" i="38"/>
  <c r="E4128" i="38"/>
  <c r="E4132" i="38"/>
  <c r="E4136" i="38"/>
  <c r="E4140" i="38"/>
  <c r="E4144" i="38"/>
  <c r="E4148" i="38"/>
  <c r="E4152" i="38"/>
  <c r="E4156" i="38"/>
  <c r="E4160" i="38"/>
  <c r="E4164" i="38"/>
  <c r="E4168" i="38"/>
  <c r="E4172" i="38"/>
  <c r="E4176" i="38"/>
  <c r="E4180" i="38"/>
  <c r="E4184" i="38"/>
  <c r="E4188" i="38"/>
  <c r="E4192" i="38"/>
  <c r="E4196" i="38"/>
  <c r="E4200" i="38"/>
  <c r="E4204" i="38"/>
  <c r="E4208" i="38"/>
  <c r="E4212" i="38"/>
  <c r="E4216" i="38"/>
  <c r="E4220" i="38"/>
  <c r="E4224" i="38"/>
  <c r="E4228" i="38"/>
  <c r="E4232" i="38"/>
  <c r="E4236" i="38"/>
  <c r="E4240" i="38"/>
  <c r="E4244" i="38"/>
  <c r="E4248" i="38"/>
  <c r="E4252" i="38"/>
  <c r="E4256" i="38"/>
  <c r="E4260" i="38"/>
  <c r="E4264" i="38"/>
  <c r="E4268" i="38"/>
  <c r="E4272" i="38"/>
  <c r="E4276" i="38"/>
  <c r="E4280" i="38"/>
  <c r="E4284" i="38"/>
  <c r="E4288" i="38"/>
  <c r="E4292" i="38"/>
  <c r="E4296" i="38"/>
  <c r="E4300" i="38"/>
  <c r="E4304" i="38"/>
  <c r="E4308" i="38"/>
  <c r="E4312" i="38"/>
  <c r="E4316" i="38"/>
  <c r="E4320" i="38"/>
  <c r="E4324" i="38"/>
  <c r="E4328" i="38"/>
  <c r="E4332" i="38"/>
  <c r="E4336" i="38"/>
  <c r="E4340" i="38"/>
  <c r="E4344" i="38"/>
  <c r="E4348" i="38"/>
  <c r="E4352" i="38"/>
  <c r="E4356" i="38"/>
  <c r="E4360" i="38"/>
  <c r="E4364" i="38"/>
  <c r="E4368" i="38"/>
  <c r="E4372" i="38"/>
  <c r="E4376" i="38"/>
  <c r="E4380" i="38"/>
  <c r="E4384" i="38"/>
  <c r="E4388" i="38"/>
  <c r="E4392" i="38"/>
  <c r="E4396" i="38"/>
  <c r="E4400" i="38"/>
  <c r="E4404" i="38"/>
  <c r="E4408" i="38"/>
  <c r="E4412" i="38"/>
  <c r="E4416" i="38"/>
  <c r="E4420" i="38"/>
  <c r="E4424" i="38"/>
  <c r="E4428" i="38"/>
  <c r="E4432" i="38"/>
  <c r="E4436" i="38"/>
  <c r="E4440" i="38"/>
  <c r="E4444" i="38"/>
  <c r="E4448" i="38"/>
  <c r="E4452" i="38"/>
  <c r="E4456" i="38"/>
  <c r="E4460" i="38"/>
  <c r="E4464" i="38"/>
  <c r="E4468" i="38"/>
  <c r="E4472" i="38"/>
  <c r="E4476" i="38"/>
  <c r="E4480" i="38"/>
  <c r="E4484" i="38"/>
  <c r="E4488" i="38"/>
  <c r="E4492" i="38"/>
  <c r="E4496" i="38"/>
  <c r="E4500" i="38"/>
  <c r="E4504" i="38"/>
  <c r="E4508" i="38"/>
  <c r="E4512" i="38"/>
  <c r="E4516" i="38"/>
  <c r="E4520" i="38"/>
  <c r="E4524" i="38"/>
  <c r="E4528" i="38"/>
  <c r="E4532" i="38"/>
  <c r="E4536" i="38"/>
  <c r="E4540" i="38"/>
  <c r="E4544" i="38"/>
  <c r="E4548" i="38"/>
  <c r="E4552" i="38"/>
  <c r="E4556" i="38"/>
  <c r="E4560" i="38"/>
  <c r="E4564" i="38"/>
  <c r="E4568" i="38"/>
  <c r="E4572" i="38"/>
  <c r="E4576" i="38"/>
  <c r="E4580" i="38"/>
  <c r="E4584" i="38"/>
  <c r="E4588" i="38"/>
  <c r="E4592" i="38"/>
  <c r="E4596" i="38"/>
  <c r="E4600" i="38"/>
  <c r="E4604" i="38"/>
  <c r="E4608" i="38"/>
  <c r="E4612" i="38"/>
  <c r="E4616" i="38"/>
  <c r="E4620" i="38"/>
  <c r="E4624" i="38"/>
  <c r="E4628" i="38"/>
  <c r="E4632" i="38"/>
  <c r="E4636" i="38"/>
  <c r="E4640" i="38"/>
  <c r="E4644" i="38"/>
  <c r="E4648" i="38"/>
  <c r="E4652" i="38"/>
  <c r="E4656" i="38"/>
  <c r="E4660" i="38"/>
  <c r="E4664" i="38"/>
  <c r="E4668" i="38"/>
  <c r="E4672" i="38"/>
  <c r="E4676" i="38"/>
  <c r="E4680" i="38"/>
  <c r="E4684" i="38"/>
  <c r="E4688" i="38"/>
  <c r="E4692" i="38"/>
  <c r="E4696" i="38"/>
  <c r="E4700" i="38"/>
  <c r="E4704" i="38"/>
  <c r="E4708" i="38"/>
  <c r="E4712" i="38"/>
  <c r="E4716" i="38"/>
  <c r="E4720" i="38"/>
  <c r="E4724" i="38"/>
  <c r="E4728" i="38"/>
  <c r="E4732" i="38"/>
  <c r="E4736" i="38"/>
  <c r="E4740" i="38"/>
  <c r="E4744" i="38"/>
  <c r="E4748" i="38"/>
  <c r="E4752" i="38"/>
  <c r="E4756" i="38"/>
  <c r="E4760" i="38"/>
  <c r="E4764" i="38"/>
  <c r="E4768" i="38"/>
  <c r="E4772" i="38"/>
  <c r="E4776" i="38"/>
  <c r="E4780" i="38"/>
  <c r="E4784" i="38"/>
  <c r="E4788" i="38"/>
  <c r="E4792" i="38"/>
  <c r="E4796" i="38"/>
  <c r="E4800" i="38"/>
  <c r="E4804" i="38"/>
  <c r="E4808" i="38"/>
  <c r="E4812" i="38"/>
  <c r="E4816" i="38"/>
  <c r="E4820" i="38"/>
  <c r="E4824" i="38"/>
  <c r="E4828" i="38"/>
  <c r="E4832" i="38"/>
  <c r="E4836" i="38"/>
  <c r="E4840" i="38"/>
  <c r="E4844" i="38"/>
  <c r="E4848" i="38"/>
  <c r="E4852" i="38"/>
  <c r="E4856" i="38"/>
  <c r="E4860" i="38"/>
  <c r="E4864" i="38"/>
  <c r="E4868" i="38"/>
  <c r="E4872" i="38"/>
  <c r="E4876" i="38"/>
  <c r="E4880" i="38"/>
  <c r="E4884" i="38"/>
  <c r="E4888" i="38"/>
  <c r="E4892" i="38"/>
  <c r="E4896" i="38"/>
  <c r="E4900" i="38"/>
  <c r="E4904" i="38"/>
  <c r="E4908" i="38"/>
  <c r="E4912" i="38"/>
  <c r="E4916" i="38"/>
  <c r="E4920" i="38"/>
  <c r="E4924" i="38"/>
  <c r="E4928" i="38"/>
  <c r="E4932" i="38"/>
  <c r="E4936" i="38"/>
  <c r="E4940" i="38"/>
  <c r="E4944" i="38"/>
  <c r="E4948" i="38"/>
  <c r="E4952" i="38"/>
  <c r="E4956" i="38"/>
  <c r="E4960" i="38"/>
  <c r="E4964" i="38"/>
  <c r="E4968" i="38"/>
  <c r="E4972" i="38"/>
  <c r="E4976" i="38"/>
  <c r="E4980" i="38"/>
  <c r="E4984" i="38"/>
  <c r="E4988" i="38"/>
  <c r="E4992" i="38"/>
  <c r="E4996" i="38"/>
  <c r="E5000" i="38"/>
  <c r="E5004" i="38"/>
  <c r="E5008" i="38"/>
  <c r="E5012" i="38"/>
  <c r="E5016" i="38"/>
  <c r="E5020" i="38"/>
  <c r="E5024" i="38"/>
  <c r="E5028" i="38"/>
  <c r="E5032" i="38"/>
  <c r="E5036" i="38"/>
  <c r="E5040" i="38"/>
  <c r="E5044" i="38"/>
  <c r="E5048" i="38"/>
  <c r="E5052" i="38"/>
  <c r="E5056" i="38"/>
  <c r="E5060" i="38"/>
  <c r="E5064" i="38"/>
  <c r="E5068" i="38"/>
  <c r="E5072" i="38"/>
  <c r="E5076" i="38"/>
  <c r="E5080" i="38"/>
  <c r="E5084" i="38"/>
  <c r="E5088" i="38"/>
  <c r="E5092" i="38"/>
  <c r="E5096" i="38"/>
  <c r="E5100" i="38"/>
  <c r="E5104" i="38"/>
  <c r="E5108" i="38"/>
  <c r="E5112" i="38"/>
  <c r="E5116" i="38"/>
  <c r="E5120" i="38"/>
  <c r="E5124" i="38"/>
  <c r="E6159" i="38"/>
  <c r="E6155" i="38"/>
  <c r="E6151" i="38"/>
  <c r="E6147" i="38"/>
  <c r="E6143" i="38"/>
  <c r="E6139" i="38"/>
  <c r="E6135" i="38"/>
  <c r="E6131" i="38"/>
  <c r="E6127" i="38"/>
  <c r="E6123" i="38"/>
  <c r="E6119" i="38"/>
  <c r="E6115" i="38"/>
  <c r="E6111" i="38"/>
  <c r="E6107" i="38"/>
  <c r="E6103" i="38"/>
  <c r="E6099" i="38"/>
  <c r="E6095" i="38"/>
  <c r="E6091" i="38"/>
  <c r="E6087" i="38"/>
  <c r="E6083" i="38"/>
  <c r="E6079" i="38"/>
  <c r="E6075" i="38"/>
  <c r="E6071" i="38"/>
  <c r="E6067" i="38"/>
  <c r="E6063" i="38"/>
  <c r="E6059" i="38"/>
  <c r="E6055" i="38"/>
  <c r="E6051" i="38"/>
  <c r="E6047" i="38"/>
  <c r="E6043" i="38"/>
  <c r="E6039" i="38"/>
  <c r="E6035" i="38"/>
  <c r="E6031" i="38"/>
  <c r="E6027" i="38"/>
  <c r="E6023" i="38"/>
  <c r="E6019" i="38"/>
  <c r="E6015" i="38"/>
  <c r="E6011" i="38"/>
  <c r="E6007" i="38"/>
  <c r="E6003" i="38"/>
  <c r="E5999" i="38"/>
  <c r="E5995" i="38"/>
  <c r="E5991" i="38"/>
  <c r="E5987" i="38"/>
  <c r="E5983" i="38"/>
  <c r="E5979" i="38"/>
  <c r="E5975" i="38"/>
  <c r="E5971" i="38"/>
  <c r="E5967" i="38"/>
  <c r="E5963" i="38"/>
  <c r="E5959" i="38"/>
  <c r="E5955" i="38"/>
  <c r="E5951" i="38"/>
  <c r="E5947" i="38"/>
  <c r="E5943" i="38"/>
  <c r="E5939" i="38"/>
  <c r="E5935" i="38"/>
  <c r="E5931" i="38"/>
  <c r="E5927" i="38"/>
  <c r="E5923" i="38"/>
  <c r="E5919" i="38"/>
  <c r="E5915" i="38"/>
  <c r="E5911" i="38"/>
  <c r="E5907" i="38"/>
  <c r="E5903" i="38"/>
  <c r="E5899" i="38"/>
  <c r="E5895" i="38"/>
  <c r="E5891" i="38"/>
  <c r="E5887" i="38"/>
  <c r="E5883" i="38"/>
  <c r="E5879" i="38"/>
  <c r="E5875" i="38"/>
  <c r="E5871" i="38"/>
  <c r="E5867" i="38"/>
  <c r="E5863" i="38"/>
  <c r="E5859" i="38"/>
  <c r="E5855" i="38"/>
  <c r="E5851" i="38"/>
  <c r="E5847" i="38"/>
  <c r="E5843" i="38"/>
  <c r="E5839" i="38"/>
  <c r="E5835" i="38"/>
  <c r="E5831" i="38"/>
  <c r="E5827" i="38"/>
  <c r="E5823" i="38"/>
  <c r="E5819" i="38"/>
  <c r="E5815" i="38"/>
  <c r="E5811" i="38"/>
  <c r="E5807" i="38"/>
  <c r="E5803" i="38"/>
  <c r="E5799" i="38"/>
  <c r="E5795" i="38"/>
  <c r="E5791" i="38"/>
  <c r="E5787" i="38"/>
  <c r="E5783" i="38"/>
  <c r="E5779" i="38"/>
  <c r="E5775" i="38"/>
  <c r="E5771" i="38"/>
  <c r="E5767" i="38"/>
  <c r="E5763" i="38"/>
  <c r="E5759" i="38"/>
  <c r="E5755" i="38"/>
  <c r="E5751" i="38"/>
  <c r="E5747" i="38"/>
  <c r="E5743" i="38"/>
  <c r="E5739" i="38"/>
  <c r="E5735" i="38"/>
  <c r="E5731" i="38"/>
  <c r="E5727" i="38"/>
  <c r="E5723" i="38"/>
  <c r="E5719" i="38"/>
  <c r="E5715" i="38"/>
  <c r="E5711" i="38"/>
  <c r="E5707" i="38"/>
  <c r="E5703" i="38"/>
  <c r="E5699" i="38"/>
  <c r="E5695" i="38"/>
  <c r="E5691" i="38"/>
  <c r="E5687" i="38"/>
  <c r="E5683" i="38"/>
  <c r="E5679" i="38"/>
  <c r="E5675" i="38"/>
  <c r="E5671" i="38"/>
  <c r="E5667" i="38"/>
  <c r="E5663" i="38"/>
  <c r="E5659" i="38"/>
  <c r="E5655" i="38"/>
  <c r="E5651" i="38"/>
  <c r="E5647" i="38"/>
  <c r="E5643" i="38"/>
  <c r="E5639" i="38"/>
  <c r="E5635" i="38"/>
  <c r="E5631" i="38"/>
  <c r="E5627" i="38"/>
  <c r="E5623" i="38"/>
  <c r="E5619" i="38"/>
  <c r="E5615" i="38"/>
  <c r="E5611" i="38"/>
  <c r="E5607" i="38"/>
  <c r="E5603" i="38"/>
  <c r="E5599" i="38"/>
  <c r="E5595" i="38"/>
  <c r="E5591" i="38"/>
  <c r="E5587" i="38"/>
  <c r="E5583" i="38"/>
  <c r="E5579" i="38"/>
  <c r="E5575" i="38"/>
  <c r="E5571" i="38"/>
  <c r="E5567" i="38"/>
  <c r="E5563" i="38"/>
  <c r="E5559" i="38"/>
  <c r="E5555" i="38"/>
  <c r="E5551" i="38"/>
  <c r="E5547" i="38"/>
  <c r="E5543" i="38"/>
  <c r="E5539" i="38"/>
  <c r="E5535" i="38"/>
  <c r="E5531" i="38"/>
  <c r="E5527" i="38"/>
  <c r="E5523" i="38"/>
  <c r="E5519" i="38"/>
  <c r="E5515" i="38"/>
  <c r="E5511" i="38"/>
  <c r="E5507" i="38"/>
  <c r="E5503" i="38"/>
  <c r="E5499" i="38"/>
  <c r="E5495" i="38"/>
  <c r="E5491" i="38"/>
  <c r="E5487" i="38"/>
  <c r="E5483" i="38"/>
  <c r="E5479" i="38"/>
  <c r="E5475" i="38"/>
  <c r="E5471" i="38"/>
  <c r="E5467" i="38"/>
  <c r="E5463" i="38"/>
  <c r="E5459" i="38"/>
  <c r="E5455" i="38"/>
  <c r="E5451" i="38"/>
  <c r="E5447" i="38"/>
  <c r="E5443" i="38"/>
  <c r="E5439" i="38"/>
  <c r="E5435" i="38"/>
  <c r="E5431" i="38"/>
  <c r="E5427" i="38"/>
  <c r="E5423" i="38"/>
  <c r="E5419" i="38"/>
  <c r="E5415" i="38"/>
  <c r="E5411" i="38"/>
  <c r="E5407" i="38"/>
  <c r="E5403" i="38"/>
  <c r="E5399" i="38"/>
  <c r="E5395" i="38"/>
  <c r="E5391" i="38"/>
  <c r="E5387" i="38"/>
  <c r="E5383" i="38"/>
  <c r="E5379" i="38"/>
  <c r="E5375" i="38"/>
  <c r="E5371" i="38"/>
  <c r="E5367" i="38"/>
  <c r="E5363" i="38"/>
  <c r="E5359" i="38"/>
  <c r="E5355" i="38"/>
  <c r="E5351" i="38"/>
  <c r="E5347" i="38"/>
  <c r="E5343" i="38"/>
  <c r="E5339" i="38"/>
  <c r="E5335" i="38"/>
  <c r="E5331" i="38"/>
  <c r="E5327" i="38"/>
  <c r="E5323" i="38"/>
  <c r="E5319" i="38"/>
  <c r="E5315" i="38"/>
  <c r="E5311" i="38"/>
  <c r="E5307" i="38"/>
  <c r="E5303" i="38"/>
  <c r="E5299" i="38"/>
  <c r="E5295" i="38"/>
  <c r="E5291" i="38"/>
  <c r="E5287" i="38"/>
  <c r="E5283" i="38"/>
  <c r="E5279" i="38"/>
  <c r="E5275" i="38"/>
  <c r="E5271" i="38"/>
  <c r="E5267" i="38"/>
  <c r="E5263" i="38"/>
  <c r="E5259" i="38"/>
  <c r="E5255" i="38"/>
  <c r="E5251" i="38"/>
  <c r="E5247" i="38"/>
  <c r="E5243" i="38"/>
  <c r="E5239" i="38"/>
  <c r="E5235" i="38"/>
  <c r="E5231" i="38"/>
  <c r="E5227" i="38"/>
  <c r="E5223" i="38"/>
  <c r="E5219" i="38"/>
  <c r="E5215" i="38"/>
  <c r="E5211" i="38"/>
  <c r="E5207" i="38"/>
  <c r="E5203" i="38"/>
  <c r="E5199" i="38"/>
  <c r="E5195" i="38"/>
  <c r="E5191" i="38"/>
  <c r="E5187" i="38"/>
  <c r="E5183" i="38"/>
  <c r="E5179" i="38"/>
  <c r="E5175" i="38"/>
  <c r="E5171" i="38"/>
  <c r="E5167" i="38"/>
  <c r="E5163" i="38"/>
  <c r="E5159" i="38"/>
  <c r="E5155" i="38"/>
  <c r="E5151" i="38"/>
  <c r="E5147" i="38"/>
  <c r="E5143" i="38"/>
  <c r="E5139" i="38"/>
  <c r="E5135" i="38"/>
  <c r="E5131" i="38"/>
  <c r="E5127" i="38"/>
  <c r="E5122" i="38"/>
  <c r="E5117" i="38"/>
  <c r="E5111" i="38"/>
  <c r="E5106" i="38"/>
  <c r="E5101" i="38"/>
  <c r="E5095" i="38"/>
  <c r="E5090" i="38"/>
  <c r="E5085" i="38"/>
  <c r="E5079" i="38"/>
  <c r="E5074" i="38"/>
  <c r="E5069" i="38"/>
  <c r="E5063" i="38"/>
  <c r="E5058" i="38"/>
  <c r="E5053" i="38"/>
  <c r="E5047" i="38"/>
  <c r="E5042" i="38"/>
  <c r="E5037" i="38"/>
  <c r="E5031" i="38"/>
  <c r="E5026" i="38"/>
  <c r="E5021" i="38"/>
  <c r="E5015" i="38"/>
  <c r="E5010" i="38"/>
  <c r="E5005" i="38"/>
  <c r="E4999" i="38"/>
  <c r="E4994" i="38"/>
  <c r="E4989" i="38"/>
  <c r="E4983" i="38"/>
  <c r="E4978" i="38"/>
  <c r="E4973" i="38"/>
  <c r="E4967" i="38"/>
  <c r="E4962" i="38"/>
  <c r="E4957" i="38"/>
  <c r="E4951" i="38"/>
  <c r="E4946" i="38"/>
  <c r="E4941" i="38"/>
  <c r="E4935" i="38"/>
  <c r="E4930" i="38"/>
  <c r="E4925" i="38"/>
  <c r="E4919" i="38"/>
  <c r="E4914" i="38"/>
  <c r="E4909" i="38"/>
  <c r="E4903" i="38"/>
  <c r="E4898" i="38"/>
  <c r="E4893" i="38"/>
  <c r="E4887" i="38"/>
  <c r="E4882" i="38"/>
  <c r="E4877" i="38"/>
  <c r="E4871" i="38"/>
  <c r="E4866" i="38"/>
  <c r="E4861" i="38"/>
  <c r="E4855" i="38"/>
  <c r="E4850" i="38"/>
  <c r="E4845" i="38"/>
  <c r="E4839" i="38"/>
  <c r="E4834" i="38"/>
  <c r="E4829" i="38"/>
  <c r="E4823" i="38"/>
  <c r="E4818" i="38"/>
  <c r="E4813" i="38"/>
  <c r="E4807" i="38"/>
  <c r="E4802" i="38"/>
  <c r="E4797" i="38"/>
  <c r="E4791" i="38"/>
  <c r="E4786" i="38"/>
  <c r="E4781" i="38"/>
  <c r="E4775" i="38"/>
  <c r="E4770" i="38"/>
  <c r="E4765" i="38"/>
  <c r="E4759" i="38"/>
  <c r="E4754" i="38"/>
  <c r="E4749" i="38"/>
  <c r="E4743" i="38"/>
  <c r="E4738" i="38"/>
  <c r="E4733" i="38"/>
  <c r="E4727" i="38"/>
  <c r="E4722" i="38"/>
  <c r="E4717" i="38"/>
  <c r="E4711" i="38"/>
  <c r="E4706" i="38"/>
  <c r="E4701" i="38"/>
  <c r="E4695" i="38"/>
  <c r="E4690" i="38"/>
  <c r="E4685" i="38"/>
  <c r="E4679" i="38"/>
  <c r="E4674" i="38"/>
  <c r="E4669" i="38"/>
  <c r="E4663" i="38"/>
  <c r="E4658" i="38"/>
  <c r="E4653" i="38"/>
  <c r="E4647" i="38"/>
  <c r="E4642" i="38"/>
  <c r="E4637" i="38"/>
  <c r="E4631" i="38"/>
  <c r="E4626" i="38"/>
  <c r="E4621" i="38"/>
  <c r="E4615" i="38"/>
  <c r="E4610" i="38"/>
  <c r="E4605" i="38"/>
  <c r="E4599" i="38"/>
  <c r="E4594" i="38"/>
  <c r="E4589" i="38"/>
  <c r="E4583" i="38"/>
  <c r="E4578" i="38"/>
  <c r="E4573" i="38"/>
  <c r="E4567" i="38"/>
  <c r="E4562" i="38"/>
  <c r="E4557" i="38"/>
  <c r="E4551" i="38"/>
  <c r="E4546" i="38"/>
  <c r="E4541" i="38"/>
  <c r="E4535" i="38"/>
  <c r="E4530" i="38"/>
  <c r="E4525" i="38"/>
  <c r="E4519" i="38"/>
  <c r="E4514" i="38"/>
  <c r="E4509" i="38"/>
  <c r="E4503" i="38"/>
  <c r="E4498" i="38"/>
  <c r="E4493" i="38"/>
  <c r="E4487" i="38"/>
  <c r="E4482" i="38"/>
  <c r="E4477" i="38"/>
  <c r="E4471" i="38"/>
  <c r="E4466" i="38"/>
  <c r="E4461" i="38"/>
  <c r="E4455" i="38"/>
  <c r="E4450" i="38"/>
  <c r="E4445" i="38"/>
  <c r="E4439" i="38"/>
  <c r="E4434" i="38"/>
  <c r="E4429" i="38"/>
  <c r="E4423" i="38"/>
  <c r="E4418" i="38"/>
  <c r="E4413" i="38"/>
  <c r="E4407" i="38"/>
  <c r="E4402" i="38"/>
  <c r="E4397" i="38"/>
  <c r="E4391" i="38"/>
  <c r="E4386" i="38"/>
  <c r="E4381" i="38"/>
  <c r="E4375" i="38"/>
  <c r="E4370" i="38"/>
  <c r="E4365" i="38"/>
  <c r="E4359" i="38"/>
  <c r="E4354" i="38"/>
  <c r="E4349" i="38"/>
  <c r="E4343" i="38"/>
  <c r="E4338" i="38"/>
  <c r="E4333" i="38"/>
  <c r="E4327" i="38"/>
  <c r="E4322" i="38"/>
  <c r="E4317" i="38"/>
  <c r="E4311" i="38"/>
  <c r="E4306" i="38"/>
  <c r="E4301" i="38"/>
  <c r="E4295" i="38"/>
  <c r="E4290" i="38"/>
  <c r="E4285" i="38"/>
  <c r="E4279" i="38"/>
  <c r="E4274" i="38"/>
  <c r="E4269" i="38"/>
  <c r="E4263" i="38"/>
  <c r="E4258" i="38"/>
  <c r="E4253" i="38"/>
  <c r="E4247" i="38"/>
  <c r="E4242" i="38"/>
  <c r="E4237" i="38"/>
  <c r="E4231" i="38"/>
  <c r="E4226" i="38"/>
  <c r="E4221" i="38"/>
  <c r="E4215" i="38"/>
  <c r="E4210" i="38"/>
  <c r="E4205" i="38"/>
  <c r="E4199" i="38"/>
  <c r="E4194" i="38"/>
  <c r="E4189" i="38"/>
  <c r="E4183" i="38"/>
  <c r="E4178" i="38"/>
  <c r="E4173" i="38"/>
  <c r="E4167" i="38"/>
  <c r="E4162" i="38"/>
  <c r="E4157" i="38"/>
  <c r="E4151" i="38"/>
  <c r="E4146" i="38"/>
  <c r="E4141" i="38"/>
  <c r="E4135" i="38"/>
  <c r="E4130" i="38"/>
  <c r="E4125" i="38"/>
  <c r="E4119" i="38"/>
  <c r="E4114" i="38"/>
  <c r="E4109" i="38"/>
  <c r="E4103" i="38"/>
  <c r="E4098" i="38"/>
  <c r="E4093" i="38"/>
  <c r="E4087" i="38"/>
  <c r="E4082" i="38"/>
  <c r="E4077" i="38"/>
  <c r="E4071" i="38"/>
  <c r="E4066" i="38"/>
  <c r="E4061" i="38"/>
  <c r="E4055" i="38"/>
  <c r="E4050" i="38"/>
  <c r="E4045" i="38"/>
  <c r="E4039" i="38"/>
  <c r="E4034" i="38"/>
  <c r="E4029" i="38"/>
  <c r="E4023" i="38"/>
  <c r="E4018" i="38"/>
  <c r="E4013" i="38"/>
  <c r="E4007" i="38"/>
  <c r="E4002" i="38"/>
  <c r="E3997" i="38"/>
  <c r="E3991" i="38"/>
  <c r="E3986" i="38"/>
  <c r="E3981" i="38"/>
  <c r="E3975" i="38"/>
  <c r="E3970" i="38"/>
  <c r="E3965" i="38"/>
  <c r="E3959" i="38"/>
  <c r="E3954" i="38"/>
  <c r="E3949" i="38"/>
  <c r="E3943" i="38"/>
  <c r="E3938" i="38"/>
  <c r="E3933" i="38"/>
  <c r="E3927" i="38"/>
  <c r="E3922" i="38"/>
  <c r="E3917" i="38"/>
  <c r="E3911" i="38"/>
  <c r="E3906" i="38"/>
  <c r="E3901" i="38"/>
  <c r="E3895" i="38"/>
  <c r="E3889" i="38"/>
  <c r="E3881" i="38"/>
  <c r="E3873" i="38"/>
  <c r="E3865" i="38"/>
  <c r="E3857" i="38"/>
  <c r="E3849" i="38"/>
  <c r="E3841" i="38"/>
  <c r="E3832" i="38"/>
  <c r="E3821" i="38"/>
  <c r="E3811" i="38"/>
  <c r="E3800" i="38"/>
  <c r="E3789" i="38"/>
  <c r="E3779" i="38"/>
  <c r="E3768" i="38"/>
  <c r="E3757" i="38"/>
  <c r="E3747" i="38"/>
  <c r="E3736" i="38"/>
  <c r="E3725" i="38"/>
  <c r="E3715" i="38"/>
  <c r="E3704" i="38"/>
  <c r="E3693" i="38"/>
  <c r="E3683" i="38"/>
  <c r="E3672" i="38"/>
  <c r="E3661" i="38"/>
  <c r="E3651" i="38"/>
  <c r="E3640" i="38"/>
  <c r="E3629" i="38"/>
  <c r="E3619" i="38"/>
  <c r="E3608" i="38"/>
  <c r="E3597" i="38"/>
  <c r="E3587" i="38"/>
  <c r="E3576" i="38"/>
  <c r="E3565" i="38"/>
  <c r="E3555" i="38"/>
  <c r="E3544" i="38"/>
  <c r="E3533" i="38"/>
  <c r="E3523" i="38"/>
  <c r="E3512" i="38"/>
  <c r="E3501" i="38"/>
  <c r="E3491" i="38"/>
  <c r="E3480" i="38"/>
  <c r="E3469" i="38"/>
  <c r="E3459" i="38"/>
  <c r="E3448" i="38"/>
  <c r="E3437" i="38"/>
  <c r="E3427" i="38"/>
  <c r="E3416" i="38"/>
  <c r="E3405" i="38"/>
  <c r="E3395" i="38"/>
  <c r="E3384" i="38"/>
  <c r="E3373" i="38"/>
  <c r="E3363" i="38"/>
  <c r="E3352" i="38"/>
  <c r="E3341" i="38"/>
  <c r="E3331" i="38"/>
  <c r="E3320" i="38"/>
  <c r="E3309" i="38"/>
  <c r="E3299" i="38"/>
  <c r="E3288" i="38"/>
  <c r="E3277" i="38"/>
  <c r="E3267" i="38"/>
  <c r="E3256" i="38"/>
  <c r="E3245" i="38"/>
  <c r="E3235" i="38"/>
  <c r="E3224" i="38"/>
  <c r="E3213" i="38"/>
  <c r="E3203" i="38"/>
  <c r="E3192" i="38"/>
  <c r="E3181" i="38"/>
  <c r="E3171" i="38"/>
  <c r="E3160" i="38"/>
  <c r="E3149" i="38"/>
  <c r="E3139" i="38"/>
  <c r="E3128" i="38"/>
  <c r="E3117" i="38"/>
  <c r="E3107" i="38"/>
  <c r="E3096" i="38"/>
  <c r="E3085" i="38"/>
  <c r="E3075" i="38"/>
  <c r="E3064" i="38"/>
  <c r="E3053" i="38"/>
  <c r="E3043" i="38"/>
  <c r="E3032" i="38"/>
  <c r="E3021" i="38"/>
  <c r="E3011" i="38"/>
  <c r="E3000" i="38"/>
  <c r="E2989" i="38"/>
  <c r="E2979" i="38"/>
  <c r="E2968" i="38"/>
  <c r="E2957" i="38"/>
  <c r="E2947" i="38"/>
  <c r="E2936" i="38"/>
  <c r="E2925" i="38"/>
  <c r="E2915" i="38"/>
  <c r="E2904" i="38"/>
  <c r="E2893" i="38"/>
  <c r="E2883" i="38"/>
  <c r="E2872" i="38"/>
  <c r="E2861" i="38"/>
  <c r="E2851" i="38"/>
  <c r="E2840" i="38"/>
  <c r="E2829" i="38"/>
  <c r="E2815" i="38"/>
  <c r="E2799" i="38"/>
  <c r="E2783" i="38"/>
  <c r="E2767" i="38"/>
  <c r="E2751" i="38"/>
  <c r="E2735" i="38"/>
  <c r="E2719" i="38"/>
  <c r="E2703" i="38"/>
  <c r="E2687" i="38"/>
  <c r="E2671" i="38"/>
  <c r="E2655" i="38"/>
  <c r="E2639" i="38"/>
  <c r="E2623" i="38"/>
  <c r="E2607" i="38"/>
  <c r="E2591" i="38"/>
  <c r="E2575" i="38"/>
  <c r="E2559" i="38"/>
  <c r="E2543" i="38"/>
  <c r="E2527" i="38"/>
  <c r="E2511" i="38"/>
  <c r="E2495" i="38"/>
  <c r="E2479" i="38"/>
  <c r="E2463" i="38"/>
  <c r="E2447" i="38"/>
  <c r="E2431" i="38"/>
  <c r="E2415" i="38"/>
  <c r="E2399" i="38"/>
  <c r="E2383" i="38"/>
  <c r="E2367" i="38"/>
  <c r="E2351" i="38"/>
  <c r="E2335" i="38"/>
  <c r="E2319" i="38"/>
  <c r="E2303" i="38"/>
  <c r="E2286" i="38"/>
  <c r="E2264" i="38"/>
  <c r="E2243" i="38"/>
  <c r="E2222" i="38"/>
  <c r="E2200" i="38"/>
  <c r="E2179" i="38"/>
  <c r="E2158" i="38"/>
  <c r="E2136" i="38"/>
  <c r="E2115" i="38"/>
  <c r="E2094" i="38"/>
  <c r="E2072" i="38"/>
  <c r="E2051" i="38"/>
  <c r="E2030" i="38"/>
  <c r="E2008" i="38"/>
  <c r="E1987" i="38"/>
  <c r="E1966" i="38"/>
  <c r="E1944" i="38"/>
  <c r="E1923" i="38"/>
  <c r="E1902" i="38"/>
  <c r="E1880" i="38"/>
  <c r="E1859" i="38"/>
  <c r="E1838" i="38"/>
  <c r="E1816" i="38"/>
  <c r="E1795" i="38"/>
  <c r="E1774" i="38"/>
  <c r="E1752" i="38"/>
  <c r="E1731" i="38"/>
  <c r="E1710" i="38"/>
  <c r="E1678" i="38"/>
  <c r="E1646" i="38"/>
  <c r="E1614" i="38"/>
  <c r="E1582" i="38"/>
  <c r="E1550" i="38"/>
  <c r="E1518" i="38"/>
  <c r="E1486" i="38"/>
  <c r="E1454" i="38"/>
  <c r="E1422" i="38"/>
  <c r="E1390" i="38"/>
  <c r="E1358" i="38"/>
  <c r="E1325" i="38"/>
  <c r="E1282" i="38"/>
  <c r="E1240" i="38"/>
  <c r="E1197" i="38"/>
  <c r="E1154" i="38"/>
  <c r="E1112" i="38"/>
  <c r="E1065" i="38"/>
  <c r="E984" i="38"/>
  <c r="E898" i="38"/>
  <c r="E813" i="38"/>
  <c r="E692" i="38"/>
  <c r="E521" i="38"/>
  <c r="E257" i="38"/>
  <c r="O6" i="28"/>
  <c r="K6" i="28"/>
  <c r="G6" i="28"/>
  <c r="O5" i="28"/>
  <c r="K5" i="28"/>
  <c r="G5" i="28"/>
  <c r="O4" i="28"/>
  <c r="K4" i="28"/>
  <c r="G4" i="28"/>
  <c r="O6" i="27"/>
  <c r="K6" i="27"/>
  <c r="G6" i="27"/>
  <c r="O5" i="27"/>
  <c r="K5" i="27"/>
  <c r="G5" i="27"/>
  <c r="O4" i="27"/>
  <c r="K4" i="27"/>
  <c r="G4" i="27"/>
  <c r="O6" i="25"/>
  <c r="K6" i="25"/>
  <c r="G6" i="25"/>
  <c r="O5" i="25"/>
  <c r="K5" i="25"/>
  <c r="G5" i="25"/>
  <c r="O4" i="25"/>
  <c r="K4" i="25"/>
  <c r="G4" i="25"/>
  <c r="O6" i="23"/>
  <c r="K6" i="23"/>
  <c r="G6" i="23"/>
  <c r="O5" i="23"/>
  <c r="K5" i="23"/>
  <c r="G5" i="23"/>
  <c r="O4" i="23"/>
  <c r="K4" i="23"/>
  <c r="G4" i="23"/>
  <c r="E521" i="36"/>
  <c r="E505" i="36"/>
  <c r="E493" i="36"/>
  <c r="E482" i="36"/>
  <c r="E469" i="36"/>
  <c r="E458" i="36"/>
  <c r="E448" i="36"/>
  <c r="E432" i="36"/>
  <c r="E422" i="36"/>
  <c r="E411" i="36"/>
  <c r="E393" i="36"/>
  <c r="E382" i="36"/>
  <c r="E369" i="36"/>
  <c r="E355" i="36"/>
  <c r="E344" i="36"/>
  <c r="E334" i="36"/>
  <c r="E326" i="36"/>
  <c r="E318" i="36"/>
  <c r="E304" i="36"/>
  <c r="E290" i="36"/>
  <c r="E274" i="36"/>
  <c r="E262" i="36"/>
  <c r="E254" i="36"/>
  <c r="E240" i="36"/>
  <c r="E226" i="36"/>
  <c r="E210" i="36"/>
  <c r="E198" i="36"/>
  <c r="E184" i="36"/>
  <c r="E170" i="36"/>
  <c r="E158" i="36"/>
  <c r="E142" i="36"/>
  <c r="E128" i="36"/>
  <c r="E114" i="36"/>
  <c r="E102" i="36"/>
  <c r="E91" i="36"/>
  <c r="E83" i="36"/>
  <c r="E73" i="36"/>
  <c r="E57" i="36"/>
  <c r="E45" i="36"/>
  <c r="E35" i="36"/>
  <c r="E25" i="36"/>
  <c r="I13" i="36"/>
  <c r="C67" i="36" s="1"/>
  <c r="I12" i="36"/>
  <c r="I11" i="36"/>
  <c r="E11" i="36"/>
  <c r="I10" i="36"/>
  <c r="C388" i="36" s="1"/>
  <c r="I7" i="36"/>
  <c r="E7" i="36"/>
  <c r="I6" i="36"/>
  <c r="I5" i="36"/>
  <c r="E5" i="36"/>
  <c r="I4" i="36"/>
  <c r="E515" i="36" s="1"/>
  <c r="I13" i="35"/>
  <c r="C3" i="35" s="1"/>
  <c r="I12" i="35"/>
  <c r="I11" i="35"/>
  <c r="C11" i="35"/>
  <c r="I10" i="35"/>
  <c r="C1922" i="35" s="1"/>
  <c r="I7" i="35"/>
  <c r="I6" i="35"/>
  <c r="I5" i="35"/>
  <c r="I4" i="35"/>
  <c r="E3" i="35" s="1"/>
  <c r="O6" i="22"/>
  <c r="K6" i="22"/>
  <c r="G6" i="22"/>
  <c r="O5" i="22"/>
  <c r="K5" i="22"/>
  <c r="G5" i="22"/>
  <c r="O4" i="22"/>
  <c r="K4" i="22"/>
  <c r="G4" i="22"/>
  <c r="O6" i="19"/>
  <c r="K6" i="19"/>
  <c r="G6" i="19"/>
  <c r="O5" i="19"/>
  <c r="K5" i="19"/>
  <c r="G5" i="19"/>
  <c r="O4" i="19"/>
  <c r="K4" i="19"/>
  <c r="G4" i="19"/>
  <c r="MR34" i="10"/>
  <c r="MQ34" i="10"/>
  <c r="MR33" i="10"/>
  <c r="MQ33" i="10"/>
  <c r="MO33" i="10"/>
  <c r="MN33" i="10"/>
  <c r="MR32" i="10"/>
  <c r="MQ32" i="10"/>
  <c r="MO32" i="10"/>
  <c r="MN32" i="10"/>
  <c r="MR31" i="10"/>
  <c r="MQ31" i="10"/>
  <c r="MO31" i="10"/>
  <c r="MN31" i="10"/>
  <c r="MR30" i="10"/>
  <c r="MQ30" i="10"/>
  <c r="MO30" i="10"/>
  <c r="MN30" i="10"/>
  <c r="MR29" i="10"/>
  <c r="MQ29" i="10"/>
  <c r="MO29" i="10"/>
  <c r="MN29" i="10"/>
  <c r="MR28" i="10"/>
  <c r="MQ28" i="10"/>
  <c r="MO28" i="10"/>
  <c r="MN28" i="10"/>
  <c r="MR27" i="10"/>
  <c r="MQ27" i="10"/>
  <c r="MO27" i="10"/>
  <c r="MN27" i="10"/>
  <c r="MR26" i="10"/>
  <c r="MQ26" i="10"/>
  <c r="MO26" i="10"/>
  <c r="MN26" i="10"/>
  <c r="MR25" i="10"/>
  <c r="MQ25" i="10"/>
  <c r="MO25" i="10"/>
  <c r="MN25" i="10"/>
  <c r="MR24" i="10"/>
  <c r="MQ24" i="10"/>
  <c r="MO24" i="10"/>
  <c r="MN24" i="10"/>
  <c r="MR23" i="10"/>
  <c r="MQ23" i="10"/>
  <c r="MO23" i="10"/>
  <c r="MN23" i="10"/>
  <c r="MR22" i="10"/>
  <c r="MQ22" i="10"/>
  <c r="MO22" i="10"/>
  <c r="MN22" i="10"/>
  <c r="MR21" i="10"/>
  <c r="MQ21" i="10"/>
  <c r="MO21" i="10"/>
  <c r="MN21" i="10"/>
  <c r="MR20" i="10"/>
  <c r="MQ20" i="10"/>
  <c r="MO20" i="10"/>
  <c r="MN20" i="10"/>
  <c r="MR19" i="10"/>
  <c r="MQ19" i="10"/>
  <c r="MO19" i="10"/>
  <c r="MN19" i="10"/>
  <c r="MR18" i="10"/>
  <c r="MQ18" i="10"/>
  <c r="MO18" i="10"/>
  <c r="MN18" i="10"/>
  <c r="MR17" i="10"/>
  <c r="MQ17" i="10"/>
  <c r="MO17" i="10"/>
  <c r="MN17" i="10"/>
  <c r="MR16" i="10"/>
  <c r="MQ16" i="10"/>
  <c r="MO16" i="10"/>
  <c r="MN16" i="10"/>
  <c r="MR15" i="10"/>
  <c r="MQ15" i="10"/>
  <c r="MO15" i="10"/>
  <c r="MN15" i="10"/>
  <c r="MR14" i="10"/>
  <c r="MQ14" i="10"/>
  <c r="MO14" i="10"/>
  <c r="MN14" i="10"/>
  <c r="MR13" i="10"/>
  <c r="MQ13" i="10"/>
  <c r="MO13" i="10"/>
  <c r="MN13" i="10"/>
  <c r="MR12" i="10"/>
  <c r="MQ12" i="10"/>
  <c r="MO12" i="10"/>
  <c r="MN12" i="10"/>
  <c r="MR11" i="10"/>
  <c r="MQ11" i="10"/>
  <c r="MO11" i="10"/>
  <c r="MN11" i="10"/>
  <c r="MR10" i="10"/>
  <c r="MQ10" i="10"/>
  <c r="MO10" i="10"/>
  <c r="MN10" i="10"/>
  <c r="MR9" i="10"/>
  <c r="MQ9" i="10"/>
  <c r="MO9" i="10"/>
  <c r="MN9" i="10"/>
  <c r="MR8" i="10"/>
  <c r="MQ8" i="10"/>
  <c r="MO8" i="10"/>
  <c r="MN8" i="10"/>
  <c r="MR7" i="10"/>
  <c r="MQ7" i="10"/>
  <c r="MO7" i="10"/>
  <c r="MN7" i="10"/>
  <c r="MR6" i="10"/>
  <c r="MQ6" i="10"/>
  <c r="MO6" i="10"/>
  <c r="MN6" i="10"/>
  <c r="MR5" i="10"/>
  <c r="MQ5" i="10"/>
  <c r="MO5" i="10"/>
  <c r="MN5" i="10"/>
  <c r="MR4" i="10"/>
  <c r="MQ4" i="10"/>
  <c r="MO4" i="10"/>
  <c r="MN4" i="10"/>
  <c r="MF1" i="10"/>
  <c r="LY1" i="10"/>
  <c r="LR1" i="10"/>
  <c r="LK1" i="10"/>
  <c r="LD1" i="10"/>
  <c r="KW1" i="10"/>
  <c r="KP1" i="10"/>
  <c r="KI1" i="10"/>
  <c r="KB1" i="10"/>
  <c r="JU1" i="10"/>
  <c r="JN1" i="10"/>
  <c r="JG1" i="10"/>
  <c r="IZ1" i="10"/>
  <c r="IS1" i="10"/>
  <c r="IL1" i="10"/>
  <c r="IE1" i="10"/>
  <c r="HX1" i="10"/>
  <c r="HQ1" i="10"/>
  <c r="HJ1" i="10"/>
  <c r="HC1" i="10"/>
  <c r="GV1" i="10"/>
  <c r="GO1" i="10"/>
  <c r="GH1" i="10"/>
  <c r="GA1" i="10"/>
  <c r="FT1" i="10"/>
  <c r="FM1" i="10"/>
  <c r="FF1" i="10"/>
  <c r="EY1" i="10"/>
  <c r="ER1" i="10"/>
  <c r="EK1" i="10"/>
  <c r="ED1" i="10"/>
  <c r="DW1" i="10"/>
  <c r="DP1" i="10"/>
  <c r="DI1" i="10"/>
  <c r="DB1" i="10"/>
  <c r="CU1" i="10"/>
  <c r="CN1" i="10"/>
  <c r="CG1" i="10"/>
  <c r="BZ1" i="10"/>
  <c r="BS1" i="10"/>
  <c r="BL1" i="10"/>
  <c r="BE1" i="10"/>
  <c r="AX1" i="10"/>
  <c r="AQ1" i="10"/>
  <c r="AJ1" i="10"/>
  <c r="AC1" i="10"/>
  <c r="V1" i="10"/>
  <c r="O1" i="10"/>
  <c r="H1" i="10"/>
  <c r="A1" i="10"/>
  <c r="O6" i="16"/>
  <c r="K6" i="16"/>
  <c r="G6" i="16"/>
  <c r="O5" i="16"/>
  <c r="K5" i="16"/>
  <c r="G5" i="16"/>
  <c r="O4" i="16"/>
  <c r="K4" i="16"/>
  <c r="G4" i="16"/>
  <c r="O6" i="14"/>
  <c r="K6" i="14"/>
  <c r="G6" i="14"/>
  <c r="O5" i="14"/>
  <c r="K5" i="14"/>
  <c r="G5" i="14"/>
  <c r="O4" i="14"/>
  <c r="K4" i="14"/>
  <c r="G4" i="14"/>
  <c r="O6" i="12"/>
  <c r="K6" i="12"/>
  <c r="G6" i="12"/>
  <c r="O5" i="12"/>
  <c r="K5" i="12"/>
  <c r="G5" i="12"/>
  <c r="O4" i="12"/>
  <c r="K4" i="12"/>
  <c r="G4" i="12"/>
  <c r="A148" i="9"/>
  <c r="A145" i="9"/>
  <c r="A142" i="9"/>
  <c r="A139" i="9"/>
  <c r="A136" i="9"/>
  <c r="A133" i="9"/>
  <c r="A130" i="9"/>
  <c r="A127" i="9"/>
  <c r="A124" i="9"/>
  <c r="A121" i="9"/>
  <c r="A118" i="9"/>
  <c r="A115" i="9"/>
  <c r="A112" i="9"/>
  <c r="A109" i="9"/>
  <c r="A106" i="9"/>
  <c r="A103" i="9"/>
  <c r="A100" i="9"/>
  <c r="A97" i="9"/>
  <c r="A94" i="9"/>
  <c r="A91" i="9"/>
  <c r="A88" i="9"/>
  <c r="A85" i="9"/>
  <c r="A82" i="9"/>
  <c r="A79" i="9"/>
  <c r="A76" i="9"/>
  <c r="A73" i="9"/>
  <c r="A70" i="9"/>
  <c r="A67" i="9"/>
  <c r="A64" i="9"/>
  <c r="A61" i="9"/>
  <c r="A58" i="9"/>
  <c r="A55" i="9"/>
  <c r="A52" i="9"/>
  <c r="A49" i="9"/>
  <c r="A46" i="9"/>
  <c r="A43" i="9"/>
  <c r="A40" i="9"/>
  <c r="ER1" i="9"/>
  <c r="EO1" i="9"/>
  <c r="EL1" i="9"/>
  <c r="EI1" i="9"/>
  <c r="EF1" i="9"/>
  <c r="EC1" i="9"/>
  <c r="DZ1" i="9"/>
  <c r="DW1" i="9"/>
  <c r="DT1" i="9"/>
  <c r="DQ1" i="9"/>
  <c r="DN1" i="9"/>
  <c r="DK1" i="9"/>
  <c r="DH1" i="9"/>
  <c r="DE1" i="9"/>
  <c r="DB1" i="9"/>
  <c r="CY1" i="9"/>
  <c r="CV1" i="9"/>
  <c r="CS1" i="9"/>
  <c r="CP1" i="9"/>
  <c r="CM1" i="9"/>
  <c r="CJ1" i="9"/>
  <c r="CG1" i="9"/>
  <c r="CD1" i="9"/>
  <c r="CA1" i="9"/>
  <c r="BX1" i="9"/>
  <c r="BU1" i="9"/>
  <c r="BR1" i="9"/>
  <c r="BO1" i="9"/>
  <c r="BL1" i="9"/>
  <c r="BI1" i="9"/>
  <c r="BF1" i="9"/>
  <c r="BC1" i="9"/>
  <c r="AZ1" i="9"/>
  <c r="AW1" i="9"/>
  <c r="AT1" i="9"/>
  <c r="AQ1" i="9"/>
  <c r="AN1" i="9"/>
  <c r="AK1" i="9"/>
  <c r="AH1" i="9"/>
  <c r="AE1" i="9"/>
  <c r="AB1" i="9"/>
  <c r="Y1" i="9"/>
  <c r="V1" i="9"/>
  <c r="S1" i="9"/>
  <c r="P1" i="9"/>
  <c r="M1" i="9"/>
  <c r="J1" i="9"/>
  <c r="G1" i="9"/>
  <c r="D1" i="9"/>
  <c r="A1" i="9"/>
  <c r="A148" i="8"/>
  <c r="ER1" i="8"/>
  <c r="EO1" i="8"/>
  <c r="EL1" i="8"/>
  <c r="EI1" i="8"/>
  <c r="EF1" i="8"/>
  <c r="EC1" i="8"/>
  <c r="DZ1" i="8"/>
  <c r="DW1" i="8"/>
  <c r="DT1" i="8"/>
  <c r="DQ1" i="8"/>
  <c r="DN1" i="8"/>
  <c r="DK1" i="8"/>
  <c r="DH1" i="8"/>
  <c r="DE1" i="8"/>
  <c r="DB1" i="8"/>
  <c r="CY1" i="8"/>
  <c r="CV1" i="8"/>
  <c r="CS1" i="8"/>
  <c r="CP1" i="8"/>
  <c r="CM1" i="8"/>
  <c r="CJ1" i="8"/>
  <c r="CG1" i="8"/>
  <c r="CD1" i="8"/>
  <c r="CA1" i="8"/>
  <c r="BX1" i="8"/>
  <c r="BU1" i="8"/>
  <c r="BR1" i="8"/>
  <c r="BO1" i="8"/>
  <c r="BL1" i="8"/>
  <c r="BI1" i="8"/>
  <c r="BF1" i="8"/>
  <c r="BC1" i="8"/>
  <c r="AZ1" i="8"/>
  <c r="AW1" i="8"/>
  <c r="AT1" i="8"/>
  <c r="AQ1" i="8"/>
  <c r="AN1" i="8"/>
  <c r="AK1" i="8"/>
  <c r="AH1" i="8"/>
  <c r="AE1" i="8"/>
  <c r="AB1" i="8"/>
  <c r="Y1" i="8"/>
  <c r="V1" i="8"/>
  <c r="S1" i="8"/>
  <c r="P1" i="8"/>
  <c r="M1" i="8"/>
  <c r="J1" i="8"/>
  <c r="G1" i="8"/>
  <c r="D1" i="8"/>
  <c r="A1" i="8"/>
  <c r="ER1" i="7"/>
  <c r="EO1" i="7"/>
  <c r="EL1" i="7"/>
  <c r="EI1" i="7"/>
  <c r="EF1" i="7"/>
  <c r="EC1" i="7"/>
  <c r="DZ1" i="7"/>
  <c r="DW1" i="7"/>
  <c r="DT1" i="7"/>
  <c r="DQ1" i="7"/>
  <c r="DN1" i="7"/>
  <c r="DK1" i="7"/>
  <c r="DH1" i="7"/>
  <c r="DE1" i="7"/>
  <c r="DB1" i="7"/>
  <c r="CY1" i="7"/>
  <c r="CV1" i="7"/>
  <c r="CS1" i="7"/>
  <c r="CP1" i="7"/>
  <c r="CM1" i="7"/>
  <c r="CJ1" i="7"/>
  <c r="CG1" i="7"/>
  <c r="CD1" i="7"/>
  <c r="CA1" i="7"/>
  <c r="BX1" i="7"/>
  <c r="BU1" i="7"/>
  <c r="BR1" i="7"/>
  <c r="BO1" i="7"/>
  <c r="BL1" i="7"/>
  <c r="BI1" i="7"/>
  <c r="BF1" i="7"/>
  <c r="BC1" i="7"/>
  <c r="AZ1" i="7"/>
  <c r="AW1" i="7"/>
  <c r="AT1" i="7"/>
  <c r="AQ1" i="7"/>
  <c r="AN1" i="7"/>
  <c r="AK1" i="7"/>
  <c r="AH1" i="7"/>
  <c r="AE1" i="7"/>
  <c r="AB1" i="7"/>
  <c r="Y1" i="7"/>
  <c r="V1" i="7"/>
  <c r="S1" i="7"/>
  <c r="P1" i="7"/>
  <c r="M1" i="7"/>
  <c r="J1" i="7"/>
  <c r="G1" i="7"/>
  <c r="D1" i="7"/>
  <c r="A1" i="7"/>
  <c r="C5" i="35" l="1"/>
  <c r="E1978" i="35"/>
  <c r="C27" i="35"/>
  <c r="C59" i="35"/>
  <c r="C89" i="35"/>
  <c r="C129" i="35"/>
  <c r="C179" i="35"/>
  <c r="C217" i="35"/>
  <c r="C257" i="35"/>
  <c r="C307" i="35"/>
  <c r="C345" i="35"/>
  <c r="C385" i="35"/>
  <c r="C435" i="35"/>
  <c r="C473" i="35"/>
  <c r="C513" i="35"/>
  <c r="C563" i="35"/>
  <c r="C601" i="35"/>
  <c r="C653" i="35"/>
  <c r="C717" i="35"/>
  <c r="C781" i="35"/>
  <c r="C845" i="35"/>
  <c r="C909" i="35"/>
  <c r="C950" i="35"/>
  <c r="C1064" i="35"/>
  <c r="C1182" i="35"/>
  <c r="C1324" i="35"/>
  <c r="C1528" i="35"/>
  <c r="C1846" i="35"/>
  <c r="C2082" i="35"/>
  <c r="E17" i="36"/>
  <c r="E27" i="36"/>
  <c r="E37" i="36"/>
  <c r="E49" i="36"/>
  <c r="E59" i="36"/>
  <c r="E67" i="36"/>
  <c r="E75" i="36"/>
  <c r="E85" i="36"/>
  <c r="E93" i="36"/>
  <c r="E106" i="36"/>
  <c r="C118" i="36"/>
  <c r="E130" i="36"/>
  <c r="E144" i="36"/>
  <c r="E160" i="36"/>
  <c r="E174" i="36"/>
  <c r="E190" i="36"/>
  <c r="E202" i="36"/>
  <c r="E216" i="36"/>
  <c r="E230" i="36"/>
  <c r="E242" i="36"/>
  <c r="E256" i="36"/>
  <c r="E266" i="36"/>
  <c r="E280" i="36"/>
  <c r="E294" i="36"/>
  <c r="E306" i="36"/>
  <c r="E320" i="36"/>
  <c r="E327" i="36"/>
  <c r="E336" i="36"/>
  <c r="E350" i="36"/>
  <c r="E361" i="36"/>
  <c r="E373" i="36"/>
  <c r="E384" i="36"/>
  <c r="E394" i="36"/>
  <c r="E413" i="36"/>
  <c r="E425" i="36"/>
  <c r="E437" i="36"/>
  <c r="E450" i="36"/>
  <c r="E461" i="36"/>
  <c r="E473" i="36"/>
  <c r="E483" i="36"/>
  <c r="E496" i="36"/>
  <c r="E507" i="36"/>
  <c r="C9" i="35"/>
  <c r="C12" i="35"/>
  <c r="C29" i="35"/>
  <c r="C61" i="35"/>
  <c r="C101" i="35"/>
  <c r="C139" i="35"/>
  <c r="C189" i="35"/>
  <c r="C229" i="35"/>
  <c r="C267" i="35"/>
  <c r="C317" i="35"/>
  <c r="C357" i="35"/>
  <c r="C395" i="35"/>
  <c r="C445" i="35"/>
  <c r="C485" i="35"/>
  <c r="C523" i="35"/>
  <c r="C573" i="35"/>
  <c r="C613" i="35"/>
  <c r="C667" i="35"/>
  <c r="C731" i="35"/>
  <c r="C795" i="35"/>
  <c r="C859" i="35"/>
  <c r="C926" i="35"/>
  <c r="C964" i="35"/>
  <c r="C1068" i="35"/>
  <c r="C1232" i="35"/>
  <c r="C1374" i="35"/>
  <c r="C1542" i="35"/>
  <c r="C1903" i="35"/>
  <c r="E3" i="36"/>
  <c r="E6" i="36"/>
  <c r="E9" i="36"/>
  <c r="E12" i="36"/>
  <c r="E19" i="36"/>
  <c r="E29" i="36"/>
  <c r="E41" i="36"/>
  <c r="E51" i="36"/>
  <c r="E61" i="36"/>
  <c r="E69" i="36"/>
  <c r="E77" i="36"/>
  <c r="C89" i="36"/>
  <c r="E97" i="36"/>
  <c r="E110" i="36"/>
  <c r="E120" i="36"/>
  <c r="E134" i="36"/>
  <c r="E146" i="36"/>
  <c r="E162" i="36"/>
  <c r="E176" i="36"/>
  <c r="E192" i="36"/>
  <c r="E206" i="36"/>
  <c r="E222" i="36"/>
  <c r="E234" i="36"/>
  <c r="E248" i="36"/>
  <c r="E258" i="36"/>
  <c r="E270" i="36"/>
  <c r="E286" i="36"/>
  <c r="E298" i="36"/>
  <c r="E312" i="36"/>
  <c r="E322" i="36"/>
  <c r="E330" i="36"/>
  <c r="E339" i="36"/>
  <c r="E351" i="36"/>
  <c r="E363" i="36"/>
  <c r="E379" i="36"/>
  <c r="E387" i="36"/>
  <c r="E398" i="36"/>
  <c r="E416" i="36"/>
  <c r="E426" i="36"/>
  <c r="E441" i="36"/>
  <c r="E451" i="36"/>
  <c r="E462" i="36"/>
  <c r="E475" i="36"/>
  <c r="E486" i="36"/>
  <c r="E498" i="36"/>
  <c r="E512" i="36"/>
  <c r="C6" i="35"/>
  <c r="C43" i="35"/>
  <c r="C65" i="35"/>
  <c r="C115" i="35"/>
  <c r="C153" i="35"/>
  <c r="C193" i="35"/>
  <c r="C243" i="35"/>
  <c r="C281" i="35"/>
  <c r="C321" i="35"/>
  <c r="C371" i="35"/>
  <c r="C409" i="35"/>
  <c r="C449" i="35"/>
  <c r="C499" i="35"/>
  <c r="C537" i="35"/>
  <c r="C577" i="35"/>
  <c r="C627" i="35"/>
  <c r="C685" i="35"/>
  <c r="C749" i="35"/>
  <c r="C813" i="35"/>
  <c r="C877" i="35"/>
  <c r="C936" i="35"/>
  <c r="C1040" i="35"/>
  <c r="C1078" i="35"/>
  <c r="C1260" i="35"/>
  <c r="C1440" i="35"/>
  <c r="C1656" i="35"/>
  <c r="E21" i="36"/>
  <c r="E33" i="36"/>
  <c r="E43" i="36"/>
  <c r="E53" i="36"/>
  <c r="E65" i="36"/>
  <c r="C71" i="36"/>
  <c r="E81" i="36"/>
  <c r="E89" i="36"/>
  <c r="E99" i="36"/>
  <c r="E112" i="36"/>
  <c r="E126" i="36"/>
  <c r="E138" i="36"/>
  <c r="E152" i="36"/>
  <c r="E166" i="36"/>
  <c r="E178" i="36"/>
  <c r="E194" i="36"/>
  <c r="E208" i="36"/>
  <c r="E224" i="36"/>
  <c r="E238" i="36"/>
  <c r="C251" i="36"/>
  <c r="C259" i="36"/>
  <c r="E272" i="36"/>
  <c r="E288" i="36"/>
  <c r="E302" i="36"/>
  <c r="E315" i="36"/>
  <c r="E325" i="36"/>
  <c r="C331" i="36"/>
  <c r="E341" i="36"/>
  <c r="E354" i="36"/>
  <c r="E368" i="36"/>
  <c r="C380" i="36"/>
  <c r="E401" i="36"/>
  <c r="E418" i="36"/>
  <c r="E430" i="36"/>
  <c r="E445" i="36"/>
  <c r="E454" i="36"/>
  <c r="E464" i="36"/>
  <c r="E477" i="36"/>
  <c r="E489" i="36"/>
  <c r="E501" i="36"/>
  <c r="C45" i="35"/>
  <c r="C75" i="35"/>
  <c r="C125" i="35"/>
  <c r="C165" i="35"/>
  <c r="C203" i="35"/>
  <c r="C253" i="35"/>
  <c r="C293" i="35"/>
  <c r="C331" i="35"/>
  <c r="C381" i="35"/>
  <c r="C421" i="35"/>
  <c r="C459" i="35"/>
  <c r="C509" i="35"/>
  <c r="C549" i="35"/>
  <c r="C587" i="35"/>
  <c r="C637" i="35"/>
  <c r="C699" i="35"/>
  <c r="C763" i="35"/>
  <c r="C827" i="35"/>
  <c r="C891" i="35"/>
  <c r="C940" i="35"/>
  <c r="C1054" i="35"/>
  <c r="C1092" i="35"/>
  <c r="C1296" i="35"/>
  <c r="C1478" i="35"/>
  <c r="C1770" i="35"/>
  <c r="C1997" i="35"/>
  <c r="E16" i="35"/>
  <c r="E21" i="35"/>
  <c r="E32" i="35"/>
  <c r="E37" i="35"/>
  <c r="E48" i="35"/>
  <c r="E53" i="35"/>
  <c r="E72" i="35"/>
  <c r="E79" i="35"/>
  <c r="E86" i="35"/>
  <c r="E93" i="35"/>
  <c r="E107" i="35"/>
  <c r="E122" i="35"/>
  <c r="E136" i="35"/>
  <c r="E143" i="35"/>
  <c r="E150" i="35"/>
  <c r="E157" i="35"/>
  <c r="E171" i="35"/>
  <c r="E186" i="35"/>
  <c r="E200" i="35"/>
  <c r="E207" i="35"/>
  <c r="E214" i="35"/>
  <c r="E221" i="35"/>
  <c r="E235" i="35"/>
  <c r="E250" i="35"/>
  <c r="E264" i="35"/>
  <c r="E271" i="35"/>
  <c r="E278" i="35"/>
  <c r="E285" i="35"/>
  <c r="E299" i="35"/>
  <c r="E314" i="35"/>
  <c r="E328" i="35"/>
  <c r="E335" i="35"/>
  <c r="E342" i="35"/>
  <c r="E349" i="35"/>
  <c r="E363" i="35"/>
  <c r="E378" i="35"/>
  <c r="E392" i="35"/>
  <c r="E399" i="35"/>
  <c r="E406" i="35"/>
  <c r="E413" i="35"/>
  <c r="E427" i="35"/>
  <c r="E442" i="35"/>
  <c r="E456" i="35"/>
  <c r="E463" i="35"/>
  <c r="E470" i="35"/>
  <c r="E477" i="35"/>
  <c r="E491" i="35"/>
  <c r="E506" i="35"/>
  <c r="E520" i="35"/>
  <c r="E527" i="35"/>
  <c r="E534" i="35"/>
  <c r="E541" i="35"/>
  <c r="E555" i="35"/>
  <c r="E570" i="35"/>
  <c r="E584" i="35"/>
  <c r="E591" i="35"/>
  <c r="E598" i="35"/>
  <c r="E605" i="35"/>
  <c r="E619" i="35"/>
  <c r="E634" i="35"/>
  <c r="E642" i="35"/>
  <c r="E663" i="35"/>
  <c r="E674" i="35"/>
  <c r="E695" i="35"/>
  <c r="E706" i="35"/>
  <c r="E727" i="35"/>
  <c r="E738" i="35"/>
  <c r="E759" i="35"/>
  <c r="E770" i="35"/>
  <c r="E791" i="35"/>
  <c r="E802" i="35"/>
  <c r="E823" i="35"/>
  <c r="E834" i="35"/>
  <c r="E855" i="35"/>
  <c r="E866" i="35"/>
  <c r="E887" i="35"/>
  <c r="E898" i="35"/>
  <c r="E921" i="35"/>
  <c r="E978" i="35"/>
  <c r="E992" i="35"/>
  <c r="E1006" i="35"/>
  <c r="E1021" i="35"/>
  <c r="E1035" i="35"/>
  <c r="E1049" i="35"/>
  <c r="E1106" i="35"/>
  <c r="E1120" i="35"/>
  <c r="E1134" i="35"/>
  <c r="E1149" i="35"/>
  <c r="E1174" i="35"/>
  <c r="E1203" i="35"/>
  <c r="E1288" i="35"/>
  <c r="E1317" i="35"/>
  <c r="E1345" i="35"/>
  <c r="E1402" i="35"/>
  <c r="E1584" i="35"/>
  <c r="E1641" i="35"/>
  <c r="E1698" i="35"/>
  <c r="E1755" i="35"/>
  <c r="E1826" i="35"/>
  <c r="E2095" i="35"/>
  <c r="E2093" i="35"/>
  <c r="E2091" i="35"/>
  <c r="E2089" i="35"/>
  <c r="E2087" i="35"/>
  <c r="E2085" i="35"/>
  <c r="E2083" i="35"/>
  <c r="E2081" i="35"/>
  <c r="E2079" i="35"/>
  <c r="E2077" i="35"/>
  <c r="E2075" i="35"/>
  <c r="E2073" i="35"/>
  <c r="E2071" i="35"/>
  <c r="E2069" i="35"/>
  <c r="E2067" i="35"/>
  <c r="E2065" i="35"/>
  <c r="E2063" i="35"/>
  <c r="E2061" i="35"/>
  <c r="E2059" i="35"/>
  <c r="E2057" i="35"/>
  <c r="E2055" i="35"/>
  <c r="E2053" i="35"/>
  <c r="E2051" i="35"/>
  <c r="E2049" i="35"/>
  <c r="E2047" i="35"/>
  <c r="E2045" i="35"/>
  <c r="E2043" i="35"/>
  <c r="E2041" i="35"/>
  <c r="E2039" i="35"/>
  <c r="E2037" i="35"/>
  <c r="E2035" i="35"/>
  <c r="E2033" i="35"/>
  <c r="E2031" i="35"/>
  <c r="E2029" i="35"/>
  <c r="E2027" i="35"/>
  <c r="E2025" i="35"/>
  <c r="E2023" i="35"/>
  <c r="E2021" i="35"/>
  <c r="E2019" i="35"/>
  <c r="E2017" i="35"/>
  <c r="E2015" i="35"/>
  <c r="E2013" i="35"/>
  <c r="E2011" i="35"/>
  <c r="E2009" i="35"/>
  <c r="E2007" i="35"/>
  <c r="E2005" i="35"/>
  <c r="E2003" i="35"/>
  <c r="E2001" i="35"/>
  <c r="E1999" i="35"/>
  <c r="E1997" i="35"/>
  <c r="E1995" i="35"/>
  <c r="E1993" i="35"/>
  <c r="E1991" i="35"/>
  <c r="E1989" i="35"/>
  <c r="E1987" i="35"/>
  <c r="E1985" i="35"/>
  <c r="E1983" i="35"/>
  <c r="E1981" i="35"/>
  <c r="E1979" i="35"/>
  <c r="E1977" i="35"/>
  <c r="E1975" i="35"/>
  <c r="E1973" i="35"/>
  <c r="E1971" i="35"/>
  <c r="E1969" i="35"/>
  <c r="E1967" i="35"/>
  <c r="E1965" i="35"/>
  <c r="E1963" i="35"/>
  <c r="E1961" i="35"/>
  <c r="E1959" i="35"/>
  <c r="E1957" i="35"/>
  <c r="E1955" i="35"/>
  <c r="E1953" i="35"/>
  <c r="E1951" i="35"/>
  <c r="E1949" i="35"/>
  <c r="E1947" i="35"/>
  <c r="E1945" i="35"/>
  <c r="E1943" i="35"/>
  <c r="E1941" i="35"/>
  <c r="E1939" i="35"/>
  <c r="E1937" i="35"/>
  <c r="E1935" i="35"/>
  <c r="E1933" i="35"/>
  <c r="E1931" i="35"/>
  <c r="E1929" i="35"/>
  <c r="E1927" i="35"/>
  <c r="E1925" i="35"/>
  <c r="E1923" i="35"/>
  <c r="E1921" i="35"/>
  <c r="E1919" i="35"/>
  <c r="E1917" i="35"/>
  <c r="E1915" i="35"/>
  <c r="E1913" i="35"/>
  <c r="E1911" i="35"/>
  <c r="E1909" i="35"/>
  <c r="E1907" i="35"/>
  <c r="E1905" i="35"/>
  <c r="E1903" i="35"/>
  <c r="E1901" i="35"/>
  <c r="E1899" i="35"/>
  <c r="E1897" i="35"/>
  <c r="E1895" i="35"/>
  <c r="E1893" i="35"/>
  <c r="E1891" i="35"/>
  <c r="E1889" i="35"/>
  <c r="E1887" i="35"/>
  <c r="E1885" i="35"/>
  <c r="E1883" i="35"/>
  <c r="E1881" i="35"/>
  <c r="E1879" i="35"/>
  <c r="E1877" i="35"/>
  <c r="E1875" i="35"/>
  <c r="E1873" i="35"/>
  <c r="E1871" i="35"/>
  <c r="E1869" i="35"/>
  <c r="E1867" i="35"/>
  <c r="E1865" i="35"/>
  <c r="E1863" i="35"/>
  <c r="E1861" i="35"/>
  <c r="E1859" i="35"/>
  <c r="E1857" i="35"/>
  <c r="E1855" i="35"/>
  <c r="E1853" i="35"/>
  <c r="E1851" i="35"/>
  <c r="E1849" i="35"/>
  <c r="E1847" i="35"/>
  <c r="E1845" i="35"/>
  <c r="E1843" i="35"/>
  <c r="E1841" i="35"/>
  <c r="E1839" i="35"/>
  <c r="E1837" i="35"/>
  <c r="E1835" i="35"/>
  <c r="E1833" i="35"/>
  <c r="E1831" i="35"/>
  <c r="E1829" i="35"/>
  <c r="E1827" i="35"/>
  <c r="E1825" i="35"/>
  <c r="E1823" i="35"/>
  <c r="E1821" i="35"/>
  <c r="E1819" i="35"/>
  <c r="E1817" i="35"/>
  <c r="E1815" i="35"/>
  <c r="E1813" i="35"/>
  <c r="E1811" i="35"/>
  <c r="E1809" i="35"/>
  <c r="E1807" i="35"/>
  <c r="E1805" i="35"/>
  <c r="E1803" i="35"/>
  <c r="E1801" i="35"/>
  <c r="E1799" i="35"/>
  <c r="E1797" i="35"/>
  <c r="E1795" i="35"/>
  <c r="E1793" i="35"/>
  <c r="E1791" i="35"/>
  <c r="E1789" i="35"/>
  <c r="E1787" i="35"/>
  <c r="E1785" i="35"/>
  <c r="E1783" i="35"/>
  <c r="E1781" i="35"/>
  <c r="E1779" i="35"/>
  <c r="E1777" i="35"/>
  <c r="E1775" i="35"/>
  <c r="E1773" i="35"/>
  <c r="E1771" i="35"/>
  <c r="E1769" i="35"/>
  <c r="E2094" i="35"/>
  <c r="E2086" i="35"/>
  <c r="E2078" i="35"/>
  <c r="E2070" i="35"/>
  <c r="E2062" i="35"/>
  <c r="E2054" i="35"/>
  <c r="E2046" i="35"/>
  <c r="E2038" i="35"/>
  <c r="E2030" i="35"/>
  <c r="E2022" i="35"/>
  <c r="E2014" i="35"/>
  <c r="E2006" i="35"/>
  <c r="E1998" i="35"/>
  <c r="E1990" i="35"/>
  <c r="E1982" i="35"/>
  <c r="E1974" i="35"/>
  <c r="E1966" i="35"/>
  <c r="E1958" i="35"/>
  <c r="E1950" i="35"/>
  <c r="E1942" i="35"/>
  <c r="E1934" i="35"/>
  <c r="E1926" i="35"/>
  <c r="E1918" i="35"/>
  <c r="E1910" i="35"/>
  <c r="E1902" i="35"/>
  <c r="E1894" i="35"/>
  <c r="E1886" i="35"/>
  <c r="E1878" i="35"/>
  <c r="E1870" i="35"/>
  <c r="E1862" i="35"/>
  <c r="E1854" i="35"/>
  <c r="E1846" i="35"/>
  <c r="E1838" i="35"/>
  <c r="E1830" i="35"/>
  <c r="E1822" i="35"/>
  <c r="E1814" i="35"/>
  <c r="E1806" i="35"/>
  <c r="E1798" i="35"/>
  <c r="E1790" i="35"/>
  <c r="E1782" i="35"/>
  <c r="E1774" i="35"/>
  <c r="E2090" i="35"/>
  <c r="E2076" i="35"/>
  <c r="E2072" i="35"/>
  <c r="E2058" i="35"/>
  <c r="E2044" i="35"/>
  <c r="E2040" i="35"/>
  <c r="E2026" i="35"/>
  <c r="E2012" i="35"/>
  <c r="E2008" i="35"/>
  <c r="E1994" i="35"/>
  <c r="E1980" i="35"/>
  <c r="E1976" i="35"/>
  <c r="E1962" i="35"/>
  <c r="E1948" i="35"/>
  <c r="E1944" i="35"/>
  <c r="E1930" i="35"/>
  <c r="E1916" i="35"/>
  <c r="E1912" i="35"/>
  <c r="E1898" i="35"/>
  <c r="E1884" i="35"/>
  <c r="E1880" i="35"/>
  <c r="E1866" i="35"/>
  <c r="E1852" i="35"/>
  <c r="E1848" i="35"/>
  <c r="E1834" i="35"/>
  <c r="E1820" i="35"/>
  <c r="E1816" i="35"/>
  <c r="E1802" i="35"/>
  <c r="E1788" i="35"/>
  <c r="E1784" i="35"/>
  <c r="E1770" i="35"/>
  <c r="E1767" i="35"/>
  <c r="E1764" i="35"/>
  <c r="E1759" i="35"/>
  <c r="E1756" i="35"/>
  <c r="E1751" i="35"/>
  <c r="E1748" i="35"/>
  <c r="E1743" i="35"/>
  <c r="E1740" i="35"/>
  <c r="E1735" i="35"/>
  <c r="E1732" i="35"/>
  <c r="E1727" i="35"/>
  <c r="E1724" i="35"/>
  <c r="E1719" i="35"/>
  <c r="E1716" i="35"/>
  <c r="E1711" i="35"/>
  <c r="E1708" i="35"/>
  <c r="E1703" i="35"/>
  <c r="E1700" i="35"/>
  <c r="E1695" i="35"/>
  <c r="E1692" i="35"/>
  <c r="E1687" i="35"/>
  <c r="E1684" i="35"/>
  <c r="E1679" i="35"/>
  <c r="E1676" i="35"/>
  <c r="E1671" i="35"/>
  <c r="E1668" i="35"/>
  <c r="E1663" i="35"/>
  <c r="E1660" i="35"/>
  <c r="E1655" i="35"/>
  <c r="E1652" i="35"/>
  <c r="E1647" i="35"/>
  <c r="E1644" i="35"/>
  <c r="E1639" i="35"/>
  <c r="E1636" i="35"/>
  <c r="E1631" i="35"/>
  <c r="E1628" i="35"/>
  <c r="E1623" i="35"/>
  <c r="E1620" i="35"/>
  <c r="E1615" i="35"/>
  <c r="E1612" i="35"/>
  <c r="E1607" i="35"/>
  <c r="E1604" i="35"/>
  <c r="E1599" i="35"/>
  <c r="E1596" i="35"/>
  <c r="E1591" i="35"/>
  <c r="E1588" i="35"/>
  <c r="E1583" i="35"/>
  <c r="E1580" i="35"/>
  <c r="E1575" i="35"/>
  <c r="E1572" i="35"/>
  <c r="E1567" i="35"/>
  <c r="E1564" i="35"/>
  <c r="E1559" i="35"/>
  <c r="E1556" i="35"/>
  <c r="E1551" i="35"/>
  <c r="E1548" i="35"/>
  <c r="E1543" i="35"/>
  <c r="E1540" i="35"/>
  <c r="E1535" i="35"/>
  <c r="E1532" i="35"/>
  <c r="E1527" i="35"/>
  <c r="E1524" i="35"/>
  <c r="E1519" i="35"/>
  <c r="E1516" i="35"/>
  <c r="E1511" i="35"/>
  <c r="E1508" i="35"/>
  <c r="E1503" i="35"/>
  <c r="E1500" i="35"/>
  <c r="E1495" i="35"/>
  <c r="E1492" i="35"/>
  <c r="E1487" i="35"/>
  <c r="E1484" i="35"/>
  <c r="E1479" i="35"/>
  <c r="E1476" i="35"/>
  <c r="E1471" i="35"/>
  <c r="E1468" i="35"/>
  <c r="E1463" i="35"/>
  <c r="E1460" i="35"/>
  <c r="E1455" i="35"/>
  <c r="E1452" i="35"/>
  <c r="E1447" i="35"/>
  <c r="E1444" i="35"/>
  <c r="E1439" i="35"/>
  <c r="E1436" i="35"/>
  <c r="E1431" i="35"/>
  <c r="E1428" i="35"/>
  <c r="E1423" i="35"/>
  <c r="E1420" i="35"/>
  <c r="E1415" i="35"/>
  <c r="E1412" i="35"/>
  <c r="E1407" i="35"/>
  <c r="E1404" i="35"/>
  <c r="E1399" i="35"/>
  <c r="E1396" i="35"/>
  <c r="E1391" i="35"/>
  <c r="E1388" i="35"/>
  <c r="E1383" i="35"/>
  <c r="E1380" i="35"/>
  <c r="E1375" i="35"/>
  <c r="E1372" i="35"/>
  <c r="E1367" i="35"/>
  <c r="E1364" i="35"/>
  <c r="E1359" i="35"/>
  <c r="E1356" i="35"/>
  <c r="E1351" i="35"/>
  <c r="E1348" i="35"/>
  <c r="E1343" i="35"/>
  <c r="E1340" i="35"/>
  <c r="E1335" i="35"/>
  <c r="E1332" i="35"/>
  <c r="E1327" i="35"/>
  <c r="E1324" i="35"/>
  <c r="E1319" i="35"/>
  <c r="E1316" i="35"/>
  <c r="E1311" i="35"/>
  <c r="E1308" i="35"/>
  <c r="E1303" i="35"/>
  <c r="E1300" i="35"/>
  <c r="E1295" i="35"/>
  <c r="E1292" i="35"/>
  <c r="E1287" i="35"/>
  <c r="E1284" i="35"/>
  <c r="E1279" i="35"/>
  <c r="E1276" i="35"/>
  <c r="E1271" i="35"/>
  <c r="E1268" i="35"/>
  <c r="E1263" i="35"/>
  <c r="E1260" i="35"/>
  <c r="E1255" i="35"/>
  <c r="E1252" i="35"/>
  <c r="E1247" i="35"/>
  <c r="E1244" i="35"/>
  <c r="E1239" i="35"/>
  <c r="E1236" i="35"/>
  <c r="E1231" i="35"/>
  <c r="E1228" i="35"/>
  <c r="E1223" i="35"/>
  <c r="E1220" i="35"/>
  <c r="E1215" i="35"/>
  <c r="E1212" i="35"/>
  <c r="E1207" i="35"/>
  <c r="E1204" i="35"/>
  <c r="E1199" i="35"/>
  <c r="E1196" i="35"/>
  <c r="E1191" i="35"/>
  <c r="E1188" i="35"/>
  <c r="E1183" i="35"/>
  <c r="E1180" i="35"/>
  <c r="E1175" i="35"/>
  <c r="E1172" i="35"/>
  <c r="E1167" i="35"/>
  <c r="E1164" i="35"/>
  <c r="E1159" i="35"/>
  <c r="E1156" i="35"/>
  <c r="E1151" i="35"/>
  <c r="E1148" i="35"/>
  <c r="E1143" i="35"/>
  <c r="E1140" i="35"/>
  <c r="E1135" i="35"/>
  <c r="E1132" i="35"/>
  <c r="E1127" i="35"/>
  <c r="E1124" i="35"/>
  <c r="E1119" i="35"/>
  <c r="E1116" i="35"/>
  <c r="E1111" i="35"/>
  <c r="E1108" i="35"/>
  <c r="E1103" i="35"/>
  <c r="E1100" i="35"/>
  <c r="E1095" i="35"/>
  <c r="E1092" i="35"/>
  <c r="E1087" i="35"/>
  <c r="E1084" i="35"/>
  <c r="E1079" i="35"/>
  <c r="E1076" i="35"/>
  <c r="E1071" i="35"/>
  <c r="E1068" i="35"/>
  <c r="E1063" i="35"/>
  <c r="E1060" i="35"/>
  <c r="E1055" i="35"/>
  <c r="E1052" i="35"/>
  <c r="E1047" i="35"/>
  <c r="E1044" i="35"/>
  <c r="E1039" i="35"/>
  <c r="E1036" i="35"/>
  <c r="E1031" i="35"/>
  <c r="E1028" i="35"/>
  <c r="E1023" i="35"/>
  <c r="E1020" i="35"/>
  <c r="E1015" i="35"/>
  <c r="E1012" i="35"/>
  <c r="E1007" i="35"/>
  <c r="E1004" i="35"/>
  <c r="E999" i="35"/>
  <c r="E996" i="35"/>
  <c r="E991" i="35"/>
  <c r="E988" i="35"/>
  <c r="E983" i="35"/>
  <c r="E980" i="35"/>
  <c r="E975" i="35"/>
  <c r="E972" i="35"/>
  <c r="E967" i="35"/>
  <c r="E964" i="35"/>
  <c r="E959" i="35"/>
  <c r="E956" i="35"/>
  <c r="E951" i="35"/>
  <c r="E948" i="35"/>
  <c r="E943" i="35"/>
  <c r="E940" i="35"/>
  <c r="E935" i="35"/>
  <c r="E932" i="35"/>
  <c r="E927" i="35"/>
  <c r="E924" i="35"/>
  <c r="E919" i="35"/>
  <c r="E916" i="35"/>
  <c r="E2096" i="35"/>
  <c r="E2082" i="35"/>
  <c r="E2068" i="35"/>
  <c r="E2064" i="35"/>
  <c r="E2050" i="35"/>
  <c r="E2036" i="35"/>
  <c r="E2032" i="35"/>
  <c r="E2018" i="35"/>
  <c r="E2004" i="35"/>
  <c r="E2000" i="35"/>
  <c r="E2080" i="35"/>
  <c r="E2066" i="35"/>
  <c r="E2052" i="35"/>
  <c r="E2016" i="35"/>
  <c r="E2002" i="35"/>
  <c r="E1996" i="35"/>
  <c r="E1986" i="35"/>
  <c r="E1972" i="35"/>
  <c r="E1920" i="35"/>
  <c r="E1906" i="35"/>
  <c r="E1896" i="35"/>
  <c r="E1892" i="35"/>
  <c r="E1882" i="35"/>
  <c r="E1872" i="35"/>
  <c r="E1868" i="35"/>
  <c r="E1858" i="35"/>
  <c r="E1844" i="35"/>
  <c r="E1792" i="35"/>
  <c r="E1778" i="35"/>
  <c r="E1768" i="35"/>
  <c r="E1765" i="35"/>
  <c r="E1761" i="35"/>
  <c r="E1754" i="35"/>
  <c r="E1750" i="35"/>
  <c r="E1747" i="35"/>
  <c r="E1736" i="35"/>
  <c r="E1733" i="35"/>
  <c r="E1729" i="35"/>
  <c r="E1722" i="35"/>
  <c r="E1718" i="35"/>
  <c r="E1715" i="35"/>
  <c r="E1704" i="35"/>
  <c r="E1701" i="35"/>
  <c r="E1697" i="35"/>
  <c r="E1690" i="35"/>
  <c r="E1686" i="35"/>
  <c r="E1683" i="35"/>
  <c r="E1672" i="35"/>
  <c r="E1669" i="35"/>
  <c r="E1665" i="35"/>
  <c r="E1658" i="35"/>
  <c r="E1654" i="35"/>
  <c r="E1651" i="35"/>
  <c r="E1640" i="35"/>
  <c r="E1637" i="35"/>
  <c r="E1633" i="35"/>
  <c r="E1626" i="35"/>
  <c r="E1622" i="35"/>
  <c r="E1619" i="35"/>
  <c r="E1608" i="35"/>
  <c r="E1605" i="35"/>
  <c r="E1601" i="35"/>
  <c r="E1594" i="35"/>
  <c r="E1590" i="35"/>
  <c r="E1587" i="35"/>
  <c r="E1576" i="35"/>
  <c r="E1573" i="35"/>
  <c r="E1569" i="35"/>
  <c r="E1562" i="35"/>
  <c r="E1558" i="35"/>
  <c r="E1555" i="35"/>
  <c r="E1544" i="35"/>
  <c r="E1541" i="35"/>
  <c r="E1537" i="35"/>
  <c r="E1530" i="35"/>
  <c r="E1526" i="35"/>
  <c r="E1523" i="35"/>
  <c r="E1512" i="35"/>
  <c r="E1509" i="35"/>
  <c r="E1505" i="35"/>
  <c r="E1498" i="35"/>
  <c r="E1494" i="35"/>
  <c r="E1491" i="35"/>
  <c r="E1480" i="35"/>
  <c r="E1477" i="35"/>
  <c r="E1473" i="35"/>
  <c r="E1466" i="35"/>
  <c r="E1462" i="35"/>
  <c r="E1459" i="35"/>
  <c r="E1448" i="35"/>
  <c r="E1445" i="35"/>
  <c r="E1441" i="35"/>
  <c r="E1434" i="35"/>
  <c r="E1430" i="35"/>
  <c r="E1427" i="35"/>
  <c r="E1416" i="35"/>
  <c r="E1413" i="35"/>
  <c r="E1409" i="35"/>
  <c r="E2092" i="35"/>
  <c r="E2056" i="35"/>
  <c r="E2042" i="35"/>
  <c r="E2028" i="35"/>
  <c r="E1952" i="35"/>
  <c r="E1938" i="35"/>
  <c r="E1928" i="35"/>
  <c r="E1924" i="35"/>
  <c r="E1914" i="35"/>
  <c r="E1904" i="35"/>
  <c r="E1900" i="35"/>
  <c r="E1890" i="35"/>
  <c r="E1876" i="35"/>
  <c r="E1824" i="35"/>
  <c r="E1810" i="35"/>
  <c r="E1800" i="35"/>
  <c r="E1796" i="35"/>
  <c r="E1786" i="35"/>
  <c r="E1776" i="35"/>
  <c r="E1772" i="35"/>
  <c r="E1760" i="35"/>
  <c r="E1757" i="35"/>
  <c r="E1753" i="35"/>
  <c r="E1746" i="35"/>
  <c r="E1742" i="35"/>
  <c r="E1739" i="35"/>
  <c r="E1728" i="35"/>
  <c r="E1725" i="35"/>
  <c r="E1721" i="35"/>
  <c r="E1714" i="35"/>
  <c r="E1710" i="35"/>
  <c r="E1707" i="35"/>
  <c r="E1696" i="35"/>
  <c r="E1693" i="35"/>
  <c r="E1689" i="35"/>
  <c r="E1682" i="35"/>
  <c r="E1678" i="35"/>
  <c r="E1675" i="35"/>
  <c r="E1664" i="35"/>
  <c r="E1661" i="35"/>
  <c r="E1657" i="35"/>
  <c r="E1650" i="35"/>
  <c r="E1646" i="35"/>
  <c r="E1643" i="35"/>
  <c r="E1632" i="35"/>
  <c r="E1629" i="35"/>
  <c r="E1625" i="35"/>
  <c r="E1618" i="35"/>
  <c r="E1614" i="35"/>
  <c r="E1611" i="35"/>
  <c r="E1600" i="35"/>
  <c r="E1597" i="35"/>
  <c r="E1593" i="35"/>
  <c r="E1586" i="35"/>
  <c r="E1582" i="35"/>
  <c r="E1579" i="35"/>
  <c r="E1568" i="35"/>
  <c r="E1565" i="35"/>
  <c r="E1561" i="35"/>
  <c r="E1554" i="35"/>
  <c r="E1550" i="35"/>
  <c r="E1547" i="35"/>
  <c r="E1536" i="35"/>
  <c r="E1533" i="35"/>
  <c r="E1529" i="35"/>
  <c r="E1522" i="35"/>
  <c r="E1518" i="35"/>
  <c r="E1515" i="35"/>
  <c r="E1504" i="35"/>
  <c r="E1501" i="35"/>
  <c r="E1497" i="35"/>
  <c r="E2088" i="35"/>
  <c r="E2074" i="35"/>
  <c r="E2060" i="35"/>
  <c r="E1992" i="35"/>
  <c r="E1964" i="35"/>
  <c r="E1954" i="35"/>
  <c r="E1888" i="35"/>
  <c r="E1860" i="35"/>
  <c r="E1850" i="35"/>
  <c r="E1840" i="35"/>
  <c r="E1812" i="35"/>
  <c r="E1758" i="35"/>
  <c r="E1744" i="35"/>
  <c r="E1737" i="35"/>
  <c r="E1730" i="35"/>
  <c r="E1723" i="35"/>
  <c r="E1709" i="35"/>
  <c r="E1694" i="35"/>
  <c r="E1680" i="35"/>
  <c r="E1673" i="35"/>
  <c r="E1666" i="35"/>
  <c r="E1659" i="35"/>
  <c r="E1645" i="35"/>
  <c r="E1630" i="35"/>
  <c r="E1616" i="35"/>
  <c r="E1609" i="35"/>
  <c r="E1602" i="35"/>
  <c r="E1595" i="35"/>
  <c r="E1581" i="35"/>
  <c r="E1566" i="35"/>
  <c r="E1552" i="35"/>
  <c r="E1545" i="35"/>
  <c r="E1538" i="35"/>
  <c r="E1531" i="35"/>
  <c r="E1517" i="35"/>
  <c r="E1502" i="35"/>
  <c r="E1489" i="35"/>
  <c r="E1485" i="35"/>
  <c r="E1475" i="35"/>
  <c r="E1470" i="35"/>
  <c r="E1465" i="35"/>
  <c r="E1461" i="35"/>
  <c r="E1456" i="35"/>
  <c r="E1451" i="35"/>
  <c r="E1446" i="35"/>
  <c r="E1442" i="35"/>
  <c r="E1437" i="35"/>
  <c r="E1432" i="35"/>
  <c r="E1422" i="35"/>
  <c r="E1418" i="35"/>
  <c r="E1408" i="35"/>
  <c r="E1400" i="35"/>
  <c r="E1397" i="35"/>
  <c r="E1393" i="35"/>
  <c r="E1386" i="35"/>
  <c r="E1382" i="35"/>
  <c r="E1379" i="35"/>
  <c r="E1368" i="35"/>
  <c r="E1365" i="35"/>
  <c r="E1361" i="35"/>
  <c r="E1354" i="35"/>
  <c r="E1350" i="35"/>
  <c r="E1347" i="35"/>
  <c r="E1336" i="35"/>
  <c r="E1333" i="35"/>
  <c r="E1329" i="35"/>
  <c r="E1322" i="35"/>
  <c r="E1318" i="35"/>
  <c r="E1315" i="35"/>
  <c r="E1304" i="35"/>
  <c r="E1301" i="35"/>
  <c r="E1297" i="35"/>
  <c r="E1290" i="35"/>
  <c r="E1286" i="35"/>
  <c r="E1283" i="35"/>
  <c r="E1272" i="35"/>
  <c r="E1269" i="35"/>
  <c r="E1265" i="35"/>
  <c r="E1258" i="35"/>
  <c r="E1254" i="35"/>
  <c r="E1251" i="35"/>
  <c r="E1240" i="35"/>
  <c r="E1237" i="35"/>
  <c r="E1233" i="35"/>
  <c r="E1226" i="35"/>
  <c r="E1222" i="35"/>
  <c r="E1219" i="35"/>
  <c r="E1208" i="35"/>
  <c r="E1205" i="35"/>
  <c r="E1201" i="35"/>
  <c r="E1194" i="35"/>
  <c r="E1190" i="35"/>
  <c r="E1187" i="35"/>
  <c r="E1176" i="35"/>
  <c r="E1173" i="35"/>
  <c r="E1169" i="35"/>
  <c r="E1162" i="35"/>
  <c r="E1158" i="35"/>
  <c r="E1155" i="35"/>
  <c r="E1144" i="35"/>
  <c r="E1141" i="35"/>
  <c r="E1137" i="35"/>
  <c r="E1130" i="35"/>
  <c r="E1126" i="35"/>
  <c r="E1123" i="35"/>
  <c r="E1112" i="35"/>
  <c r="E1109" i="35"/>
  <c r="E1105" i="35"/>
  <c r="E1098" i="35"/>
  <c r="E1094" i="35"/>
  <c r="E1091" i="35"/>
  <c r="E1080" i="35"/>
  <c r="E1077" i="35"/>
  <c r="E1073" i="35"/>
  <c r="E1066" i="35"/>
  <c r="E1062" i="35"/>
  <c r="E1059" i="35"/>
  <c r="E1048" i="35"/>
  <c r="E1045" i="35"/>
  <c r="E1041" i="35"/>
  <c r="E1034" i="35"/>
  <c r="E1030" i="35"/>
  <c r="E1027" i="35"/>
  <c r="E1016" i="35"/>
  <c r="E1013" i="35"/>
  <c r="E1009" i="35"/>
  <c r="E1002" i="35"/>
  <c r="E998" i="35"/>
  <c r="E995" i="35"/>
  <c r="E984" i="35"/>
  <c r="E981" i="35"/>
  <c r="E977" i="35"/>
  <c r="E970" i="35"/>
  <c r="E966" i="35"/>
  <c r="E963" i="35"/>
  <c r="E952" i="35"/>
  <c r="E949" i="35"/>
  <c r="E945" i="35"/>
  <c r="E938" i="35"/>
  <c r="E934" i="35"/>
  <c r="E931" i="35"/>
  <c r="E920" i="35"/>
  <c r="E917" i="35"/>
  <c r="E913" i="35"/>
  <c r="E908" i="35"/>
  <c r="E905" i="35"/>
  <c r="E900" i="35"/>
  <c r="E897" i="35"/>
  <c r="E892" i="35"/>
  <c r="E889" i="35"/>
  <c r="E884" i="35"/>
  <c r="E881" i="35"/>
  <c r="E876" i="35"/>
  <c r="E873" i="35"/>
  <c r="E868" i="35"/>
  <c r="E865" i="35"/>
  <c r="E860" i="35"/>
  <c r="E857" i="35"/>
  <c r="E852" i="35"/>
  <c r="E849" i="35"/>
  <c r="E844" i="35"/>
  <c r="E841" i="35"/>
  <c r="E836" i="35"/>
  <c r="E833" i="35"/>
  <c r="E828" i="35"/>
  <c r="E825" i="35"/>
  <c r="E820" i="35"/>
  <c r="E817" i="35"/>
  <c r="E812" i="35"/>
  <c r="E809" i="35"/>
  <c r="E804" i="35"/>
  <c r="E801" i="35"/>
  <c r="E796" i="35"/>
  <c r="E793" i="35"/>
  <c r="E788" i="35"/>
  <c r="E785" i="35"/>
  <c r="E780" i="35"/>
  <c r="E777" i="35"/>
  <c r="E772" i="35"/>
  <c r="E769" i="35"/>
  <c r="E764" i="35"/>
  <c r="E761" i="35"/>
  <c r="E756" i="35"/>
  <c r="E753" i="35"/>
  <c r="E748" i="35"/>
  <c r="E745" i="35"/>
  <c r="E740" i="35"/>
  <c r="E737" i="35"/>
  <c r="E732" i="35"/>
  <c r="E729" i="35"/>
  <c r="E724" i="35"/>
  <c r="E721" i="35"/>
  <c r="E716" i="35"/>
  <c r="E713" i="35"/>
  <c r="E708" i="35"/>
  <c r="E705" i="35"/>
  <c r="E700" i="35"/>
  <c r="E697" i="35"/>
  <c r="E692" i="35"/>
  <c r="E689" i="35"/>
  <c r="E684" i="35"/>
  <c r="E681" i="35"/>
  <c r="E676" i="35"/>
  <c r="E673" i="35"/>
  <c r="E668" i="35"/>
  <c r="E665" i="35"/>
  <c r="E660" i="35"/>
  <c r="E657" i="35"/>
  <c r="E652" i="35"/>
  <c r="E649" i="35"/>
  <c r="E644" i="35"/>
  <c r="E641" i="35"/>
  <c r="E636" i="35"/>
  <c r="E633" i="35"/>
  <c r="E628" i="35"/>
  <c r="E625" i="35"/>
  <c r="E620" i="35"/>
  <c r="E617" i="35"/>
  <c r="E612" i="35"/>
  <c r="E609" i="35"/>
  <c r="E604" i="35"/>
  <c r="E601" i="35"/>
  <c r="E596" i="35"/>
  <c r="E593" i="35"/>
  <c r="E588" i="35"/>
  <c r="E585" i="35"/>
  <c r="E580" i="35"/>
  <c r="E577" i="35"/>
  <c r="E572" i="35"/>
  <c r="E569" i="35"/>
  <c r="E564" i="35"/>
  <c r="E561" i="35"/>
  <c r="E556" i="35"/>
  <c r="E553" i="35"/>
  <c r="E548" i="35"/>
  <c r="E545" i="35"/>
  <c r="E540" i="35"/>
  <c r="E537" i="35"/>
  <c r="E532" i="35"/>
  <c r="E529" i="35"/>
  <c r="E524" i="35"/>
  <c r="E521" i="35"/>
  <c r="E516" i="35"/>
  <c r="E513" i="35"/>
  <c r="E508" i="35"/>
  <c r="E505" i="35"/>
  <c r="E500" i="35"/>
  <c r="E497" i="35"/>
  <c r="E492" i="35"/>
  <c r="E489" i="35"/>
  <c r="E484" i="35"/>
  <c r="E481" i="35"/>
  <c r="E476" i="35"/>
  <c r="E473" i="35"/>
  <c r="E468" i="35"/>
  <c r="E465" i="35"/>
  <c r="E460" i="35"/>
  <c r="E457" i="35"/>
  <c r="E452" i="35"/>
  <c r="E449" i="35"/>
  <c r="E444" i="35"/>
  <c r="E441" i="35"/>
  <c r="E436" i="35"/>
  <c r="E433" i="35"/>
  <c r="E428" i="35"/>
  <c r="E425" i="35"/>
  <c r="E420" i="35"/>
  <c r="E417" i="35"/>
  <c r="E412" i="35"/>
  <c r="E409" i="35"/>
  <c r="E404" i="35"/>
  <c r="E401" i="35"/>
  <c r="E396" i="35"/>
  <c r="E393" i="35"/>
  <c r="E388" i="35"/>
  <c r="E385" i="35"/>
  <c r="E380" i="35"/>
  <c r="E377" i="35"/>
  <c r="E372" i="35"/>
  <c r="E369" i="35"/>
  <c r="E364" i="35"/>
  <c r="E361" i="35"/>
  <c r="E356" i="35"/>
  <c r="E353" i="35"/>
  <c r="E348" i="35"/>
  <c r="E345" i="35"/>
  <c r="E340" i="35"/>
  <c r="E337" i="35"/>
  <c r="E332" i="35"/>
  <c r="E329" i="35"/>
  <c r="E324" i="35"/>
  <c r="E321" i="35"/>
  <c r="E316" i="35"/>
  <c r="E313" i="35"/>
  <c r="E308" i="35"/>
  <c r="E305" i="35"/>
  <c r="E300" i="35"/>
  <c r="E297" i="35"/>
  <c r="E292" i="35"/>
  <c r="E289" i="35"/>
  <c r="E284" i="35"/>
  <c r="E281" i="35"/>
  <c r="E276" i="35"/>
  <c r="E273" i="35"/>
  <c r="E268" i="35"/>
  <c r="E265" i="35"/>
  <c r="E260" i="35"/>
  <c r="E257" i="35"/>
  <c r="E252" i="35"/>
  <c r="E249" i="35"/>
  <c r="E244" i="35"/>
  <c r="E241" i="35"/>
  <c r="E236" i="35"/>
  <c r="E233" i="35"/>
  <c r="E228" i="35"/>
  <c r="E225" i="35"/>
  <c r="E220" i="35"/>
  <c r="E217" i="35"/>
  <c r="E212" i="35"/>
  <c r="E209" i="35"/>
  <c r="E204" i="35"/>
  <c r="E201" i="35"/>
  <c r="E196" i="35"/>
  <c r="E193" i="35"/>
  <c r="E188" i="35"/>
  <c r="E185" i="35"/>
  <c r="E180" i="35"/>
  <c r="E177" i="35"/>
  <c r="E172" i="35"/>
  <c r="E169" i="35"/>
  <c r="E164" i="35"/>
  <c r="E161" i="35"/>
  <c r="E156" i="35"/>
  <c r="E153" i="35"/>
  <c r="E148" i="35"/>
  <c r="E145" i="35"/>
  <c r="E140" i="35"/>
  <c r="E137" i="35"/>
  <c r="E132" i="35"/>
  <c r="E129" i="35"/>
  <c r="E124" i="35"/>
  <c r="E121" i="35"/>
  <c r="E116" i="35"/>
  <c r="E113" i="35"/>
  <c r="E108" i="35"/>
  <c r="E105" i="35"/>
  <c r="E100" i="35"/>
  <c r="E97" i="35"/>
  <c r="E92" i="35"/>
  <c r="E89" i="35"/>
  <c r="E84" i="35"/>
  <c r="E81" i="35"/>
  <c r="E76" i="35"/>
  <c r="E73" i="35"/>
  <c r="E68" i="35"/>
  <c r="E65" i="35"/>
  <c r="E2084" i="35"/>
  <c r="E1970" i="35"/>
  <c r="E1960" i="35"/>
  <c r="E1932" i="35"/>
  <c r="E1922" i="35"/>
  <c r="E1856" i="35"/>
  <c r="E1828" i="35"/>
  <c r="E1818" i="35"/>
  <c r="E1808" i="35"/>
  <c r="E1780" i="35"/>
  <c r="E1763" i="35"/>
  <c r="E1749" i="35"/>
  <c r="E1734" i="35"/>
  <c r="E1720" i="35"/>
  <c r="E1713" i="35"/>
  <c r="E1706" i="35"/>
  <c r="E1699" i="35"/>
  <c r="E1685" i="35"/>
  <c r="E1670" i="35"/>
  <c r="E1656" i="35"/>
  <c r="E1649" i="35"/>
  <c r="E1642" i="35"/>
  <c r="E1635" i="35"/>
  <c r="E1621" i="35"/>
  <c r="E1606" i="35"/>
  <c r="E1592" i="35"/>
  <c r="E1585" i="35"/>
  <c r="E1578" i="35"/>
  <c r="E1571" i="35"/>
  <c r="E1557" i="35"/>
  <c r="E1542" i="35"/>
  <c r="E1528" i="35"/>
  <c r="E1521" i="35"/>
  <c r="E1514" i="35"/>
  <c r="E1507" i="35"/>
  <c r="E1493" i="35"/>
  <c r="E1488" i="35"/>
  <c r="E1483" i="35"/>
  <c r="E1478" i="35"/>
  <c r="E1474" i="35"/>
  <c r="E1469" i="35"/>
  <c r="E1464" i="35"/>
  <c r="E1454" i="35"/>
  <c r="E1450" i="35"/>
  <c r="E1440" i="35"/>
  <c r="E1426" i="35"/>
  <c r="E1417" i="35"/>
  <c r="E1403" i="35"/>
  <c r="E1392" i="35"/>
  <c r="E1389" i="35"/>
  <c r="E1385" i="35"/>
  <c r="E1378" i="35"/>
  <c r="E1374" i="35"/>
  <c r="E1371" i="35"/>
  <c r="E1360" i="35"/>
  <c r="E1357" i="35"/>
  <c r="E1353" i="35"/>
  <c r="E1346" i="35"/>
  <c r="E1342" i="35"/>
  <c r="E1339" i="35"/>
  <c r="E1328" i="35"/>
  <c r="E1325" i="35"/>
  <c r="E1321" i="35"/>
  <c r="E1314" i="35"/>
  <c r="E1310" i="35"/>
  <c r="E1307" i="35"/>
  <c r="E1296" i="35"/>
  <c r="E1293" i="35"/>
  <c r="E1289" i="35"/>
  <c r="E1282" i="35"/>
  <c r="E1278" i="35"/>
  <c r="E1275" i="35"/>
  <c r="E1264" i="35"/>
  <c r="E1261" i="35"/>
  <c r="E1257" i="35"/>
  <c r="E1250" i="35"/>
  <c r="E1246" i="35"/>
  <c r="E1243" i="35"/>
  <c r="E1232" i="35"/>
  <c r="E1229" i="35"/>
  <c r="E1225" i="35"/>
  <c r="E1218" i="35"/>
  <c r="E1214" i="35"/>
  <c r="E1211" i="35"/>
  <c r="E1200" i="35"/>
  <c r="E1197" i="35"/>
  <c r="E1193" i="35"/>
  <c r="E1186" i="35"/>
  <c r="E1182" i="35"/>
  <c r="E1179" i="35"/>
  <c r="E1168" i="35"/>
  <c r="E1165" i="35"/>
  <c r="E1161" i="35"/>
  <c r="E1154" i="35"/>
  <c r="E1150" i="35"/>
  <c r="E1147" i="35"/>
  <c r="E1136" i="35"/>
  <c r="E1133" i="35"/>
  <c r="E1129" i="35"/>
  <c r="E1122" i="35"/>
  <c r="E1118" i="35"/>
  <c r="E1115" i="35"/>
  <c r="E1104" i="35"/>
  <c r="E1101" i="35"/>
  <c r="E1097" i="35"/>
  <c r="E1090" i="35"/>
  <c r="E1086" i="35"/>
  <c r="E1083" i="35"/>
  <c r="E1072" i="35"/>
  <c r="E1069" i="35"/>
  <c r="E1065" i="35"/>
  <c r="E1058" i="35"/>
  <c r="E1054" i="35"/>
  <c r="E1051" i="35"/>
  <c r="E1040" i="35"/>
  <c r="E1037" i="35"/>
  <c r="E1033" i="35"/>
  <c r="E1026" i="35"/>
  <c r="E1022" i="35"/>
  <c r="E1019" i="35"/>
  <c r="E1008" i="35"/>
  <c r="E1005" i="35"/>
  <c r="E1001" i="35"/>
  <c r="E994" i="35"/>
  <c r="E990" i="35"/>
  <c r="E987" i="35"/>
  <c r="E976" i="35"/>
  <c r="E973" i="35"/>
  <c r="E969" i="35"/>
  <c r="E962" i="35"/>
  <c r="E958" i="35"/>
  <c r="E955" i="35"/>
  <c r="E944" i="35"/>
  <c r="E941" i="35"/>
  <c r="E937" i="35"/>
  <c r="E930" i="35"/>
  <c r="E926" i="35"/>
  <c r="E923" i="35"/>
  <c r="E910" i="35"/>
  <c r="E907" i="35"/>
  <c r="E902" i="35"/>
  <c r="E899" i="35"/>
  <c r="E894" i="35"/>
  <c r="E891" i="35"/>
  <c r="E886" i="35"/>
  <c r="E883" i="35"/>
  <c r="E878" i="35"/>
  <c r="E875" i="35"/>
  <c r="E870" i="35"/>
  <c r="E867" i="35"/>
  <c r="E862" i="35"/>
  <c r="E859" i="35"/>
  <c r="E854" i="35"/>
  <c r="E851" i="35"/>
  <c r="E846" i="35"/>
  <c r="E843" i="35"/>
  <c r="E838" i="35"/>
  <c r="E835" i="35"/>
  <c r="E830" i="35"/>
  <c r="E827" i="35"/>
  <c r="E822" i="35"/>
  <c r="E819" i="35"/>
  <c r="E814" i="35"/>
  <c r="E811" i="35"/>
  <c r="E806" i="35"/>
  <c r="E803" i="35"/>
  <c r="E798" i="35"/>
  <c r="E795" i="35"/>
  <c r="E790" i="35"/>
  <c r="E787" i="35"/>
  <c r="E782" i="35"/>
  <c r="E779" i="35"/>
  <c r="E774" i="35"/>
  <c r="E771" i="35"/>
  <c r="E766" i="35"/>
  <c r="E763" i="35"/>
  <c r="E758" i="35"/>
  <c r="E755" i="35"/>
  <c r="E750" i="35"/>
  <c r="E747" i="35"/>
  <c r="E742" i="35"/>
  <c r="E739" i="35"/>
  <c r="E734" i="35"/>
  <c r="E731" i="35"/>
  <c r="E726" i="35"/>
  <c r="E723" i="35"/>
  <c r="E718" i="35"/>
  <c r="E715" i="35"/>
  <c r="E710" i="35"/>
  <c r="E707" i="35"/>
  <c r="E702" i="35"/>
  <c r="E699" i="35"/>
  <c r="E694" i="35"/>
  <c r="E691" i="35"/>
  <c r="E686" i="35"/>
  <c r="E683" i="35"/>
  <c r="E678" i="35"/>
  <c r="E675" i="35"/>
  <c r="E670" i="35"/>
  <c r="E667" i="35"/>
  <c r="E662" i="35"/>
  <c r="E659" i="35"/>
  <c r="E654" i="35"/>
  <c r="E651" i="35"/>
  <c r="E646" i="35"/>
  <c r="E643" i="35"/>
  <c r="E2048" i="35"/>
  <c r="E2020" i="35"/>
  <c r="E1956" i="35"/>
  <c r="E1936" i="35"/>
  <c r="E1842" i="35"/>
  <c r="E1804" i="35"/>
  <c r="E1766" i="35"/>
  <c r="E1752" i="35"/>
  <c r="E1738" i="35"/>
  <c r="E1681" i="35"/>
  <c r="E1667" i="35"/>
  <c r="E1653" i="35"/>
  <c r="E1638" i="35"/>
  <c r="E1624" i="35"/>
  <c r="E1610" i="35"/>
  <c r="E1553" i="35"/>
  <c r="E1539" i="35"/>
  <c r="E1525" i="35"/>
  <c r="E1510" i="35"/>
  <c r="E1496" i="35"/>
  <c r="E1467" i="35"/>
  <c r="E1457" i="35"/>
  <c r="E1438" i="35"/>
  <c r="E1429" i="35"/>
  <c r="E1419" i="35"/>
  <c r="E1410" i="35"/>
  <c r="E1401" i="35"/>
  <c r="E1394" i="35"/>
  <c r="E1387" i="35"/>
  <c r="E1373" i="35"/>
  <c r="E1358" i="35"/>
  <c r="E1344" i="35"/>
  <c r="E1337" i="35"/>
  <c r="E1330" i="35"/>
  <c r="E1323" i="35"/>
  <c r="E1309" i="35"/>
  <c r="E1294" i="35"/>
  <c r="E1280" i="35"/>
  <c r="E1273" i="35"/>
  <c r="E1266" i="35"/>
  <c r="E1259" i="35"/>
  <c r="E1245" i="35"/>
  <c r="E1230" i="35"/>
  <c r="E1216" i="35"/>
  <c r="E1209" i="35"/>
  <c r="E1202" i="35"/>
  <c r="E1195" i="35"/>
  <c r="E1181" i="35"/>
  <c r="E1166" i="35"/>
  <c r="E1152" i="35"/>
  <c r="E1145" i="35"/>
  <c r="E1138" i="35"/>
  <c r="E1131" i="35"/>
  <c r="E1117" i="35"/>
  <c r="E1102" i="35"/>
  <c r="E1088" i="35"/>
  <c r="E1081" i="35"/>
  <c r="E1074" i="35"/>
  <c r="E1067" i="35"/>
  <c r="E1053" i="35"/>
  <c r="E1038" i="35"/>
  <c r="E1024" i="35"/>
  <c r="E1017" i="35"/>
  <c r="E1010" i="35"/>
  <c r="E1003" i="35"/>
  <c r="E989" i="35"/>
  <c r="E974" i="35"/>
  <c r="E960" i="35"/>
  <c r="E953" i="35"/>
  <c r="E946" i="35"/>
  <c r="E939" i="35"/>
  <c r="E925" i="35"/>
  <c r="E911" i="35"/>
  <c r="E906" i="35"/>
  <c r="E895" i="35"/>
  <c r="E890" i="35"/>
  <c r="E879" i="35"/>
  <c r="E874" i="35"/>
  <c r="E863" i="35"/>
  <c r="E858" i="35"/>
  <c r="E847" i="35"/>
  <c r="E842" i="35"/>
  <c r="E831" i="35"/>
  <c r="E826" i="35"/>
  <c r="E815" i="35"/>
  <c r="E810" i="35"/>
  <c r="E799" i="35"/>
  <c r="E794" i="35"/>
  <c r="E783" i="35"/>
  <c r="E778" i="35"/>
  <c r="E767" i="35"/>
  <c r="E762" i="35"/>
  <c r="E751" i="35"/>
  <c r="E746" i="35"/>
  <c r="E735" i="35"/>
  <c r="E730" i="35"/>
  <c r="E719" i="35"/>
  <c r="E714" i="35"/>
  <c r="E703" i="35"/>
  <c r="E698" i="35"/>
  <c r="E687" i="35"/>
  <c r="E682" i="35"/>
  <c r="E671" i="35"/>
  <c r="E666" i="35"/>
  <c r="E655" i="35"/>
  <c r="E650" i="35"/>
  <c r="E639" i="35"/>
  <c r="E635" i="35"/>
  <c r="E632" i="35"/>
  <c r="E621" i="35"/>
  <c r="E618" i="35"/>
  <c r="E614" i="35"/>
  <c r="E607" i="35"/>
  <c r="E603" i="35"/>
  <c r="E600" i="35"/>
  <c r="E589" i="35"/>
  <c r="E586" i="35"/>
  <c r="E582" i="35"/>
  <c r="E575" i="35"/>
  <c r="E571" i="35"/>
  <c r="E568" i="35"/>
  <c r="E557" i="35"/>
  <c r="E554" i="35"/>
  <c r="E550" i="35"/>
  <c r="E543" i="35"/>
  <c r="E539" i="35"/>
  <c r="E536" i="35"/>
  <c r="E525" i="35"/>
  <c r="E522" i="35"/>
  <c r="E518" i="35"/>
  <c r="E511" i="35"/>
  <c r="E507" i="35"/>
  <c r="E504" i="35"/>
  <c r="E493" i="35"/>
  <c r="E490" i="35"/>
  <c r="E486" i="35"/>
  <c r="E479" i="35"/>
  <c r="E475" i="35"/>
  <c r="E472" i="35"/>
  <c r="E461" i="35"/>
  <c r="E458" i="35"/>
  <c r="E454" i="35"/>
  <c r="E447" i="35"/>
  <c r="E443" i="35"/>
  <c r="E440" i="35"/>
  <c r="E429" i="35"/>
  <c r="E426" i="35"/>
  <c r="E422" i="35"/>
  <c r="E415" i="35"/>
  <c r="E411" i="35"/>
  <c r="E408" i="35"/>
  <c r="E397" i="35"/>
  <c r="E394" i="35"/>
  <c r="E390" i="35"/>
  <c r="E383" i="35"/>
  <c r="E379" i="35"/>
  <c r="E376" i="35"/>
  <c r="E365" i="35"/>
  <c r="E362" i="35"/>
  <c r="E358" i="35"/>
  <c r="E351" i="35"/>
  <c r="E347" i="35"/>
  <c r="E344" i="35"/>
  <c r="E333" i="35"/>
  <c r="E330" i="35"/>
  <c r="E326" i="35"/>
  <c r="E319" i="35"/>
  <c r="E315" i="35"/>
  <c r="E312" i="35"/>
  <c r="E301" i="35"/>
  <c r="E298" i="35"/>
  <c r="E294" i="35"/>
  <c r="E287" i="35"/>
  <c r="E283" i="35"/>
  <c r="E280" i="35"/>
  <c r="E269" i="35"/>
  <c r="E266" i="35"/>
  <c r="E262" i="35"/>
  <c r="E255" i="35"/>
  <c r="E251" i="35"/>
  <c r="E248" i="35"/>
  <c r="E237" i="35"/>
  <c r="E234" i="35"/>
  <c r="E230" i="35"/>
  <c r="E223" i="35"/>
  <c r="E219" i="35"/>
  <c r="E216" i="35"/>
  <c r="E205" i="35"/>
  <c r="E202" i="35"/>
  <c r="E198" i="35"/>
  <c r="E191" i="35"/>
  <c r="E187" i="35"/>
  <c r="E184" i="35"/>
  <c r="E173" i="35"/>
  <c r="E170" i="35"/>
  <c r="E166" i="35"/>
  <c r="E159" i="35"/>
  <c r="E155" i="35"/>
  <c r="E152" i="35"/>
  <c r="E141" i="35"/>
  <c r="E138" i="35"/>
  <c r="E134" i="35"/>
  <c r="E127" i="35"/>
  <c r="E123" i="35"/>
  <c r="E120" i="35"/>
  <c r="E109" i="35"/>
  <c r="E106" i="35"/>
  <c r="E102" i="35"/>
  <c r="E95" i="35"/>
  <c r="E91" i="35"/>
  <c r="E88" i="35"/>
  <c r="E77" i="35"/>
  <c r="E74" i="35"/>
  <c r="E70" i="35"/>
  <c r="E63" i="35"/>
  <c r="E60" i="35"/>
  <c r="E57" i="35"/>
  <c r="E52" i="35"/>
  <c r="E49" i="35"/>
  <c r="E44" i="35"/>
  <c r="E41" i="35"/>
  <c r="E36" i="35"/>
  <c r="E33" i="35"/>
  <c r="E28" i="35"/>
  <c r="E25" i="35"/>
  <c r="E20" i="35"/>
  <c r="E17" i="35"/>
  <c r="E10" i="35"/>
  <c r="E8" i="35"/>
  <c r="E4" i="35"/>
  <c r="E2" i="35"/>
  <c r="E2010" i="35"/>
  <c r="E1988" i="35"/>
  <c r="E1968" i="35"/>
  <c r="E1874" i="35"/>
  <c r="E1836" i="35"/>
  <c r="E1762" i="35"/>
  <c r="E1705" i="35"/>
  <c r="E1691" i="35"/>
  <c r="E1677" i="35"/>
  <c r="E1662" i="35"/>
  <c r="E1648" i="35"/>
  <c r="E1634" i="35"/>
  <c r="E1577" i="35"/>
  <c r="E1563" i="35"/>
  <c r="E1549" i="35"/>
  <c r="E1534" i="35"/>
  <c r="E1520" i="35"/>
  <c r="E1506" i="35"/>
  <c r="E1482" i="35"/>
  <c r="E1472" i="35"/>
  <c r="E1435" i="35"/>
  <c r="E1425" i="35"/>
  <c r="E1406" i="35"/>
  <c r="E1398" i="35"/>
  <c r="E1384" i="35"/>
  <c r="E1377" i="35"/>
  <c r="E1370" i="35"/>
  <c r="E1363" i="35"/>
  <c r="E1349" i="35"/>
  <c r="E1334" i="35"/>
  <c r="E1320" i="35"/>
  <c r="E1313" i="35"/>
  <c r="E1306" i="35"/>
  <c r="E1299" i="35"/>
  <c r="E1285" i="35"/>
  <c r="E1270" i="35"/>
  <c r="E1256" i="35"/>
  <c r="E1249" i="35"/>
  <c r="E1242" i="35"/>
  <c r="E1235" i="35"/>
  <c r="E1221" i="35"/>
  <c r="E1206" i="35"/>
  <c r="E1192" i="35"/>
  <c r="E1185" i="35"/>
  <c r="E1178" i="35"/>
  <c r="E1171" i="35"/>
  <c r="E1157" i="35"/>
  <c r="E1142" i="35"/>
  <c r="E1128" i="35"/>
  <c r="E1121" i="35"/>
  <c r="E1114" i="35"/>
  <c r="E1107" i="35"/>
  <c r="E1093" i="35"/>
  <c r="E1078" i="35"/>
  <c r="E1064" i="35"/>
  <c r="E1057" i="35"/>
  <c r="E1050" i="35"/>
  <c r="E1043" i="35"/>
  <c r="E1029" i="35"/>
  <c r="E1014" i="35"/>
  <c r="E1000" i="35"/>
  <c r="E993" i="35"/>
  <c r="E986" i="35"/>
  <c r="E979" i="35"/>
  <c r="E965" i="35"/>
  <c r="E950" i="35"/>
  <c r="E936" i="35"/>
  <c r="E929" i="35"/>
  <c r="E922" i="35"/>
  <c r="E915" i="35"/>
  <c r="E909" i="35"/>
  <c r="E904" i="35"/>
  <c r="E893" i="35"/>
  <c r="E888" i="35"/>
  <c r="E877" i="35"/>
  <c r="E872" i="35"/>
  <c r="E861" i="35"/>
  <c r="E856" i="35"/>
  <c r="E845" i="35"/>
  <c r="E840" i="35"/>
  <c r="E829" i="35"/>
  <c r="E824" i="35"/>
  <c r="E813" i="35"/>
  <c r="E808" i="35"/>
  <c r="E797" i="35"/>
  <c r="E792" i="35"/>
  <c r="E781" i="35"/>
  <c r="E776" i="35"/>
  <c r="E765" i="35"/>
  <c r="E760" i="35"/>
  <c r="E749" i="35"/>
  <c r="E744" i="35"/>
  <c r="E733" i="35"/>
  <c r="E728" i="35"/>
  <c r="E717" i="35"/>
  <c r="E712" i="35"/>
  <c r="E701" i="35"/>
  <c r="E696" i="35"/>
  <c r="E685" i="35"/>
  <c r="E680" i="35"/>
  <c r="E669" i="35"/>
  <c r="E664" i="35"/>
  <c r="E653" i="35"/>
  <c r="E648" i="35"/>
  <c r="E638" i="35"/>
  <c r="E631" i="35"/>
  <c r="E627" i="35"/>
  <c r="E624" i="35"/>
  <c r="E613" i="35"/>
  <c r="E610" i="35"/>
  <c r="E606" i="35"/>
  <c r="E599" i="35"/>
  <c r="E595" i="35"/>
  <c r="E592" i="35"/>
  <c r="E581" i="35"/>
  <c r="E578" i="35"/>
  <c r="E574" i="35"/>
  <c r="E567" i="35"/>
  <c r="E563" i="35"/>
  <c r="E560" i="35"/>
  <c r="E549" i="35"/>
  <c r="E546" i="35"/>
  <c r="E542" i="35"/>
  <c r="E535" i="35"/>
  <c r="E531" i="35"/>
  <c r="E528" i="35"/>
  <c r="E517" i="35"/>
  <c r="E514" i="35"/>
  <c r="E510" i="35"/>
  <c r="E503" i="35"/>
  <c r="E499" i="35"/>
  <c r="E496" i="35"/>
  <c r="E485" i="35"/>
  <c r="E482" i="35"/>
  <c r="E478" i="35"/>
  <c r="E471" i="35"/>
  <c r="E467" i="35"/>
  <c r="E464" i="35"/>
  <c r="E453" i="35"/>
  <c r="E450" i="35"/>
  <c r="E446" i="35"/>
  <c r="E439" i="35"/>
  <c r="E435" i="35"/>
  <c r="E432" i="35"/>
  <c r="E421" i="35"/>
  <c r="E418" i="35"/>
  <c r="E414" i="35"/>
  <c r="E407" i="35"/>
  <c r="E403" i="35"/>
  <c r="E400" i="35"/>
  <c r="E389" i="35"/>
  <c r="E386" i="35"/>
  <c r="E382" i="35"/>
  <c r="E375" i="35"/>
  <c r="E371" i="35"/>
  <c r="E368" i="35"/>
  <c r="E357" i="35"/>
  <c r="E354" i="35"/>
  <c r="E350" i="35"/>
  <c r="E343" i="35"/>
  <c r="E339" i="35"/>
  <c r="E336" i="35"/>
  <c r="E325" i="35"/>
  <c r="E322" i="35"/>
  <c r="E318" i="35"/>
  <c r="E311" i="35"/>
  <c r="E307" i="35"/>
  <c r="E304" i="35"/>
  <c r="E293" i="35"/>
  <c r="E290" i="35"/>
  <c r="E286" i="35"/>
  <c r="E279" i="35"/>
  <c r="E275" i="35"/>
  <c r="E272" i="35"/>
  <c r="E261" i="35"/>
  <c r="E258" i="35"/>
  <c r="E254" i="35"/>
  <c r="E247" i="35"/>
  <c r="E243" i="35"/>
  <c r="E240" i="35"/>
  <c r="E229" i="35"/>
  <c r="E226" i="35"/>
  <c r="E222" i="35"/>
  <c r="E215" i="35"/>
  <c r="E211" i="35"/>
  <c r="E208" i="35"/>
  <c r="E197" i="35"/>
  <c r="E194" i="35"/>
  <c r="E190" i="35"/>
  <c r="E183" i="35"/>
  <c r="E179" i="35"/>
  <c r="E176" i="35"/>
  <c r="E165" i="35"/>
  <c r="E162" i="35"/>
  <c r="E158" i="35"/>
  <c r="E151" i="35"/>
  <c r="E147" i="35"/>
  <c r="E144" i="35"/>
  <c r="E133" i="35"/>
  <c r="E130" i="35"/>
  <c r="E126" i="35"/>
  <c r="E119" i="35"/>
  <c r="E115" i="35"/>
  <c r="E112" i="35"/>
  <c r="E101" i="35"/>
  <c r="E98" i="35"/>
  <c r="E94" i="35"/>
  <c r="E87" i="35"/>
  <c r="E83" i="35"/>
  <c r="E80" i="35"/>
  <c r="E69" i="35"/>
  <c r="E66" i="35"/>
  <c r="E62" i="35"/>
  <c r="E59" i="35"/>
  <c r="E54" i="35"/>
  <c r="E51" i="35"/>
  <c r="E46" i="35"/>
  <c r="E43" i="35"/>
  <c r="E38" i="35"/>
  <c r="E35" i="35"/>
  <c r="E30" i="35"/>
  <c r="E27" i="35"/>
  <c r="E22" i="35"/>
  <c r="E19" i="35"/>
  <c r="E14" i="35"/>
  <c r="E11" i="35"/>
  <c r="E5" i="35"/>
  <c r="E2034" i="35"/>
  <c r="E1984" i="35"/>
  <c r="E1946" i="35"/>
  <c r="E1908" i="35"/>
  <c r="E1832" i="35"/>
  <c r="E1794" i="35"/>
  <c r="E1745" i="35"/>
  <c r="E1731" i="35"/>
  <c r="E1717" i="35"/>
  <c r="E1702" i="35"/>
  <c r="E1688" i="35"/>
  <c r="E1674" i="35"/>
  <c r="E1617" i="35"/>
  <c r="E1603" i="35"/>
  <c r="E1589" i="35"/>
  <c r="E1574" i="35"/>
  <c r="E1560" i="35"/>
  <c r="E1546" i="35"/>
  <c r="E1490" i="35"/>
  <c r="E1481" i="35"/>
  <c r="E1453" i="35"/>
  <c r="E1443" i="35"/>
  <c r="E1433" i="35"/>
  <c r="E1424" i="35"/>
  <c r="E1414" i="35"/>
  <c r="E1405" i="35"/>
  <c r="E1390" i="35"/>
  <c r="E1376" i="35"/>
  <c r="E1369" i="35"/>
  <c r="E1362" i="35"/>
  <c r="E1355" i="35"/>
  <c r="E1341" i="35"/>
  <c r="E1326" i="35"/>
  <c r="E1312" i="35"/>
  <c r="E1305" i="35"/>
  <c r="E1298" i="35"/>
  <c r="E1291" i="35"/>
  <c r="E1277" i="35"/>
  <c r="E1262" i="35"/>
  <c r="E1248" i="35"/>
  <c r="E1241" i="35"/>
  <c r="E1234" i="35"/>
  <c r="E1227" i="35"/>
  <c r="E1213" i="35"/>
  <c r="E1198" i="35"/>
  <c r="E1184" i="35"/>
  <c r="E1177" i="35"/>
  <c r="E1170" i="35"/>
  <c r="E1163" i="35"/>
  <c r="E6" i="35"/>
  <c r="E13" i="35"/>
  <c r="E18" i="35"/>
  <c r="E23" i="35"/>
  <c r="E34" i="35"/>
  <c r="E39" i="35"/>
  <c r="E50" i="35"/>
  <c r="E55" i="35"/>
  <c r="E67" i="35"/>
  <c r="E82" i="35"/>
  <c r="E96" i="35"/>
  <c r="E103" i="35"/>
  <c r="E110" i="35"/>
  <c r="E117" i="35"/>
  <c r="E131" i="35"/>
  <c r="E146" i="35"/>
  <c r="E160" i="35"/>
  <c r="E167" i="35"/>
  <c r="E174" i="35"/>
  <c r="E181" i="35"/>
  <c r="E195" i="35"/>
  <c r="E210" i="35"/>
  <c r="E224" i="35"/>
  <c r="E231" i="35"/>
  <c r="E238" i="35"/>
  <c r="E245" i="35"/>
  <c r="E259" i="35"/>
  <c r="E274" i="35"/>
  <c r="E288" i="35"/>
  <c r="E295" i="35"/>
  <c r="E302" i="35"/>
  <c r="E309" i="35"/>
  <c r="E323" i="35"/>
  <c r="E338" i="35"/>
  <c r="E352" i="35"/>
  <c r="E359" i="35"/>
  <c r="E366" i="35"/>
  <c r="E373" i="35"/>
  <c r="E387" i="35"/>
  <c r="E402" i="35"/>
  <c r="E416" i="35"/>
  <c r="E423" i="35"/>
  <c r="E430" i="35"/>
  <c r="E437" i="35"/>
  <c r="E451" i="35"/>
  <c r="E466" i="35"/>
  <c r="E480" i="35"/>
  <c r="E487" i="35"/>
  <c r="E494" i="35"/>
  <c r="E501" i="35"/>
  <c r="E515" i="35"/>
  <c r="E530" i="35"/>
  <c r="E544" i="35"/>
  <c r="E551" i="35"/>
  <c r="E558" i="35"/>
  <c r="E565" i="35"/>
  <c r="E579" i="35"/>
  <c r="E594" i="35"/>
  <c r="E608" i="35"/>
  <c r="E615" i="35"/>
  <c r="E622" i="35"/>
  <c r="E629" i="35"/>
  <c r="E645" i="35"/>
  <c r="E656" i="35"/>
  <c r="E677" i="35"/>
  <c r="E688" i="35"/>
  <c r="E709" i="35"/>
  <c r="E720" i="35"/>
  <c r="E741" i="35"/>
  <c r="E752" i="35"/>
  <c r="E773" i="35"/>
  <c r="E784" i="35"/>
  <c r="E805" i="35"/>
  <c r="E816" i="35"/>
  <c r="E837" i="35"/>
  <c r="E848" i="35"/>
  <c r="E869" i="35"/>
  <c r="E880" i="35"/>
  <c r="E901" i="35"/>
  <c r="E912" i="35"/>
  <c r="E954" i="35"/>
  <c r="E968" i="35"/>
  <c r="E982" i="35"/>
  <c r="E997" i="35"/>
  <c r="E1011" i="35"/>
  <c r="E1025" i="35"/>
  <c r="E1082" i="35"/>
  <c r="E1096" i="35"/>
  <c r="E1110" i="35"/>
  <c r="E1125" i="35"/>
  <c r="E1139" i="35"/>
  <c r="E1153" i="35"/>
  <c r="E1210" i="35"/>
  <c r="E1238" i="35"/>
  <c r="E1267" i="35"/>
  <c r="E1352" i="35"/>
  <c r="E1381" i="35"/>
  <c r="E1411" i="35"/>
  <c r="E1449" i="35"/>
  <c r="E1486" i="35"/>
  <c r="E1598" i="35"/>
  <c r="E1712" i="35"/>
  <c r="E9" i="35"/>
  <c r="C19" i="35"/>
  <c r="E24" i="35"/>
  <c r="E29" i="35"/>
  <c r="C35" i="35"/>
  <c r="E40" i="35"/>
  <c r="E45" i="35"/>
  <c r="C51" i="35"/>
  <c r="E56" i="35"/>
  <c r="E61" i="35"/>
  <c r="C69" i="35"/>
  <c r="E75" i="35"/>
  <c r="C83" i="35"/>
  <c r="E90" i="35"/>
  <c r="C97" i="35"/>
  <c r="E104" i="35"/>
  <c r="E111" i="35"/>
  <c r="E118" i="35"/>
  <c r="E125" i="35"/>
  <c r="C133" i="35"/>
  <c r="E139" i="35"/>
  <c r="C147" i="35"/>
  <c r="E154" i="35"/>
  <c r="C161" i="35"/>
  <c r="E168" i="35"/>
  <c r="E175" i="35"/>
  <c r="E182" i="35"/>
  <c r="E189" i="35"/>
  <c r="C197" i="35"/>
  <c r="E203" i="35"/>
  <c r="C211" i="35"/>
  <c r="E218" i="35"/>
  <c r="C225" i="35"/>
  <c r="E232" i="35"/>
  <c r="E239" i="35"/>
  <c r="E246" i="35"/>
  <c r="E253" i="35"/>
  <c r="C261" i="35"/>
  <c r="E267" i="35"/>
  <c r="C275" i="35"/>
  <c r="E282" i="35"/>
  <c r="C289" i="35"/>
  <c r="E296" i="35"/>
  <c r="E303" i="35"/>
  <c r="E310" i="35"/>
  <c r="E317" i="35"/>
  <c r="C325" i="35"/>
  <c r="E331" i="35"/>
  <c r="C339" i="35"/>
  <c r="E346" i="35"/>
  <c r="C353" i="35"/>
  <c r="E360" i="35"/>
  <c r="E367" i="35"/>
  <c r="E374" i="35"/>
  <c r="E381" i="35"/>
  <c r="C389" i="35"/>
  <c r="E395" i="35"/>
  <c r="C403" i="35"/>
  <c r="E410" i="35"/>
  <c r="C417" i="35"/>
  <c r="E424" i="35"/>
  <c r="E431" i="35"/>
  <c r="E438" i="35"/>
  <c r="E445" i="35"/>
  <c r="C453" i="35"/>
  <c r="E459" i="35"/>
  <c r="C467" i="35"/>
  <c r="E474" i="35"/>
  <c r="C481" i="35"/>
  <c r="E488" i="35"/>
  <c r="E495" i="35"/>
  <c r="E502" i="35"/>
  <c r="E509" i="35"/>
  <c r="C517" i="35"/>
  <c r="E523" i="35"/>
  <c r="C531" i="35"/>
  <c r="E538" i="35"/>
  <c r="C545" i="35"/>
  <c r="E552" i="35"/>
  <c r="E559" i="35"/>
  <c r="E566" i="35"/>
  <c r="E573" i="35"/>
  <c r="C581" i="35"/>
  <c r="E587" i="35"/>
  <c r="C595" i="35"/>
  <c r="E602" i="35"/>
  <c r="C609" i="35"/>
  <c r="E616" i="35"/>
  <c r="E623" i="35"/>
  <c r="E630" i="35"/>
  <c r="E637" i="35"/>
  <c r="E647" i="35"/>
  <c r="E658" i="35"/>
  <c r="C669" i="35"/>
  <c r="E679" i="35"/>
  <c r="E690" i="35"/>
  <c r="C701" i="35"/>
  <c r="E711" i="35"/>
  <c r="E722" i="35"/>
  <c r="C733" i="35"/>
  <c r="E743" i="35"/>
  <c r="E754" i="35"/>
  <c r="C765" i="35"/>
  <c r="E775" i="35"/>
  <c r="E786" i="35"/>
  <c r="C797" i="35"/>
  <c r="E807" i="35"/>
  <c r="E818" i="35"/>
  <c r="C829" i="35"/>
  <c r="E839" i="35"/>
  <c r="E850" i="35"/>
  <c r="C861" i="35"/>
  <c r="E871" i="35"/>
  <c r="E882" i="35"/>
  <c r="C893" i="35"/>
  <c r="E903" i="35"/>
  <c r="E914" i="35"/>
  <c r="E928" i="35"/>
  <c r="E942" i="35"/>
  <c r="E957" i="35"/>
  <c r="E971" i="35"/>
  <c r="E985" i="35"/>
  <c r="C1000" i="35"/>
  <c r="C1014" i="35"/>
  <c r="C1028" i="35"/>
  <c r="E1042" i="35"/>
  <c r="E1056" i="35"/>
  <c r="E1070" i="35"/>
  <c r="E1085" i="35"/>
  <c r="E1099" i="35"/>
  <c r="E1113" i="35"/>
  <c r="C1128" i="35"/>
  <c r="C1142" i="35"/>
  <c r="E1160" i="35"/>
  <c r="E1189" i="35"/>
  <c r="E1217" i="35"/>
  <c r="C1246" i="35"/>
  <c r="E1274" i="35"/>
  <c r="E1302" i="35"/>
  <c r="E1331" i="35"/>
  <c r="C1360" i="35"/>
  <c r="C1388" i="35"/>
  <c r="E1421" i="35"/>
  <c r="E1458" i="35"/>
  <c r="E1499" i="35"/>
  <c r="C1556" i="35"/>
  <c r="E1613" i="35"/>
  <c r="C1670" i="35"/>
  <c r="E1726" i="35"/>
  <c r="C1789" i="35"/>
  <c r="E1864" i="35"/>
  <c r="E1940" i="35"/>
  <c r="E2024" i="35"/>
  <c r="E7" i="35"/>
  <c r="C2092" i="35"/>
  <c r="C2089" i="35"/>
  <c r="C2084" i="35"/>
  <c r="C2081" i="35"/>
  <c r="C2076" i="35"/>
  <c r="C2073" i="35"/>
  <c r="C2068" i="35"/>
  <c r="C2065" i="35"/>
  <c r="C2060" i="35"/>
  <c r="C2057" i="35"/>
  <c r="C2052" i="35"/>
  <c r="C2049" i="35"/>
  <c r="C2044" i="35"/>
  <c r="C2041" i="35"/>
  <c r="C2036" i="35"/>
  <c r="C2033" i="35"/>
  <c r="C2028" i="35"/>
  <c r="C2025" i="35"/>
  <c r="C2020" i="35"/>
  <c r="C2017" i="35"/>
  <c r="C2012" i="35"/>
  <c r="C2009" i="35"/>
  <c r="C2004" i="35"/>
  <c r="C2001" i="35"/>
  <c r="C1996" i="35"/>
  <c r="C1993" i="35"/>
  <c r="C1988" i="35"/>
  <c r="C1985" i="35"/>
  <c r="C1980" i="35"/>
  <c r="C1977" i="35"/>
  <c r="C1972" i="35"/>
  <c r="C1969" i="35"/>
  <c r="C1964" i="35"/>
  <c r="C1961" i="35"/>
  <c r="C1956" i="35"/>
  <c r="C1953" i="35"/>
  <c r="C1948" i="35"/>
  <c r="C1945" i="35"/>
  <c r="C1940" i="35"/>
  <c r="C1937" i="35"/>
  <c r="C1932" i="35"/>
  <c r="C1929" i="35"/>
  <c r="C1924" i="35"/>
  <c r="C1921" i="35"/>
  <c r="C1916" i="35"/>
  <c r="C1913" i="35"/>
  <c r="C1908" i="35"/>
  <c r="C1905" i="35"/>
  <c r="C1900" i="35"/>
  <c r="C1897" i="35"/>
  <c r="C1892" i="35"/>
  <c r="C1889" i="35"/>
  <c r="C1884" i="35"/>
  <c r="C1881" i="35"/>
  <c r="C1876" i="35"/>
  <c r="C1873" i="35"/>
  <c r="C1868" i="35"/>
  <c r="C1865" i="35"/>
  <c r="C1860" i="35"/>
  <c r="C1857" i="35"/>
  <c r="C1852" i="35"/>
  <c r="C1849" i="35"/>
  <c r="C1844" i="35"/>
  <c r="C1841" i="35"/>
  <c r="C1836" i="35"/>
  <c r="C1833" i="35"/>
  <c r="C1828" i="35"/>
  <c r="C1825" i="35"/>
  <c r="C1820" i="35"/>
  <c r="C1817" i="35"/>
  <c r="C1812" i="35"/>
  <c r="C1809" i="35"/>
  <c r="C1804" i="35"/>
  <c r="C1801" i="35"/>
  <c r="C1796" i="35"/>
  <c r="C1793" i="35"/>
  <c r="C1788" i="35"/>
  <c r="C1785" i="35"/>
  <c r="C1780" i="35"/>
  <c r="C1777" i="35"/>
  <c r="C1772" i="35"/>
  <c r="C1769" i="35"/>
  <c r="C1767" i="35"/>
  <c r="C1765" i="35"/>
  <c r="C1763" i="35"/>
  <c r="C1761" i="35"/>
  <c r="C1759" i="35"/>
  <c r="C1757" i="35"/>
  <c r="C1755" i="35"/>
  <c r="C1753" i="35"/>
  <c r="C1751" i="35"/>
  <c r="C1749" i="35"/>
  <c r="C1747" i="35"/>
  <c r="C1745" i="35"/>
  <c r="C1743" i="35"/>
  <c r="C1741" i="35"/>
  <c r="C1739" i="35"/>
  <c r="C1737" i="35"/>
  <c r="C1735" i="35"/>
  <c r="C1733" i="35"/>
  <c r="C1731" i="35"/>
  <c r="C1729" i="35"/>
  <c r="C1727" i="35"/>
  <c r="C1725" i="35"/>
  <c r="C1723" i="35"/>
  <c r="C1721" i="35"/>
  <c r="C1719" i="35"/>
  <c r="C1717" i="35"/>
  <c r="C1715" i="35"/>
  <c r="C1713" i="35"/>
  <c r="C1711" i="35"/>
  <c r="C1709" i="35"/>
  <c r="C1707" i="35"/>
  <c r="C1705" i="35"/>
  <c r="C1703" i="35"/>
  <c r="C1701" i="35"/>
  <c r="C1699" i="35"/>
  <c r="C1697" i="35"/>
  <c r="C1695" i="35"/>
  <c r="C1693" i="35"/>
  <c r="C1691" i="35"/>
  <c r="C1689" i="35"/>
  <c r="C1687" i="35"/>
  <c r="C1685" i="35"/>
  <c r="C1683" i="35"/>
  <c r="C1681" i="35"/>
  <c r="C1679" i="35"/>
  <c r="C1677" i="35"/>
  <c r="C1675" i="35"/>
  <c r="C1673" i="35"/>
  <c r="C1671" i="35"/>
  <c r="C1669" i="35"/>
  <c r="C1667" i="35"/>
  <c r="C1665" i="35"/>
  <c r="C1663" i="35"/>
  <c r="C1661" i="35"/>
  <c r="C1659" i="35"/>
  <c r="C1657" i="35"/>
  <c r="C1655" i="35"/>
  <c r="C1653" i="35"/>
  <c r="C1651" i="35"/>
  <c r="C1649" i="35"/>
  <c r="C1647" i="35"/>
  <c r="C1645" i="35"/>
  <c r="C1643" i="35"/>
  <c r="C1641" i="35"/>
  <c r="C1639" i="35"/>
  <c r="C1637" i="35"/>
  <c r="C1635" i="35"/>
  <c r="C1633" i="35"/>
  <c r="C1631" i="35"/>
  <c r="C1629" i="35"/>
  <c r="C1627" i="35"/>
  <c r="C1625" i="35"/>
  <c r="C1623" i="35"/>
  <c r="C1621" i="35"/>
  <c r="C1619" i="35"/>
  <c r="C1617" i="35"/>
  <c r="C1615" i="35"/>
  <c r="C1613" i="35"/>
  <c r="C1611" i="35"/>
  <c r="C1609" i="35"/>
  <c r="C1607" i="35"/>
  <c r="C1605" i="35"/>
  <c r="C1603" i="35"/>
  <c r="C1601" i="35"/>
  <c r="C1599" i="35"/>
  <c r="C1597" i="35"/>
  <c r="C1595" i="35"/>
  <c r="C1593" i="35"/>
  <c r="C1591" i="35"/>
  <c r="C1589" i="35"/>
  <c r="C1587" i="35"/>
  <c r="C1585" i="35"/>
  <c r="C1583" i="35"/>
  <c r="C1581" i="35"/>
  <c r="C1579" i="35"/>
  <c r="C1577" i="35"/>
  <c r="C1575" i="35"/>
  <c r="C1573" i="35"/>
  <c r="C1571" i="35"/>
  <c r="C1569" i="35"/>
  <c r="C1567" i="35"/>
  <c r="C1565" i="35"/>
  <c r="C1563" i="35"/>
  <c r="C1561" i="35"/>
  <c r="C1559" i="35"/>
  <c r="C1557" i="35"/>
  <c r="C1555" i="35"/>
  <c r="C1553" i="35"/>
  <c r="C1551" i="35"/>
  <c r="C1549" i="35"/>
  <c r="C1547" i="35"/>
  <c r="C1545" i="35"/>
  <c r="C1543" i="35"/>
  <c r="C1541" i="35"/>
  <c r="C1539" i="35"/>
  <c r="C1537" i="35"/>
  <c r="C1535" i="35"/>
  <c r="C1533" i="35"/>
  <c r="C1531" i="35"/>
  <c r="C1529" i="35"/>
  <c r="C1527" i="35"/>
  <c r="C1525" i="35"/>
  <c r="C1523" i="35"/>
  <c r="C1521" i="35"/>
  <c r="C1519" i="35"/>
  <c r="C1517" i="35"/>
  <c r="C1515" i="35"/>
  <c r="C1513" i="35"/>
  <c r="C1511" i="35"/>
  <c r="C1509" i="35"/>
  <c r="C1507" i="35"/>
  <c r="C1505" i="35"/>
  <c r="C1503" i="35"/>
  <c r="C1501" i="35"/>
  <c r="C1499" i="35"/>
  <c r="C1497" i="35"/>
  <c r="C1495" i="35"/>
  <c r="C1493" i="35"/>
  <c r="C1491" i="35"/>
  <c r="C1489" i="35"/>
  <c r="C1487" i="35"/>
  <c r="C1485" i="35"/>
  <c r="C1483" i="35"/>
  <c r="C1481" i="35"/>
  <c r="C1479" i="35"/>
  <c r="C1477" i="35"/>
  <c r="C1475" i="35"/>
  <c r="C1473" i="35"/>
  <c r="C1471" i="35"/>
  <c r="C1469" i="35"/>
  <c r="C1467" i="35"/>
  <c r="C1465" i="35"/>
  <c r="C1463" i="35"/>
  <c r="C1461" i="35"/>
  <c r="C1459" i="35"/>
  <c r="C1457" i="35"/>
  <c r="C1455" i="35"/>
  <c r="C1453" i="35"/>
  <c r="C1451" i="35"/>
  <c r="C1449" i="35"/>
  <c r="C1447" i="35"/>
  <c r="C1445" i="35"/>
  <c r="C1443" i="35"/>
  <c r="C1441" i="35"/>
  <c r="C1439" i="35"/>
  <c r="C1437" i="35"/>
  <c r="C1435" i="35"/>
  <c r="C1433" i="35"/>
  <c r="C1431" i="35"/>
  <c r="C1429" i="35"/>
  <c r="C1427" i="35"/>
  <c r="C1425" i="35"/>
  <c r="C1423" i="35"/>
  <c r="C1421" i="35"/>
  <c r="C1419" i="35"/>
  <c r="C1417" i="35"/>
  <c r="C1415" i="35"/>
  <c r="C1413" i="35"/>
  <c r="C1411" i="35"/>
  <c r="C1409" i="35"/>
  <c r="C1407" i="35"/>
  <c r="C1405" i="35"/>
  <c r="C1403" i="35"/>
  <c r="C1401" i="35"/>
  <c r="C1399" i="35"/>
  <c r="C1397" i="35"/>
  <c r="C1395" i="35"/>
  <c r="C1393" i="35"/>
  <c r="C1391" i="35"/>
  <c r="C1389" i="35"/>
  <c r="C1387" i="35"/>
  <c r="C1385" i="35"/>
  <c r="C1383" i="35"/>
  <c r="C1381" i="35"/>
  <c r="C1379" i="35"/>
  <c r="C1377" i="35"/>
  <c r="C1375" i="35"/>
  <c r="C1373" i="35"/>
  <c r="C1371" i="35"/>
  <c r="C1369" i="35"/>
  <c r="C1367" i="35"/>
  <c r="C1365" i="35"/>
  <c r="C1363" i="35"/>
  <c r="C1361" i="35"/>
  <c r="C1359" i="35"/>
  <c r="C1357" i="35"/>
  <c r="C1355" i="35"/>
  <c r="C1353" i="35"/>
  <c r="C1351" i="35"/>
  <c r="C1349" i="35"/>
  <c r="C1347" i="35"/>
  <c r="C1345" i="35"/>
  <c r="C1343" i="35"/>
  <c r="C1341" i="35"/>
  <c r="C1339" i="35"/>
  <c r="C1337" i="35"/>
  <c r="C1335" i="35"/>
  <c r="C1333" i="35"/>
  <c r="C1331" i="35"/>
  <c r="C1329" i="35"/>
  <c r="C1327" i="35"/>
  <c r="C1325" i="35"/>
  <c r="C1323" i="35"/>
  <c r="C1321" i="35"/>
  <c r="C1319" i="35"/>
  <c r="C1317" i="35"/>
  <c r="C1315" i="35"/>
  <c r="C1313" i="35"/>
  <c r="C1311" i="35"/>
  <c r="C1309" i="35"/>
  <c r="C1307" i="35"/>
  <c r="C1305" i="35"/>
  <c r="C1303" i="35"/>
  <c r="C1301" i="35"/>
  <c r="C1299" i="35"/>
  <c r="C1297" i="35"/>
  <c r="C1295" i="35"/>
  <c r="C1293" i="35"/>
  <c r="C1291" i="35"/>
  <c r="C1289" i="35"/>
  <c r="C1287" i="35"/>
  <c r="C1285" i="35"/>
  <c r="C1283" i="35"/>
  <c r="C1281" i="35"/>
  <c r="C1279" i="35"/>
  <c r="C1277" i="35"/>
  <c r="C1275" i="35"/>
  <c r="C1273" i="35"/>
  <c r="C1271" i="35"/>
  <c r="C1269" i="35"/>
  <c r="C1267" i="35"/>
  <c r="C1265" i="35"/>
  <c r="C1263" i="35"/>
  <c r="C1261" i="35"/>
  <c r="C1259" i="35"/>
  <c r="C1257" i="35"/>
  <c r="C1255" i="35"/>
  <c r="C1253" i="35"/>
  <c r="C1251" i="35"/>
  <c r="C1249" i="35"/>
  <c r="C1247" i="35"/>
  <c r="C1245" i="35"/>
  <c r="C1243" i="35"/>
  <c r="C1241" i="35"/>
  <c r="C1239" i="35"/>
  <c r="C1237" i="35"/>
  <c r="C1235" i="35"/>
  <c r="C1233" i="35"/>
  <c r="C1231" i="35"/>
  <c r="C1229" i="35"/>
  <c r="C1227" i="35"/>
  <c r="C1225" i="35"/>
  <c r="C1223" i="35"/>
  <c r="C1221" i="35"/>
  <c r="C1219" i="35"/>
  <c r="C1217" i="35"/>
  <c r="C1215" i="35"/>
  <c r="C1213" i="35"/>
  <c r="C1211" i="35"/>
  <c r="C1209" i="35"/>
  <c r="C1207" i="35"/>
  <c r="C1205" i="35"/>
  <c r="C1203" i="35"/>
  <c r="C1201" i="35"/>
  <c r="C1199" i="35"/>
  <c r="C1197" i="35"/>
  <c r="C1195" i="35"/>
  <c r="C1193" i="35"/>
  <c r="C1191" i="35"/>
  <c r="C1189" i="35"/>
  <c r="C1187" i="35"/>
  <c r="C1185" i="35"/>
  <c r="C1183" i="35"/>
  <c r="C1181" i="35"/>
  <c r="C1179" i="35"/>
  <c r="C1177" i="35"/>
  <c r="C1175" i="35"/>
  <c r="C1173" i="35"/>
  <c r="C1171" i="35"/>
  <c r="C1169" i="35"/>
  <c r="C1167" i="35"/>
  <c r="C1165" i="35"/>
  <c r="C1163" i="35"/>
  <c r="C1161" i="35"/>
  <c r="C1159" i="35"/>
  <c r="C1157" i="35"/>
  <c r="C1155" i="35"/>
  <c r="C1153" i="35"/>
  <c r="C1151" i="35"/>
  <c r="C1149" i="35"/>
  <c r="C1147" i="35"/>
  <c r="C1145" i="35"/>
  <c r="C1143" i="35"/>
  <c r="C1141" i="35"/>
  <c r="C1139" i="35"/>
  <c r="C1137" i="35"/>
  <c r="C1135" i="35"/>
  <c r="C1133" i="35"/>
  <c r="C1131" i="35"/>
  <c r="C1129" i="35"/>
  <c r="C1127" i="35"/>
  <c r="C1125" i="35"/>
  <c r="C1123" i="35"/>
  <c r="C1121" i="35"/>
  <c r="C1119" i="35"/>
  <c r="C1117" i="35"/>
  <c r="C1115" i="35"/>
  <c r="C1113" i="35"/>
  <c r="C1111" i="35"/>
  <c r="C1109" i="35"/>
  <c r="C1107" i="35"/>
  <c r="C1105" i="35"/>
  <c r="C1103" i="35"/>
  <c r="C1101" i="35"/>
  <c r="C1099" i="35"/>
  <c r="C1097" i="35"/>
  <c r="C1095" i="35"/>
  <c r="C1093" i="35"/>
  <c r="C1091" i="35"/>
  <c r="C1089" i="35"/>
  <c r="C1087" i="35"/>
  <c r="C1085" i="35"/>
  <c r="C1083" i="35"/>
  <c r="C1081" i="35"/>
  <c r="C1079" i="35"/>
  <c r="C1077" i="35"/>
  <c r="C1075" i="35"/>
  <c r="C1073" i="35"/>
  <c r="C1071" i="35"/>
  <c r="C1069" i="35"/>
  <c r="C1067" i="35"/>
  <c r="C1065" i="35"/>
  <c r="C1063" i="35"/>
  <c r="C1061" i="35"/>
  <c r="C1059" i="35"/>
  <c r="C1057" i="35"/>
  <c r="C1055" i="35"/>
  <c r="C1053" i="35"/>
  <c r="C1051" i="35"/>
  <c r="C1049" i="35"/>
  <c r="C1047" i="35"/>
  <c r="C1045" i="35"/>
  <c r="C1043" i="35"/>
  <c r="C1041" i="35"/>
  <c r="C1039" i="35"/>
  <c r="C1037" i="35"/>
  <c r="C1035" i="35"/>
  <c r="C1033" i="35"/>
  <c r="C1031" i="35"/>
  <c r="C1029" i="35"/>
  <c r="C1027" i="35"/>
  <c r="C1025" i="35"/>
  <c r="C1023" i="35"/>
  <c r="C1021" i="35"/>
  <c r="C1019" i="35"/>
  <c r="C1017" i="35"/>
  <c r="C1015" i="35"/>
  <c r="C1013" i="35"/>
  <c r="C1011" i="35"/>
  <c r="C1009" i="35"/>
  <c r="C1007" i="35"/>
  <c r="C1005" i="35"/>
  <c r="C1003" i="35"/>
  <c r="C1001" i="35"/>
  <c r="C999" i="35"/>
  <c r="C997" i="35"/>
  <c r="C995" i="35"/>
  <c r="C993" i="35"/>
  <c r="C991" i="35"/>
  <c r="C989" i="35"/>
  <c r="C987" i="35"/>
  <c r="C985" i="35"/>
  <c r="C983" i="35"/>
  <c r="C981" i="35"/>
  <c r="C979" i="35"/>
  <c r="C977" i="35"/>
  <c r="C975" i="35"/>
  <c r="C973" i="35"/>
  <c r="C971" i="35"/>
  <c r="C969" i="35"/>
  <c r="C967" i="35"/>
  <c r="C965" i="35"/>
  <c r="C963" i="35"/>
  <c r="C961" i="35"/>
  <c r="C959" i="35"/>
  <c r="C957" i="35"/>
  <c r="C955" i="35"/>
  <c r="C953" i="35"/>
  <c r="C951" i="35"/>
  <c r="C949" i="35"/>
  <c r="C947" i="35"/>
  <c r="C945" i="35"/>
  <c r="C943" i="35"/>
  <c r="C941" i="35"/>
  <c r="C939" i="35"/>
  <c r="C937" i="35"/>
  <c r="C935" i="35"/>
  <c r="C933" i="35"/>
  <c r="C931" i="35"/>
  <c r="C929" i="35"/>
  <c r="C927" i="35"/>
  <c r="C925" i="35"/>
  <c r="C923" i="35"/>
  <c r="C921" i="35"/>
  <c r="C919" i="35"/>
  <c r="C917" i="35"/>
  <c r="C915" i="35"/>
  <c r="C2094" i="35"/>
  <c r="C2087" i="35"/>
  <c r="C2083" i="35"/>
  <c r="C2080" i="35"/>
  <c r="C2069" i="35"/>
  <c r="C2066" i="35"/>
  <c r="C2062" i="35"/>
  <c r="C2055" i="35"/>
  <c r="C2051" i="35"/>
  <c r="C2048" i="35"/>
  <c r="C2037" i="35"/>
  <c r="C2034" i="35"/>
  <c r="C2030" i="35"/>
  <c r="C2023" i="35"/>
  <c r="C2019" i="35"/>
  <c r="C2016" i="35"/>
  <c r="C2005" i="35"/>
  <c r="C2002" i="35"/>
  <c r="C1998" i="35"/>
  <c r="C1991" i="35"/>
  <c r="C1987" i="35"/>
  <c r="C1984" i="35"/>
  <c r="C1973" i="35"/>
  <c r="C1970" i="35"/>
  <c r="C1966" i="35"/>
  <c r="C1959" i="35"/>
  <c r="C1955" i="35"/>
  <c r="C1952" i="35"/>
  <c r="C1941" i="35"/>
  <c r="C1938" i="35"/>
  <c r="C1934" i="35"/>
  <c r="C1927" i="35"/>
  <c r="C1923" i="35"/>
  <c r="C1920" i="35"/>
  <c r="C1909" i="35"/>
  <c r="C1906" i="35"/>
  <c r="C1902" i="35"/>
  <c r="C1895" i="35"/>
  <c r="C1891" i="35"/>
  <c r="C1888" i="35"/>
  <c r="C1877" i="35"/>
  <c r="C1874" i="35"/>
  <c r="C1870" i="35"/>
  <c r="C1863" i="35"/>
  <c r="C1859" i="35"/>
  <c r="C1856" i="35"/>
  <c r="C1845" i="35"/>
  <c r="C1842" i="35"/>
  <c r="C1838" i="35"/>
  <c r="C1831" i="35"/>
  <c r="C1827" i="35"/>
  <c r="C1824" i="35"/>
  <c r="C1813" i="35"/>
  <c r="C1810" i="35"/>
  <c r="C1806" i="35"/>
  <c r="C1799" i="35"/>
  <c r="C1795" i="35"/>
  <c r="C1792" i="35"/>
  <c r="C1781" i="35"/>
  <c r="C1778" i="35"/>
  <c r="C1774" i="35"/>
  <c r="C1762" i="35"/>
  <c r="C1754" i="35"/>
  <c r="C1746" i="35"/>
  <c r="C1738" i="35"/>
  <c r="C1730" i="35"/>
  <c r="C1722" i="35"/>
  <c r="C1714" i="35"/>
  <c r="C1706" i="35"/>
  <c r="C1698" i="35"/>
  <c r="C1690" i="35"/>
  <c r="C1682" i="35"/>
  <c r="C1674" i="35"/>
  <c r="C1666" i="35"/>
  <c r="C1658" i="35"/>
  <c r="C1650" i="35"/>
  <c r="C1642" i="35"/>
  <c r="C1634" i="35"/>
  <c r="C1626" i="35"/>
  <c r="C1618" i="35"/>
  <c r="C1610" i="35"/>
  <c r="C1602" i="35"/>
  <c r="C1594" i="35"/>
  <c r="C1586" i="35"/>
  <c r="C1578" i="35"/>
  <c r="C1570" i="35"/>
  <c r="C1562" i="35"/>
  <c r="C1554" i="35"/>
  <c r="C1546" i="35"/>
  <c r="C1538" i="35"/>
  <c r="C1530" i="35"/>
  <c r="C1522" i="35"/>
  <c r="C1514" i="35"/>
  <c r="C1506" i="35"/>
  <c r="C1498" i="35"/>
  <c r="C1490" i="35"/>
  <c r="C1482" i="35"/>
  <c r="C1474" i="35"/>
  <c r="C1466" i="35"/>
  <c r="C1458" i="35"/>
  <c r="C1450" i="35"/>
  <c r="C1442" i="35"/>
  <c r="C1434" i="35"/>
  <c r="C1426" i="35"/>
  <c r="C1418" i="35"/>
  <c r="C1410" i="35"/>
  <c r="C1402" i="35"/>
  <c r="C1394" i="35"/>
  <c r="C1386" i="35"/>
  <c r="C1378" i="35"/>
  <c r="C1370" i="35"/>
  <c r="C1362" i="35"/>
  <c r="C1354" i="35"/>
  <c r="C1346" i="35"/>
  <c r="C1338" i="35"/>
  <c r="C1330" i="35"/>
  <c r="C1322" i="35"/>
  <c r="C1314" i="35"/>
  <c r="C1306" i="35"/>
  <c r="C1298" i="35"/>
  <c r="C1290" i="35"/>
  <c r="C1282" i="35"/>
  <c r="C1274" i="35"/>
  <c r="C1266" i="35"/>
  <c r="C1258" i="35"/>
  <c r="C1250" i="35"/>
  <c r="C1242" i="35"/>
  <c r="C1234" i="35"/>
  <c r="C1226" i="35"/>
  <c r="C1218" i="35"/>
  <c r="C1210" i="35"/>
  <c r="C1202" i="35"/>
  <c r="C1194" i="35"/>
  <c r="C1186" i="35"/>
  <c r="C1178" i="35"/>
  <c r="C1170" i="35"/>
  <c r="C1162" i="35"/>
  <c r="C1154" i="35"/>
  <c r="C1146" i="35"/>
  <c r="C1138" i="35"/>
  <c r="C1130" i="35"/>
  <c r="C1122" i="35"/>
  <c r="C1114" i="35"/>
  <c r="C1106" i="35"/>
  <c r="C1098" i="35"/>
  <c r="C1090" i="35"/>
  <c r="C1082" i="35"/>
  <c r="C1074" i="35"/>
  <c r="C1066" i="35"/>
  <c r="C1058" i="35"/>
  <c r="C1050" i="35"/>
  <c r="C1042" i="35"/>
  <c r="C1034" i="35"/>
  <c r="C1026" i="35"/>
  <c r="C1018" i="35"/>
  <c r="C1010" i="35"/>
  <c r="C1002" i="35"/>
  <c r="C994" i="35"/>
  <c r="C986" i="35"/>
  <c r="C978" i="35"/>
  <c r="C970" i="35"/>
  <c r="C962" i="35"/>
  <c r="C954" i="35"/>
  <c r="C946" i="35"/>
  <c r="C938" i="35"/>
  <c r="C930" i="35"/>
  <c r="C922" i="35"/>
  <c r="C914" i="35"/>
  <c r="C912" i="35"/>
  <c r="C910" i="35"/>
  <c r="C908" i="35"/>
  <c r="C906" i="35"/>
  <c r="C904" i="35"/>
  <c r="C902" i="35"/>
  <c r="C900" i="35"/>
  <c r="C898" i="35"/>
  <c r="C896" i="35"/>
  <c r="C894" i="35"/>
  <c r="C892" i="35"/>
  <c r="C890" i="35"/>
  <c r="C888" i="35"/>
  <c r="C886" i="35"/>
  <c r="C884" i="35"/>
  <c r="C882" i="35"/>
  <c r="C880" i="35"/>
  <c r="C878" i="35"/>
  <c r="C876" i="35"/>
  <c r="C874" i="35"/>
  <c r="C872" i="35"/>
  <c r="C870" i="35"/>
  <c r="C868" i="35"/>
  <c r="C866" i="35"/>
  <c r="C864" i="35"/>
  <c r="C862" i="35"/>
  <c r="C860" i="35"/>
  <c r="C858" i="35"/>
  <c r="C856" i="35"/>
  <c r="C854" i="35"/>
  <c r="C852" i="35"/>
  <c r="C850" i="35"/>
  <c r="C848" i="35"/>
  <c r="C846" i="35"/>
  <c r="C844" i="35"/>
  <c r="C842" i="35"/>
  <c r="C840" i="35"/>
  <c r="C838" i="35"/>
  <c r="C836" i="35"/>
  <c r="C834" i="35"/>
  <c r="C832" i="35"/>
  <c r="C830" i="35"/>
  <c r="C828" i="35"/>
  <c r="C826" i="35"/>
  <c r="C824" i="35"/>
  <c r="C822" i="35"/>
  <c r="C820" i="35"/>
  <c r="C818" i="35"/>
  <c r="C816" i="35"/>
  <c r="C814" i="35"/>
  <c r="C812" i="35"/>
  <c r="C810" i="35"/>
  <c r="C808" i="35"/>
  <c r="C806" i="35"/>
  <c r="C804" i="35"/>
  <c r="C802" i="35"/>
  <c r="C800" i="35"/>
  <c r="C798" i="35"/>
  <c r="C796" i="35"/>
  <c r="C794" i="35"/>
  <c r="C792" i="35"/>
  <c r="C790" i="35"/>
  <c r="C788" i="35"/>
  <c r="C786" i="35"/>
  <c r="C784" i="35"/>
  <c r="C782" i="35"/>
  <c r="C780" i="35"/>
  <c r="C778" i="35"/>
  <c r="C776" i="35"/>
  <c r="C774" i="35"/>
  <c r="C772" i="35"/>
  <c r="C770" i="35"/>
  <c r="C768" i="35"/>
  <c r="C766" i="35"/>
  <c r="C764" i="35"/>
  <c r="C762" i="35"/>
  <c r="C760" i="35"/>
  <c r="C758" i="35"/>
  <c r="C756" i="35"/>
  <c r="C754" i="35"/>
  <c r="C752" i="35"/>
  <c r="C750" i="35"/>
  <c r="C748" i="35"/>
  <c r="C746" i="35"/>
  <c r="C744" i="35"/>
  <c r="C742" i="35"/>
  <c r="C740" i="35"/>
  <c r="C738" i="35"/>
  <c r="C736" i="35"/>
  <c r="C734" i="35"/>
  <c r="C732" i="35"/>
  <c r="C730" i="35"/>
  <c r="C728" i="35"/>
  <c r="C726" i="35"/>
  <c r="C724" i="35"/>
  <c r="C722" i="35"/>
  <c r="C720" i="35"/>
  <c r="C718" i="35"/>
  <c r="C716" i="35"/>
  <c r="C714" i="35"/>
  <c r="C712" i="35"/>
  <c r="C710" i="35"/>
  <c r="C708" i="35"/>
  <c r="C706" i="35"/>
  <c r="C704" i="35"/>
  <c r="C702" i="35"/>
  <c r="C700" i="35"/>
  <c r="C698" i="35"/>
  <c r="C696" i="35"/>
  <c r="C694" i="35"/>
  <c r="C692" i="35"/>
  <c r="C690" i="35"/>
  <c r="C688" i="35"/>
  <c r="C686" i="35"/>
  <c r="C684" i="35"/>
  <c r="C682" i="35"/>
  <c r="C680" i="35"/>
  <c r="C678" i="35"/>
  <c r="C676" i="35"/>
  <c r="C674" i="35"/>
  <c r="C672" i="35"/>
  <c r="C670" i="35"/>
  <c r="C668" i="35"/>
  <c r="C666" i="35"/>
  <c r="C664" i="35"/>
  <c r="C662" i="35"/>
  <c r="C660" i="35"/>
  <c r="C658" i="35"/>
  <c r="C656" i="35"/>
  <c r="C654" i="35"/>
  <c r="C652" i="35"/>
  <c r="C650" i="35"/>
  <c r="C648" i="35"/>
  <c r="C646" i="35"/>
  <c r="C644" i="35"/>
  <c r="C642" i="35"/>
  <c r="C640" i="35"/>
  <c r="C638" i="35"/>
  <c r="C636" i="35"/>
  <c r="C634" i="35"/>
  <c r="C632" i="35"/>
  <c r="C630" i="35"/>
  <c r="C628" i="35"/>
  <c r="C626" i="35"/>
  <c r="C624" i="35"/>
  <c r="C622" i="35"/>
  <c r="C620" i="35"/>
  <c r="C618" i="35"/>
  <c r="C616" i="35"/>
  <c r="C614" i="35"/>
  <c r="C612" i="35"/>
  <c r="C610" i="35"/>
  <c r="C608" i="35"/>
  <c r="C606" i="35"/>
  <c r="C604" i="35"/>
  <c r="C602" i="35"/>
  <c r="C600" i="35"/>
  <c r="C598" i="35"/>
  <c r="C596" i="35"/>
  <c r="C594" i="35"/>
  <c r="C592" i="35"/>
  <c r="C590" i="35"/>
  <c r="C588" i="35"/>
  <c r="C586" i="35"/>
  <c r="C584" i="35"/>
  <c r="C582" i="35"/>
  <c r="C580" i="35"/>
  <c r="C578" i="35"/>
  <c r="C576" i="35"/>
  <c r="C574" i="35"/>
  <c r="C572" i="35"/>
  <c r="C570" i="35"/>
  <c r="C568" i="35"/>
  <c r="C566" i="35"/>
  <c r="C564" i="35"/>
  <c r="C562" i="35"/>
  <c r="C560" i="35"/>
  <c r="C558" i="35"/>
  <c r="C556" i="35"/>
  <c r="C554" i="35"/>
  <c r="C552" i="35"/>
  <c r="C550" i="35"/>
  <c r="C548" i="35"/>
  <c r="C546" i="35"/>
  <c r="C544" i="35"/>
  <c r="C542" i="35"/>
  <c r="C540" i="35"/>
  <c r="C538" i="35"/>
  <c r="C536" i="35"/>
  <c r="C534" i="35"/>
  <c r="C532" i="35"/>
  <c r="C530" i="35"/>
  <c r="C528" i="35"/>
  <c r="C526" i="35"/>
  <c r="C524" i="35"/>
  <c r="C522" i="35"/>
  <c r="C520" i="35"/>
  <c r="C518" i="35"/>
  <c r="C516" i="35"/>
  <c r="C514" i="35"/>
  <c r="C512" i="35"/>
  <c r="C510" i="35"/>
  <c r="C508" i="35"/>
  <c r="C506" i="35"/>
  <c r="C504" i="35"/>
  <c r="C502" i="35"/>
  <c r="C500" i="35"/>
  <c r="C498" i="35"/>
  <c r="C496" i="35"/>
  <c r="C494" i="35"/>
  <c r="C492" i="35"/>
  <c r="C490" i="35"/>
  <c r="C488" i="35"/>
  <c r="C486" i="35"/>
  <c r="C484" i="35"/>
  <c r="C482" i="35"/>
  <c r="C480" i="35"/>
  <c r="C478" i="35"/>
  <c r="C476" i="35"/>
  <c r="C474" i="35"/>
  <c r="C472" i="35"/>
  <c r="C470" i="35"/>
  <c r="C468" i="35"/>
  <c r="C466" i="35"/>
  <c r="C464" i="35"/>
  <c r="C462" i="35"/>
  <c r="C460" i="35"/>
  <c r="C458" i="35"/>
  <c r="C456" i="35"/>
  <c r="C454" i="35"/>
  <c r="C452" i="35"/>
  <c r="C450" i="35"/>
  <c r="C448" i="35"/>
  <c r="C446" i="35"/>
  <c r="C444" i="35"/>
  <c r="C442" i="35"/>
  <c r="C440" i="35"/>
  <c r="C438" i="35"/>
  <c r="C436" i="35"/>
  <c r="C434" i="35"/>
  <c r="C432" i="35"/>
  <c r="C430" i="35"/>
  <c r="C428" i="35"/>
  <c r="C426" i="35"/>
  <c r="C424" i="35"/>
  <c r="C422" i="35"/>
  <c r="C420" i="35"/>
  <c r="C418" i="35"/>
  <c r="C416" i="35"/>
  <c r="C414" i="35"/>
  <c r="C412" i="35"/>
  <c r="C410" i="35"/>
  <c r="C408" i="35"/>
  <c r="C406" i="35"/>
  <c r="C404" i="35"/>
  <c r="C402" i="35"/>
  <c r="C400" i="35"/>
  <c r="C398" i="35"/>
  <c r="C396" i="35"/>
  <c r="C394" i="35"/>
  <c r="C392" i="35"/>
  <c r="C390" i="35"/>
  <c r="C388" i="35"/>
  <c r="C386" i="35"/>
  <c r="C384" i="35"/>
  <c r="C382" i="35"/>
  <c r="C380" i="35"/>
  <c r="C378" i="35"/>
  <c r="C376" i="35"/>
  <c r="C374" i="35"/>
  <c r="C372" i="35"/>
  <c r="C370" i="35"/>
  <c r="C368" i="35"/>
  <c r="C366" i="35"/>
  <c r="C364" i="35"/>
  <c r="C362" i="35"/>
  <c r="C360" i="35"/>
  <c r="C358" i="35"/>
  <c r="C356" i="35"/>
  <c r="C354" i="35"/>
  <c r="C352" i="35"/>
  <c r="C350" i="35"/>
  <c r="C348" i="35"/>
  <c r="C346" i="35"/>
  <c r="C344" i="35"/>
  <c r="C342" i="35"/>
  <c r="C340" i="35"/>
  <c r="C338" i="35"/>
  <c r="C336" i="35"/>
  <c r="C334" i="35"/>
  <c r="C332" i="35"/>
  <c r="C330" i="35"/>
  <c r="C328" i="35"/>
  <c r="C326" i="35"/>
  <c r="C324" i="35"/>
  <c r="C322" i="35"/>
  <c r="C320" i="35"/>
  <c r="C318" i="35"/>
  <c r="C316" i="35"/>
  <c r="C314" i="35"/>
  <c r="C312" i="35"/>
  <c r="C310" i="35"/>
  <c r="C308" i="35"/>
  <c r="C306" i="35"/>
  <c r="C304" i="35"/>
  <c r="C302" i="35"/>
  <c r="C300" i="35"/>
  <c r="C298" i="35"/>
  <c r="C296" i="35"/>
  <c r="C294" i="35"/>
  <c r="C292" i="35"/>
  <c r="C290" i="35"/>
  <c r="C288" i="35"/>
  <c r="C286" i="35"/>
  <c r="C284" i="35"/>
  <c r="C282" i="35"/>
  <c r="C280" i="35"/>
  <c r="C278" i="35"/>
  <c r="C276" i="35"/>
  <c r="C274" i="35"/>
  <c r="C272" i="35"/>
  <c r="C270" i="35"/>
  <c r="C268" i="35"/>
  <c r="C266" i="35"/>
  <c r="C264" i="35"/>
  <c r="C262" i="35"/>
  <c r="C260" i="35"/>
  <c r="C258" i="35"/>
  <c r="C256" i="35"/>
  <c r="C254" i="35"/>
  <c r="C252" i="35"/>
  <c r="C250" i="35"/>
  <c r="C248" i="35"/>
  <c r="C246" i="35"/>
  <c r="C244" i="35"/>
  <c r="C242" i="35"/>
  <c r="C240" i="35"/>
  <c r="C238" i="35"/>
  <c r="C236" i="35"/>
  <c r="C234" i="35"/>
  <c r="C232" i="35"/>
  <c r="C230" i="35"/>
  <c r="C228" i="35"/>
  <c r="C226" i="35"/>
  <c r="C224" i="35"/>
  <c r="C222" i="35"/>
  <c r="C220" i="35"/>
  <c r="C218" i="35"/>
  <c r="C216" i="35"/>
  <c r="C214" i="35"/>
  <c r="C212" i="35"/>
  <c r="C210" i="35"/>
  <c r="C208" i="35"/>
  <c r="C206" i="35"/>
  <c r="C204" i="35"/>
  <c r="C202" i="35"/>
  <c r="C200" i="35"/>
  <c r="C198" i="35"/>
  <c r="C196" i="35"/>
  <c r="C194" i="35"/>
  <c r="C192" i="35"/>
  <c r="C190" i="35"/>
  <c r="C188" i="35"/>
  <c r="C186" i="35"/>
  <c r="C184" i="35"/>
  <c r="C182" i="35"/>
  <c r="C180" i="35"/>
  <c r="C178" i="35"/>
  <c r="C176" i="35"/>
  <c r="C174" i="35"/>
  <c r="C172" i="35"/>
  <c r="C170" i="35"/>
  <c r="C168" i="35"/>
  <c r="C166" i="35"/>
  <c r="C164" i="35"/>
  <c r="C162" i="35"/>
  <c r="C160" i="35"/>
  <c r="C158" i="35"/>
  <c r="C156" i="35"/>
  <c r="C154" i="35"/>
  <c r="C152" i="35"/>
  <c r="C150" i="35"/>
  <c r="C148" i="35"/>
  <c r="C146" i="35"/>
  <c r="C144" i="35"/>
  <c r="C142" i="35"/>
  <c r="C140" i="35"/>
  <c r="C138" i="35"/>
  <c r="C136" i="35"/>
  <c r="C134" i="35"/>
  <c r="C132" i="35"/>
  <c r="C130" i="35"/>
  <c r="C128" i="35"/>
  <c r="C126" i="35"/>
  <c r="C124" i="35"/>
  <c r="C122" i="35"/>
  <c r="C120" i="35"/>
  <c r="C118" i="35"/>
  <c r="C116" i="35"/>
  <c r="C114" i="35"/>
  <c r="C112" i="35"/>
  <c r="C110" i="35"/>
  <c r="C108" i="35"/>
  <c r="C106" i="35"/>
  <c r="C104" i="35"/>
  <c r="C102" i="35"/>
  <c r="C100" i="35"/>
  <c r="C98" i="35"/>
  <c r="C96" i="35"/>
  <c r="C94" i="35"/>
  <c r="C92" i="35"/>
  <c r="C90" i="35"/>
  <c r="C88" i="35"/>
  <c r="C86" i="35"/>
  <c r="C84" i="35"/>
  <c r="C82" i="35"/>
  <c r="C80" i="35"/>
  <c r="C78" i="35"/>
  <c r="C76" i="35"/>
  <c r="C74" i="35"/>
  <c r="C72" i="35"/>
  <c r="C70" i="35"/>
  <c r="C68" i="35"/>
  <c r="C66" i="35"/>
  <c r="C64" i="35"/>
  <c r="C62" i="35"/>
  <c r="C60" i="35"/>
  <c r="C58" i="35"/>
  <c r="C56" i="35"/>
  <c r="C54" i="35"/>
  <c r="C52" i="35"/>
  <c r="C50" i="35"/>
  <c r="C48" i="35"/>
  <c r="C46" i="35"/>
  <c r="C44" i="35"/>
  <c r="C42" i="35"/>
  <c r="C40" i="35"/>
  <c r="C38" i="35"/>
  <c r="C36" i="35"/>
  <c r="C34" i="35"/>
  <c r="C32" i="35"/>
  <c r="C30" i="35"/>
  <c r="C28" i="35"/>
  <c r="C26" i="35"/>
  <c r="C24" i="35"/>
  <c r="C22" i="35"/>
  <c r="C20" i="35"/>
  <c r="C18" i="35"/>
  <c r="C16" i="35"/>
  <c r="C14" i="35"/>
  <c r="C2093" i="35"/>
  <c r="C2090" i="35"/>
  <c r="C2086" i="35"/>
  <c r="C2079" i="35"/>
  <c r="C2075" i="35"/>
  <c r="C2072" i="35"/>
  <c r="C2061" i="35"/>
  <c r="C2058" i="35"/>
  <c r="C2054" i="35"/>
  <c r="C2047" i="35"/>
  <c r="C2043" i="35"/>
  <c r="C2040" i="35"/>
  <c r="C2029" i="35"/>
  <c r="C2026" i="35"/>
  <c r="C2022" i="35"/>
  <c r="C2015" i="35"/>
  <c r="C2011" i="35"/>
  <c r="C2008" i="35"/>
  <c r="C2095" i="35"/>
  <c r="C2088" i="35"/>
  <c r="C2074" i="35"/>
  <c r="C2059" i="35"/>
  <c r="C2045" i="35"/>
  <c r="C2038" i="35"/>
  <c r="C2031" i="35"/>
  <c r="C2024" i="35"/>
  <c r="C2010" i="35"/>
  <c r="C1992" i="35"/>
  <c r="C1982" i="35"/>
  <c r="C1978" i="35"/>
  <c r="C1968" i="35"/>
  <c r="C1963" i="35"/>
  <c r="C1958" i="35"/>
  <c r="C1954" i="35"/>
  <c r="C1949" i="35"/>
  <c r="C1944" i="35"/>
  <c r="C1939" i="35"/>
  <c r="C1935" i="35"/>
  <c r="C1930" i="35"/>
  <c r="C1925" i="35"/>
  <c r="C1915" i="35"/>
  <c r="C1911" i="35"/>
  <c r="C1901" i="35"/>
  <c r="C1887" i="35"/>
  <c r="C1878" i="35"/>
  <c r="C1864" i="35"/>
  <c r="C1854" i="35"/>
  <c r="C1850" i="35"/>
  <c r="C1840" i="35"/>
  <c r="C1835" i="35"/>
  <c r="C1830" i="35"/>
  <c r="C1826" i="35"/>
  <c r="C1821" i="35"/>
  <c r="C1816" i="35"/>
  <c r="C1811" i="35"/>
  <c r="C1807" i="35"/>
  <c r="C1802" i="35"/>
  <c r="C1797" i="35"/>
  <c r="C1787" i="35"/>
  <c r="C1783" i="35"/>
  <c r="C1773" i="35"/>
  <c r="C1758" i="35"/>
  <c r="C1744" i="35"/>
  <c r="C1740" i="35"/>
  <c r="C1726" i="35"/>
  <c r="C1712" i="35"/>
  <c r="C1708" i="35"/>
  <c r="C1694" i="35"/>
  <c r="C1680" i="35"/>
  <c r="C1676" i="35"/>
  <c r="C1662" i="35"/>
  <c r="C1648" i="35"/>
  <c r="C1644" i="35"/>
  <c r="C1630" i="35"/>
  <c r="C1616" i="35"/>
  <c r="C1612" i="35"/>
  <c r="C1598" i="35"/>
  <c r="C1584" i="35"/>
  <c r="C1580" i="35"/>
  <c r="C1566" i="35"/>
  <c r="C1552" i="35"/>
  <c r="C1548" i="35"/>
  <c r="C1534" i="35"/>
  <c r="C1520" i="35"/>
  <c r="C1516" i="35"/>
  <c r="C1502" i="35"/>
  <c r="C1488" i="35"/>
  <c r="C1484" i="35"/>
  <c r="C1470" i="35"/>
  <c r="C1456" i="35"/>
  <c r="C1452" i="35"/>
  <c r="C1438" i="35"/>
  <c r="C1424" i="35"/>
  <c r="C1420" i="35"/>
  <c r="C1406" i="35"/>
  <c r="C2085" i="35"/>
  <c r="C2078" i="35"/>
  <c r="C2071" i="35"/>
  <c r="C2064" i="35"/>
  <c r="C2050" i="35"/>
  <c r="C2035" i="35"/>
  <c r="C2021" i="35"/>
  <c r="C2014" i="35"/>
  <c r="C2007" i="35"/>
  <c r="C2000" i="35"/>
  <c r="C1995" i="35"/>
  <c r="C1990" i="35"/>
  <c r="C1986" i="35"/>
  <c r="C1981" i="35"/>
  <c r="C1976" i="35"/>
  <c r="C1971" i="35"/>
  <c r="C1967" i="35"/>
  <c r="C1962" i="35"/>
  <c r="C1957" i="35"/>
  <c r="C1947" i="35"/>
  <c r="C1943" i="35"/>
  <c r="C1933" i="35"/>
  <c r="C1919" i="35"/>
  <c r="C1910" i="35"/>
  <c r="C1896" i="35"/>
  <c r="C1886" i="35"/>
  <c r="C1882" i="35"/>
  <c r="C1872" i="35"/>
  <c r="C1867" i="35"/>
  <c r="C1862" i="35"/>
  <c r="C1858" i="35"/>
  <c r="C1853" i="35"/>
  <c r="C1848" i="35"/>
  <c r="C1843" i="35"/>
  <c r="C1839" i="35"/>
  <c r="C1834" i="35"/>
  <c r="C1829" i="35"/>
  <c r="C1819" i="35"/>
  <c r="C1815" i="35"/>
  <c r="C1805" i="35"/>
  <c r="C1791" i="35"/>
  <c r="C1782" i="35"/>
  <c r="C1768" i="35"/>
  <c r="C1764" i="35"/>
  <c r="C1750" i="35"/>
  <c r="C1736" i="35"/>
  <c r="C1732" i="35"/>
  <c r="C1718" i="35"/>
  <c r="C1704" i="35"/>
  <c r="C1700" i="35"/>
  <c r="C1686" i="35"/>
  <c r="C1672" i="35"/>
  <c r="C1668" i="35"/>
  <c r="C1654" i="35"/>
  <c r="C1640" i="35"/>
  <c r="C1636" i="35"/>
  <c r="C1622" i="35"/>
  <c r="C1608" i="35"/>
  <c r="C1604" i="35"/>
  <c r="C1590" i="35"/>
  <c r="C1576" i="35"/>
  <c r="C1572" i="35"/>
  <c r="C1558" i="35"/>
  <c r="C1544" i="35"/>
  <c r="C1540" i="35"/>
  <c r="C1526" i="35"/>
  <c r="C1512" i="35"/>
  <c r="C1508" i="35"/>
  <c r="C1494" i="35"/>
  <c r="C2046" i="35"/>
  <c r="C2032" i="35"/>
  <c r="C2018" i="35"/>
  <c r="C2003" i="35"/>
  <c r="C1983" i="35"/>
  <c r="C1974" i="35"/>
  <c r="C1946" i="35"/>
  <c r="C1936" i="35"/>
  <c r="C1926" i="35"/>
  <c r="C1917" i="35"/>
  <c r="C1907" i="35"/>
  <c r="C1898" i="35"/>
  <c r="C1879" i="35"/>
  <c r="C1869" i="35"/>
  <c r="C1832" i="35"/>
  <c r="C1822" i="35"/>
  <c r="C1803" i="35"/>
  <c r="C1794" i="35"/>
  <c r="C1784" i="35"/>
  <c r="C1775" i="35"/>
  <c r="C1766" i="35"/>
  <c r="C1752" i="35"/>
  <c r="C1716" i="35"/>
  <c r="C1702" i="35"/>
  <c r="C1688" i="35"/>
  <c r="C1652" i="35"/>
  <c r="C1638" i="35"/>
  <c r="C1624" i="35"/>
  <c r="C1588" i="35"/>
  <c r="C1574" i="35"/>
  <c r="C1560" i="35"/>
  <c r="C1524" i="35"/>
  <c r="C1510" i="35"/>
  <c r="C1496" i="35"/>
  <c r="C1480" i="35"/>
  <c r="C1428" i="35"/>
  <c r="C1414" i="35"/>
  <c r="C1404" i="35"/>
  <c r="C1390" i="35"/>
  <c r="C1376" i="35"/>
  <c r="C1372" i="35"/>
  <c r="C1358" i="35"/>
  <c r="C1344" i="35"/>
  <c r="C1340" i="35"/>
  <c r="C1326" i="35"/>
  <c r="C1312" i="35"/>
  <c r="C1308" i="35"/>
  <c r="C1294" i="35"/>
  <c r="C1280" i="35"/>
  <c r="C1276" i="35"/>
  <c r="C1262" i="35"/>
  <c r="C1248" i="35"/>
  <c r="C1244" i="35"/>
  <c r="C1230" i="35"/>
  <c r="C1216" i="35"/>
  <c r="C1212" i="35"/>
  <c r="C1198" i="35"/>
  <c r="C1184" i="35"/>
  <c r="C1180" i="35"/>
  <c r="C1166" i="35"/>
  <c r="C1152" i="35"/>
  <c r="C1148" i="35"/>
  <c r="C1134" i="35"/>
  <c r="C1120" i="35"/>
  <c r="C1116" i="35"/>
  <c r="C1102" i="35"/>
  <c r="C1088" i="35"/>
  <c r="C1084" i="35"/>
  <c r="C1070" i="35"/>
  <c r="C1056" i="35"/>
  <c r="C1052" i="35"/>
  <c r="C1038" i="35"/>
  <c r="C1024" i="35"/>
  <c r="C1020" i="35"/>
  <c r="C1006" i="35"/>
  <c r="C992" i="35"/>
  <c r="C988" i="35"/>
  <c r="C974" i="35"/>
  <c r="C960" i="35"/>
  <c r="C956" i="35"/>
  <c r="C942" i="35"/>
  <c r="C928" i="35"/>
  <c r="C924" i="35"/>
  <c r="C911" i="35"/>
  <c r="C903" i="35"/>
  <c r="C895" i="35"/>
  <c r="C887" i="35"/>
  <c r="C879" i="35"/>
  <c r="C871" i="35"/>
  <c r="C863" i="35"/>
  <c r="C855" i="35"/>
  <c r="C847" i="35"/>
  <c r="C839" i="35"/>
  <c r="C831" i="35"/>
  <c r="C823" i="35"/>
  <c r="C815" i="35"/>
  <c r="C807" i="35"/>
  <c r="C799" i="35"/>
  <c r="C791" i="35"/>
  <c r="C783" i="35"/>
  <c r="C775" i="35"/>
  <c r="C767" i="35"/>
  <c r="C759" i="35"/>
  <c r="C751" i="35"/>
  <c r="C743" i="35"/>
  <c r="C735" i="35"/>
  <c r="C727" i="35"/>
  <c r="C719" i="35"/>
  <c r="C711" i="35"/>
  <c r="C703" i="35"/>
  <c r="C695" i="35"/>
  <c r="C687" i="35"/>
  <c r="C679" i="35"/>
  <c r="C671" i="35"/>
  <c r="C663" i="35"/>
  <c r="C655" i="35"/>
  <c r="C647" i="35"/>
  <c r="C639" i="35"/>
  <c r="C631" i="35"/>
  <c r="C623" i="35"/>
  <c r="C615" i="35"/>
  <c r="C607" i="35"/>
  <c r="C599" i="35"/>
  <c r="C591" i="35"/>
  <c r="C583" i="35"/>
  <c r="C575" i="35"/>
  <c r="C567" i="35"/>
  <c r="C559" i="35"/>
  <c r="C551" i="35"/>
  <c r="C543" i="35"/>
  <c r="C535" i="35"/>
  <c r="C527" i="35"/>
  <c r="C519" i="35"/>
  <c r="C511" i="35"/>
  <c r="C503" i="35"/>
  <c r="C495" i="35"/>
  <c r="C487" i="35"/>
  <c r="C479" i="35"/>
  <c r="C471" i="35"/>
  <c r="C463" i="35"/>
  <c r="C455" i="35"/>
  <c r="C447" i="35"/>
  <c r="C439" i="35"/>
  <c r="C431" i="35"/>
  <c r="C423" i="35"/>
  <c r="C415" i="35"/>
  <c r="C407" i="35"/>
  <c r="C399" i="35"/>
  <c r="C391" i="35"/>
  <c r="C383" i="35"/>
  <c r="C375" i="35"/>
  <c r="C367" i="35"/>
  <c r="C359" i="35"/>
  <c r="C351" i="35"/>
  <c r="C343" i="35"/>
  <c r="C335" i="35"/>
  <c r="C327" i="35"/>
  <c r="C319" i="35"/>
  <c r="C311" i="35"/>
  <c r="C303" i="35"/>
  <c r="C295" i="35"/>
  <c r="C287" i="35"/>
  <c r="C279" i="35"/>
  <c r="C271" i="35"/>
  <c r="C263" i="35"/>
  <c r="C255" i="35"/>
  <c r="C247" i="35"/>
  <c r="C239" i="35"/>
  <c r="C231" i="35"/>
  <c r="C223" i="35"/>
  <c r="C215" i="35"/>
  <c r="C207" i="35"/>
  <c r="C199" i="35"/>
  <c r="C191" i="35"/>
  <c r="C183" i="35"/>
  <c r="C175" i="35"/>
  <c r="C167" i="35"/>
  <c r="C159" i="35"/>
  <c r="C151" i="35"/>
  <c r="C143" i="35"/>
  <c r="C135" i="35"/>
  <c r="C127" i="35"/>
  <c r="C119" i="35"/>
  <c r="C111" i="35"/>
  <c r="C103" i="35"/>
  <c r="C95" i="35"/>
  <c r="C87" i="35"/>
  <c r="C79" i="35"/>
  <c r="C71" i="35"/>
  <c r="C63" i="35"/>
  <c r="C2070" i="35"/>
  <c r="C2056" i="35"/>
  <c r="C2042" i="35"/>
  <c r="C2027" i="35"/>
  <c r="C2013" i="35"/>
  <c r="C1999" i="35"/>
  <c r="C1989" i="35"/>
  <c r="C1979" i="35"/>
  <c r="C1951" i="35"/>
  <c r="C1942" i="35"/>
  <c r="C1914" i="35"/>
  <c r="C1904" i="35"/>
  <c r="C1894" i="35"/>
  <c r="C1885" i="35"/>
  <c r="C1875" i="35"/>
  <c r="C1866" i="35"/>
  <c r="C1847" i="35"/>
  <c r="C1837" i="35"/>
  <c r="C1800" i="35"/>
  <c r="C1790" i="35"/>
  <c r="C1771" i="35"/>
  <c r="C1756" i="35"/>
  <c r="C1742" i="35"/>
  <c r="C1728" i="35"/>
  <c r="C1692" i="35"/>
  <c r="C1678" i="35"/>
  <c r="C1664" i="35"/>
  <c r="C1628" i="35"/>
  <c r="C1614" i="35"/>
  <c r="C1600" i="35"/>
  <c r="C1564" i="35"/>
  <c r="C1550" i="35"/>
  <c r="C1536" i="35"/>
  <c r="C1500" i="35"/>
  <c r="C1460" i="35"/>
  <c r="C1446" i="35"/>
  <c r="C1436" i="35"/>
  <c r="C1432" i="35"/>
  <c r="C1422" i="35"/>
  <c r="C1412" i="35"/>
  <c r="C1408" i="35"/>
  <c r="C1400" i="35"/>
  <c r="C1396" i="35"/>
  <c r="C1382" i="35"/>
  <c r="C1368" i="35"/>
  <c r="C1364" i="35"/>
  <c r="C1350" i="35"/>
  <c r="C1336" i="35"/>
  <c r="C1332" i="35"/>
  <c r="C1318" i="35"/>
  <c r="C1304" i="35"/>
  <c r="C1300" i="35"/>
  <c r="C1286" i="35"/>
  <c r="C1272" i="35"/>
  <c r="C1268" i="35"/>
  <c r="C1254" i="35"/>
  <c r="C1240" i="35"/>
  <c r="C1236" i="35"/>
  <c r="C1222" i="35"/>
  <c r="C1208" i="35"/>
  <c r="C1204" i="35"/>
  <c r="C1190" i="35"/>
  <c r="C1176" i="35"/>
  <c r="C1172" i="35"/>
  <c r="C1158" i="35"/>
  <c r="C1144" i="35"/>
  <c r="C1140" i="35"/>
  <c r="C1126" i="35"/>
  <c r="C1112" i="35"/>
  <c r="C1108" i="35"/>
  <c r="C1094" i="35"/>
  <c r="C1080" i="35"/>
  <c r="C1076" i="35"/>
  <c r="C1062" i="35"/>
  <c r="C1048" i="35"/>
  <c r="C1044" i="35"/>
  <c r="C1030" i="35"/>
  <c r="C1016" i="35"/>
  <c r="C1012" i="35"/>
  <c r="C998" i="35"/>
  <c r="C984" i="35"/>
  <c r="C980" i="35"/>
  <c r="C966" i="35"/>
  <c r="C952" i="35"/>
  <c r="C948" i="35"/>
  <c r="C934" i="35"/>
  <c r="C920" i="35"/>
  <c r="C916" i="35"/>
  <c r="C913" i="35"/>
  <c r="C905" i="35"/>
  <c r="C897" i="35"/>
  <c r="C889" i="35"/>
  <c r="C881" i="35"/>
  <c r="C873" i="35"/>
  <c r="C865" i="35"/>
  <c r="C857" i="35"/>
  <c r="C849" i="35"/>
  <c r="C841" i="35"/>
  <c r="C833" i="35"/>
  <c r="C825" i="35"/>
  <c r="C817" i="35"/>
  <c r="C809" i="35"/>
  <c r="C801" i="35"/>
  <c r="C793" i="35"/>
  <c r="C785" i="35"/>
  <c r="C777" i="35"/>
  <c r="C769" i="35"/>
  <c r="C761" i="35"/>
  <c r="C753" i="35"/>
  <c r="C745" i="35"/>
  <c r="C737" i="35"/>
  <c r="C729" i="35"/>
  <c r="C721" i="35"/>
  <c r="C713" i="35"/>
  <c r="C705" i="35"/>
  <c r="C697" i="35"/>
  <c r="C689" i="35"/>
  <c r="C681" i="35"/>
  <c r="C673" i="35"/>
  <c r="C665" i="35"/>
  <c r="C657" i="35"/>
  <c r="C649" i="35"/>
  <c r="C641" i="35"/>
  <c r="C2077" i="35"/>
  <c r="C1994" i="35"/>
  <c r="C1975" i="35"/>
  <c r="C1918" i="35"/>
  <c r="C1899" i="35"/>
  <c r="C1880" i="35"/>
  <c r="C1861" i="35"/>
  <c r="C1823" i="35"/>
  <c r="C1786" i="35"/>
  <c r="C1724" i="35"/>
  <c r="C1710" i="35"/>
  <c r="C1696" i="35"/>
  <c r="C1596" i="35"/>
  <c r="C1582" i="35"/>
  <c r="C1568" i="35"/>
  <c r="C1486" i="35"/>
  <c r="C1476" i="35"/>
  <c r="C1448" i="35"/>
  <c r="C1380" i="35"/>
  <c r="C1366" i="35"/>
  <c r="C1352" i="35"/>
  <c r="C1316" i="35"/>
  <c r="C1302" i="35"/>
  <c r="C1288" i="35"/>
  <c r="C1252" i="35"/>
  <c r="C1238" i="35"/>
  <c r="C1224" i="35"/>
  <c r="C1188" i="35"/>
  <c r="C1174" i="35"/>
  <c r="C1160" i="35"/>
  <c r="C1124" i="35"/>
  <c r="C1110" i="35"/>
  <c r="C1096" i="35"/>
  <c r="C1060" i="35"/>
  <c r="C1046" i="35"/>
  <c r="C1032" i="35"/>
  <c r="C996" i="35"/>
  <c r="C982" i="35"/>
  <c r="C968" i="35"/>
  <c r="C932" i="35"/>
  <c r="C918" i="35"/>
  <c r="C901" i="35"/>
  <c r="C885" i="35"/>
  <c r="C869" i="35"/>
  <c r="C853" i="35"/>
  <c r="C837" i="35"/>
  <c r="C821" i="35"/>
  <c r="C805" i="35"/>
  <c r="C789" i="35"/>
  <c r="C773" i="35"/>
  <c r="C757" i="35"/>
  <c r="C741" i="35"/>
  <c r="C725" i="35"/>
  <c r="C709" i="35"/>
  <c r="C693" i="35"/>
  <c r="C677" i="35"/>
  <c r="C661" i="35"/>
  <c r="C645" i="35"/>
  <c r="C629" i="35"/>
  <c r="C625" i="35"/>
  <c r="C611" i="35"/>
  <c r="C597" i="35"/>
  <c r="C593" i="35"/>
  <c r="C579" i="35"/>
  <c r="C565" i="35"/>
  <c r="C561" i="35"/>
  <c r="C547" i="35"/>
  <c r="C533" i="35"/>
  <c r="C529" i="35"/>
  <c r="C515" i="35"/>
  <c r="C501" i="35"/>
  <c r="C497" i="35"/>
  <c r="C483" i="35"/>
  <c r="C469" i="35"/>
  <c r="C465" i="35"/>
  <c r="C451" i="35"/>
  <c r="C437" i="35"/>
  <c r="C433" i="35"/>
  <c r="C419" i="35"/>
  <c r="C405" i="35"/>
  <c r="C401" i="35"/>
  <c r="C387" i="35"/>
  <c r="C373" i="35"/>
  <c r="C369" i="35"/>
  <c r="C355" i="35"/>
  <c r="C341" i="35"/>
  <c r="C337" i="35"/>
  <c r="C323" i="35"/>
  <c r="C309" i="35"/>
  <c r="C305" i="35"/>
  <c r="C291" i="35"/>
  <c r="C277" i="35"/>
  <c r="C273" i="35"/>
  <c r="C259" i="35"/>
  <c r="C245" i="35"/>
  <c r="C241" i="35"/>
  <c r="C227" i="35"/>
  <c r="C213" i="35"/>
  <c r="C209" i="35"/>
  <c r="C195" i="35"/>
  <c r="C181" i="35"/>
  <c r="C177" i="35"/>
  <c r="C163" i="35"/>
  <c r="C149" i="35"/>
  <c r="C145" i="35"/>
  <c r="C131" i="35"/>
  <c r="C117" i="35"/>
  <c r="C113" i="35"/>
  <c r="C99" i="35"/>
  <c r="C85" i="35"/>
  <c r="C81" i="35"/>
  <c r="C67" i="35"/>
  <c r="C55" i="35"/>
  <c r="C47" i="35"/>
  <c r="C39" i="35"/>
  <c r="C31" i="35"/>
  <c r="C23" i="35"/>
  <c r="C15" i="35"/>
  <c r="C13" i="35"/>
  <c r="C7" i="35"/>
  <c r="C2096" i="35"/>
  <c r="C2067" i="35"/>
  <c r="C2039" i="35"/>
  <c r="C1950" i="35"/>
  <c r="C1931" i="35"/>
  <c r="C1912" i="35"/>
  <c r="C1893" i="35"/>
  <c r="C1855" i="35"/>
  <c r="C1818" i="35"/>
  <c r="C1798" i="35"/>
  <c r="C1779" i="35"/>
  <c r="C1748" i="35"/>
  <c r="C1734" i="35"/>
  <c r="C1720" i="35"/>
  <c r="C1620" i="35"/>
  <c r="C1606" i="35"/>
  <c r="C1592" i="35"/>
  <c r="C1492" i="35"/>
  <c r="C1464" i="35"/>
  <c r="C1454" i="35"/>
  <c r="C1444" i="35"/>
  <c r="C1416" i="35"/>
  <c r="C1392" i="35"/>
  <c r="C1356" i="35"/>
  <c r="C1342" i="35"/>
  <c r="C1328" i="35"/>
  <c r="C1292" i="35"/>
  <c r="C1278" i="35"/>
  <c r="C1264" i="35"/>
  <c r="C1228" i="35"/>
  <c r="C1214" i="35"/>
  <c r="C1200" i="35"/>
  <c r="C1164" i="35"/>
  <c r="C1150" i="35"/>
  <c r="C1136" i="35"/>
  <c r="C1100" i="35"/>
  <c r="C1086" i="35"/>
  <c r="C1072" i="35"/>
  <c r="C1036" i="35"/>
  <c r="C1022" i="35"/>
  <c r="C1008" i="35"/>
  <c r="C972" i="35"/>
  <c r="C958" i="35"/>
  <c r="C944" i="35"/>
  <c r="C899" i="35"/>
  <c r="C883" i="35"/>
  <c r="C867" i="35"/>
  <c r="C851" i="35"/>
  <c r="C835" i="35"/>
  <c r="C819" i="35"/>
  <c r="C803" i="35"/>
  <c r="C787" i="35"/>
  <c r="C771" i="35"/>
  <c r="C755" i="35"/>
  <c r="C739" i="35"/>
  <c r="C723" i="35"/>
  <c r="C707" i="35"/>
  <c r="C691" i="35"/>
  <c r="C675" i="35"/>
  <c r="C659" i="35"/>
  <c r="C643" i="35"/>
  <c r="C635" i="35"/>
  <c r="C621" i="35"/>
  <c r="C617" i="35"/>
  <c r="C603" i="35"/>
  <c r="C589" i="35"/>
  <c r="C585" i="35"/>
  <c r="C571" i="35"/>
  <c r="C557" i="35"/>
  <c r="C553" i="35"/>
  <c r="C539" i="35"/>
  <c r="C525" i="35"/>
  <c r="C521" i="35"/>
  <c r="C507" i="35"/>
  <c r="C493" i="35"/>
  <c r="C489" i="35"/>
  <c r="C475" i="35"/>
  <c r="C461" i="35"/>
  <c r="C457" i="35"/>
  <c r="C443" i="35"/>
  <c r="C429" i="35"/>
  <c r="C425" i="35"/>
  <c r="C411" i="35"/>
  <c r="C397" i="35"/>
  <c r="C393" i="35"/>
  <c r="C379" i="35"/>
  <c r="C365" i="35"/>
  <c r="C361" i="35"/>
  <c r="C347" i="35"/>
  <c r="C333" i="35"/>
  <c r="C329" i="35"/>
  <c r="C315" i="35"/>
  <c r="C301" i="35"/>
  <c r="C297" i="35"/>
  <c r="C283" i="35"/>
  <c r="C269" i="35"/>
  <c r="C265" i="35"/>
  <c r="C251" i="35"/>
  <c r="C237" i="35"/>
  <c r="C233" i="35"/>
  <c r="C219" i="35"/>
  <c r="C205" i="35"/>
  <c r="C201" i="35"/>
  <c r="C187" i="35"/>
  <c r="C173" i="35"/>
  <c r="C169" i="35"/>
  <c r="C155" i="35"/>
  <c r="C141" i="35"/>
  <c r="C137" i="35"/>
  <c r="C123" i="35"/>
  <c r="C109" i="35"/>
  <c r="C105" i="35"/>
  <c r="C91" i="35"/>
  <c r="C77" i="35"/>
  <c r="C73" i="35"/>
  <c r="C57" i="35"/>
  <c r="C49" i="35"/>
  <c r="C41" i="35"/>
  <c r="C33" i="35"/>
  <c r="C25" i="35"/>
  <c r="C17" i="35"/>
  <c r="C10" i="35"/>
  <c r="C8" i="35"/>
  <c r="C4" i="35"/>
  <c r="C2" i="35"/>
  <c r="C2091" i="35"/>
  <c r="C2063" i="35"/>
  <c r="C2006" i="35"/>
  <c r="C1965" i="35"/>
  <c r="C1928" i="35"/>
  <c r="C1890" i="35"/>
  <c r="C1871" i="35"/>
  <c r="C1851" i="35"/>
  <c r="C1814" i="35"/>
  <c r="C1776" i="35"/>
  <c r="C1760" i="35"/>
  <c r="C1660" i="35"/>
  <c r="C1646" i="35"/>
  <c r="C1632" i="35"/>
  <c r="C1532" i="35"/>
  <c r="C1518" i="35"/>
  <c r="C1504" i="35"/>
  <c r="C1472" i="35"/>
  <c r="C1462" i="35"/>
  <c r="C1398" i="35"/>
  <c r="C1384" i="35"/>
  <c r="C1348" i="35"/>
  <c r="C1334" i="35"/>
  <c r="C1320" i="35"/>
  <c r="C1284" i="35"/>
  <c r="C1270" i="35"/>
  <c r="C1256" i="35"/>
  <c r="C1220" i="35"/>
  <c r="C1206" i="35"/>
  <c r="C1192" i="35"/>
  <c r="C1156" i="35"/>
  <c r="E12" i="35"/>
  <c r="E15" i="35"/>
  <c r="C21" i="35"/>
  <c r="E26" i="35"/>
  <c r="E31" i="35"/>
  <c r="C37" i="35"/>
  <c r="E42" i="35"/>
  <c r="E47" i="35"/>
  <c r="C53" i="35"/>
  <c r="E58" i="35"/>
  <c r="E64" i="35"/>
  <c r="E71" i="35"/>
  <c r="E78" i="35"/>
  <c r="E85" i="35"/>
  <c r="C93" i="35"/>
  <c r="E99" i="35"/>
  <c r="C107" i="35"/>
  <c r="E114" i="35"/>
  <c r="C121" i="35"/>
  <c r="E128" i="35"/>
  <c r="E135" i="35"/>
  <c r="E142" i="35"/>
  <c r="E149" i="35"/>
  <c r="C157" i="35"/>
  <c r="E163" i="35"/>
  <c r="C171" i="35"/>
  <c r="E178" i="35"/>
  <c r="C185" i="35"/>
  <c r="E192" i="35"/>
  <c r="E199" i="35"/>
  <c r="E206" i="35"/>
  <c r="E213" i="35"/>
  <c r="C221" i="35"/>
  <c r="E227" i="35"/>
  <c r="C235" i="35"/>
  <c r="E242" i="35"/>
  <c r="C249" i="35"/>
  <c r="E256" i="35"/>
  <c r="E263" i="35"/>
  <c r="E270" i="35"/>
  <c r="E277" i="35"/>
  <c r="C285" i="35"/>
  <c r="E291" i="35"/>
  <c r="C299" i="35"/>
  <c r="E306" i="35"/>
  <c r="C313" i="35"/>
  <c r="E320" i="35"/>
  <c r="E327" i="35"/>
  <c r="E334" i="35"/>
  <c r="E341" i="35"/>
  <c r="C349" i="35"/>
  <c r="E355" i="35"/>
  <c r="C363" i="35"/>
  <c r="E370" i="35"/>
  <c r="C377" i="35"/>
  <c r="E384" i="35"/>
  <c r="E391" i="35"/>
  <c r="E398" i="35"/>
  <c r="E405" i="35"/>
  <c r="C413" i="35"/>
  <c r="E419" i="35"/>
  <c r="C427" i="35"/>
  <c r="E434" i="35"/>
  <c r="C441" i="35"/>
  <c r="E448" i="35"/>
  <c r="E455" i="35"/>
  <c r="E462" i="35"/>
  <c r="E469" i="35"/>
  <c r="C477" i="35"/>
  <c r="E483" i="35"/>
  <c r="C491" i="35"/>
  <c r="E498" i="35"/>
  <c r="C505" i="35"/>
  <c r="E512" i="35"/>
  <c r="E519" i="35"/>
  <c r="E526" i="35"/>
  <c r="E533" i="35"/>
  <c r="C541" i="35"/>
  <c r="E547" i="35"/>
  <c r="C555" i="35"/>
  <c r="E562" i="35"/>
  <c r="C569" i="35"/>
  <c r="E576" i="35"/>
  <c r="E583" i="35"/>
  <c r="E590" i="35"/>
  <c r="E597" i="35"/>
  <c r="C605" i="35"/>
  <c r="E611" i="35"/>
  <c r="C619" i="35"/>
  <c r="E626" i="35"/>
  <c r="C633" i="35"/>
  <c r="E640" i="35"/>
  <c r="C651" i="35"/>
  <c r="E661" i="35"/>
  <c r="E672" i="35"/>
  <c r="C683" i="35"/>
  <c r="E693" i="35"/>
  <c r="E704" i="35"/>
  <c r="C715" i="35"/>
  <c r="E725" i="35"/>
  <c r="E736" i="35"/>
  <c r="C747" i="35"/>
  <c r="E757" i="35"/>
  <c r="E768" i="35"/>
  <c r="C779" i="35"/>
  <c r="E789" i="35"/>
  <c r="E800" i="35"/>
  <c r="C811" i="35"/>
  <c r="E821" i="35"/>
  <c r="E832" i="35"/>
  <c r="C843" i="35"/>
  <c r="E853" i="35"/>
  <c r="E864" i="35"/>
  <c r="C875" i="35"/>
  <c r="E885" i="35"/>
  <c r="E896" i="35"/>
  <c r="C907" i="35"/>
  <c r="E918" i="35"/>
  <c r="E933" i="35"/>
  <c r="E947" i="35"/>
  <c r="E961" i="35"/>
  <c r="C976" i="35"/>
  <c r="C990" i="35"/>
  <c r="C1004" i="35"/>
  <c r="E1018" i="35"/>
  <c r="E1032" i="35"/>
  <c r="E1046" i="35"/>
  <c r="E1061" i="35"/>
  <c r="E1075" i="35"/>
  <c r="E1089" i="35"/>
  <c r="C1104" i="35"/>
  <c r="C1118" i="35"/>
  <c r="C1132" i="35"/>
  <c r="E1146" i="35"/>
  <c r="C1168" i="35"/>
  <c r="C1196" i="35"/>
  <c r="E1224" i="35"/>
  <c r="E1253" i="35"/>
  <c r="E1281" i="35"/>
  <c r="C1310" i="35"/>
  <c r="E1338" i="35"/>
  <c r="E1366" i="35"/>
  <c r="E1395" i="35"/>
  <c r="C1430" i="35"/>
  <c r="C1468" i="35"/>
  <c r="E1513" i="35"/>
  <c r="E1570" i="35"/>
  <c r="E1627" i="35"/>
  <c r="C1684" i="35"/>
  <c r="E1741" i="35"/>
  <c r="C1808" i="35"/>
  <c r="C1883" i="35"/>
  <c r="C1960" i="35"/>
  <c r="C2053" i="35"/>
  <c r="C152" i="36"/>
  <c r="C132" i="36"/>
  <c r="C128" i="36"/>
  <c r="C113" i="36"/>
  <c r="C107" i="36"/>
  <c r="C95" i="36"/>
  <c r="C84" i="36"/>
  <c r="C78" i="36"/>
  <c r="C63" i="36"/>
  <c r="C52" i="36"/>
  <c r="C46" i="36"/>
  <c r="C31" i="36"/>
  <c r="C20" i="36"/>
  <c r="C14" i="36"/>
  <c r="C12" i="36"/>
  <c r="C4" i="36"/>
  <c r="C440" i="36"/>
  <c r="C406" i="36"/>
  <c r="C283" i="36"/>
  <c r="C265" i="36"/>
  <c r="C217" i="36"/>
  <c r="C169" i="36"/>
  <c r="C150" i="36"/>
  <c r="C142" i="36"/>
  <c r="C117" i="36"/>
  <c r="C99" i="36"/>
  <c r="C57" i="36"/>
  <c r="C39" i="36"/>
  <c r="C35" i="36"/>
  <c r="C468" i="36"/>
  <c r="C356" i="36"/>
  <c r="C312" i="36"/>
  <c r="C264" i="36"/>
  <c r="C246" i="36"/>
  <c r="C156" i="36"/>
  <c r="C131" i="36"/>
  <c r="C123" i="36"/>
  <c r="C104" i="36"/>
  <c r="C60" i="36"/>
  <c r="C56" i="36"/>
  <c r="C38" i="36"/>
  <c r="C24" i="36"/>
  <c r="C28" i="36"/>
  <c r="C155" i="36"/>
  <c r="C232" i="36"/>
  <c r="C284" i="36"/>
  <c r="C25" i="36"/>
  <c r="C136" i="36"/>
  <c r="C184" i="36"/>
  <c r="C245" i="36"/>
  <c r="C297" i="36"/>
  <c r="C408" i="36"/>
  <c r="C70" i="36"/>
  <c r="C88" i="36"/>
  <c r="C92" i="36"/>
  <c r="C137" i="36"/>
  <c r="C270" i="36"/>
  <c r="C278" i="36"/>
  <c r="C398" i="36"/>
  <c r="C518" i="36"/>
  <c r="C164" i="36"/>
  <c r="C188" i="36"/>
  <c r="C203" i="36"/>
  <c r="C212" i="36"/>
  <c r="C221" i="36"/>
  <c r="C227" i="36"/>
  <c r="C235" i="36"/>
  <c r="C241" i="36"/>
  <c r="C256" i="36"/>
  <c r="C260" i="36"/>
  <c r="C280" i="36"/>
  <c r="C292" i="36"/>
  <c r="C392" i="36"/>
  <c r="C523" i="36"/>
  <c r="C521" i="36"/>
  <c r="C519" i="36"/>
  <c r="C517" i="36"/>
  <c r="C515" i="36"/>
  <c r="C513" i="36"/>
  <c r="C511" i="36"/>
  <c r="C509" i="36"/>
  <c r="C507" i="36"/>
  <c r="C505" i="36"/>
  <c r="C503" i="36"/>
  <c r="C501" i="36"/>
  <c r="C499" i="36"/>
  <c r="C497" i="36"/>
  <c r="C495" i="36"/>
  <c r="C493" i="36"/>
  <c r="C491" i="36"/>
  <c r="C489" i="36"/>
  <c r="C487" i="36"/>
  <c r="C485" i="36"/>
  <c r="C483" i="36"/>
  <c r="C481" i="36"/>
  <c r="C479" i="36"/>
  <c r="C477" i="36"/>
  <c r="C475" i="36"/>
  <c r="C473" i="36"/>
  <c r="C471" i="36"/>
  <c r="C469" i="36"/>
  <c r="C467" i="36"/>
  <c r="C465" i="36"/>
  <c r="C463" i="36"/>
  <c r="C461" i="36"/>
  <c r="C459" i="36"/>
  <c r="C457" i="36"/>
  <c r="C455" i="36"/>
  <c r="C453" i="36"/>
  <c r="C451" i="36"/>
  <c r="C449" i="36"/>
  <c r="C447" i="36"/>
  <c r="C445" i="36"/>
  <c r="C443" i="36"/>
  <c r="C441" i="36"/>
  <c r="C439" i="36"/>
  <c r="C437" i="36"/>
  <c r="C435" i="36"/>
  <c r="C433" i="36"/>
  <c r="C431" i="36"/>
  <c r="C429" i="36"/>
  <c r="C427" i="36"/>
  <c r="C425" i="36"/>
  <c r="C423" i="36"/>
  <c r="C421" i="36"/>
  <c r="C419" i="36"/>
  <c r="C417" i="36"/>
  <c r="C415" i="36"/>
  <c r="C413" i="36"/>
  <c r="C411" i="36"/>
  <c r="C409" i="36"/>
  <c r="C407" i="36"/>
  <c r="C405" i="36"/>
  <c r="C403" i="36"/>
  <c r="C401" i="36"/>
  <c r="C399" i="36"/>
  <c r="C397" i="36"/>
  <c r="C395" i="36"/>
  <c r="C393" i="36"/>
  <c r="C391" i="36"/>
  <c r="C389" i="36"/>
  <c r="C387" i="36"/>
  <c r="C385" i="36"/>
  <c r="C383" i="36"/>
  <c r="C381" i="36"/>
  <c r="C379" i="36"/>
  <c r="C377" i="36"/>
  <c r="C375" i="36"/>
  <c r="C373" i="36"/>
  <c r="C371" i="36"/>
  <c r="C369" i="36"/>
  <c r="C367" i="36"/>
  <c r="C365" i="36"/>
  <c r="C363" i="36"/>
  <c r="C361" i="36"/>
  <c r="C359" i="36"/>
  <c r="C357" i="36"/>
  <c r="C355" i="36"/>
  <c r="C522" i="36"/>
  <c r="C514" i="36"/>
  <c r="C506" i="36"/>
  <c r="C498" i="36"/>
  <c r="C490" i="36"/>
  <c r="C482" i="36"/>
  <c r="C474" i="36"/>
  <c r="C466" i="36"/>
  <c r="C458" i="36"/>
  <c r="C450" i="36"/>
  <c r="C442" i="36"/>
  <c r="C434" i="36"/>
  <c r="C426" i="36"/>
  <c r="C418" i="36"/>
  <c r="C410" i="36"/>
  <c r="C402" i="36"/>
  <c r="C394" i="36"/>
  <c r="C386" i="36"/>
  <c r="C378" i="36"/>
  <c r="C370" i="36"/>
  <c r="C362" i="36"/>
  <c r="C354" i="36"/>
  <c r="C352" i="36"/>
  <c r="C350" i="36"/>
  <c r="C348" i="36"/>
  <c r="C346" i="36"/>
  <c r="C344" i="36"/>
  <c r="C342" i="36"/>
  <c r="C340" i="36"/>
  <c r="C338" i="36"/>
  <c r="C336" i="36"/>
  <c r="C334" i="36"/>
  <c r="C332" i="36"/>
  <c r="C330" i="36"/>
  <c r="C328" i="36"/>
  <c r="C326" i="36"/>
  <c r="C324" i="36"/>
  <c r="C322" i="36"/>
  <c r="C320" i="36"/>
  <c r="C318" i="36"/>
  <c r="C316" i="36"/>
  <c r="C314" i="36"/>
  <c r="C524" i="36"/>
  <c r="C510" i="36"/>
  <c r="C496" i="36"/>
  <c r="C492" i="36"/>
  <c r="C478" i="36"/>
  <c r="C464" i="36"/>
  <c r="C460" i="36"/>
  <c r="C446" i="36"/>
  <c r="C432" i="36"/>
  <c r="C428" i="36"/>
  <c r="C414" i="36"/>
  <c r="C400" i="36"/>
  <c r="C396" i="36"/>
  <c r="C382" i="36"/>
  <c r="C368" i="36"/>
  <c r="C364" i="36"/>
  <c r="C351" i="36"/>
  <c r="C343" i="36"/>
  <c r="C335" i="36"/>
  <c r="C327" i="36"/>
  <c r="C319" i="36"/>
  <c r="C500" i="36"/>
  <c r="C486" i="36"/>
  <c r="C476" i="36"/>
  <c r="C472" i="36"/>
  <c r="C462" i="36"/>
  <c r="C452" i="36"/>
  <c r="C448" i="36"/>
  <c r="C438" i="36"/>
  <c r="C424" i="36"/>
  <c r="C372" i="36"/>
  <c r="C358" i="36"/>
  <c r="C353" i="36"/>
  <c r="C339" i="36"/>
  <c r="C325" i="36"/>
  <c r="C321" i="36"/>
  <c r="C311" i="36"/>
  <c r="C306" i="36"/>
  <c r="C303" i="36"/>
  <c r="C298" i="36"/>
  <c r="C295" i="36"/>
  <c r="C290" i="36"/>
  <c r="C287" i="36"/>
  <c r="C282" i="36"/>
  <c r="C279" i="36"/>
  <c r="C274" i="36"/>
  <c r="C271" i="36"/>
  <c r="C266" i="36"/>
  <c r="C263" i="36"/>
  <c r="C258" i="36"/>
  <c r="C255" i="36"/>
  <c r="C250" i="36"/>
  <c r="C247" i="36"/>
  <c r="C242" i="36"/>
  <c r="C239" i="36"/>
  <c r="C234" i="36"/>
  <c r="C231" i="36"/>
  <c r="C226" i="36"/>
  <c r="C223" i="36"/>
  <c r="C218" i="36"/>
  <c r="C215" i="36"/>
  <c r="C210" i="36"/>
  <c r="C207" i="36"/>
  <c r="C202" i="36"/>
  <c r="C199" i="36"/>
  <c r="C194" i="36"/>
  <c r="C191" i="36"/>
  <c r="C186" i="36"/>
  <c r="C183" i="36"/>
  <c r="C178" i="36"/>
  <c r="C175" i="36"/>
  <c r="C170" i="36"/>
  <c r="C167" i="36"/>
  <c r="C162" i="36"/>
  <c r="C159" i="36"/>
  <c r="C154" i="36"/>
  <c r="C151" i="36"/>
  <c r="C146" i="36"/>
  <c r="C143" i="36"/>
  <c r="C138" i="36"/>
  <c r="C135" i="36"/>
  <c r="C130" i="36"/>
  <c r="C127" i="36"/>
  <c r="C122" i="36"/>
  <c r="C119" i="36"/>
  <c r="C114" i="36"/>
  <c r="C111" i="36"/>
  <c r="C106" i="36"/>
  <c r="C103" i="36"/>
  <c r="C13" i="36"/>
  <c r="C7" i="36"/>
  <c r="C516" i="36"/>
  <c r="C504" i="36"/>
  <c r="C484" i="36"/>
  <c r="C454" i="36"/>
  <c r="C422" i="36"/>
  <c r="C416" i="36"/>
  <c r="C390" i="36"/>
  <c r="C384" i="36"/>
  <c r="C329" i="36"/>
  <c r="C315" i="36"/>
  <c r="C307" i="36"/>
  <c r="C304" i="36"/>
  <c r="C300" i="36"/>
  <c r="C293" i="36"/>
  <c r="C289" i="36"/>
  <c r="C286" i="36"/>
  <c r="C275" i="36"/>
  <c r="C272" i="36"/>
  <c r="C268" i="36"/>
  <c r="C261" i="36"/>
  <c r="C257" i="36"/>
  <c r="C254" i="36"/>
  <c r="C243" i="36"/>
  <c r="C240" i="36"/>
  <c r="C236" i="36"/>
  <c r="C229" i="36"/>
  <c r="C225" i="36"/>
  <c r="C222" i="36"/>
  <c r="C211" i="36"/>
  <c r="C208" i="36"/>
  <c r="C204" i="36"/>
  <c r="C197" i="36"/>
  <c r="C193" i="36"/>
  <c r="C190" i="36"/>
  <c r="C179" i="36"/>
  <c r="C176" i="36"/>
  <c r="C172" i="36"/>
  <c r="C165" i="36"/>
  <c r="C161" i="36"/>
  <c r="C158" i="36"/>
  <c r="C147" i="36"/>
  <c r="C144" i="36"/>
  <c r="C140" i="36"/>
  <c r="C133" i="36"/>
  <c r="C129" i="36"/>
  <c r="C126" i="36"/>
  <c r="C115" i="36"/>
  <c r="C112" i="36"/>
  <c r="C108" i="36"/>
  <c r="C101" i="36"/>
  <c r="C98" i="36"/>
  <c r="C93" i="36"/>
  <c r="C90" i="36"/>
  <c r="C85" i="36"/>
  <c r="C82" i="36"/>
  <c r="C77" i="36"/>
  <c r="C74" i="36"/>
  <c r="C69" i="36"/>
  <c r="C66" i="36"/>
  <c r="C61" i="36"/>
  <c r="C58" i="36"/>
  <c r="C53" i="36"/>
  <c r="C50" i="36"/>
  <c r="C45" i="36"/>
  <c r="C42" i="36"/>
  <c r="C37" i="36"/>
  <c r="C34" i="36"/>
  <c r="C29" i="36"/>
  <c r="C26" i="36"/>
  <c r="C21" i="36"/>
  <c r="C18" i="36"/>
  <c r="C10" i="36"/>
  <c r="C6" i="36"/>
  <c r="C2" i="36"/>
  <c r="C488" i="36"/>
  <c r="C480" i="36"/>
  <c r="C470" i="36"/>
  <c r="C430" i="36"/>
  <c r="C420" i="36"/>
  <c r="C412" i="36"/>
  <c r="C404" i="36"/>
  <c r="C347" i="36"/>
  <c r="C341" i="36"/>
  <c r="C310" i="36"/>
  <c r="C305" i="36"/>
  <c r="C301" i="36"/>
  <c r="C296" i="36"/>
  <c r="C291" i="36"/>
  <c r="C281" i="36"/>
  <c r="C277" i="36"/>
  <c r="C267" i="36"/>
  <c r="C253" i="36"/>
  <c r="C244" i="36"/>
  <c r="C230" i="36"/>
  <c r="C220" i="36"/>
  <c r="C216" i="36"/>
  <c r="C206" i="36"/>
  <c r="C201" i="36"/>
  <c r="C196" i="36"/>
  <c r="C192" i="36"/>
  <c r="C187" i="36"/>
  <c r="C182" i="36"/>
  <c r="C177" i="36"/>
  <c r="C173" i="36"/>
  <c r="C168" i="36"/>
  <c r="C163" i="36"/>
  <c r="C153" i="36"/>
  <c r="C149" i="36"/>
  <c r="C139" i="36"/>
  <c r="C125" i="36"/>
  <c r="C116" i="36"/>
  <c r="C102" i="36"/>
  <c r="C94" i="36"/>
  <c r="C91" i="36"/>
  <c r="C87" i="36"/>
  <c r="C80" i="36"/>
  <c r="C76" i="36"/>
  <c r="C73" i="36"/>
  <c r="C62" i="36"/>
  <c r="C59" i="36"/>
  <c r="C55" i="36"/>
  <c r="C48" i="36"/>
  <c r="C44" i="36"/>
  <c r="C41" i="36"/>
  <c r="C30" i="36"/>
  <c r="C27" i="36"/>
  <c r="C23" i="36"/>
  <c r="C16" i="36"/>
  <c r="C9" i="36"/>
  <c r="C5" i="36"/>
  <c r="C3" i="36"/>
  <c r="C520" i="36"/>
  <c r="C512" i="36"/>
  <c r="C502" i="36"/>
  <c r="C494" i="36"/>
  <c r="C444" i="36"/>
  <c r="C436" i="36"/>
  <c r="C376" i="36"/>
  <c r="C360" i="36"/>
  <c r="C345" i="36"/>
  <c r="C333" i="36"/>
  <c r="C313" i="36"/>
  <c r="C309" i="36"/>
  <c r="C299" i="36"/>
  <c r="C285" i="36"/>
  <c r="C276" i="36"/>
  <c r="C262" i="36"/>
  <c r="C252" i="36"/>
  <c r="C248" i="36"/>
  <c r="C238" i="36"/>
  <c r="C233" i="36"/>
  <c r="C228" i="36"/>
  <c r="C224" i="36"/>
  <c r="C219" i="36"/>
  <c r="C214" i="36"/>
  <c r="C209" i="36"/>
  <c r="C205" i="36"/>
  <c r="C200" i="36"/>
  <c r="C195" i="36"/>
  <c r="C185" i="36"/>
  <c r="C181" i="36"/>
  <c r="C171" i="36"/>
  <c r="C157" i="36"/>
  <c r="C148" i="36"/>
  <c r="C134" i="36"/>
  <c r="C124" i="36"/>
  <c r="C120" i="36"/>
  <c r="C110" i="36"/>
  <c r="C105" i="36"/>
  <c r="C100" i="36"/>
  <c r="C97" i="36"/>
  <c r="C86" i="36"/>
  <c r="C83" i="36"/>
  <c r="C79" i="36"/>
  <c r="C72" i="36"/>
  <c r="C68" i="36"/>
  <c r="C65" i="36"/>
  <c r="C54" i="36"/>
  <c r="C51" i="36"/>
  <c r="C47" i="36"/>
  <c r="C40" i="36"/>
  <c r="C36" i="36"/>
  <c r="C33" i="36"/>
  <c r="C22" i="36"/>
  <c r="C19" i="36"/>
  <c r="C15" i="36"/>
  <c r="C11" i="36"/>
  <c r="C8" i="36"/>
  <c r="C17" i="36"/>
  <c r="C32" i="36"/>
  <c r="C43" i="36"/>
  <c r="C49" i="36"/>
  <c r="C64" i="36"/>
  <c r="C75" i="36"/>
  <c r="C81" i="36"/>
  <c r="C96" i="36"/>
  <c r="C109" i="36"/>
  <c r="C121" i="36"/>
  <c r="C141" i="36"/>
  <c r="C145" i="36"/>
  <c r="C160" i="36"/>
  <c r="C166" i="36"/>
  <c r="C174" i="36"/>
  <c r="C180" i="36"/>
  <c r="C189" i="36"/>
  <c r="C198" i="36"/>
  <c r="C213" i="36"/>
  <c r="C237" i="36"/>
  <c r="C249" i="36"/>
  <c r="C269" i="36"/>
  <c r="C273" i="36"/>
  <c r="C288" i="36"/>
  <c r="C294" i="36"/>
  <c r="C302" i="36"/>
  <c r="C308" i="36"/>
  <c r="C317" i="36"/>
  <c r="C323" i="36"/>
  <c r="C337" i="36"/>
  <c r="C349" i="36"/>
  <c r="C366" i="36"/>
  <c r="C374" i="36"/>
  <c r="C456" i="36"/>
  <c r="C508" i="36"/>
  <c r="E524" i="36"/>
  <c r="E519" i="36"/>
  <c r="E516" i="36"/>
  <c r="E511" i="36"/>
  <c r="E508" i="36"/>
  <c r="E503" i="36"/>
  <c r="E500" i="36"/>
  <c r="E495" i="36"/>
  <c r="E492" i="36"/>
  <c r="E487" i="36"/>
  <c r="E484" i="36"/>
  <c r="E479" i="36"/>
  <c r="E476" i="36"/>
  <c r="E471" i="36"/>
  <c r="E468" i="36"/>
  <c r="E463" i="36"/>
  <c r="E460" i="36"/>
  <c r="E455" i="36"/>
  <c r="E452" i="36"/>
  <c r="E447" i="36"/>
  <c r="E444" i="36"/>
  <c r="E439" i="36"/>
  <c r="E436" i="36"/>
  <c r="E431" i="36"/>
  <c r="E428" i="36"/>
  <c r="E423" i="36"/>
  <c r="E420" i="36"/>
  <c r="E415" i="36"/>
  <c r="E412" i="36"/>
  <c r="E407" i="36"/>
  <c r="E404" i="36"/>
  <c r="E399" i="36"/>
  <c r="E396" i="36"/>
  <c r="E391" i="36"/>
  <c r="E388" i="36"/>
  <c r="E383" i="36"/>
  <c r="E380" i="36"/>
  <c r="E375" i="36"/>
  <c r="E372" i="36"/>
  <c r="E367" i="36"/>
  <c r="E364" i="36"/>
  <c r="E359" i="36"/>
  <c r="E356" i="36"/>
  <c r="E520" i="36"/>
  <c r="E517" i="36"/>
  <c r="E513" i="36"/>
  <c r="E506" i="36"/>
  <c r="E502" i="36"/>
  <c r="E499" i="36"/>
  <c r="E488" i="36"/>
  <c r="E485" i="36"/>
  <c r="E481" i="36"/>
  <c r="E474" i="36"/>
  <c r="E470" i="36"/>
  <c r="E467" i="36"/>
  <c r="E456" i="36"/>
  <c r="E453" i="36"/>
  <c r="E449" i="36"/>
  <c r="E442" i="36"/>
  <c r="E438" i="36"/>
  <c r="E435" i="36"/>
  <c r="E424" i="36"/>
  <c r="E421" i="36"/>
  <c r="E417" i="36"/>
  <c r="E410" i="36"/>
  <c r="E406" i="36"/>
  <c r="E403" i="36"/>
  <c r="E392" i="36"/>
  <c r="E389" i="36"/>
  <c r="E385" i="36"/>
  <c r="E378" i="36"/>
  <c r="E374" i="36"/>
  <c r="E371" i="36"/>
  <c r="E360" i="36"/>
  <c r="E357" i="36"/>
  <c r="E353" i="36"/>
  <c r="E348" i="36"/>
  <c r="E345" i="36"/>
  <c r="E340" i="36"/>
  <c r="E337" i="36"/>
  <c r="E332" i="36"/>
  <c r="E329" i="36"/>
  <c r="E324" i="36"/>
  <c r="E321" i="36"/>
  <c r="E316" i="36"/>
  <c r="E313" i="36"/>
  <c r="E311" i="36"/>
  <c r="E309" i="36"/>
  <c r="E307" i="36"/>
  <c r="E305" i="36"/>
  <c r="E303" i="36"/>
  <c r="E301" i="36"/>
  <c r="E299" i="36"/>
  <c r="E297" i="36"/>
  <c r="E295" i="36"/>
  <c r="E293" i="36"/>
  <c r="E291" i="36"/>
  <c r="E289" i="36"/>
  <c r="E287" i="36"/>
  <c r="E285" i="36"/>
  <c r="E283" i="36"/>
  <c r="E281" i="36"/>
  <c r="E279" i="36"/>
  <c r="E277" i="36"/>
  <c r="E275" i="36"/>
  <c r="E273" i="36"/>
  <c r="E271" i="36"/>
  <c r="E269" i="36"/>
  <c r="E267" i="36"/>
  <c r="E265" i="36"/>
  <c r="E263" i="36"/>
  <c r="E261" i="36"/>
  <c r="E259" i="36"/>
  <c r="E257" i="36"/>
  <c r="E255" i="36"/>
  <c r="E253" i="36"/>
  <c r="E251" i="36"/>
  <c r="E249" i="36"/>
  <c r="E247" i="36"/>
  <c r="E245" i="36"/>
  <c r="E243" i="36"/>
  <c r="E241" i="36"/>
  <c r="E239" i="36"/>
  <c r="E237" i="36"/>
  <c r="E235" i="36"/>
  <c r="E233" i="36"/>
  <c r="E231" i="36"/>
  <c r="E229" i="36"/>
  <c r="E227" i="36"/>
  <c r="E225" i="36"/>
  <c r="E223" i="36"/>
  <c r="E221" i="36"/>
  <c r="E219" i="36"/>
  <c r="E217" i="36"/>
  <c r="E215" i="36"/>
  <c r="E213" i="36"/>
  <c r="E211" i="36"/>
  <c r="E209" i="36"/>
  <c r="E207" i="36"/>
  <c r="E205" i="36"/>
  <c r="E203" i="36"/>
  <c r="E201" i="36"/>
  <c r="E199" i="36"/>
  <c r="E197" i="36"/>
  <c r="E195" i="36"/>
  <c r="E193" i="36"/>
  <c r="E191" i="36"/>
  <c r="E189" i="36"/>
  <c r="E187" i="36"/>
  <c r="E185" i="36"/>
  <c r="E183" i="36"/>
  <c r="E181" i="36"/>
  <c r="E179" i="36"/>
  <c r="E177" i="36"/>
  <c r="E175" i="36"/>
  <c r="E173" i="36"/>
  <c r="E171" i="36"/>
  <c r="E169" i="36"/>
  <c r="E167" i="36"/>
  <c r="E165" i="36"/>
  <c r="E163" i="36"/>
  <c r="E161" i="36"/>
  <c r="E159" i="36"/>
  <c r="E157" i="36"/>
  <c r="E155" i="36"/>
  <c r="E153" i="36"/>
  <c r="E151" i="36"/>
  <c r="E149" i="36"/>
  <c r="E147" i="36"/>
  <c r="E145" i="36"/>
  <c r="E143" i="36"/>
  <c r="E141" i="36"/>
  <c r="E139" i="36"/>
  <c r="E137" i="36"/>
  <c r="E135" i="36"/>
  <c r="E133" i="36"/>
  <c r="E131" i="36"/>
  <c r="E129" i="36"/>
  <c r="E127" i="36"/>
  <c r="E125" i="36"/>
  <c r="E123" i="36"/>
  <c r="E121" i="36"/>
  <c r="E119" i="36"/>
  <c r="E117" i="36"/>
  <c r="E115" i="36"/>
  <c r="E113" i="36"/>
  <c r="E111" i="36"/>
  <c r="E109" i="36"/>
  <c r="E107" i="36"/>
  <c r="E105" i="36"/>
  <c r="E103" i="36"/>
  <c r="E101" i="36"/>
  <c r="E523" i="36"/>
  <c r="E518" i="36"/>
  <c r="E514" i="36"/>
  <c r="E509" i="36"/>
  <c r="E504" i="36"/>
  <c r="E494" i="36"/>
  <c r="E490" i="36"/>
  <c r="E480" i="36"/>
  <c r="E466" i="36"/>
  <c r="E457" i="36"/>
  <c r="E443" i="36"/>
  <c r="E433" i="36"/>
  <c r="E429" i="36"/>
  <c r="E419" i="36"/>
  <c r="E414" i="36"/>
  <c r="E409" i="36"/>
  <c r="E405" i="36"/>
  <c r="E400" i="36"/>
  <c r="E395" i="36"/>
  <c r="E390" i="36"/>
  <c r="E386" i="36"/>
  <c r="E381" i="36"/>
  <c r="E376" i="36"/>
  <c r="E366" i="36"/>
  <c r="E362" i="36"/>
  <c r="E349" i="36"/>
  <c r="E346" i="36"/>
  <c r="E342" i="36"/>
  <c r="E335" i="36"/>
  <c r="E331" i="36"/>
  <c r="E328" i="36"/>
  <c r="E317" i="36"/>
  <c r="E314" i="36"/>
  <c r="E308" i="36"/>
  <c r="E300" i="36"/>
  <c r="E292" i="36"/>
  <c r="E284" i="36"/>
  <c r="E276" i="36"/>
  <c r="E268" i="36"/>
  <c r="E260" i="36"/>
  <c r="E252" i="36"/>
  <c r="E244" i="36"/>
  <c r="E236" i="36"/>
  <c r="E228" i="36"/>
  <c r="E220" i="36"/>
  <c r="E212" i="36"/>
  <c r="E204" i="36"/>
  <c r="E196" i="36"/>
  <c r="E188" i="36"/>
  <c r="E180" i="36"/>
  <c r="E172" i="36"/>
  <c r="E164" i="36"/>
  <c r="E156" i="36"/>
  <c r="E148" i="36"/>
  <c r="E140" i="36"/>
  <c r="E132" i="36"/>
  <c r="E124" i="36"/>
  <c r="E116" i="36"/>
  <c r="E108" i="36"/>
  <c r="E100" i="36"/>
  <c r="E98" i="36"/>
  <c r="E96" i="36"/>
  <c r="E94" i="36"/>
  <c r="E92" i="36"/>
  <c r="E90" i="36"/>
  <c r="E88" i="36"/>
  <c r="E86" i="36"/>
  <c r="E84" i="36"/>
  <c r="E82" i="36"/>
  <c r="E80" i="36"/>
  <c r="E78" i="36"/>
  <c r="E76" i="36"/>
  <c r="E74" i="36"/>
  <c r="E72" i="36"/>
  <c r="E70" i="36"/>
  <c r="E68" i="36"/>
  <c r="E66" i="36"/>
  <c r="E64" i="36"/>
  <c r="E62" i="36"/>
  <c r="E60" i="36"/>
  <c r="E58" i="36"/>
  <c r="E56" i="36"/>
  <c r="E54" i="36"/>
  <c r="E52" i="36"/>
  <c r="E50" i="36"/>
  <c r="E48" i="36"/>
  <c r="E46" i="36"/>
  <c r="E44" i="36"/>
  <c r="E42" i="36"/>
  <c r="E40" i="36"/>
  <c r="E38" i="36"/>
  <c r="E36" i="36"/>
  <c r="E34" i="36"/>
  <c r="E32" i="36"/>
  <c r="E30" i="36"/>
  <c r="E28" i="36"/>
  <c r="E26" i="36"/>
  <c r="E24" i="36"/>
  <c r="E22" i="36"/>
  <c r="E20" i="36"/>
  <c r="E18" i="36"/>
  <c r="E16" i="36"/>
  <c r="E14" i="36"/>
  <c r="E10" i="36"/>
  <c r="E8" i="36"/>
  <c r="E4" i="36"/>
  <c r="E2" i="36"/>
  <c r="E13" i="36"/>
  <c r="E15" i="36"/>
  <c r="E23" i="36"/>
  <c r="E31" i="36"/>
  <c r="E39" i="36"/>
  <c r="E47" i="36"/>
  <c r="E55" i="36"/>
  <c r="E63" i="36"/>
  <c r="E71" i="36"/>
  <c r="E79" i="36"/>
  <c r="E87" i="36"/>
  <c r="E95" i="36"/>
  <c r="E104" i="36"/>
  <c r="E118" i="36"/>
  <c r="E122" i="36"/>
  <c r="E136" i="36"/>
  <c r="E150" i="36"/>
  <c r="E154" i="36"/>
  <c r="E168" i="36"/>
  <c r="E182" i="36"/>
  <c r="E186" i="36"/>
  <c r="E200" i="36"/>
  <c r="E214" i="36"/>
  <c r="E218" i="36"/>
  <c r="E232" i="36"/>
  <c r="E246" i="36"/>
  <c r="E250" i="36"/>
  <c r="E264" i="36"/>
  <c r="E278" i="36"/>
  <c r="E282" i="36"/>
  <c r="E296" i="36"/>
  <c r="E310" i="36"/>
  <c r="E319" i="36"/>
  <c r="E323" i="36"/>
  <c r="E333" i="36"/>
  <c r="E338" i="36"/>
  <c r="E343" i="36"/>
  <c r="E347" i="36"/>
  <c r="E352" i="36"/>
  <c r="E358" i="36"/>
  <c r="E365" i="36"/>
  <c r="E370" i="36"/>
  <c r="E377" i="36"/>
  <c r="E397" i="36"/>
  <c r="E402" i="36"/>
  <c r="E408" i="36"/>
  <c r="E427" i="36"/>
  <c r="E434" i="36"/>
  <c r="E440" i="36"/>
  <c r="E446" i="36"/>
  <c r="E459" i="36"/>
  <c r="E465" i="36"/>
  <c r="E472" i="36"/>
  <c r="E478" i="36"/>
  <c r="E491" i="36"/>
  <c r="E497" i="36"/>
  <c r="E510" i="36"/>
  <c r="E52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79960D-D38D-49A3-A079-E0181FE188DB}" keepAlive="1" name="Query - Good dad 80-20 vs MCTS" description="Connection to the 'Good dad 80-20 vs MCTS' query in the workbook." type="5" refreshedVersion="6" background="1" saveData="1">
    <dbPr connection="Provider=Microsoft.Mashup.OleDb.1;Data Source=$Workbook$;Location=&quot;Good dad 80-20 vs MCTS&quot;;Extended Properties=&quot;&quot;" command="SELECT * FROM [Good dad 80-20 vs MCTS]"/>
  </connection>
  <connection id="2" xr16:uid="{A882F5F9-D033-4279-ABFF-78EF22F1F3AB}" keepAlive="1" name="Query - Good dad 80-20 vs MineField" description="Connection to the 'Good dad 80-20 vs MineField' query in the workbook." type="5" refreshedVersion="6" background="1" saveData="1">
    <dbPr connection="Provider=Microsoft.Mashup.OleDb.1;Data Source=$Workbook$;Location=&quot;Good dad 80-20 vs MineField&quot;;Extended Properties=&quot;&quot;" command="SELECT * FROM [Good dad 80-20 vs MineField]"/>
  </connection>
  <connection id="3" xr16:uid="{1601BB30-803D-487B-AA64-84CBE8160BD6}" keepAlive="1" name="Query - Good dad 80-20 vs random" description="Connection to the 'Good dad 80-20 vs random' query in the workbook." type="5" refreshedVersion="6" background="1" saveData="1">
    <dbPr connection="Provider=Microsoft.Mashup.OleDb.1;Data Source=$Workbook$;Location=&quot;Good dad 80-20 vs random&quot;;Extended Properties=&quot;&quot;" command="SELECT * FROM [Good dad 80-20 vs random]"/>
  </connection>
  <connection id="4" xr16:uid="{927EF3B3-6DD0-482F-898D-97761C14EA39}" keepAlive="1" name="Query - Good dad 80-20(Picks Win) vs Random" description="Connection to the 'Good dad 80-20(Picks Win) vs Random' query in the workbook." type="5" refreshedVersion="6" background="1" saveData="1">
    <dbPr connection="Provider=Microsoft.Mashup.OleDb.1;Data Source=$Workbook$;Location=Good dad 80-20(Picks Win) vs Random;Extended Properties=&quot;&quot;" command="SELECT * FROM [Good dad 80-20(Picks Win) vs Random]"/>
  </connection>
  <connection id="5" xr16:uid="{3EDDA9A6-8494-4364-8382-39000E2B6442}" keepAlive="1" name="Query - Good dad 80-20(PickWin) vs MCTS" description="Connection to the 'Good dad 80-20(PickWin) vs MCTS' query in the workbook." type="5" refreshedVersion="6" background="1" saveData="1">
    <dbPr connection="Provider=Microsoft.Mashup.OleDb.1;Data Source=$Workbook$;Location=&quot;Good dad 80-20(PickWin) vs MCTS&quot;;Extended Properties=&quot;&quot;" command="SELECT * FROM [Good dad 80-20(PickWin) vs MCTS]"/>
  </connection>
  <connection id="6" xr16:uid="{F1433A0A-1BFA-4F7E-9911-E28936955324}" keepAlive="1" name="Query - Good dad 80-20(PickWin) vs MineField" description="Connection to the 'Good dad 80-20(PickWin) vs MineField' query in the workbook." type="5" refreshedVersion="6" background="1" saveData="1">
    <dbPr connection="Provider=Microsoft.Mashup.OleDb.1;Data Source=$Workbook$;Location=&quot;Good dad 80-20(PickWin) vs MineField&quot;;Extended Properties=&quot;&quot;" command="SELECT * FROM [Good dad 80-20(PickWin) vs MineField]"/>
  </connection>
  <connection id="7" xr16:uid="{5928E7AA-40F7-46B5-9BDB-9100E681E59E}" keepAlive="1" name="Query - Good dad v2 vs MCTS" description="Connection to the 'Good dad v2 vs MCTS' query in the workbook." type="5" refreshedVersion="6" background="1" saveData="1">
    <dbPr connection="Provider=Microsoft.Mashup.OleDb.1;Data Source=$Workbook$;Location=&quot;Good dad v2 vs MCTS&quot;;Extended Properties=&quot;&quot;" command="SELECT * FROM [Good dad v2 vs MCTS]"/>
  </connection>
  <connection id="8" xr16:uid="{EFD629FB-A1B4-4B2F-9471-30C0986233BB}" keepAlive="1" name="Query - Good dad v2 vs Random" description="Connection to the 'Good dad v2 vs Random' query in the workbook." type="5" refreshedVersion="6" background="1" saveData="1">
    <dbPr connection="Provider=Microsoft.Mashup.OleDb.1;Data Source=$Workbook$;Location=Good dad v2 vs Random;Extended Properties=&quot;&quot;" command="SELECT * FROM [Good dad v2 vs Random]"/>
  </connection>
  <connection id="9" xr16:uid="{35ED3BD6-A60D-404D-AC76-9639079C07DD}" keepAlive="1" name="Query - Goood dad v2 vs MineField" description="Connection to the 'Goood dad v2 vs MineField' query in the workbook." type="5" refreshedVersion="6" background="1" saveData="1">
    <dbPr connection="Provider=Microsoft.Mashup.OleDb.1;Data Source=$Workbook$;Location=&quot;Goood dad v2 vs MineField&quot;;Extended Properties=&quot;&quot;" command="SELECT * FROM [Goood dad v2 vs MineField]"/>
  </connection>
  <connection id="10" xr16:uid="{15A62D6E-9946-4747-9DDA-A43CC2D005F4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11" xr16:uid="{3F420F4B-E57E-417B-B419-A81218876502}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  <connection id="12" xr16:uid="{D9034ABE-463D-4194-B0E9-B7E07259AFFE}" keepAlive="1" name="Query - Query3" description="Connection to the 'Query3' query in the workbook." type="5" refreshedVersion="6" background="1" saveData="1">
    <dbPr connection="Provider=Microsoft.Mashup.OleDb.1;Data Source=$Workbook$;Location=Query3;Extended Properties=&quot;&quot;" command="SELECT * FROM [Query3]"/>
  </connection>
  <connection id="13" xr16:uid="{2B179D2C-0133-4A7A-98AB-536F571C4E6D}" keepAlive="1" name="Query - Query5" description="Connection to the 'Query5' query in the workbook." type="5" refreshedVersion="6" background="1" saveData="1">
    <dbPr connection="Provider=Microsoft.Mashup.OleDb.1;Data Source=$Workbook$;Location=Query5;Extended Properties=&quot;&quot;" command="SELECT * FROM [Query5]"/>
  </connection>
</connections>
</file>

<file path=xl/sharedStrings.xml><?xml version="1.0" encoding="utf-8"?>
<sst xmlns="http://schemas.openxmlformats.org/spreadsheetml/2006/main" count="2883" uniqueCount="85">
  <si>
    <t>Good Dad</t>
  </si>
  <si>
    <t>MCTS</t>
  </si>
  <si>
    <t>Wins</t>
  </si>
  <si>
    <t>Game 1</t>
  </si>
  <si>
    <t>Good dad</t>
  </si>
  <si>
    <t>Game 2</t>
  </si>
  <si>
    <t xml:space="preserve"> </t>
  </si>
  <si>
    <t>minefield</t>
  </si>
  <si>
    <t>random</t>
  </si>
  <si>
    <t>0.02702702702702703, -0.006006006006006006, 0.023952095808383235, 0.03271028037383177, 0.034666666666666665, 0.012012012012012012, 0.06293706293706294, 0, 0.012, 0.03003003003003003, 0.04, 0.010666666666666666, 0.010666666666666666, 0, 0, 0, -0.03333333333333333, -0.074, 0.007009345794392523, 0.028333333333333332, 0.024, 0.036, 0.04, 0.027, 0.04, 0.266, 0.095, 0.256, 0.18166666666666667, 0.2222222222222222, 0.2, 0.9680457450386815, 0.72, 0</t>
  </si>
  <si>
    <t xml:space="preserve">  </t>
  </si>
  <si>
    <t>High</t>
  </si>
  <si>
    <t>Low</t>
  </si>
  <si>
    <t>PlayerOne</t>
  </si>
  <si>
    <t>PlayerTwo</t>
  </si>
  <si>
    <t>Winner</t>
  </si>
  <si>
    <t>Random</t>
  </si>
  <si>
    <t>draw</t>
  </si>
  <si>
    <t>Game results</t>
  </si>
  <si>
    <t>Random wins</t>
  </si>
  <si>
    <t>Good dad wins</t>
  </si>
  <si>
    <t>Random Player One Results</t>
  </si>
  <si>
    <t>Good dad player one</t>
  </si>
  <si>
    <t>MCTS Player One Results</t>
  </si>
  <si>
    <t>MineField</t>
  </si>
  <si>
    <t>MCTS wins</t>
  </si>
  <si>
    <t>MineField Player One Results</t>
  </si>
  <si>
    <t>MineField wins</t>
  </si>
  <si>
    <t>MCTS High</t>
  </si>
  <si>
    <t>MCTS Low</t>
  </si>
  <si>
    <t>Player1</t>
  </si>
  <si>
    <t>Player2</t>
  </si>
  <si>
    <t>User</t>
  </si>
  <si>
    <t>Good dad v2</t>
  </si>
  <si>
    <t>average</t>
  </si>
  <si>
    <t>made it very tricky</t>
  </si>
  <si>
    <t>very hard</t>
  </si>
  <si>
    <t>very fun</t>
  </si>
  <si>
    <t>poorly</t>
  </si>
  <si>
    <t>clever</t>
  </si>
  <si>
    <t>hard</t>
  </si>
  <si>
    <t>fun</t>
  </si>
  <si>
    <t>well</t>
  </si>
  <si>
    <t>easy</t>
  </si>
  <si>
    <t>neutral</t>
  </si>
  <si>
    <t>very well</t>
  </si>
  <si>
    <t>Could have won the game on the last move but did not do so. However, turned down winning a board to prevent me winning a board (I think.)</t>
  </si>
  <si>
    <t>It turned down two moves that would have won a sub-board.</t>
  </si>
  <si>
    <t>Opponent made sure to put me in a sub-board which prevented me from winning a board or blocking off the sub-boards they were building up.</t>
  </si>
  <si>
    <t>Opponent was good at setting up their own sub-boards but not at playing aggressively e.g. trying to force me into positions where I have to give up a board or trying to stop me from claiming a board.</t>
  </si>
  <si>
    <t xml:space="preserve">the opponent showed stratigical thinking in its moves and showed a overall strategy inn its play making moves that would make it harder for me to win </t>
  </si>
  <si>
    <t>it did make some move that where tactically sound but also made some major mistakes</t>
  </si>
  <si>
    <t>The AI wasn't as sneaky, if there was a part of the board that was neglected it moved the game over there. It didn't seem interested in winning.</t>
  </si>
  <si>
    <t xml:space="preserve">It performed well and knew how to bait me as its opponent, it did this by not giving me a choice between performing an advantageous move and losing a board. It led me to do moves that allowed the opponent to win the subsequent. I felt almost like it was trying to distract me. I feel I won purely based on luck. </t>
  </si>
  <si>
    <t>Even though i was first  (red) etc it felt thouh i was the one chasing the game.</t>
  </si>
  <si>
    <t>boring</t>
  </si>
  <si>
    <t>Felt though at times i was being set up. However it was quite unpredictable.</t>
  </si>
  <si>
    <t xml:space="preserve">Felt opponent was making foolish moves a first, however after seeing where they lead me and what options I had left, made me think that the A.I was either 'baiting' me into making the wrong move or operating many more moves ahead than I was, perhaps based off my previous moves made. Felt opponent was attempting only diagonal methods of victory.  </t>
  </si>
  <si>
    <t>A couple of obviously incorrect moves made by the opponennt, that they didn't take full advantage of my mistakes made</t>
  </si>
  <si>
    <t>my opponents performance was poor,because it let me win</t>
  </si>
  <si>
    <t>Only seemed to consider the square it was on.</t>
  </si>
  <si>
    <t>Didn't play very strategically.</t>
  </si>
  <si>
    <t>very easy</t>
  </si>
  <si>
    <t>AI could be seen to be making gneral strategies, although on multiple occasions it made poor moves that ended with myself the game.</t>
  </si>
  <si>
    <t>occasionally the AI made moves i would deem 'poor' in terms of overall game state. The ai was seen to be making a general strategy, but could be easily outplayed</t>
  </si>
  <si>
    <t>How do you feel you performed during the game</t>
  </si>
  <si>
    <t>Do you have any comments on the opponents performance</t>
  </si>
  <si>
    <t>How difficult did you find the opponent?</t>
  </si>
  <si>
    <t>How enjoyable was the game?</t>
  </si>
  <si>
    <t>Good dad v2 wins</t>
  </si>
  <si>
    <t>Owner</t>
  </si>
  <si>
    <t>Reward</t>
  </si>
  <si>
    <t>Place</t>
  </si>
  <si>
    <t>Placements</t>
  </si>
  <si>
    <t>min</t>
  </si>
  <si>
    <t>max</t>
  </si>
  <si>
    <t>stdiv</t>
  </si>
  <si>
    <t>Rewards</t>
  </si>
  <si>
    <t>Column1</t>
  </si>
  <si>
    <t>minefield average</t>
  </si>
  <si>
    <t>MCTS average</t>
  </si>
  <si>
    <t>Good dad 80-20 wins</t>
  </si>
  <si>
    <t>high options</t>
  </si>
  <si>
    <t>very boring</t>
  </si>
  <si>
    <t>very poorly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</si>
</sst>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'Good dad 60-40 vs MCTS games'!$A$2</c:f>
              <c:strCache>
                <c:ptCount val="1"/>
                <c:pt idx="0">
                  <c:v>Wins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0-4472-93A6-0ED2BDA7E0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C0-4472-93A6-0ED2BDA7E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60-40 vs MCTS games'!$B$1:$C$1</c:f>
              <c:strCache>
                <c:ptCount val="2"/>
                <c:pt idx="0">
                  <c:v>Good Dad</c:v>
                </c:pt>
                <c:pt idx="1">
                  <c:v>MCTS</c:v>
                </c:pt>
              </c:strCache>
            </c:strRef>
          </c:cat>
          <c:val>
            <c:numRef>
              <c:f>'Good dad 60-40 vs MCTS games'!$B$2:$C$2</c:f>
              <c:numCache>
                <c:formatCode>General</c:formatCode>
                <c:ptCount val="2"/>
                <c:pt idx="0">
                  <c:v>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4-420B-BDAE-773AB6C5A0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games'!$K$2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games'!$K$3:$K$26</c:f>
              <c:numCache>
                <c:formatCode>General</c:formatCode>
                <c:ptCount val="24"/>
                <c:pt idx="0">
                  <c:v>0.13157894736842099</c:v>
                </c:pt>
                <c:pt idx="1">
                  <c:v>0.105105105105105</c:v>
                </c:pt>
                <c:pt idx="2">
                  <c:v>0.114114114114114</c:v>
                </c:pt>
                <c:pt idx="3">
                  <c:v>0.126126126126126</c:v>
                </c:pt>
                <c:pt idx="4">
                  <c:v>0.13213213213213201</c:v>
                </c:pt>
                <c:pt idx="5">
                  <c:v>0.13084112149532701</c:v>
                </c:pt>
                <c:pt idx="6">
                  <c:v>0.114666666666666</c:v>
                </c:pt>
                <c:pt idx="7">
                  <c:v>0.08</c:v>
                </c:pt>
                <c:pt idx="8">
                  <c:v>0.11214953271028</c:v>
                </c:pt>
                <c:pt idx="9">
                  <c:v>3.89221556886227E-2</c:v>
                </c:pt>
                <c:pt idx="10">
                  <c:v>4.1958041958041897E-2</c:v>
                </c:pt>
                <c:pt idx="11">
                  <c:v>8.0000000000000002E-3</c:v>
                </c:pt>
                <c:pt idx="12">
                  <c:v>0</c:v>
                </c:pt>
                <c:pt idx="13">
                  <c:v>-1.6666666666666601E-2</c:v>
                </c:pt>
                <c:pt idx="14">
                  <c:v>0.04</c:v>
                </c:pt>
                <c:pt idx="15">
                  <c:v>0.123831775700934</c:v>
                </c:pt>
                <c:pt idx="16">
                  <c:v>2.5333333333333301E-2</c:v>
                </c:pt>
                <c:pt idx="17">
                  <c:v>7.3999999999999996E-2</c:v>
                </c:pt>
                <c:pt idx="18">
                  <c:v>9.6000000000000002E-2</c:v>
                </c:pt>
                <c:pt idx="19">
                  <c:v>0.14833333333333301</c:v>
                </c:pt>
                <c:pt idx="20">
                  <c:v>6.3084112149532703E-2</c:v>
                </c:pt>
                <c:pt idx="21">
                  <c:v>-0.26</c:v>
                </c:pt>
                <c:pt idx="22">
                  <c:v>-0.45200000000000001</c:v>
                </c:pt>
                <c:pt idx="23">
                  <c:v>-0.351981351981352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F-4CFF-AB99-CE83B1DF7FEC}"/>
            </c:ext>
          </c:extLst>
        </c:ser>
        <c:ser>
          <c:idx val="1"/>
          <c:order val="1"/>
          <c:tx>
            <c:strRef>
              <c:f>'Good dad 60-40 vs MCTS games'!$L$2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games'!$L$3:$L$26</c:f>
              <c:numCache>
                <c:formatCode>General</c:formatCode>
                <c:ptCount val="24"/>
                <c:pt idx="0">
                  <c:v>-2.1333333333333301E-2</c:v>
                </c:pt>
                <c:pt idx="1">
                  <c:v>1.2012012012012E-2</c:v>
                </c:pt>
                <c:pt idx="2">
                  <c:v>3.0030030030029999E-3</c:v>
                </c:pt>
                <c:pt idx="3">
                  <c:v>4.2666666666666603E-2</c:v>
                </c:pt>
                <c:pt idx="4">
                  <c:v>2.9940119760479E-3</c:v>
                </c:pt>
                <c:pt idx="5">
                  <c:v>-1.6E-2</c:v>
                </c:pt>
                <c:pt idx="6">
                  <c:v>1.16822429906542E-2</c:v>
                </c:pt>
                <c:pt idx="7">
                  <c:v>2.8000000000000001E-2</c:v>
                </c:pt>
                <c:pt idx="8">
                  <c:v>3.4965034965034898E-2</c:v>
                </c:pt>
                <c:pt idx="9">
                  <c:v>4.5333333333333302E-2</c:v>
                </c:pt>
                <c:pt idx="10">
                  <c:v>7.8333333333333297E-2</c:v>
                </c:pt>
                <c:pt idx="11">
                  <c:v>6.8000000000000005E-2</c:v>
                </c:pt>
                <c:pt idx="12">
                  <c:v>8.7999999999999995E-2</c:v>
                </c:pt>
                <c:pt idx="13">
                  <c:v>0.108</c:v>
                </c:pt>
                <c:pt idx="14">
                  <c:v>8.2666666666666597E-2</c:v>
                </c:pt>
                <c:pt idx="15">
                  <c:v>2.8333333333333301E-2</c:v>
                </c:pt>
                <c:pt idx="16">
                  <c:v>0.06</c:v>
                </c:pt>
                <c:pt idx="17">
                  <c:v>4.7E-2</c:v>
                </c:pt>
                <c:pt idx="18">
                  <c:v>-4.5333333333333302E-2</c:v>
                </c:pt>
                <c:pt idx="19">
                  <c:v>-8.3333333333333301E-2</c:v>
                </c:pt>
                <c:pt idx="20">
                  <c:v>0.38554216867469798</c:v>
                </c:pt>
                <c:pt idx="21">
                  <c:v>0.61</c:v>
                </c:pt>
                <c:pt idx="22">
                  <c:v>0.57299999999999995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F-4CFF-AB99-CE83B1DF7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73672"/>
        <c:axId val="471174000"/>
      </c:lineChart>
      <c:catAx>
        <c:axId val="471173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4000"/>
        <c:crosses val="autoZero"/>
        <c:auto val="1"/>
        <c:lblAlgn val="ctr"/>
        <c:lblOffset val="100"/>
        <c:noMultiLvlLbl val="0"/>
      </c:catAx>
      <c:valAx>
        <c:axId val="4711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AI</a:t>
            </a:r>
            <a:r>
              <a:rPr lang="en-GB" baseline="0"/>
              <a:t> rewards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games'!$N$3:$N$21</c:f>
              <c:numCache>
                <c:formatCode>General</c:formatCode>
                <c:ptCount val="19"/>
                <c:pt idx="0">
                  <c:v>0.35135135135135098</c:v>
                </c:pt>
                <c:pt idx="1">
                  <c:v>0.112</c:v>
                </c:pt>
                <c:pt idx="2">
                  <c:v>0.13866666666666599</c:v>
                </c:pt>
                <c:pt idx="3">
                  <c:v>0.101333333333333</c:v>
                </c:pt>
                <c:pt idx="4">
                  <c:v>6.7757009345794303E-2</c:v>
                </c:pt>
                <c:pt idx="5">
                  <c:v>5.6000000000000001E-2</c:v>
                </c:pt>
                <c:pt idx="6">
                  <c:v>3.89221556886227E-2</c:v>
                </c:pt>
                <c:pt idx="7">
                  <c:v>-5.1051051051050997E-2</c:v>
                </c:pt>
                <c:pt idx="8">
                  <c:v>-1.6666666666666601E-3</c:v>
                </c:pt>
                <c:pt idx="9">
                  <c:v>3.2000000000000001E-2</c:v>
                </c:pt>
                <c:pt idx="10">
                  <c:v>5.3999999999999999E-2</c:v>
                </c:pt>
                <c:pt idx="11">
                  <c:v>5.1999999999999998E-2</c:v>
                </c:pt>
                <c:pt idx="12">
                  <c:v>9.1666666666666605E-2</c:v>
                </c:pt>
                <c:pt idx="13">
                  <c:v>0.39436619718309801</c:v>
                </c:pt>
                <c:pt idx="14">
                  <c:v>6.6666666666666596E-2</c:v>
                </c:pt>
                <c:pt idx="15">
                  <c:v>7.5999999999999998E-2</c:v>
                </c:pt>
                <c:pt idx="16">
                  <c:v>0.16</c:v>
                </c:pt>
                <c:pt idx="17">
                  <c:v>0.38461538461538403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D25-8A3B-E69DEBA5241B}"/>
            </c:ext>
          </c:extLst>
        </c:ser>
        <c:ser>
          <c:idx val="1"/>
          <c:order val="1"/>
          <c:tx>
            <c:strRef>
              <c:f>'Good dad 60-40 vs MCTS games'!$O$2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games'!$O$3:$O$21</c:f>
              <c:numCache>
                <c:formatCode>General</c:formatCode>
                <c:ptCount val="19"/>
                <c:pt idx="0">
                  <c:v>1.19760479041916E-2</c:v>
                </c:pt>
                <c:pt idx="1">
                  <c:v>3.9039039039038999E-2</c:v>
                </c:pt>
                <c:pt idx="2">
                  <c:v>2.10280373831775E-2</c:v>
                </c:pt>
                <c:pt idx="3">
                  <c:v>0.12012012012011999</c:v>
                </c:pt>
                <c:pt idx="4">
                  <c:v>4.6620046620046603E-3</c:v>
                </c:pt>
                <c:pt idx="5">
                  <c:v>5.7057057057056999E-2</c:v>
                </c:pt>
                <c:pt idx="6">
                  <c:v>0.14399999999999999</c:v>
                </c:pt>
                <c:pt idx="7">
                  <c:v>7.7333333333333296E-2</c:v>
                </c:pt>
                <c:pt idx="8">
                  <c:v>9.11214953271028E-2</c:v>
                </c:pt>
                <c:pt idx="9">
                  <c:v>0.12533333333333299</c:v>
                </c:pt>
                <c:pt idx="10">
                  <c:v>3.3033033033033003E-2</c:v>
                </c:pt>
                <c:pt idx="11">
                  <c:v>0.08</c:v>
                </c:pt>
                <c:pt idx="12">
                  <c:v>-1.8666666666666599E-2</c:v>
                </c:pt>
                <c:pt idx="13">
                  <c:v>6.8493150684931503E-2</c:v>
                </c:pt>
                <c:pt idx="14">
                  <c:v>0.14285714285714199</c:v>
                </c:pt>
                <c:pt idx="15">
                  <c:v>0.159574468085106</c:v>
                </c:pt>
                <c:pt idx="16">
                  <c:v>-7.9254079254079193E-2</c:v>
                </c:pt>
                <c:pt idx="17">
                  <c:v>-0.12121212121212099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B-4D25-8A3B-E69DEBA5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7600"/>
        <c:axId val="478498256"/>
      </c:lineChart>
      <c:catAx>
        <c:axId val="47849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256"/>
        <c:crosses val="autoZero"/>
        <c:auto val="1"/>
        <c:lblAlgn val="ctr"/>
        <c:lblOffset val="100"/>
        <c:noMultiLvlLbl val="0"/>
      </c:catAx>
      <c:valAx>
        <c:axId val="4784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Progression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MCTS'!$CN$2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80-20 vs MCTS'!$CN$3:$CN$28</c:f>
              <c:numCache>
                <c:formatCode>General</c:formatCode>
                <c:ptCount val="26"/>
                <c:pt idx="0">
                  <c:v>0.35135135135135098</c:v>
                </c:pt>
                <c:pt idx="1">
                  <c:v>0.123123123123123</c:v>
                </c:pt>
                <c:pt idx="2">
                  <c:v>0.12533333333333299</c:v>
                </c:pt>
                <c:pt idx="3">
                  <c:v>8.7087087087086998E-2</c:v>
                </c:pt>
                <c:pt idx="4">
                  <c:v>0.104</c:v>
                </c:pt>
                <c:pt idx="5">
                  <c:v>9.3240093240093205E-2</c:v>
                </c:pt>
                <c:pt idx="6">
                  <c:v>9.90990990990991E-2</c:v>
                </c:pt>
                <c:pt idx="7">
                  <c:v>0.14933333333333301</c:v>
                </c:pt>
                <c:pt idx="8">
                  <c:v>0.114219114219114</c:v>
                </c:pt>
                <c:pt idx="9">
                  <c:v>4.4392523364485903E-2</c:v>
                </c:pt>
                <c:pt idx="10">
                  <c:v>-0.06</c:v>
                </c:pt>
                <c:pt idx="11">
                  <c:v>-7.2261072261072201E-2</c:v>
                </c:pt>
                <c:pt idx="12">
                  <c:v>-0.01</c:v>
                </c:pt>
                <c:pt idx="13">
                  <c:v>5.1051051051050997E-2</c:v>
                </c:pt>
                <c:pt idx="14">
                  <c:v>4.2042042042041997E-2</c:v>
                </c:pt>
                <c:pt idx="15">
                  <c:v>-1.2E-2</c:v>
                </c:pt>
                <c:pt idx="16">
                  <c:v>6.1666666666666599E-2</c:v>
                </c:pt>
                <c:pt idx="17">
                  <c:v>9.3240093240093205E-2</c:v>
                </c:pt>
                <c:pt idx="18">
                  <c:v>0.104</c:v>
                </c:pt>
                <c:pt idx="19">
                  <c:v>0.108</c:v>
                </c:pt>
                <c:pt idx="20">
                  <c:v>7.6666666666666605E-2</c:v>
                </c:pt>
                <c:pt idx="21">
                  <c:v>5.6666666666666601E-2</c:v>
                </c:pt>
                <c:pt idx="22">
                  <c:v>0.109333333333333</c:v>
                </c:pt>
                <c:pt idx="23">
                  <c:v>0.245</c:v>
                </c:pt>
                <c:pt idx="24">
                  <c:v>0.36799999999999999</c:v>
                </c:pt>
                <c:pt idx="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8-48EF-B901-524C31DCEE67}"/>
            </c:ext>
          </c:extLst>
        </c:ser>
        <c:ser>
          <c:idx val="1"/>
          <c:order val="1"/>
          <c:tx>
            <c:strRef>
              <c:f>'Good dad 80-20 vs MCTS'!$CO$2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80-20 vs MCTS'!$CO$3:$CO$27</c:f>
              <c:numCache>
                <c:formatCode>General</c:formatCode>
                <c:ptCount val="25"/>
                <c:pt idx="0">
                  <c:v>4.2042042042041997E-2</c:v>
                </c:pt>
                <c:pt idx="1">
                  <c:v>-6.0060060060059999E-3</c:v>
                </c:pt>
                <c:pt idx="2">
                  <c:v>-1.6E-2</c:v>
                </c:pt>
                <c:pt idx="3">
                  <c:v>6.1333333333333302E-2</c:v>
                </c:pt>
                <c:pt idx="4">
                  <c:v>2.4024024024024E-2</c:v>
                </c:pt>
                <c:pt idx="5">
                  <c:v>-8.7999999999999995E-2</c:v>
                </c:pt>
                <c:pt idx="6">
                  <c:v>2.3310023310023301E-3</c:v>
                </c:pt>
                <c:pt idx="7">
                  <c:v>-6.9930069930069904E-3</c:v>
                </c:pt>
                <c:pt idx="8">
                  <c:v>6.6666666666666596E-2</c:v>
                </c:pt>
                <c:pt idx="9">
                  <c:v>0.128</c:v>
                </c:pt>
                <c:pt idx="10">
                  <c:v>0.13519813519813501</c:v>
                </c:pt>
                <c:pt idx="11">
                  <c:v>0.14000000000000001</c:v>
                </c:pt>
                <c:pt idx="12">
                  <c:v>0.13</c:v>
                </c:pt>
                <c:pt idx="13">
                  <c:v>0.13800000000000001</c:v>
                </c:pt>
                <c:pt idx="14">
                  <c:v>0.13500000000000001</c:v>
                </c:pt>
                <c:pt idx="15">
                  <c:v>0.101333333333333</c:v>
                </c:pt>
                <c:pt idx="16">
                  <c:v>2.1333333333333301E-2</c:v>
                </c:pt>
                <c:pt idx="17">
                  <c:v>-1.16666666666666E-2</c:v>
                </c:pt>
                <c:pt idx="18">
                  <c:v>-2.3310023310023301E-2</c:v>
                </c:pt>
                <c:pt idx="19">
                  <c:v>8.0000000000000002E-3</c:v>
                </c:pt>
                <c:pt idx="20">
                  <c:v>1.6666666666666601E-3</c:v>
                </c:pt>
                <c:pt idx="21">
                  <c:v>8.0000000000000002E-3</c:v>
                </c:pt>
                <c:pt idx="22">
                  <c:v>-2.2666666666666599E-2</c:v>
                </c:pt>
                <c:pt idx="23">
                  <c:v>-7.3333333333333306E-2</c:v>
                </c:pt>
                <c:pt idx="24">
                  <c:v>0.30199999999999999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8-48EF-B901-524C31DC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839568"/>
        <c:axId val="900837272"/>
      </c:lineChart>
      <c:catAx>
        <c:axId val="90083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37272"/>
        <c:crosses val="autoZero"/>
        <c:auto val="1"/>
        <c:lblAlgn val="ctr"/>
        <c:lblOffset val="100"/>
        <c:noMultiLvlLbl val="0"/>
      </c:catAx>
      <c:valAx>
        <c:axId val="90083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3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MCTS</a:t>
            </a:r>
            <a:r>
              <a:rPr lang="en-GB" baseline="0"/>
              <a:t> vs Good dad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MCTS'!$ES$2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MCTS'!$ES$3:$ES$26</c:f>
              <c:numCache>
                <c:formatCode>General</c:formatCode>
                <c:ptCount val="24"/>
                <c:pt idx="0">
                  <c:v>0.35135135135135098</c:v>
                </c:pt>
                <c:pt idx="1">
                  <c:v>0.123123123123123</c:v>
                </c:pt>
                <c:pt idx="2">
                  <c:v>0.11111111111111099</c:v>
                </c:pt>
                <c:pt idx="3">
                  <c:v>9.8130841121495296E-2</c:v>
                </c:pt>
                <c:pt idx="4">
                  <c:v>0.12266666666666599</c:v>
                </c:pt>
                <c:pt idx="5">
                  <c:v>0.16167664670658599</c:v>
                </c:pt>
                <c:pt idx="6">
                  <c:v>7.1999999999999995E-2</c:v>
                </c:pt>
                <c:pt idx="7">
                  <c:v>8.1081081081081002E-2</c:v>
                </c:pt>
                <c:pt idx="8">
                  <c:v>0.06</c:v>
                </c:pt>
                <c:pt idx="9">
                  <c:v>6.5268065268065195E-2</c:v>
                </c:pt>
                <c:pt idx="10">
                  <c:v>6.9930069930069904E-3</c:v>
                </c:pt>
                <c:pt idx="11">
                  <c:v>8.6448598130841103E-2</c:v>
                </c:pt>
                <c:pt idx="12">
                  <c:v>2.5999999999999999E-2</c:v>
                </c:pt>
                <c:pt idx="13">
                  <c:v>0.104</c:v>
                </c:pt>
                <c:pt idx="14">
                  <c:v>6.9930069930069904E-3</c:v>
                </c:pt>
                <c:pt idx="15">
                  <c:v>8.1775700934579407E-2</c:v>
                </c:pt>
                <c:pt idx="16">
                  <c:v>2.1999999999999999E-2</c:v>
                </c:pt>
                <c:pt idx="17">
                  <c:v>0.05</c:v>
                </c:pt>
                <c:pt idx="18">
                  <c:v>-0.18</c:v>
                </c:pt>
                <c:pt idx="19">
                  <c:v>-4.1666666666666602E-2</c:v>
                </c:pt>
                <c:pt idx="20">
                  <c:v>-0.16083916083916</c:v>
                </c:pt>
                <c:pt idx="21">
                  <c:v>-0.110666666666666</c:v>
                </c:pt>
                <c:pt idx="22">
                  <c:v>-0.151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8-499D-9D27-7FC1AB1D71E2}"/>
            </c:ext>
          </c:extLst>
        </c:ser>
        <c:ser>
          <c:idx val="1"/>
          <c:order val="1"/>
          <c:tx>
            <c:strRef>
              <c:f>'Good dad 80-20 vs MCTS'!$ET$2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MCTS'!$ET$3:$ET$26</c:f>
              <c:numCache>
                <c:formatCode>General</c:formatCode>
                <c:ptCount val="24"/>
                <c:pt idx="0">
                  <c:v>3.0030030030029999E-2</c:v>
                </c:pt>
                <c:pt idx="1">
                  <c:v>6.2874251497005901E-2</c:v>
                </c:pt>
                <c:pt idx="2">
                  <c:v>0.04</c:v>
                </c:pt>
                <c:pt idx="3">
                  <c:v>-3.0030030030029999E-3</c:v>
                </c:pt>
                <c:pt idx="4">
                  <c:v>4.8000000000000001E-2</c:v>
                </c:pt>
                <c:pt idx="5">
                  <c:v>4.4910179640718501E-2</c:v>
                </c:pt>
                <c:pt idx="6">
                  <c:v>9.3457943925233603E-3</c:v>
                </c:pt>
                <c:pt idx="7">
                  <c:v>-1.8666666666666599E-2</c:v>
                </c:pt>
                <c:pt idx="8">
                  <c:v>5.6000000000000001E-2</c:v>
                </c:pt>
                <c:pt idx="9">
                  <c:v>4.5333333333333302E-2</c:v>
                </c:pt>
                <c:pt idx="10">
                  <c:v>0.16</c:v>
                </c:pt>
                <c:pt idx="11">
                  <c:v>3.5999999999999997E-2</c:v>
                </c:pt>
                <c:pt idx="12">
                  <c:v>7.9439252336448593E-2</c:v>
                </c:pt>
                <c:pt idx="13">
                  <c:v>6.8000000000000005E-2</c:v>
                </c:pt>
                <c:pt idx="14">
                  <c:v>0.112</c:v>
                </c:pt>
                <c:pt idx="15">
                  <c:v>7.5999999999999998E-2</c:v>
                </c:pt>
                <c:pt idx="16">
                  <c:v>5.3333333333333302E-2</c:v>
                </c:pt>
                <c:pt idx="17">
                  <c:v>0.43209876543209802</c:v>
                </c:pt>
                <c:pt idx="18">
                  <c:v>0.30933333333333302</c:v>
                </c:pt>
                <c:pt idx="19">
                  <c:v>0.36666666666666597</c:v>
                </c:pt>
                <c:pt idx="20">
                  <c:v>0.19400000000000001</c:v>
                </c:pt>
                <c:pt idx="21">
                  <c:v>0.181666666666666</c:v>
                </c:pt>
                <c:pt idx="22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B8-499D-9D27-7FC1AB1D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242480"/>
        <c:axId val="794236248"/>
      </c:lineChart>
      <c:catAx>
        <c:axId val="794242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6248"/>
        <c:crosses val="autoZero"/>
        <c:auto val="1"/>
        <c:lblAlgn val="ctr"/>
        <c:lblOffset val="100"/>
        <c:noMultiLvlLbl val="0"/>
      </c:catAx>
      <c:valAx>
        <c:axId val="79423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options vs moves made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'Good dad 80-20 vs MCTS'!$EZ$2</c:f>
              <c:strCache>
                <c:ptCount val="1"/>
                <c:pt idx="0">
                  <c:v>high options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'Good dad 80-20 vs MCTS'!$EZ$3:$EZ$25</c:f>
              <c:numCache>
                <c:formatCode>General</c:formatCode>
                <c:ptCount val="23"/>
                <c:pt idx="0">
                  <c:v>5.3333333333333297E-3</c:v>
                </c:pt>
                <c:pt idx="1">
                  <c:v>8.4084084084083993E-2</c:v>
                </c:pt>
                <c:pt idx="2">
                  <c:v>2.1333333333333301E-2</c:v>
                </c:pt>
                <c:pt idx="3">
                  <c:v>5.7057057057056999E-2</c:v>
                </c:pt>
                <c:pt idx="4">
                  <c:v>5.3613053613053602E-2</c:v>
                </c:pt>
                <c:pt idx="5">
                  <c:v>1.8666666666666599E-2</c:v>
                </c:pt>
                <c:pt idx="6">
                  <c:v>3.9039039039038999E-2</c:v>
                </c:pt>
                <c:pt idx="7">
                  <c:v>-5.7057057057056999E-2</c:v>
                </c:pt>
                <c:pt idx="8">
                  <c:v>-0.11</c:v>
                </c:pt>
                <c:pt idx="9">
                  <c:v>-9.8802395209580798E-2</c:v>
                </c:pt>
                <c:pt idx="10">
                  <c:v>-0.124</c:v>
                </c:pt>
                <c:pt idx="11">
                  <c:v>-0.13866666666666599</c:v>
                </c:pt>
                <c:pt idx="12">
                  <c:v>-0.15733333333333299</c:v>
                </c:pt>
                <c:pt idx="13">
                  <c:v>-0.116550116550116</c:v>
                </c:pt>
                <c:pt idx="14">
                  <c:v>4.4117647058823498E-2</c:v>
                </c:pt>
                <c:pt idx="15">
                  <c:v>-7.00934579439252E-2</c:v>
                </c:pt>
                <c:pt idx="16">
                  <c:v>-0.05</c:v>
                </c:pt>
                <c:pt idx="17">
                  <c:v>-0.14833333333333301</c:v>
                </c:pt>
                <c:pt idx="18">
                  <c:v>-0.20833333333333301</c:v>
                </c:pt>
                <c:pt idx="19">
                  <c:v>-0.146666666666666</c:v>
                </c:pt>
                <c:pt idx="20">
                  <c:v>-0.06</c:v>
                </c:pt>
                <c:pt idx="21">
                  <c:v>1</c:v>
                </c:pt>
                <c:pt idx="22">
                  <c:v>-0.151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4-49E5-B6BB-DD1BAEAE8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4239856"/>
        <c:axId val="794243464"/>
      </c:barChart>
      <c:lineChart>
        <c:grouping val="standard"/>
        <c:varyColors val="0"/>
        <c:ser>
          <c:idx val="1"/>
          <c:order val="1"/>
          <c:tx>
            <c:strRef>
              <c:f>'Good dad 80-20 vs MCTS'!$C$2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MCTS'!$C$3:$C$24</c:f>
              <c:numCache>
                <c:formatCode>General</c:formatCode>
                <c:ptCount val="22"/>
                <c:pt idx="0">
                  <c:v>5.3333333333333297E-3</c:v>
                </c:pt>
                <c:pt idx="1">
                  <c:v>8.4084084084083993E-2</c:v>
                </c:pt>
                <c:pt idx="2">
                  <c:v>2.1333333333333301E-2</c:v>
                </c:pt>
                <c:pt idx="3">
                  <c:v>5.7057057057056999E-2</c:v>
                </c:pt>
                <c:pt idx="4">
                  <c:v>5.3613053613053602E-2</c:v>
                </c:pt>
                <c:pt idx="5">
                  <c:v>1.8666666666666599E-2</c:v>
                </c:pt>
                <c:pt idx="6">
                  <c:v>3.9039039039038999E-2</c:v>
                </c:pt>
                <c:pt idx="7">
                  <c:v>-5.7057057057056999E-2</c:v>
                </c:pt>
                <c:pt idx="8">
                  <c:v>-0.11</c:v>
                </c:pt>
                <c:pt idx="9">
                  <c:v>-9.8802395209580798E-2</c:v>
                </c:pt>
                <c:pt idx="10">
                  <c:v>-0.124</c:v>
                </c:pt>
                <c:pt idx="11">
                  <c:v>-0.13866666666666599</c:v>
                </c:pt>
                <c:pt idx="12">
                  <c:v>-0.15733333333333299</c:v>
                </c:pt>
                <c:pt idx="13">
                  <c:v>-0.116550116550116</c:v>
                </c:pt>
                <c:pt idx="14">
                  <c:v>4.4117647058823498E-2</c:v>
                </c:pt>
                <c:pt idx="15">
                  <c:v>-7.00934579439252E-2</c:v>
                </c:pt>
                <c:pt idx="16">
                  <c:v>-0.05</c:v>
                </c:pt>
                <c:pt idx="17">
                  <c:v>-0.14833333333333301</c:v>
                </c:pt>
                <c:pt idx="18">
                  <c:v>-0.20833333333333301</c:v>
                </c:pt>
                <c:pt idx="19">
                  <c:v>-0.146666666666666</c:v>
                </c:pt>
                <c:pt idx="20">
                  <c:v>-0.06</c:v>
                </c:pt>
                <c:pt idx="21">
                  <c:v>-0.25925925925925902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A4-49E5-B6BB-DD1BAEAE8C86}"/>
            </c:ext>
          </c:extLst>
        </c:ser>
        <c:ser>
          <c:idx val="2"/>
          <c:order val="2"/>
          <c:tx>
            <c:v>Opponent Average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MCTS'!$A$3:$A$25</c:f>
              <c:numCache>
                <c:formatCode>General</c:formatCode>
                <c:ptCount val="23"/>
                <c:pt idx="0">
                  <c:v>0.27262615483952146</c:v>
                </c:pt>
                <c:pt idx="1">
                  <c:v>0.27262615483952146</c:v>
                </c:pt>
                <c:pt idx="2">
                  <c:v>0.27262615483952146</c:v>
                </c:pt>
                <c:pt idx="3">
                  <c:v>0.27262615483952146</c:v>
                </c:pt>
                <c:pt idx="4">
                  <c:v>0.27262615483952146</c:v>
                </c:pt>
                <c:pt idx="5">
                  <c:v>0.27262615483952146</c:v>
                </c:pt>
                <c:pt idx="6">
                  <c:v>0.27262615483952146</c:v>
                </c:pt>
                <c:pt idx="7">
                  <c:v>0.27262615483952146</c:v>
                </c:pt>
                <c:pt idx="8">
                  <c:v>0.27262615483952146</c:v>
                </c:pt>
                <c:pt idx="9">
                  <c:v>0.27262615483952146</c:v>
                </c:pt>
                <c:pt idx="10">
                  <c:v>0.27262615483952146</c:v>
                </c:pt>
                <c:pt idx="11">
                  <c:v>0.27262615483952146</c:v>
                </c:pt>
                <c:pt idx="12">
                  <c:v>0.27262615483952146</c:v>
                </c:pt>
                <c:pt idx="13">
                  <c:v>0.27262615483952146</c:v>
                </c:pt>
                <c:pt idx="14">
                  <c:v>0.27262615483952146</c:v>
                </c:pt>
                <c:pt idx="15">
                  <c:v>0.27262615483952146</c:v>
                </c:pt>
                <c:pt idx="16">
                  <c:v>0.27262615483952146</c:v>
                </c:pt>
                <c:pt idx="17">
                  <c:v>0.27262615483952146</c:v>
                </c:pt>
                <c:pt idx="18">
                  <c:v>0.27262615483952146</c:v>
                </c:pt>
                <c:pt idx="19">
                  <c:v>0.27262615483952146</c:v>
                </c:pt>
                <c:pt idx="20">
                  <c:v>0.27262615483952146</c:v>
                </c:pt>
                <c:pt idx="21">
                  <c:v>0.27262615483952146</c:v>
                </c:pt>
                <c:pt idx="22">
                  <c:v>0.27262615483952146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A4-49E5-B6BB-DD1BAEAE8C86}"/>
            </c:ext>
          </c:extLst>
        </c:ser>
        <c:ser>
          <c:idx val="3"/>
          <c:order val="3"/>
          <c:tx>
            <c:v>MCTS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MCTS'!$B$3:$B$25</c:f>
              <c:numCache>
                <c:formatCode>General</c:formatCode>
                <c:ptCount val="23"/>
                <c:pt idx="0">
                  <c:v>0.32432432432432401</c:v>
                </c:pt>
                <c:pt idx="1">
                  <c:v>4.7904191616766401E-2</c:v>
                </c:pt>
                <c:pt idx="2">
                  <c:v>7.4592074592074495E-2</c:v>
                </c:pt>
                <c:pt idx="3">
                  <c:v>0.108108108108108</c:v>
                </c:pt>
                <c:pt idx="4">
                  <c:v>0.12</c:v>
                </c:pt>
                <c:pt idx="5">
                  <c:v>3.5999999999999997E-2</c:v>
                </c:pt>
                <c:pt idx="6">
                  <c:v>0.105140186915887</c:v>
                </c:pt>
                <c:pt idx="7">
                  <c:v>0.17199999999999999</c:v>
                </c:pt>
                <c:pt idx="8">
                  <c:v>0.22166666666666601</c:v>
                </c:pt>
                <c:pt idx="9">
                  <c:v>0.192</c:v>
                </c:pt>
                <c:pt idx="10">
                  <c:v>0.30933333333333302</c:v>
                </c:pt>
                <c:pt idx="11">
                  <c:v>0.26347305389221498</c:v>
                </c:pt>
                <c:pt idx="12">
                  <c:v>0.286713286713286</c:v>
                </c:pt>
                <c:pt idx="13">
                  <c:v>0.36599999999999999</c:v>
                </c:pt>
                <c:pt idx="14">
                  <c:v>0.21833333333333299</c:v>
                </c:pt>
                <c:pt idx="15">
                  <c:v>0.26133333333333297</c:v>
                </c:pt>
                <c:pt idx="16">
                  <c:v>0.261072261072261</c:v>
                </c:pt>
                <c:pt idx="17">
                  <c:v>0.23599999999999999</c:v>
                </c:pt>
                <c:pt idx="18">
                  <c:v>0.407407407407407</c:v>
                </c:pt>
                <c:pt idx="19">
                  <c:v>0.372</c:v>
                </c:pt>
                <c:pt idx="20">
                  <c:v>0.32500000000000001</c:v>
                </c:pt>
                <c:pt idx="21">
                  <c:v>0.56200000000000006</c:v>
                </c:pt>
                <c:pt idx="2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A4-49E5-B6BB-DD1BAEAE8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239856"/>
        <c:axId val="794243464"/>
      </c:lineChart>
      <c:catAx>
        <c:axId val="79423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  <a:r>
                  <a:rPr lang="en-GB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3464"/>
        <c:crosses val="autoZero"/>
        <c:auto val="1"/>
        <c:lblAlgn val="ctr"/>
        <c:lblOffset val="100"/>
        <c:noMultiLvlLbl val="0"/>
      </c:catAx>
      <c:valAx>
        <c:axId val="79424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Minefield'!$EV$2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Minefield'!$EV$3:$EV$28</c:f>
              <c:numCache>
                <c:formatCode>General</c:formatCode>
                <c:ptCount val="26"/>
                <c:pt idx="0">
                  <c:v>0.14319577698088876</c:v>
                </c:pt>
                <c:pt idx="1">
                  <c:v>4.421517050067944E-2</c:v>
                </c:pt>
                <c:pt idx="2">
                  <c:v>3.7221963305607578E-2</c:v>
                </c:pt>
                <c:pt idx="3">
                  <c:v>4.4301227058715399E-2</c:v>
                </c:pt>
                <c:pt idx="4">
                  <c:v>4.1748268590905531E-2</c:v>
                </c:pt>
                <c:pt idx="5">
                  <c:v>3.4158129053375549E-2</c:v>
                </c:pt>
                <c:pt idx="6">
                  <c:v>3.6792999446553454E-2</c:v>
                </c:pt>
                <c:pt idx="7">
                  <c:v>3.7005320557536886E-2</c:v>
                </c:pt>
                <c:pt idx="8">
                  <c:v>3.3851331587122037E-2</c:v>
                </c:pt>
                <c:pt idx="9">
                  <c:v>2.2221149838638848E-2</c:v>
                </c:pt>
                <c:pt idx="10">
                  <c:v>1.8791644289294265E-2</c:v>
                </c:pt>
                <c:pt idx="11">
                  <c:v>6.2102753592503702E-3</c:v>
                </c:pt>
                <c:pt idx="12">
                  <c:v>-1.1006004140916167E-2</c:v>
                </c:pt>
                <c:pt idx="13">
                  <c:v>-8.1235763574089449E-4</c:v>
                </c:pt>
                <c:pt idx="14">
                  <c:v>-9.4467311587892837E-3</c:v>
                </c:pt>
                <c:pt idx="15">
                  <c:v>3.6374699859209644E-2</c:v>
                </c:pt>
                <c:pt idx="16">
                  <c:v>2.365611301656521E-2</c:v>
                </c:pt>
                <c:pt idx="17">
                  <c:v>1.8166412572940157E-2</c:v>
                </c:pt>
                <c:pt idx="18">
                  <c:v>2.8436970269305469E-2</c:v>
                </c:pt>
                <c:pt idx="19">
                  <c:v>2.581186457579589E-2</c:v>
                </c:pt>
                <c:pt idx="20">
                  <c:v>4.5137818102300867E-3</c:v>
                </c:pt>
                <c:pt idx="21">
                  <c:v>7.0394816241533239E-3</c:v>
                </c:pt>
                <c:pt idx="22">
                  <c:v>1.4758244355857842E-2</c:v>
                </c:pt>
                <c:pt idx="23">
                  <c:v>3.8578874458874431E-2</c:v>
                </c:pt>
                <c:pt idx="24">
                  <c:v>1.6081487221487219E-2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A-4935-B255-276CADB5EF3D}"/>
            </c:ext>
          </c:extLst>
        </c:ser>
        <c:ser>
          <c:idx val="1"/>
          <c:order val="1"/>
          <c:tx>
            <c:strRef>
              <c:f>'Good dad 80-20 vs Minefield'!$EW$2</c:f>
              <c:strCache>
                <c:ptCount val="1"/>
                <c:pt idx="0">
                  <c:v>minefield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Minefield'!$EW$3:$EW$28</c:f>
              <c:numCache>
                <c:formatCode>General</c:formatCode>
                <c:ptCount val="26"/>
                <c:pt idx="0">
                  <c:v>-8.1183974014985682E-3</c:v>
                </c:pt>
                <c:pt idx="1">
                  <c:v>1.5823991656327121E-3</c:v>
                </c:pt>
                <c:pt idx="2">
                  <c:v>-1.2898512679653327E-3</c:v>
                </c:pt>
                <c:pt idx="3">
                  <c:v>9.6184955553696742E-4</c:v>
                </c:pt>
                <c:pt idx="4">
                  <c:v>-1.1908070286446315E-3</c:v>
                </c:pt>
                <c:pt idx="5">
                  <c:v>2.5235118680586203E-2</c:v>
                </c:pt>
                <c:pt idx="6">
                  <c:v>2.2382972263950456E-2</c:v>
                </c:pt>
                <c:pt idx="7">
                  <c:v>1.367815236105123E-2</c:v>
                </c:pt>
                <c:pt idx="8">
                  <c:v>1.7416323640473189E-2</c:v>
                </c:pt>
                <c:pt idx="9">
                  <c:v>3.049422989992577E-2</c:v>
                </c:pt>
                <c:pt idx="10">
                  <c:v>1.7399350441703727E-2</c:v>
                </c:pt>
                <c:pt idx="11">
                  <c:v>3.5912844601325516E-2</c:v>
                </c:pt>
                <c:pt idx="12">
                  <c:v>8.1804676290465894E-2</c:v>
                </c:pt>
                <c:pt idx="13">
                  <c:v>8.7238757913173093E-2</c:v>
                </c:pt>
                <c:pt idx="14">
                  <c:v>9.1959754888033471E-2</c:v>
                </c:pt>
                <c:pt idx="15">
                  <c:v>9.6530150237651394E-2</c:v>
                </c:pt>
                <c:pt idx="16">
                  <c:v>0.16637443117764295</c:v>
                </c:pt>
                <c:pt idx="17">
                  <c:v>0.13956900669383299</c:v>
                </c:pt>
                <c:pt idx="18">
                  <c:v>0.12957263140177841</c:v>
                </c:pt>
                <c:pt idx="19">
                  <c:v>0.21757685407589322</c:v>
                </c:pt>
                <c:pt idx="20">
                  <c:v>0.23626511857402466</c:v>
                </c:pt>
                <c:pt idx="21">
                  <c:v>0.1260673558658332</c:v>
                </c:pt>
                <c:pt idx="22">
                  <c:v>0.15768160138425735</c:v>
                </c:pt>
                <c:pt idx="23">
                  <c:v>9.9113333333333303E-2</c:v>
                </c:pt>
                <c:pt idx="24">
                  <c:v>7.4486666666666659E-2</c:v>
                </c:pt>
                <c:pt idx="25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A-4935-B255-276CADB5EF3D}"/>
            </c:ext>
          </c:extLst>
        </c:ser>
        <c:ser>
          <c:idx val="2"/>
          <c:order val="2"/>
          <c:tx>
            <c:strRef>
              <c:f>'Good dad 80-20 vs Minefield'!$EX$2</c:f>
              <c:strCache>
                <c:ptCount val="1"/>
                <c:pt idx="0">
                  <c:v>minefield average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Minefield'!$EX$3:$EX$28</c:f>
              <c:numCache>
                <c:formatCode>General</c:formatCode>
                <c:ptCount val="26"/>
                <c:pt idx="0">
                  <c:v>7.3027097054410156E-2</c:v>
                </c:pt>
                <c:pt idx="1">
                  <c:v>7.3027097054410156E-2</c:v>
                </c:pt>
                <c:pt idx="2">
                  <c:v>7.3027097054410156E-2</c:v>
                </c:pt>
                <c:pt idx="3">
                  <c:v>7.3027097054410156E-2</c:v>
                </c:pt>
                <c:pt idx="4">
                  <c:v>7.3027097054410156E-2</c:v>
                </c:pt>
                <c:pt idx="5">
                  <c:v>7.3027097054410156E-2</c:v>
                </c:pt>
                <c:pt idx="6">
                  <c:v>7.3027097054410156E-2</c:v>
                </c:pt>
                <c:pt idx="7">
                  <c:v>7.3027097054410156E-2</c:v>
                </c:pt>
                <c:pt idx="8">
                  <c:v>7.3027097054410156E-2</c:v>
                </c:pt>
                <c:pt idx="9">
                  <c:v>7.3027097054410156E-2</c:v>
                </c:pt>
                <c:pt idx="10">
                  <c:v>7.3027097054410156E-2</c:v>
                </c:pt>
                <c:pt idx="11">
                  <c:v>7.3027097054410156E-2</c:v>
                </c:pt>
                <c:pt idx="12">
                  <c:v>7.3027097054410156E-2</c:v>
                </c:pt>
                <c:pt idx="13">
                  <c:v>7.3027097054410156E-2</c:v>
                </c:pt>
                <c:pt idx="14">
                  <c:v>7.3027097054410156E-2</c:v>
                </c:pt>
                <c:pt idx="15">
                  <c:v>7.3027097054410156E-2</c:v>
                </c:pt>
                <c:pt idx="16">
                  <c:v>7.3027097054410156E-2</c:v>
                </c:pt>
                <c:pt idx="17">
                  <c:v>7.3027097054410156E-2</c:v>
                </c:pt>
                <c:pt idx="18">
                  <c:v>7.3027097054410156E-2</c:v>
                </c:pt>
                <c:pt idx="19">
                  <c:v>7.3027097054410156E-2</c:v>
                </c:pt>
                <c:pt idx="20">
                  <c:v>7.3027097054410156E-2</c:v>
                </c:pt>
                <c:pt idx="21">
                  <c:v>7.3027097054410156E-2</c:v>
                </c:pt>
                <c:pt idx="22">
                  <c:v>7.3027097054410156E-2</c:v>
                </c:pt>
                <c:pt idx="23">
                  <c:v>7.3027097054410156E-2</c:v>
                </c:pt>
                <c:pt idx="24">
                  <c:v>7.3027097054410156E-2</c:v>
                </c:pt>
                <c:pt idx="25">
                  <c:v>7.3027097054410156E-2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A-4935-B255-276CADB5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5024936"/>
        <c:axId val="905025264"/>
      </c:lineChart>
      <c:catAx>
        <c:axId val="905024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25264"/>
        <c:crosses val="autoZero"/>
        <c:auto val="1"/>
        <c:lblAlgn val="ctr"/>
        <c:lblOffset val="100"/>
        <c:noMultiLvlLbl val="0"/>
      </c:catAx>
      <c:valAx>
        <c:axId val="9050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0-4264-A96C-D92A980080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0-4264-A96C-D92A980080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E0-4264-A96C-D92A98008054}"/>
              </c:ext>
            </c:extLst>
          </c:dPt>
          <c:cat>
            <c:strRef>
              <c:f>'Good dad 80-20 vs Random games'!$F$4:$F$6</c:f>
              <c:strCache>
                <c:ptCount val="3"/>
                <c:pt idx="0">
                  <c:v>Random wins</c:v>
                </c:pt>
                <c:pt idx="1">
                  <c:v>Good dad 80-20 wins</c:v>
                </c:pt>
                <c:pt idx="2">
                  <c:v>draw</c:v>
                </c:pt>
              </c:strCache>
            </c:strRef>
          </c:cat>
          <c:val>
            <c:numRef>
              <c:f>'Good dad 80-20 vs Random games'!$G$4:$G$6</c:f>
              <c:numCache>
                <c:formatCode>General</c:formatCode>
                <c:ptCount val="3"/>
                <c:pt idx="0">
                  <c:v>18</c:v>
                </c:pt>
                <c:pt idx="1">
                  <c:v>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0-47BF-AB5C-AD5BC062F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vs MCTS win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F4-4C1C-9D6A-FB8604E786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F4-4C1C-9D6A-FB8604E786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F4-4C1C-9D6A-FB8604E786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80-20 vs MCTS games'!$F$4:$F$6</c:f>
              <c:strCache>
                <c:ptCount val="3"/>
                <c:pt idx="0">
                  <c:v>MCTS</c:v>
                </c:pt>
                <c:pt idx="1">
                  <c:v>Good dad</c:v>
                </c:pt>
                <c:pt idx="2">
                  <c:v>draw</c:v>
                </c:pt>
              </c:strCache>
            </c:strRef>
          </c:cat>
          <c:val>
            <c:numRef>
              <c:f>'Good dad 80-20 vs MCTS games'!$G$4:$G$6</c:f>
              <c:numCache>
                <c:formatCode>General</c:formatCode>
                <c:ptCount val="3"/>
                <c:pt idx="0">
                  <c:v>43</c:v>
                </c:pt>
                <c:pt idx="1">
                  <c:v>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B-4756-A28F-C5B8A98E27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Best</a:t>
            </a:r>
            <a:r>
              <a:rPr lang="en-GB" baseline="0"/>
              <a:t> options Available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options'!$MN$2:$MN$3</c:f>
              <c:strCache>
                <c:ptCount val="2"/>
                <c:pt idx="0">
                  <c:v>Player1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1-4F83-A911-62C02C33BBE4}"/>
            </c:ext>
          </c:extLst>
        </c:ser>
        <c:ser>
          <c:idx val="1"/>
          <c:order val="1"/>
          <c:tx>
            <c:strRef>
              <c:f>'Good dad 80-20 vs MCTS options'!$MQ$2:$MQ$3</c:f>
              <c:strCache>
                <c:ptCount val="2"/>
                <c:pt idx="0">
                  <c:v>Player2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options'!$MQ$4:$MQ$34</c:f>
              <c:numCache>
                <c:formatCode>General</c:formatCode>
                <c:ptCount val="31"/>
                <c:pt idx="0">
                  <c:v>1.5663686680692641E-2</c:v>
                </c:pt>
                <c:pt idx="1">
                  <c:v>2.1764261027494534E-2</c:v>
                </c:pt>
                <c:pt idx="2">
                  <c:v>1.0995287639898977E-2</c:v>
                </c:pt>
                <c:pt idx="3">
                  <c:v>9.9754225512309284E-3</c:v>
                </c:pt>
                <c:pt idx="4">
                  <c:v>1.0087634767493737E-2</c:v>
                </c:pt>
                <c:pt idx="5">
                  <c:v>7.8941511469442314E-3</c:v>
                </c:pt>
                <c:pt idx="6">
                  <c:v>1.1549095764609739E-2</c:v>
                </c:pt>
                <c:pt idx="7">
                  <c:v>3.5722407109161775E-2</c:v>
                </c:pt>
                <c:pt idx="8">
                  <c:v>2.74680652990053E-2</c:v>
                </c:pt>
                <c:pt idx="9">
                  <c:v>2.9114868974843194E-2</c:v>
                </c:pt>
                <c:pt idx="10">
                  <c:v>4.3988107095396786E-2</c:v>
                </c:pt>
                <c:pt idx="11">
                  <c:v>3.7403468724590168E-2</c:v>
                </c:pt>
                <c:pt idx="12">
                  <c:v>6.8390304483416306E-2</c:v>
                </c:pt>
                <c:pt idx="13">
                  <c:v>6.9544511875438725E-2</c:v>
                </c:pt>
                <c:pt idx="14">
                  <c:v>0.10454448203673727</c:v>
                </c:pt>
                <c:pt idx="15">
                  <c:v>0.11266633875491625</c:v>
                </c:pt>
                <c:pt idx="16">
                  <c:v>0.15553697579678871</c:v>
                </c:pt>
                <c:pt idx="17">
                  <c:v>0.20644621822608872</c:v>
                </c:pt>
                <c:pt idx="18">
                  <c:v>0.27261158484642484</c:v>
                </c:pt>
                <c:pt idx="19">
                  <c:v>0.39821617224424977</c:v>
                </c:pt>
                <c:pt idx="20">
                  <c:v>0.35770122870572219</c:v>
                </c:pt>
                <c:pt idx="21">
                  <c:v>0.2919272818643362</c:v>
                </c:pt>
                <c:pt idx="22">
                  <c:v>0.26131087412467691</c:v>
                </c:pt>
                <c:pt idx="23">
                  <c:v>0.3262181761593525</c:v>
                </c:pt>
                <c:pt idx="24">
                  <c:v>0.52181723779854583</c:v>
                </c:pt>
                <c:pt idx="25">
                  <c:v>0.28599999999999998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1-4F83-A911-62C02C33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893184"/>
        <c:axId val="388886952"/>
      </c:lineChart>
      <c:catAx>
        <c:axId val="388893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86952"/>
        <c:crosses val="autoZero"/>
        <c:auto val="1"/>
        <c:lblAlgn val="ctr"/>
        <c:lblOffset val="100"/>
        <c:noMultiLvlLbl val="0"/>
      </c:catAx>
      <c:valAx>
        <c:axId val="38888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9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</a:t>
            </a:r>
            <a:r>
              <a:rPr lang="en-GB" baseline="0"/>
              <a:t> of Game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'Good dad 80-20 vs MCTS options'!#REF!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C0-47C9-B735-65D6B462FF7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'Good dad 80-20 vs MCTS options'!#REF!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C0-47C9-B735-65D6B462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150928"/>
        <c:axId val="972153224"/>
      </c:lineChart>
      <c:catAx>
        <c:axId val="9721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moves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3224"/>
        <c:crosses val="autoZero"/>
        <c:auto val="1"/>
        <c:lblAlgn val="ctr"/>
        <c:lblOffset val="100"/>
        <c:noMultiLvlLbl val="0"/>
      </c:catAx>
      <c:valAx>
        <c:axId val="97215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Move High Low</a:t>
            </a:r>
            <a:r>
              <a:rPr lang="en-GB" baseline="0"/>
              <a:t> options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options'!$MN$3</c:f>
              <c:strCache>
                <c:ptCount val="1"/>
                <c:pt idx="0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1-40FD-A1A9-49E6742A3EEF}"/>
            </c:ext>
          </c:extLst>
        </c:ser>
        <c:ser>
          <c:idx val="1"/>
          <c:order val="1"/>
          <c:tx>
            <c:strRef>
              <c:f>'Good dad 80-20 vs MCTS options'!$MO$3</c:f>
              <c:strCache>
                <c:ptCount val="1"/>
                <c:pt idx="0">
                  <c:v>MCTS 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options'!$MO$4:$MO$33</c:f>
              <c:numCache>
                <c:formatCode>General</c:formatCode>
                <c:ptCount val="30"/>
                <c:pt idx="0">
                  <c:v>-0.32432432432432406</c:v>
                </c:pt>
                <c:pt idx="1">
                  <c:v>-1.8390151588714446E-2</c:v>
                </c:pt>
                <c:pt idx="2">
                  <c:v>-1.4985232045830838E-2</c:v>
                </c:pt>
                <c:pt idx="3">
                  <c:v>-2.5240632530692371E-2</c:v>
                </c:pt>
                <c:pt idx="4">
                  <c:v>-2.7689020931248202E-2</c:v>
                </c:pt>
                <c:pt idx="5">
                  <c:v>-5.0780569307959753E-2</c:v>
                </c:pt>
                <c:pt idx="6">
                  <c:v>-2.4215319120938866E-2</c:v>
                </c:pt>
                <c:pt idx="7">
                  <c:v>-3.2378365904584469E-2</c:v>
                </c:pt>
                <c:pt idx="8">
                  <c:v>-1.3270521680591823E-2</c:v>
                </c:pt>
                <c:pt idx="9">
                  <c:v>-6.8843615841365701E-3</c:v>
                </c:pt>
                <c:pt idx="10">
                  <c:v>-2.0879421695500864E-2</c:v>
                </c:pt>
                <c:pt idx="11">
                  <c:v>-2.738586025015928E-2</c:v>
                </c:pt>
                <c:pt idx="12">
                  <c:v>-7.7132815529051713E-2</c:v>
                </c:pt>
                <c:pt idx="13">
                  <c:v>-7.8305431163505967E-2</c:v>
                </c:pt>
                <c:pt idx="14">
                  <c:v>-6.37386354537509E-2</c:v>
                </c:pt>
                <c:pt idx="15">
                  <c:v>-7.5165963789510973E-2</c:v>
                </c:pt>
                <c:pt idx="16">
                  <c:v>-4.5797033116696619E-2</c:v>
                </c:pt>
                <c:pt idx="17">
                  <c:v>-0.10261682625632967</c:v>
                </c:pt>
                <c:pt idx="18">
                  <c:v>-5.7965942599601486E-2</c:v>
                </c:pt>
                <c:pt idx="19">
                  <c:v>-0.15993405673945313</c:v>
                </c:pt>
                <c:pt idx="20">
                  <c:v>-0.1268884881136442</c:v>
                </c:pt>
                <c:pt idx="21">
                  <c:v>-3.7376378824163226E-3</c:v>
                </c:pt>
                <c:pt idx="22">
                  <c:v>-8.8780888773340047E-2</c:v>
                </c:pt>
                <c:pt idx="23">
                  <c:v>1.0592592592592555E-2</c:v>
                </c:pt>
                <c:pt idx="24">
                  <c:v>-4.0128211352510247E-2</c:v>
                </c:pt>
                <c:pt idx="25">
                  <c:v>0.27492307692307694</c:v>
                </c:pt>
                <c:pt idx="26">
                  <c:v>0.36916666666666653</c:v>
                </c:pt>
                <c:pt idx="27">
                  <c:v>0</c:v>
                </c:pt>
                <c:pt idx="28">
                  <c:v>0.32700000000000001</c:v>
                </c:pt>
                <c:pt idx="29">
                  <c:v>-0.04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1-40FD-A1A9-49E6742A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3811760"/>
        <c:axId val="1113813728"/>
      </c:lineChart>
      <c:catAx>
        <c:axId val="111381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3728"/>
        <c:crosses val="autoZero"/>
        <c:auto val="1"/>
        <c:lblAlgn val="ctr"/>
        <c:lblOffset val="100"/>
        <c:noMultiLvlLbl val="0"/>
      </c:catAx>
      <c:valAx>
        <c:axId val="111381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  <a:r>
                  <a:rPr lang="en-GB" baseline="0"/>
                  <a:t> 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Difficulty</a:t>
            </a:r>
            <a:r>
              <a:rPr lang="en-GB" baseline="0"/>
              <a:t> of AI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UserGames!$R$7</c:f>
              <c:strCache>
                <c:ptCount val="1"/>
                <c:pt idx="0">
                  <c:v>very easy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UserGames!$R$8:$R$12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884-9F0C-A50807AA464A}"/>
            </c:ext>
          </c:extLst>
        </c:ser>
        <c:ser>
          <c:idx val="1"/>
          <c:order val="1"/>
          <c:tx>
            <c:strRef>
              <c:f>UserGames!$S$7</c:f>
              <c:strCache>
                <c:ptCount val="1"/>
                <c:pt idx="0">
                  <c:v>easy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UserGames!$S$8:$S$12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A9-4884-9F0C-A50807AA464A}"/>
            </c:ext>
          </c:extLst>
        </c:ser>
        <c:ser>
          <c:idx val="2"/>
          <c:order val="2"/>
          <c:tx>
            <c:strRef>
              <c:f>UserGames!$T$7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UserGames!$T$8:$T$12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A9-4884-9F0C-A50807AA464A}"/>
            </c:ext>
          </c:extLst>
        </c:ser>
        <c:ser>
          <c:idx val="3"/>
          <c:order val="3"/>
          <c:tx>
            <c:strRef>
              <c:f>UserGames!$U$7</c:f>
              <c:strCache>
                <c:ptCount val="1"/>
                <c:pt idx="0">
                  <c:v>hard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UserGames!$U$8:$U$12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A9-4884-9F0C-A50807AA464A}"/>
            </c:ext>
          </c:extLst>
        </c:ser>
        <c:ser>
          <c:idx val="4"/>
          <c:order val="4"/>
          <c:tx>
            <c:strRef>
              <c:f>UserGames!$V$7</c:f>
              <c:strCache>
                <c:ptCount val="1"/>
                <c:pt idx="0">
                  <c:v>very hard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UserGames!$V$8:$V$12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A9-4884-9F0C-A50807AA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675760"/>
        <c:axId val="803673464"/>
      </c:barChart>
      <c:catAx>
        <c:axId val="80367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673464"/>
        <c:crosses val="autoZero"/>
        <c:auto val="1"/>
        <c:lblAlgn val="ctr"/>
        <c:lblOffset val="100"/>
        <c:noMultiLvlLbl val="0"/>
      </c:catAx>
      <c:valAx>
        <c:axId val="80367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67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aseline="0"/>
              <a:t>Difficulty of Game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UserGames!$X$9:$X$13</c:f>
              <c:strCache>
                <c:ptCount val="5"/>
                <c:pt idx="0">
                  <c:v>very easy</c:v>
                </c:pt>
                <c:pt idx="1">
                  <c:v>easy</c:v>
                </c:pt>
                <c:pt idx="2">
                  <c:v>neutral</c:v>
                </c:pt>
                <c:pt idx="3">
                  <c:v>hard</c:v>
                </c:pt>
                <c:pt idx="4">
                  <c:v>very hard</c:v>
                </c:pt>
              </c:strCache>
            </c:strRef>
          </c:cat>
          <c:val>
            <c:numRef>
              <c:f>UserGames!$Y$9:$Y$13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5-4BB3-BE57-EE179676E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027736"/>
        <c:axId val="747029376"/>
      </c:barChart>
      <c:catAx>
        <c:axId val="747027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29376"/>
        <c:crosses val="autoZero"/>
        <c:auto val="1"/>
        <c:lblAlgn val="ctr"/>
        <c:lblOffset val="100"/>
        <c:noMultiLvlLbl val="0"/>
      </c:catAx>
      <c:valAx>
        <c:axId val="74702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2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Enjoyment</a:t>
            </a:r>
            <a:r>
              <a:rPr lang="en-GB" baseline="0"/>
              <a:t> of AI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UserGames!$R$23</c:f>
              <c:strCache>
                <c:ptCount val="1"/>
                <c:pt idx="0">
                  <c:v>very boring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UserGames!$R$24:$R$28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6-4B00-A137-5F3CD65C856B}"/>
            </c:ext>
          </c:extLst>
        </c:ser>
        <c:ser>
          <c:idx val="1"/>
          <c:order val="1"/>
          <c:tx>
            <c:strRef>
              <c:f>UserGames!$S$23</c:f>
              <c:strCache>
                <c:ptCount val="1"/>
                <c:pt idx="0">
                  <c:v>boring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UserGames!$S$24:$S$28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6-4B00-A137-5F3CD65C856B}"/>
            </c:ext>
          </c:extLst>
        </c:ser>
        <c:ser>
          <c:idx val="2"/>
          <c:order val="2"/>
          <c:tx>
            <c:strRef>
              <c:f>UserGames!$T$23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UserGames!$T$24:$T$28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46-4B00-A137-5F3CD65C856B}"/>
            </c:ext>
          </c:extLst>
        </c:ser>
        <c:ser>
          <c:idx val="3"/>
          <c:order val="3"/>
          <c:tx>
            <c:strRef>
              <c:f>UserGames!$U$23</c:f>
              <c:strCache>
                <c:ptCount val="1"/>
                <c:pt idx="0">
                  <c:v>fun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UserGames!$U$24:$U$28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46-4B00-A137-5F3CD65C856B}"/>
            </c:ext>
          </c:extLst>
        </c:ser>
        <c:ser>
          <c:idx val="4"/>
          <c:order val="4"/>
          <c:tx>
            <c:strRef>
              <c:f>UserGames!$V$23</c:f>
              <c:strCache>
                <c:ptCount val="1"/>
                <c:pt idx="0">
                  <c:v>very fun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UserGames!$V$24:$V$28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46-4B00-A137-5F3CD65C8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5191320"/>
        <c:axId val="745191648"/>
      </c:barChart>
      <c:catAx>
        <c:axId val="74519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191648"/>
        <c:crosses val="autoZero"/>
        <c:auto val="1"/>
        <c:lblAlgn val="ctr"/>
        <c:lblOffset val="100"/>
        <c:noMultiLvlLbl val="0"/>
      </c:catAx>
      <c:valAx>
        <c:axId val="74519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19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</a:t>
            </a:r>
            <a:r>
              <a:rPr lang="en-GB" baseline="0"/>
              <a:t> reported performance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UserGames!$G$27:$G$31</c:f>
              <c:strCache>
                <c:ptCount val="5"/>
                <c:pt idx="0">
                  <c:v>very poorly</c:v>
                </c:pt>
                <c:pt idx="1">
                  <c:v>poorly</c:v>
                </c:pt>
                <c:pt idx="2">
                  <c:v>average</c:v>
                </c:pt>
                <c:pt idx="3">
                  <c:v>well</c:v>
                </c:pt>
                <c:pt idx="4">
                  <c:v>very well</c:v>
                </c:pt>
              </c:strCache>
            </c:strRef>
          </c:cat>
          <c:val>
            <c:numRef>
              <c:f>UserGames!$H$27:$H$31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C9-4726-BE74-7FC8062A0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2809464"/>
        <c:axId val="742809792"/>
      </c:barChart>
      <c:catAx>
        <c:axId val="742809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09792"/>
        <c:crosses val="autoZero"/>
        <c:auto val="1"/>
        <c:lblAlgn val="ctr"/>
        <c:lblOffset val="100"/>
        <c:noMultiLvlLbl val="0"/>
      </c:catAx>
      <c:valAx>
        <c:axId val="74280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0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UserGames!$B$29:$B$42</c:f>
              <c:strCache>
                <c:ptCount val="14"/>
                <c:pt idx="0">
                  <c:v>User</c:v>
                </c:pt>
                <c:pt idx="1">
                  <c:v>Good dad</c:v>
                </c:pt>
                <c:pt idx="3">
                  <c:v>User</c:v>
                </c:pt>
                <c:pt idx="4">
                  <c:v>Good dad v2</c:v>
                </c:pt>
                <c:pt idx="6">
                  <c:v>User</c:v>
                </c:pt>
                <c:pt idx="7">
                  <c:v>Random</c:v>
                </c:pt>
                <c:pt idx="9">
                  <c:v>User</c:v>
                </c:pt>
                <c:pt idx="10">
                  <c:v>MCTS</c:v>
                </c:pt>
                <c:pt idx="12">
                  <c:v>User</c:v>
                </c:pt>
                <c:pt idx="13">
                  <c:v>MineField</c:v>
                </c:pt>
              </c:strCache>
            </c:strRef>
          </c:cat>
          <c:val>
            <c:numRef>
              <c:f>UserGames!$C$29:$C$42</c:f>
              <c:numCache>
                <c:formatCode>General</c:formatCode>
                <c:ptCount val="14"/>
                <c:pt idx="0">
                  <c:v>3</c:v>
                </c:pt>
                <c:pt idx="1">
                  <c:v>1</c:v>
                </c:pt>
                <c:pt idx="3">
                  <c:v>7</c:v>
                </c:pt>
                <c:pt idx="4">
                  <c:v>1</c:v>
                </c:pt>
                <c:pt idx="6">
                  <c:v>4</c:v>
                </c:pt>
                <c:pt idx="7">
                  <c:v>0</c:v>
                </c:pt>
                <c:pt idx="9">
                  <c:v>1</c:v>
                </c:pt>
                <c:pt idx="10">
                  <c:v>2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D-4B90-AAAA-88FB8507A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061680"/>
        <c:axId val="808062992"/>
      </c:barChart>
      <c:catAx>
        <c:axId val="80806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Players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62992"/>
        <c:crosses val="autoZero"/>
        <c:auto val="1"/>
        <c:lblAlgn val="ctr"/>
        <c:lblOffset val="100"/>
        <c:noMultiLvlLbl val="0"/>
      </c:catAx>
      <c:valAx>
        <c:axId val="80806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wins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6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v2 vs MCTS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1-48BA-B03A-9934102EEC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1-48BA-B03A-9934102EEC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C1-48BA-B03A-9934102EEC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v2 vs MCTS Games'!$F$4:$F$6</c:f>
              <c:strCache>
                <c:ptCount val="3"/>
                <c:pt idx="0">
                  <c:v>MCTS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v2 vs MCTS Games'!$G$4:$G$6</c:f>
              <c:numCache>
                <c:formatCode>General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1-4851-985A-E42549CEF6D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'Minefield moves'!$E$2:$E$2096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36-4565-9CC9-312BFAD09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279640"/>
        <c:axId val="804279968"/>
      </c:scatterChart>
      <c:valAx>
        <c:axId val="80427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968"/>
        <c:crosses val="autoZero"/>
        <c:crossBetween val="midCat"/>
      </c:valAx>
      <c:valAx>
        <c:axId val="8042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  <a:r>
              <a:rPr lang="en-GB" baseline="0"/>
              <a:t> of MineField moves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'Minefield moves'!$D$2:$D$2096</c:f>
              <c:numCache>
                <c:formatCode>General</c:formatCode>
                <c:ptCount val="20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10</c:v>
                </c:pt>
                <c:pt idx="1956">
                  <c:v>10</c:v>
                </c:pt>
                <c:pt idx="1957">
                  <c:v>10</c:v>
                </c:pt>
                <c:pt idx="1958">
                  <c:v>10</c:v>
                </c:pt>
                <c:pt idx="1959">
                  <c:v>10</c:v>
                </c:pt>
                <c:pt idx="1960">
                  <c:v>11</c:v>
                </c:pt>
                <c:pt idx="1961">
                  <c:v>11</c:v>
                </c:pt>
                <c:pt idx="1962">
                  <c:v>11</c:v>
                </c:pt>
                <c:pt idx="1963">
                  <c:v>11</c:v>
                </c:pt>
                <c:pt idx="1964">
                  <c:v>11</c:v>
                </c:pt>
                <c:pt idx="1965">
                  <c:v>11</c:v>
                </c:pt>
                <c:pt idx="1966">
                  <c:v>12</c:v>
                </c:pt>
                <c:pt idx="1967">
                  <c:v>12</c:v>
                </c:pt>
                <c:pt idx="1968">
                  <c:v>12</c:v>
                </c:pt>
                <c:pt idx="1969">
                  <c:v>12</c:v>
                </c:pt>
                <c:pt idx="1970">
                  <c:v>12</c:v>
                </c:pt>
                <c:pt idx="1971">
                  <c:v>12</c:v>
                </c:pt>
                <c:pt idx="1972">
                  <c:v>13</c:v>
                </c:pt>
                <c:pt idx="1973">
                  <c:v>13</c:v>
                </c:pt>
                <c:pt idx="1974">
                  <c:v>13</c:v>
                </c:pt>
                <c:pt idx="1975">
                  <c:v>13</c:v>
                </c:pt>
                <c:pt idx="1976">
                  <c:v>13</c:v>
                </c:pt>
                <c:pt idx="1977">
                  <c:v>13</c:v>
                </c:pt>
                <c:pt idx="1978">
                  <c:v>13</c:v>
                </c:pt>
                <c:pt idx="1979">
                  <c:v>13</c:v>
                </c:pt>
                <c:pt idx="1980">
                  <c:v>14</c:v>
                </c:pt>
                <c:pt idx="1981">
                  <c:v>14</c:v>
                </c:pt>
                <c:pt idx="1982">
                  <c:v>14</c:v>
                </c:pt>
                <c:pt idx="1983">
                  <c:v>14</c:v>
                </c:pt>
                <c:pt idx="1984">
                  <c:v>14</c:v>
                </c:pt>
                <c:pt idx="1985">
                  <c:v>14</c:v>
                </c:pt>
                <c:pt idx="1986">
                  <c:v>14</c:v>
                </c:pt>
                <c:pt idx="1987">
                  <c:v>14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16</c:v>
                </c:pt>
                <c:pt idx="1994">
                  <c:v>16</c:v>
                </c:pt>
                <c:pt idx="1995">
                  <c:v>16</c:v>
                </c:pt>
                <c:pt idx="1996">
                  <c:v>16</c:v>
                </c:pt>
                <c:pt idx="1997">
                  <c:v>16</c:v>
                </c:pt>
                <c:pt idx="1998">
                  <c:v>16</c:v>
                </c:pt>
                <c:pt idx="1999">
                  <c:v>16</c:v>
                </c:pt>
                <c:pt idx="2000">
                  <c:v>17</c:v>
                </c:pt>
                <c:pt idx="2001">
                  <c:v>17</c:v>
                </c:pt>
                <c:pt idx="2002">
                  <c:v>17</c:v>
                </c:pt>
                <c:pt idx="2003">
                  <c:v>18</c:v>
                </c:pt>
                <c:pt idx="2004">
                  <c:v>18</c:v>
                </c:pt>
                <c:pt idx="2005">
                  <c:v>18</c:v>
                </c:pt>
                <c:pt idx="2006">
                  <c:v>18</c:v>
                </c:pt>
                <c:pt idx="2007">
                  <c:v>18</c:v>
                </c:pt>
                <c:pt idx="2008">
                  <c:v>19</c:v>
                </c:pt>
                <c:pt idx="2009">
                  <c:v>19</c:v>
                </c:pt>
                <c:pt idx="2010">
                  <c:v>19</c:v>
                </c:pt>
                <c:pt idx="2011">
                  <c:v>20</c:v>
                </c:pt>
                <c:pt idx="2012">
                  <c:v>20</c:v>
                </c:pt>
                <c:pt idx="2013">
                  <c:v>21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23</c:v>
                </c:pt>
                <c:pt idx="2019">
                  <c:v>23</c:v>
                </c:pt>
                <c:pt idx="2020">
                  <c:v>24</c:v>
                </c:pt>
                <c:pt idx="2021">
                  <c:v>24</c:v>
                </c:pt>
                <c:pt idx="2022">
                  <c:v>25</c:v>
                </c:pt>
                <c:pt idx="2023">
                  <c:v>25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28</c:v>
                </c:pt>
                <c:pt idx="2029">
                  <c:v>28</c:v>
                </c:pt>
                <c:pt idx="2030">
                  <c:v>29</c:v>
                </c:pt>
                <c:pt idx="2031">
                  <c:v>31</c:v>
                </c:pt>
                <c:pt idx="2032">
                  <c:v>31</c:v>
                </c:pt>
                <c:pt idx="2033">
                  <c:v>31</c:v>
                </c:pt>
                <c:pt idx="2034">
                  <c:v>32</c:v>
                </c:pt>
                <c:pt idx="2035">
                  <c:v>32</c:v>
                </c:pt>
                <c:pt idx="2036">
                  <c:v>32</c:v>
                </c:pt>
                <c:pt idx="2037">
                  <c:v>32</c:v>
                </c:pt>
                <c:pt idx="2038">
                  <c:v>32</c:v>
                </c:pt>
                <c:pt idx="2039">
                  <c:v>33</c:v>
                </c:pt>
                <c:pt idx="2040">
                  <c:v>33</c:v>
                </c:pt>
                <c:pt idx="2041">
                  <c:v>34</c:v>
                </c:pt>
                <c:pt idx="2042">
                  <c:v>34</c:v>
                </c:pt>
                <c:pt idx="2043">
                  <c:v>34</c:v>
                </c:pt>
                <c:pt idx="2044">
                  <c:v>35</c:v>
                </c:pt>
                <c:pt idx="2045">
                  <c:v>35</c:v>
                </c:pt>
                <c:pt idx="2046">
                  <c:v>36</c:v>
                </c:pt>
                <c:pt idx="2047">
                  <c:v>36</c:v>
                </c:pt>
                <c:pt idx="2048">
                  <c:v>37</c:v>
                </c:pt>
                <c:pt idx="2049">
                  <c:v>37</c:v>
                </c:pt>
                <c:pt idx="2050">
                  <c:v>37</c:v>
                </c:pt>
                <c:pt idx="2051">
                  <c:v>38</c:v>
                </c:pt>
                <c:pt idx="2052">
                  <c:v>38</c:v>
                </c:pt>
                <c:pt idx="2053">
                  <c:v>39</c:v>
                </c:pt>
                <c:pt idx="2054">
                  <c:v>40</c:v>
                </c:pt>
                <c:pt idx="2055">
                  <c:v>40</c:v>
                </c:pt>
                <c:pt idx="2056">
                  <c:v>40</c:v>
                </c:pt>
                <c:pt idx="2057">
                  <c:v>40</c:v>
                </c:pt>
                <c:pt idx="2058">
                  <c:v>42</c:v>
                </c:pt>
                <c:pt idx="2059">
                  <c:v>43</c:v>
                </c:pt>
                <c:pt idx="2060">
                  <c:v>44</c:v>
                </c:pt>
                <c:pt idx="2061">
                  <c:v>45</c:v>
                </c:pt>
                <c:pt idx="2062">
                  <c:v>45</c:v>
                </c:pt>
                <c:pt idx="2063">
                  <c:v>46</c:v>
                </c:pt>
                <c:pt idx="2064">
                  <c:v>46</c:v>
                </c:pt>
                <c:pt idx="2065">
                  <c:v>47</c:v>
                </c:pt>
                <c:pt idx="2066">
                  <c:v>49</c:v>
                </c:pt>
                <c:pt idx="2067">
                  <c:v>50</c:v>
                </c:pt>
                <c:pt idx="2068">
                  <c:v>51</c:v>
                </c:pt>
                <c:pt idx="2069">
                  <c:v>51</c:v>
                </c:pt>
                <c:pt idx="2070">
                  <c:v>53</c:v>
                </c:pt>
                <c:pt idx="2071">
                  <c:v>53</c:v>
                </c:pt>
                <c:pt idx="2072">
                  <c:v>53</c:v>
                </c:pt>
                <c:pt idx="2073">
                  <c:v>54</c:v>
                </c:pt>
                <c:pt idx="2074">
                  <c:v>54</c:v>
                </c:pt>
                <c:pt idx="2075">
                  <c:v>56</c:v>
                </c:pt>
                <c:pt idx="2076">
                  <c:v>57</c:v>
                </c:pt>
                <c:pt idx="2077">
                  <c:v>59</c:v>
                </c:pt>
                <c:pt idx="2078">
                  <c:v>60</c:v>
                </c:pt>
                <c:pt idx="2079">
                  <c:v>60</c:v>
                </c:pt>
                <c:pt idx="2080">
                  <c:v>62</c:v>
                </c:pt>
                <c:pt idx="2081">
                  <c:v>62</c:v>
                </c:pt>
                <c:pt idx="2082">
                  <c:v>63</c:v>
                </c:pt>
                <c:pt idx="2083">
                  <c:v>65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72</c:v>
                </c:pt>
                <c:pt idx="2088">
                  <c:v>72</c:v>
                </c:pt>
                <c:pt idx="2089">
                  <c:v>74</c:v>
                </c:pt>
                <c:pt idx="2090">
                  <c:v>77</c:v>
                </c:pt>
                <c:pt idx="2091">
                  <c:v>77</c:v>
                </c:pt>
                <c:pt idx="2092">
                  <c:v>79</c:v>
                </c:pt>
                <c:pt idx="2093">
                  <c:v>79</c:v>
                </c:pt>
                <c:pt idx="2094">
                  <c:v>80</c:v>
                </c:pt>
              </c:numCache>
            </c:numRef>
          </c:xVal>
          <c:yVal>
            <c:numRef>
              <c:f>'Minefield moves'!$E$2:$E$2096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7-4D33-BF03-B89C9498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77896"/>
        <c:axId val="848067568"/>
      </c:scatterChart>
      <c:valAx>
        <c:axId val="810277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67568"/>
        <c:crosses val="autoZero"/>
        <c:crossBetween val="midCat"/>
      </c:valAx>
      <c:valAx>
        <c:axId val="84806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7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reward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'Minefield moves'!$B$2:$B$2096</c:f>
              <c:numCache>
                <c:formatCode>General</c:formatCode>
                <c:ptCount val="209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-0.78523489932885904</c:v>
                </c:pt>
                <c:pt idx="6">
                  <c:v>-0.72592592592592597</c:v>
                </c:pt>
                <c:pt idx="7">
                  <c:v>-0.72</c:v>
                </c:pt>
                <c:pt idx="8">
                  <c:v>-0.59281437125748504</c:v>
                </c:pt>
                <c:pt idx="9">
                  <c:v>-0.5625</c:v>
                </c:pt>
                <c:pt idx="10">
                  <c:v>-0.55038759689922501</c:v>
                </c:pt>
                <c:pt idx="11">
                  <c:v>-0.54</c:v>
                </c:pt>
                <c:pt idx="12">
                  <c:v>-0.51648351648351698</c:v>
                </c:pt>
                <c:pt idx="13">
                  <c:v>-0.5</c:v>
                </c:pt>
                <c:pt idx="14">
                  <c:v>-0.487179487179487</c:v>
                </c:pt>
                <c:pt idx="15">
                  <c:v>-0.46666666666666701</c:v>
                </c:pt>
                <c:pt idx="16">
                  <c:v>-0.45800000000000002</c:v>
                </c:pt>
                <c:pt idx="17">
                  <c:v>-0.443037974683544</c:v>
                </c:pt>
                <c:pt idx="18">
                  <c:v>-0.38600000000000001</c:v>
                </c:pt>
                <c:pt idx="19">
                  <c:v>-0.38551401869158902</c:v>
                </c:pt>
                <c:pt idx="20">
                  <c:v>-0.38461538461538503</c:v>
                </c:pt>
                <c:pt idx="21">
                  <c:v>-0.38133333333333302</c:v>
                </c:pt>
                <c:pt idx="22">
                  <c:v>-0.38095238095238099</c:v>
                </c:pt>
                <c:pt idx="23">
                  <c:v>-0.375</c:v>
                </c:pt>
                <c:pt idx="24">
                  <c:v>-0.36666666666666697</c:v>
                </c:pt>
                <c:pt idx="25">
                  <c:v>-0.36</c:v>
                </c:pt>
                <c:pt idx="26">
                  <c:v>-0.34731934731934699</c:v>
                </c:pt>
                <c:pt idx="27">
                  <c:v>-0.341772151898734</c:v>
                </c:pt>
                <c:pt idx="28">
                  <c:v>-0.32758620689655199</c:v>
                </c:pt>
                <c:pt idx="29">
                  <c:v>-0.32558139534883701</c:v>
                </c:pt>
                <c:pt idx="30">
                  <c:v>-0.32467532467532501</c:v>
                </c:pt>
                <c:pt idx="31">
                  <c:v>-0.32432432432432401</c:v>
                </c:pt>
                <c:pt idx="32">
                  <c:v>-0.32400000000000001</c:v>
                </c:pt>
                <c:pt idx="33">
                  <c:v>-0.31833333333333302</c:v>
                </c:pt>
                <c:pt idx="34">
                  <c:v>-0.31733333333333302</c:v>
                </c:pt>
                <c:pt idx="35">
                  <c:v>-0.31538461538461499</c:v>
                </c:pt>
                <c:pt idx="36">
                  <c:v>-0.315</c:v>
                </c:pt>
                <c:pt idx="37">
                  <c:v>-0.31333333333333302</c:v>
                </c:pt>
                <c:pt idx="38">
                  <c:v>-0.31168831168831201</c:v>
                </c:pt>
                <c:pt idx="39">
                  <c:v>-0.30933333333333302</c:v>
                </c:pt>
                <c:pt idx="40">
                  <c:v>-0.30769230769230799</c:v>
                </c:pt>
                <c:pt idx="41">
                  <c:v>-0.30599999999999999</c:v>
                </c:pt>
                <c:pt idx="42">
                  <c:v>-0.29799999999999999</c:v>
                </c:pt>
                <c:pt idx="43">
                  <c:v>-0.29729729729729698</c:v>
                </c:pt>
                <c:pt idx="44">
                  <c:v>-0.28799999999999998</c:v>
                </c:pt>
                <c:pt idx="45">
                  <c:v>-0.28799999999999998</c:v>
                </c:pt>
                <c:pt idx="46">
                  <c:v>-0.28738317757009302</c:v>
                </c:pt>
                <c:pt idx="47">
                  <c:v>-0.28399999999999997</c:v>
                </c:pt>
                <c:pt idx="48">
                  <c:v>-0.27733333333333299</c:v>
                </c:pt>
                <c:pt idx="49">
                  <c:v>-0.27600000000000002</c:v>
                </c:pt>
                <c:pt idx="50">
                  <c:v>-0.26806526806526798</c:v>
                </c:pt>
                <c:pt idx="51">
                  <c:v>-0.266666666666667</c:v>
                </c:pt>
                <c:pt idx="52">
                  <c:v>-0.26027397260273999</c:v>
                </c:pt>
                <c:pt idx="53">
                  <c:v>-0.26</c:v>
                </c:pt>
                <c:pt idx="54">
                  <c:v>-0.25874125874125897</c:v>
                </c:pt>
                <c:pt idx="55">
                  <c:v>-0.25600000000000001</c:v>
                </c:pt>
                <c:pt idx="56">
                  <c:v>-0.25600000000000001</c:v>
                </c:pt>
                <c:pt idx="57">
                  <c:v>-0.252</c:v>
                </c:pt>
                <c:pt idx="58">
                  <c:v>-0.252</c:v>
                </c:pt>
                <c:pt idx="59">
                  <c:v>-0.24533333333333299</c:v>
                </c:pt>
                <c:pt idx="60">
                  <c:v>-0.24324324324324301</c:v>
                </c:pt>
                <c:pt idx="61">
                  <c:v>-0.24175824175824201</c:v>
                </c:pt>
                <c:pt idx="62">
                  <c:v>-0.23776223776223801</c:v>
                </c:pt>
                <c:pt idx="63">
                  <c:v>-0.23478260869565201</c:v>
                </c:pt>
                <c:pt idx="64">
                  <c:v>-0.229333333333333</c:v>
                </c:pt>
                <c:pt idx="65">
                  <c:v>-0.22897196261682201</c:v>
                </c:pt>
                <c:pt idx="66">
                  <c:v>-0.22897196261682201</c:v>
                </c:pt>
                <c:pt idx="67">
                  <c:v>-0.22666666666666699</c:v>
                </c:pt>
                <c:pt idx="68">
                  <c:v>-0.224</c:v>
                </c:pt>
                <c:pt idx="69">
                  <c:v>-0.21962616822429901</c:v>
                </c:pt>
                <c:pt idx="70">
                  <c:v>-0.21962616822429901</c:v>
                </c:pt>
                <c:pt idx="71">
                  <c:v>-0.21875</c:v>
                </c:pt>
                <c:pt idx="72">
                  <c:v>-0.21621621621621601</c:v>
                </c:pt>
                <c:pt idx="73">
                  <c:v>-0.21621621621621601</c:v>
                </c:pt>
                <c:pt idx="74">
                  <c:v>-0.215568862275449</c:v>
                </c:pt>
                <c:pt idx="75">
                  <c:v>-0.213114754098361</c:v>
                </c:pt>
                <c:pt idx="76">
                  <c:v>-0.210666666666667</c:v>
                </c:pt>
                <c:pt idx="77">
                  <c:v>-0.21</c:v>
                </c:pt>
                <c:pt idx="78">
                  <c:v>-0.20327102803738301</c:v>
                </c:pt>
                <c:pt idx="79">
                  <c:v>-0.20279720279720301</c:v>
                </c:pt>
                <c:pt idx="80">
                  <c:v>-0.20166666666666699</c:v>
                </c:pt>
                <c:pt idx="81">
                  <c:v>-0.2</c:v>
                </c:pt>
                <c:pt idx="82">
                  <c:v>-0.19400000000000001</c:v>
                </c:pt>
                <c:pt idx="83">
                  <c:v>-0.193473193473193</c:v>
                </c:pt>
                <c:pt idx="84">
                  <c:v>-0.192</c:v>
                </c:pt>
                <c:pt idx="85">
                  <c:v>-0.191142191142191</c:v>
                </c:pt>
                <c:pt idx="86">
                  <c:v>-0.18933333333333299</c:v>
                </c:pt>
                <c:pt idx="87">
                  <c:v>-0.18933333333333299</c:v>
                </c:pt>
                <c:pt idx="88">
                  <c:v>-0.18933333333333299</c:v>
                </c:pt>
                <c:pt idx="89">
                  <c:v>-0.18918918918918901</c:v>
                </c:pt>
                <c:pt idx="90">
                  <c:v>-0.18918918918918901</c:v>
                </c:pt>
                <c:pt idx="91">
                  <c:v>-0.18618618618618599</c:v>
                </c:pt>
                <c:pt idx="92">
                  <c:v>-0.18618618618618599</c:v>
                </c:pt>
                <c:pt idx="93">
                  <c:v>-0.184</c:v>
                </c:pt>
                <c:pt idx="94">
                  <c:v>-0.18</c:v>
                </c:pt>
                <c:pt idx="95">
                  <c:v>-0.177570093457944</c:v>
                </c:pt>
                <c:pt idx="96">
                  <c:v>-0.177570093457944</c:v>
                </c:pt>
                <c:pt idx="97">
                  <c:v>-0.17717717717717699</c:v>
                </c:pt>
                <c:pt idx="98">
                  <c:v>-0.17664670658682599</c:v>
                </c:pt>
                <c:pt idx="99">
                  <c:v>-0.174174174174174</c:v>
                </c:pt>
                <c:pt idx="100">
                  <c:v>-0.17399999999999999</c:v>
                </c:pt>
                <c:pt idx="101">
                  <c:v>-0.17333333333333301</c:v>
                </c:pt>
                <c:pt idx="102">
                  <c:v>-0.17333333333333301</c:v>
                </c:pt>
                <c:pt idx="103">
                  <c:v>-0.17199999999999999</c:v>
                </c:pt>
                <c:pt idx="104">
                  <c:v>-0.17166666666666699</c:v>
                </c:pt>
                <c:pt idx="105">
                  <c:v>-0.17066666666666699</c:v>
                </c:pt>
                <c:pt idx="106">
                  <c:v>-0.17066666666666699</c:v>
                </c:pt>
                <c:pt idx="107">
                  <c:v>-0.17016317016317001</c:v>
                </c:pt>
                <c:pt idx="108">
                  <c:v>-0.16816816816816799</c:v>
                </c:pt>
                <c:pt idx="109">
                  <c:v>-0.16800000000000001</c:v>
                </c:pt>
                <c:pt idx="110">
                  <c:v>-0.16800000000000001</c:v>
                </c:pt>
                <c:pt idx="111">
                  <c:v>-0.165501165501166</c:v>
                </c:pt>
                <c:pt idx="112">
                  <c:v>-0.165333333333333</c:v>
                </c:pt>
                <c:pt idx="113">
                  <c:v>-0.16384180790960501</c:v>
                </c:pt>
                <c:pt idx="114">
                  <c:v>-0.163170163170163</c:v>
                </c:pt>
                <c:pt idx="115">
                  <c:v>-0.16266666666666699</c:v>
                </c:pt>
                <c:pt idx="116">
                  <c:v>-0.16266666666666699</c:v>
                </c:pt>
                <c:pt idx="117">
                  <c:v>-0.16266666666666699</c:v>
                </c:pt>
                <c:pt idx="118">
                  <c:v>-0.162162162162162</c:v>
                </c:pt>
                <c:pt idx="119">
                  <c:v>-0.162162162162162</c:v>
                </c:pt>
                <c:pt idx="120">
                  <c:v>-0.16200000000000001</c:v>
                </c:pt>
                <c:pt idx="121">
                  <c:v>-0.161764705882353</c:v>
                </c:pt>
                <c:pt idx="122">
                  <c:v>-0.160839160839161</c:v>
                </c:pt>
                <c:pt idx="123">
                  <c:v>-0.158227848101266</c:v>
                </c:pt>
                <c:pt idx="124">
                  <c:v>-0.15733333333333299</c:v>
                </c:pt>
                <c:pt idx="125">
                  <c:v>-0.156177156177156</c:v>
                </c:pt>
                <c:pt idx="126">
                  <c:v>-0.15533980582524301</c:v>
                </c:pt>
                <c:pt idx="127">
                  <c:v>-0.15466666666666701</c:v>
                </c:pt>
                <c:pt idx="128">
                  <c:v>-0.154205607476636</c:v>
                </c:pt>
                <c:pt idx="129">
                  <c:v>-0.154205607476636</c:v>
                </c:pt>
                <c:pt idx="130">
                  <c:v>-0.154</c:v>
                </c:pt>
                <c:pt idx="131">
                  <c:v>-0.15384615384615399</c:v>
                </c:pt>
                <c:pt idx="132">
                  <c:v>-0.15384615384615399</c:v>
                </c:pt>
                <c:pt idx="133">
                  <c:v>-0.15384615384615399</c:v>
                </c:pt>
                <c:pt idx="134">
                  <c:v>-0.15384615384615399</c:v>
                </c:pt>
                <c:pt idx="135">
                  <c:v>-0.15384615384615399</c:v>
                </c:pt>
                <c:pt idx="136">
                  <c:v>-0.15269461077844301</c:v>
                </c:pt>
                <c:pt idx="137">
                  <c:v>-0.152</c:v>
                </c:pt>
                <c:pt idx="138">
                  <c:v>-0.152</c:v>
                </c:pt>
                <c:pt idx="139">
                  <c:v>-0.152</c:v>
                </c:pt>
                <c:pt idx="140">
                  <c:v>-0.151898734177215</c:v>
                </c:pt>
                <c:pt idx="141">
                  <c:v>-0.15015015015015001</c:v>
                </c:pt>
                <c:pt idx="142">
                  <c:v>-0.15015015015015001</c:v>
                </c:pt>
                <c:pt idx="143">
                  <c:v>-0.149700598802395</c:v>
                </c:pt>
                <c:pt idx="144">
                  <c:v>-0.14933333333333301</c:v>
                </c:pt>
                <c:pt idx="145">
                  <c:v>-0.14799999999999999</c:v>
                </c:pt>
                <c:pt idx="146">
                  <c:v>-0.14685314685314699</c:v>
                </c:pt>
                <c:pt idx="147">
                  <c:v>-0.146666666666667</c:v>
                </c:pt>
                <c:pt idx="148">
                  <c:v>-0.14599999999999999</c:v>
                </c:pt>
                <c:pt idx="149">
                  <c:v>-0.144859813084112</c:v>
                </c:pt>
                <c:pt idx="150">
                  <c:v>-0.14399999999999999</c:v>
                </c:pt>
                <c:pt idx="151">
                  <c:v>-0.14399999999999999</c:v>
                </c:pt>
                <c:pt idx="152">
                  <c:v>-0.14285714285714299</c:v>
                </c:pt>
                <c:pt idx="153">
                  <c:v>-0.14252336448598099</c:v>
                </c:pt>
                <c:pt idx="154">
                  <c:v>-0.14252336448598099</c:v>
                </c:pt>
                <c:pt idx="155">
                  <c:v>-0.141666666666667</c:v>
                </c:pt>
                <c:pt idx="156">
                  <c:v>-0.141666666666667</c:v>
                </c:pt>
                <c:pt idx="157">
                  <c:v>-0.14133333333333301</c:v>
                </c:pt>
                <c:pt idx="158">
                  <c:v>-0.14117647058823499</c:v>
                </c:pt>
                <c:pt idx="159">
                  <c:v>-0.14000000000000001</c:v>
                </c:pt>
                <c:pt idx="160">
                  <c:v>-0.13986013986014001</c:v>
                </c:pt>
                <c:pt idx="161">
                  <c:v>-0.13986013986014001</c:v>
                </c:pt>
                <c:pt idx="162">
                  <c:v>-0.13986013986014001</c:v>
                </c:pt>
                <c:pt idx="163">
                  <c:v>-0.13866666666666699</c:v>
                </c:pt>
                <c:pt idx="164">
                  <c:v>-0.13866666666666699</c:v>
                </c:pt>
                <c:pt idx="165">
                  <c:v>-0.138333333333333</c:v>
                </c:pt>
                <c:pt idx="166">
                  <c:v>-0.13813813813813799</c:v>
                </c:pt>
                <c:pt idx="167">
                  <c:v>-0.13800000000000001</c:v>
                </c:pt>
                <c:pt idx="168">
                  <c:v>-0.13772455089820401</c:v>
                </c:pt>
                <c:pt idx="169">
                  <c:v>-0.13666666666666699</c:v>
                </c:pt>
                <c:pt idx="170">
                  <c:v>-0.13580246913580199</c:v>
                </c:pt>
                <c:pt idx="171">
                  <c:v>-0.13551401869158899</c:v>
                </c:pt>
                <c:pt idx="172">
                  <c:v>-0.13519813519813501</c:v>
                </c:pt>
                <c:pt idx="173">
                  <c:v>-0.13519813519813501</c:v>
                </c:pt>
                <c:pt idx="174">
                  <c:v>-0.135135135135135</c:v>
                </c:pt>
                <c:pt idx="175">
                  <c:v>-0.135135135135135</c:v>
                </c:pt>
                <c:pt idx="176">
                  <c:v>-0.135135135135135</c:v>
                </c:pt>
                <c:pt idx="177">
                  <c:v>-0.135135135135135</c:v>
                </c:pt>
                <c:pt idx="178">
                  <c:v>-0.13400000000000001</c:v>
                </c:pt>
                <c:pt idx="179">
                  <c:v>-0.133333333333333</c:v>
                </c:pt>
                <c:pt idx="180">
                  <c:v>-0.133333333333333</c:v>
                </c:pt>
                <c:pt idx="181">
                  <c:v>-0.133333333333333</c:v>
                </c:pt>
                <c:pt idx="182">
                  <c:v>-0.13317757009345799</c:v>
                </c:pt>
                <c:pt idx="183">
                  <c:v>-0.132867132867133</c:v>
                </c:pt>
                <c:pt idx="184">
                  <c:v>-0.13207547169811301</c:v>
                </c:pt>
                <c:pt idx="185">
                  <c:v>-0.13173652694610799</c:v>
                </c:pt>
                <c:pt idx="186">
                  <c:v>-0.13166666666666699</c:v>
                </c:pt>
                <c:pt idx="187">
                  <c:v>-0.13066666666666699</c:v>
                </c:pt>
                <c:pt idx="188">
                  <c:v>-0.13066666666666699</c:v>
                </c:pt>
                <c:pt idx="189">
                  <c:v>-0.130536130536131</c:v>
                </c:pt>
                <c:pt idx="190">
                  <c:v>-0.13</c:v>
                </c:pt>
                <c:pt idx="191">
                  <c:v>-0.13</c:v>
                </c:pt>
                <c:pt idx="192">
                  <c:v>-0.128504672897196</c:v>
                </c:pt>
                <c:pt idx="193">
                  <c:v>-0.128</c:v>
                </c:pt>
                <c:pt idx="194">
                  <c:v>-0.12616822429906499</c:v>
                </c:pt>
                <c:pt idx="195">
                  <c:v>-0.126126126126126</c:v>
                </c:pt>
                <c:pt idx="196">
                  <c:v>-0.126</c:v>
                </c:pt>
                <c:pt idx="197">
                  <c:v>-0.125874125874126</c:v>
                </c:pt>
                <c:pt idx="198">
                  <c:v>-0.125748502994012</c:v>
                </c:pt>
                <c:pt idx="199">
                  <c:v>-0.12533333333333299</c:v>
                </c:pt>
                <c:pt idx="200">
                  <c:v>-0.12533333333333299</c:v>
                </c:pt>
                <c:pt idx="201">
                  <c:v>-0.12533333333333299</c:v>
                </c:pt>
                <c:pt idx="202">
                  <c:v>-0.123831775700935</c:v>
                </c:pt>
                <c:pt idx="203">
                  <c:v>-0.123123123123123</c:v>
                </c:pt>
                <c:pt idx="204">
                  <c:v>-0.123123123123123</c:v>
                </c:pt>
                <c:pt idx="205">
                  <c:v>-0.12266666666666701</c:v>
                </c:pt>
                <c:pt idx="206">
                  <c:v>-0.12266666666666701</c:v>
                </c:pt>
                <c:pt idx="207">
                  <c:v>-0.12266666666666701</c:v>
                </c:pt>
                <c:pt idx="208">
                  <c:v>-0.122448979591837</c:v>
                </c:pt>
                <c:pt idx="209">
                  <c:v>-0.122</c:v>
                </c:pt>
                <c:pt idx="210">
                  <c:v>-0.121495327102804</c:v>
                </c:pt>
                <c:pt idx="211">
                  <c:v>-0.121495327102804</c:v>
                </c:pt>
                <c:pt idx="212">
                  <c:v>-0.121495327102804</c:v>
                </c:pt>
                <c:pt idx="213">
                  <c:v>-0.121495327102804</c:v>
                </c:pt>
                <c:pt idx="214">
                  <c:v>-0.12</c:v>
                </c:pt>
                <c:pt idx="215">
                  <c:v>-0.12</c:v>
                </c:pt>
                <c:pt idx="216">
                  <c:v>-0.12</c:v>
                </c:pt>
                <c:pt idx="217">
                  <c:v>-0.12</c:v>
                </c:pt>
                <c:pt idx="218">
                  <c:v>-0.119760479041916</c:v>
                </c:pt>
                <c:pt idx="219">
                  <c:v>-0.11915887850467299</c:v>
                </c:pt>
                <c:pt idx="220">
                  <c:v>-0.11915887850467299</c:v>
                </c:pt>
                <c:pt idx="221">
                  <c:v>-0.11888111888111901</c:v>
                </c:pt>
                <c:pt idx="222">
                  <c:v>-0.11799999999999999</c:v>
                </c:pt>
                <c:pt idx="223">
                  <c:v>-0.11799999999999999</c:v>
                </c:pt>
                <c:pt idx="224">
                  <c:v>-0.11799999999999999</c:v>
                </c:pt>
                <c:pt idx="225">
                  <c:v>-0.117333333333333</c:v>
                </c:pt>
                <c:pt idx="226">
                  <c:v>-0.117333333333333</c:v>
                </c:pt>
                <c:pt idx="227">
                  <c:v>-0.117333333333333</c:v>
                </c:pt>
                <c:pt idx="228">
                  <c:v>-0.117333333333333</c:v>
                </c:pt>
                <c:pt idx="229">
                  <c:v>-0.117117117117117</c:v>
                </c:pt>
                <c:pt idx="230">
                  <c:v>-0.117117117117117</c:v>
                </c:pt>
                <c:pt idx="231">
                  <c:v>-0.117117117117117</c:v>
                </c:pt>
                <c:pt idx="232">
                  <c:v>-0.116766467065868</c:v>
                </c:pt>
                <c:pt idx="233">
                  <c:v>-0.116766467065868</c:v>
                </c:pt>
                <c:pt idx="234">
                  <c:v>-0.116666666666667</c:v>
                </c:pt>
                <c:pt idx="235">
                  <c:v>-0.116550116550117</c:v>
                </c:pt>
                <c:pt idx="236">
                  <c:v>-0.116550116550117</c:v>
                </c:pt>
                <c:pt idx="237">
                  <c:v>-0.116550116550117</c:v>
                </c:pt>
                <c:pt idx="238">
                  <c:v>-0.116550116550117</c:v>
                </c:pt>
                <c:pt idx="239">
                  <c:v>-0.11600000000000001</c:v>
                </c:pt>
                <c:pt idx="240">
                  <c:v>-0.11600000000000001</c:v>
                </c:pt>
                <c:pt idx="241">
                  <c:v>-0.115</c:v>
                </c:pt>
                <c:pt idx="242">
                  <c:v>-0.114666666666667</c:v>
                </c:pt>
                <c:pt idx="243">
                  <c:v>-0.114219114219114</c:v>
                </c:pt>
                <c:pt idx="244">
                  <c:v>-0.114114114114114</c:v>
                </c:pt>
                <c:pt idx="245">
                  <c:v>-0.114114114114114</c:v>
                </c:pt>
                <c:pt idx="246">
                  <c:v>-0.114114114114114</c:v>
                </c:pt>
                <c:pt idx="247">
                  <c:v>-0.114114114114114</c:v>
                </c:pt>
                <c:pt idx="248">
                  <c:v>-0.114</c:v>
                </c:pt>
                <c:pt idx="249">
                  <c:v>-0.114</c:v>
                </c:pt>
                <c:pt idx="250">
                  <c:v>-0.113207547169811</c:v>
                </c:pt>
                <c:pt idx="251">
                  <c:v>-0.112</c:v>
                </c:pt>
                <c:pt idx="252">
                  <c:v>-0.111888111888112</c:v>
                </c:pt>
                <c:pt idx="253">
                  <c:v>-0.111888111888112</c:v>
                </c:pt>
                <c:pt idx="254">
                  <c:v>-0.111888111888112</c:v>
                </c:pt>
                <c:pt idx="255">
                  <c:v>-0.11111111111111099</c:v>
                </c:pt>
                <c:pt idx="256">
                  <c:v>-0.110778443113772</c:v>
                </c:pt>
                <c:pt idx="257">
                  <c:v>-0.110778443113772</c:v>
                </c:pt>
                <c:pt idx="258">
                  <c:v>-0.11</c:v>
                </c:pt>
                <c:pt idx="259">
                  <c:v>-0.11</c:v>
                </c:pt>
                <c:pt idx="260">
                  <c:v>-0.10981308411215</c:v>
                </c:pt>
                <c:pt idx="261">
                  <c:v>-0.10955710955711</c:v>
                </c:pt>
                <c:pt idx="262">
                  <c:v>-0.108108108108108</c:v>
                </c:pt>
                <c:pt idx="263">
                  <c:v>-0.108108108108108</c:v>
                </c:pt>
                <c:pt idx="264">
                  <c:v>-0.108108108108108</c:v>
                </c:pt>
                <c:pt idx="265">
                  <c:v>-0.108108108108108</c:v>
                </c:pt>
                <c:pt idx="266">
                  <c:v>-0.108</c:v>
                </c:pt>
                <c:pt idx="267">
                  <c:v>-0.108</c:v>
                </c:pt>
                <c:pt idx="268">
                  <c:v>-0.10747663551401899</c:v>
                </c:pt>
                <c:pt idx="269">
                  <c:v>-0.106796116504854</c:v>
                </c:pt>
                <c:pt idx="270">
                  <c:v>-0.10666666666666701</c:v>
                </c:pt>
                <c:pt idx="271">
                  <c:v>-0.10666666666666701</c:v>
                </c:pt>
                <c:pt idx="272">
                  <c:v>-0.10666666666666701</c:v>
                </c:pt>
                <c:pt idx="273">
                  <c:v>-0.10666666666666701</c:v>
                </c:pt>
                <c:pt idx="274">
                  <c:v>-0.10666666666666701</c:v>
                </c:pt>
                <c:pt idx="275">
                  <c:v>-0.10666666666666701</c:v>
                </c:pt>
                <c:pt idx="276">
                  <c:v>-0.105263157894737</c:v>
                </c:pt>
                <c:pt idx="277">
                  <c:v>-0.105263157894737</c:v>
                </c:pt>
                <c:pt idx="278">
                  <c:v>-0.105263157894737</c:v>
                </c:pt>
                <c:pt idx="279">
                  <c:v>-0.105105105105105</c:v>
                </c:pt>
                <c:pt idx="280">
                  <c:v>-0.105105105105105</c:v>
                </c:pt>
                <c:pt idx="281">
                  <c:v>-0.10489510489510501</c:v>
                </c:pt>
                <c:pt idx="282">
                  <c:v>-0.104790419161677</c:v>
                </c:pt>
                <c:pt idx="283">
                  <c:v>-0.104790419161677</c:v>
                </c:pt>
                <c:pt idx="284">
                  <c:v>-0.104</c:v>
                </c:pt>
                <c:pt idx="285">
                  <c:v>-0.104</c:v>
                </c:pt>
                <c:pt idx="286">
                  <c:v>-0.10344827586206901</c:v>
                </c:pt>
                <c:pt idx="287">
                  <c:v>-0.10294117647058799</c:v>
                </c:pt>
                <c:pt idx="288">
                  <c:v>-0.101333333333333</c:v>
                </c:pt>
                <c:pt idx="289">
                  <c:v>-0.101333333333333</c:v>
                </c:pt>
                <c:pt idx="290">
                  <c:v>-0.101333333333333</c:v>
                </c:pt>
                <c:pt idx="291">
                  <c:v>-0.100467289719626</c:v>
                </c:pt>
                <c:pt idx="292">
                  <c:v>-0.1002331002331</c:v>
                </c:pt>
                <c:pt idx="293">
                  <c:v>-0.1002331002331</c:v>
                </c:pt>
                <c:pt idx="294">
                  <c:v>-9.90990990990991E-2</c:v>
                </c:pt>
                <c:pt idx="295">
                  <c:v>-9.8802395209580798E-2</c:v>
                </c:pt>
                <c:pt idx="296">
                  <c:v>-9.8666666666666694E-2</c:v>
                </c:pt>
                <c:pt idx="297">
                  <c:v>-9.8666666666666694E-2</c:v>
                </c:pt>
                <c:pt idx="298">
                  <c:v>-9.8666666666666694E-2</c:v>
                </c:pt>
                <c:pt idx="299">
                  <c:v>-9.8360655737704902E-2</c:v>
                </c:pt>
                <c:pt idx="300">
                  <c:v>-9.8000000000000004E-2</c:v>
                </c:pt>
                <c:pt idx="301">
                  <c:v>-9.8000000000000004E-2</c:v>
                </c:pt>
                <c:pt idx="302">
                  <c:v>-9.7902097902097904E-2</c:v>
                </c:pt>
                <c:pt idx="303">
                  <c:v>-9.7902097902097904E-2</c:v>
                </c:pt>
                <c:pt idx="304">
                  <c:v>-9.7902097902097904E-2</c:v>
                </c:pt>
                <c:pt idx="305">
                  <c:v>-9.7902097902097904E-2</c:v>
                </c:pt>
                <c:pt idx="306">
                  <c:v>-9.6000000000000002E-2</c:v>
                </c:pt>
                <c:pt idx="307">
                  <c:v>-9.6000000000000002E-2</c:v>
                </c:pt>
                <c:pt idx="308">
                  <c:v>-9.5571095571095596E-2</c:v>
                </c:pt>
                <c:pt idx="309">
                  <c:v>-9.5000000000000001E-2</c:v>
                </c:pt>
                <c:pt idx="310">
                  <c:v>-9.4E-2</c:v>
                </c:pt>
                <c:pt idx="311">
                  <c:v>-9.4E-2</c:v>
                </c:pt>
                <c:pt idx="312">
                  <c:v>-9.34579439252336E-2</c:v>
                </c:pt>
                <c:pt idx="313">
                  <c:v>-9.3333333333333296E-2</c:v>
                </c:pt>
                <c:pt idx="314">
                  <c:v>-9.3333333333333296E-2</c:v>
                </c:pt>
                <c:pt idx="315">
                  <c:v>-9.3240093240093205E-2</c:v>
                </c:pt>
                <c:pt idx="316">
                  <c:v>-9.3093093093093104E-2</c:v>
                </c:pt>
                <c:pt idx="317">
                  <c:v>-9.2814371257484998E-2</c:v>
                </c:pt>
                <c:pt idx="318">
                  <c:v>-9.2592592592592601E-2</c:v>
                </c:pt>
                <c:pt idx="319">
                  <c:v>-9.1999999999999998E-2</c:v>
                </c:pt>
                <c:pt idx="320">
                  <c:v>-9.0909090909090898E-2</c:v>
                </c:pt>
                <c:pt idx="321">
                  <c:v>-9.0909090909090898E-2</c:v>
                </c:pt>
                <c:pt idx="322">
                  <c:v>-9.0666666666666701E-2</c:v>
                </c:pt>
                <c:pt idx="323">
                  <c:v>-9.0666666666666701E-2</c:v>
                </c:pt>
                <c:pt idx="324">
                  <c:v>-9.0666666666666701E-2</c:v>
                </c:pt>
                <c:pt idx="325">
                  <c:v>-9.0666666666666701E-2</c:v>
                </c:pt>
                <c:pt idx="326">
                  <c:v>-9.00900900900901E-2</c:v>
                </c:pt>
                <c:pt idx="327">
                  <c:v>-9.00900900900901E-2</c:v>
                </c:pt>
                <c:pt idx="328">
                  <c:v>-9.00900900900901E-2</c:v>
                </c:pt>
                <c:pt idx="329">
                  <c:v>-9.00900900900901E-2</c:v>
                </c:pt>
                <c:pt idx="330">
                  <c:v>-0.09</c:v>
                </c:pt>
                <c:pt idx="331">
                  <c:v>-0.09</c:v>
                </c:pt>
                <c:pt idx="332">
                  <c:v>-0.09</c:v>
                </c:pt>
                <c:pt idx="333">
                  <c:v>-8.8578088578088604E-2</c:v>
                </c:pt>
                <c:pt idx="334">
                  <c:v>-8.8333333333333305E-2</c:v>
                </c:pt>
                <c:pt idx="335">
                  <c:v>-8.7999999999999995E-2</c:v>
                </c:pt>
                <c:pt idx="336">
                  <c:v>-8.7999999999999995E-2</c:v>
                </c:pt>
                <c:pt idx="337">
                  <c:v>-8.7999999999999995E-2</c:v>
                </c:pt>
                <c:pt idx="338">
                  <c:v>-8.7999999999999995E-2</c:v>
                </c:pt>
                <c:pt idx="339">
                  <c:v>-8.7999999999999995E-2</c:v>
                </c:pt>
                <c:pt idx="340">
                  <c:v>-8.7999999999999995E-2</c:v>
                </c:pt>
                <c:pt idx="341">
                  <c:v>-8.7999999999999995E-2</c:v>
                </c:pt>
                <c:pt idx="342">
                  <c:v>-8.7999999999999995E-2</c:v>
                </c:pt>
                <c:pt idx="343">
                  <c:v>-8.7087087087087095E-2</c:v>
                </c:pt>
                <c:pt idx="344">
                  <c:v>-8.7087087087087095E-2</c:v>
                </c:pt>
                <c:pt idx="345">
                  <c:v>-8.7087087087087095E-2</c:v>
                </c:pt>
                <c:pt idx="346">
                  <c:v>-8.6448598130841103E-2</c:v>
                </c:pt>
                <c:pt idx="347">
                  <c:v>-8.6448598130841103E-2</c:v>
                </c:pt>
                <c:pt idx="348">
                  <c:v>-8.5333333333333303E-2</c:v>
                </c:pt>
                <c:pt idx="349">
                  <c:v>-8.4112149532710304E-2</c:v>
                </c:pt>
                <c:pt idx="350">
                  <c:v>-8.4084084084084104E-2</c:v>
                </c:pt>
                <c:pt idx="351">
                  <c:v>-8.4084084084084104E-2</c:v>
                </c:pt>
                <c:pt idx="352">
                  <c:v>-8.4084084084084104E-2</c:v>
                </c:pt>
                <c:pt idx="353">
                  <c:v>-8.2666666666666694E-2</c:v>
                </c:pt>
                <c:pt idx="354">
                  <c:v>-8.2666666666666694E-2</c:v>
                </c:pt>
                <c:pt idx="355">
                  <c:v>-8.2666666666666694E-2</c:v>
                </c:pt>
                <c:pt idx="356">
                  <c:v>-8.2666666666666694E-2</c:v>
                </c:pt>
                <c:pt idx="357">
                  <c:v>-8.2666666666666694E-2</c:v>
                </c:pt>
                <c:pt idx="358">
                  <c:v>-8.2000000000000003E-2</c:v>
                </c:pt>
                <c:pt idx="359">
                  <c:v>-8.2000000000000003E-2</c:v>
                </c:pt>
                <c:pt idx="360">
                  <c:v>-8.2000000000000003E-2</c:v>
                </c:pt>
                <c:pt idx="361">
                  <c:v>-8.1081081081081099E-2</c:v>
                </c:pt>
                <c:pt idx="362">
                  <c:v>-8.1081081081081099E-2</c:v>
                </c:pt>
                <c:pt idx="363">
                  <c:v>-8.1081081081081099E-2</c:v>
                </c:pt>
                <c:pt idx="364">
                  <c:v>-8.1081081081081099E-2</c:v>
                </c:pt>
                <c:pt idx="365">
                  <c:v>-8.1081081081081099E-2</c:v>
                </c:pt>
                <c:pt idx="366">
                  <c:v>-8.0838323353293398E-2</c:v>
                </c:pt>
                <c:pt idx="367">
                  <c:v>-8.0838323353293398E-2</c:v>
                </c:pt>
                <c:pt idx="368">
                  <c:v>-8.0213903743315496E-2</c:v>
                </c:pt>
                <c:pt idx="369">
                  <c:v>-8.0213903743315496E-2</c:v>
                </c:pt>
                <c:pt idx="370">
                  <c:v>-0.08</c:v>
                </c:pt>
                <c:pt idx="371">
                  <c:v>-0.08</c:v>
                </c:pt>
                <c:pt idx="372">
                  <c:v>-0.08</c:v>
                </c:pt>
                <c:pt idx="373">
                  <c:v>-0.08</c:v>
                </c:pt>
                <c:pt idx="374">
                  <c:v>-0.08</c:v>
                </c:pt>
                <c:pt idx="375">
                  <c:v>-0.08</c:v>
                </c:pt>
                <c:pt idx="376">
                  <c:v>-0.08</c:v>
                </c:pt>
                <c:pt idx="377">
                  <c:v>-0.08</c:v>
                </c:pt>
                <c:pt idx="378">
                  <c:v>-7.9545454545454503E-2</c:v>
                </c:pt>
                <c:pt idx="379">
                  <c:v>-7.9254079254079193E-2</c:v>
                </c:pt>
                <c:pt idx="380">
                  <c:v>-7.9254079254079193E-2</c:v>
                </c:pt>
                <c:pt idx="381">
                  <c:v>-7.8078078078078095E-2</c:v>
                </c:pt>
                <c:pt idx="382">
                  <c:v>-7.8078078078078095E-2</c:v>
                </c:pt>
                <c:pt idx="383">
                  <c:v>-7.8078078078078095E-2</c:v>
                </c:pt>
                <c:pt idx="384">
                  <c:v>-7.7669902912621394E-2</c:v>
                </c:pt>
                <c:pt idx="385">
                  <c:v>-7.7333333333333296E-2</c:v>
                </c:pt>
                <c:pt idx="386">
                  <c:v>-7.7333333333333296E-2</c:v>
                </c:pt>
                <c:pt idx="387">
                  <c:v>-7.7102803738317793E-2</c:v>
                </c:pt>
                <c:pt idx="388">
                  <c:v>-7.6666666666666702E-2</c:v>
                </c:pt>
                <c:pt idx="389">
                  <c:v>-7.6666666666666702E-2</c:v>
                </c:pt>
                <c:pt idx="390">
                  <c:v>-7.5999999999999998E-2</c:v>
                </c:pt>
                <c:pt idx="391">
                  <c:v>-7.5999999999999998E-2</c:v>
                </c:pt>
                <c:pt idx="392">
                  <c:v>-7.5075075075075104E-2</c:v>
                </c:pt>
                <c:pt idx="393">
                  <c:v>-7.5075075075075104E-2</c:v>
                </c:pt>
                <c:pt idx="394">
                  <c:v>-7.5075075075075104E-2</c:v>
                </c:pt>
                <c:pt idx="395">
                  <c:v>-7.4999999999999997E-2</c:v>
                </c:pt>
                <c:pt idx="396">
                  <c:v>-7.4850299401197598E-2</c:v>
                </c:pt>
                <c:pt idx="397">
                  <c:v>-7.4850299401197598E-2</c:v>
                </c:pt>
                <c:pt idx="398">
                  <c:v>-7.4850299401197598E-2</c:v>
                </c:pt>
                <c:pt idx="399">
                  <c:v>-7.4766355140186896E-2</c:v>
                </c:pt>
                <c:pt idx="400">
                  <c:v>-7.4766355140186896E-2</c:v>
                </c:pt>
                <c:pt idx="401">
                  <c:v>-7.4766355140186896E-2</c:v>
                </c:pt>
                <c:pt idx="402">
                  <c:v>-7.4666666666666701E-2</c:v>
                </c:pt>
                <c:pt idx="403">
                  <c:v>-7.4666666666666701E-2</c:v>
                </c:pt>
                <c:pt idx="404">
                  <c:v>-7.4666666666666701E-2</c:v>
                </c:pt>
                <c:pt idx="405">
                  <c:v>-7.4666666666666701E-2</c:v>
                </c:pt>
                <c:pt idx="406">
                  <c:v>-7.4666666666666701E-2</c:v>
                </c:pt>
                <c:pt idx="407">
                  <c:v>-7.4666666666666701E-2</c:v>
                </c:pt>
                <c:pt idx="408">
                  <c:v>-7.4666666666666701E-2</c:v>
                </c:pt>
                <c:pt idx="409">
                  <c:v>-7.4592074592074606E-2</c:v>
                </c:pt>
                <c:pt idx="410">
                  <c:v>-7.3999999999999996E-2</c:v>
                </c:pt>
                <c:pt idx="411">
                  <c:v>-7.2429906542056097E-2</c:v>
                </c:pt>
                <c:pt idx="412">
                  <c:v>-7.2429906542056097E-2</c:v>
                </c:pt>
                <c:pt idx="413">
                  <c:v>-7.2072072072072099E-2</c:v>
                </c:pt>
                <c:pt idx="414">
                  <c:v>-7.2072072072072099E-2</c:v>
                </c:pt>
                <c:pt idx="415">
                  <c:v>-7.1999999999999995E-2</c:v>
                </c:pt>
                <c:pt idx="416">
                  <c:v>-7.1999999999999995E-2</c:v>
                </c:pt>
                <c:pt idx="417">
                  <c:v>-7.1999999999999995E-2</c:v>
                </c:pt>
                <c:pt idx="418">
                  <c:v>-7.1856287425149698E-2</c:v>
                </c:pt>
                <c:pt idx="419">
                  <c:v>-7.0422535211267595E-2</c:v>
                </c:pt>
                <c:pt idx="420">
                  <c:v>-7.0000000000000007E-2</c:v>
                </c:pt>
                <c:pt idx="421">
                  <c:v>-6.9930069930069894E-2</c:v>
                </c:pt>
                <c:pt idx="422">
                  <c:v>-6.9930069930069894E-2</c:v>
                </c:pt>
                <c:pt idx="423">
                  <c:v>-6.9930069930069894E-2</c:v>
                </c:pt>
                <c:pt idx="424">
                  <c:v>-6.9930069930069894E-2</c:v>
                </c:pt>
                <c:pt idx="425">
                  <c:v>-6.9333333333333302E-2</c:v>
                </c:pt>
                <c:pt idx="426">
                  <c:v>-6.9333333333333302E-2</c:v>
                </c:pt>
                <c:pt idx="427">
                  <c:v>-6.9333333333333302E-2</c:v>
                </c:pt>
                <c:pt idx="428">
                  <c:v>-6.9333333333333302E-2</c:v>
                </c:pt>
                <c:pt idx="429">
                  <c:v>-6.9069069069069094E-2</c:v>
                </c:pt>
                <c:pt idx="430">
                  <c:v>-6.9069069069069094E-2</c:v>
                </c:pt>
                <c:pt idx="431">
                  <c:v>-6.9069069069069094E-2</c:v>
                </c:pt>
                <c:pt idx="432">
                  <c:v>-6.8862275449101798E-2</c:v>
                </c:pt>
                <c:pt idx="433">
                  <c:v>-6.8000000000000005E-2</c:v>
                </c:pt>
                <c:pt idx="434">
                  <c:v>-6.75990675990676E-2</c:v>
                </c:pt>
                <c:pt idx="435">
                  <c:v>-6.75990675990676E-2</c:v>
                </c:pt>
                <c:pt idx="436">
                  <c:v>-6.6666666666666693E-2</c:v>
                </c:pt>
                <c:pt idx="437">
                  <c:v>-6.6666666666666693E-2</c:v>
                </c:pt>
                <c:pt idx="438">
                  <c:v>-6.6666666666666693E-2</c:v>
                </c:pt>
                <c:pt idx="439">
                  <c:v>-6.6666666666666693E-2</c:v>
                </c:pt>
                <c:pt idx="440">
                  <c:v>-6.6666666666666693E-2</c:v>
                </c:pt>
                <c:pt idx="441">
                  <c:v>-6.6666666666666693E-2</c:v>
                </c:pt>
                <c:pt idx="442">
                  <c:v>-6.6666666666666693E-2</c:v>
                </c:pt>
                <c:pt idx="443">
                  <c:v>-6.6666666666666693E-2</c:v>
                </c:pt>
                <c:pt idx="444">
                  <c:v>-6.6666666666666693E-2</c:v>
                </c:pt>
                <c:pt idx="445">
                  <c:v>-6.6666666666666693E-2</c:v>
                </c:pt>
                <c:pt idx="446">
                  <c:v>-6.6666666666666693E-2</c:v>
                </c:pt>
                <c:pt idx="447">
                  <c:v>-6.6066066066066104E-2</c:v>
                </c:pt>
                <c:pt idx="448">
                  <c:v>-6.6066066066066104E-2</c:v>
                </c:pt>
                <c:pt idx="449">
                  <c:v>-6.6066066066066104E-2</c:v>
                </c:pt>
                <c:pt idx="450">
                  <c:v>-6.6000000000000003E-2</c:v>
                </c:pt>
                <c:pt idx="451">
                  <c:v>-6.6000000000000003E-2</c:v>
                </c:pt>
                <c:pt idx="452">
                  <c:v>-6.6000000000000003E-2</c:v>
                </c:pt>
                <c:pt idx="453">
                  <c:v>-6.5934065934065894E-2</c:v>
                </c:pt>
                <c:pt idx="454">
                  <c:v>-6.5868263473053898E-2</c:v>
                </c:pt>
                <c:pt idx="455">
                  <c:v>-6.5868263473053898E-2</c:v>
                </c:pt>
                <c:pt idx="456">
                  <c:v>-6.5868263473053898E-2</c:v>
                </c:pt>
                <c:pt idx="457">
                  <c:v>-6.5420560747663503E-2</c:v>
                </c:pt>
                <c:pt idx="458">
                  <c:v>-6.5268065268065306E-2</c:v>
                </c:pt>
                <c:pt idx="459">
                  <c:v>-6.5268065268065306E-2</c:v>
                </c:pt>
                <c:pt idx="460">
                  <c:v>-6.4000000000000001E-2</c:v>
                </c:pt>
                <c:pt idx="461">
                  <c:v>-6.4000000000000001E-2</c:v>
                </c:pt>
                <c:pt idx="462">
                  <c:v>-6.3333333333333297E-2</c:v>
                </c:pt>
                <c:pt idx="463">
                  <c:v>-6.3084112149532703E-2</c:v>
                </c:pt>
                <c:pt idx="464">
                  <c:v>-6.3084112149532703E-2</c:v>
                </c:pt>
                <c:pt idx="465">
                  <c:v>-6.3063063063063099E-2</c:v>
                </c:pt>
                <c:pt idx="466">
                  <c:v>-6.3063063063063099E-2</c:v>
                </c:pt>
                <c:pt idx="467">
                  <c:v>-6.3063063063063099E-2</c:v>
                </c:pt>
                <c:pt idx="468">
                  <c:v>-6.2874251497005998E-2</c:v>
                </c:pt>
                <c:pt idx="469">
                  <c:v>-6.2874251497005998E-2</c:v>
                </c:pt>
                <c:pt idx="470">
                  <c:v>-6.25E-2</c:v>
                </c:pt>
                <c:pt idx="471">
                  <c:v>-6.2E-2</c:v>
                </c:pt>
                <c:pt idx="472">
                  <c:v>-6.1333333333333302E-2</c:v>
                </c:pt>
                <c:pt idx="473">
                  <c:v>-6.1333333333333302E-2</c:v>
                </c:pt>
                <c:pt idx="474">
                  <c:v>-6.0060060060060101E-2</c:v>
                </c:pt>
                <c:pt idx="475">
                  <c:v>-6.0060060060060101E-2</c:v>
                </c:pt>
                <c:pt idx="476">
                  <c:v>-0.06</c:v>
                </c:pt>
                <c:pt idx="477">
                  <c:v>-5.9880239520958098E-2</c:v>
                </c:pt>
                <c:pt idx="478">
                  <c:v>-5.9701492537313397E-2</c:v>
                </c:pt>
                <c:pt idx="479">
                  <c:v>-5.86666666666667E-2</c:v>
                </c:pt>
                <c:pt idx="480">
                  <c:v>-5.86666666666667E-2</c:v>
                </c:pt>
                <c:pt idx="481">
                  <c:v>-5.86666666666667E-2</c:v>
                </c:pt>
                <c:pt idx="482">
                  <c:v>-5.86666666666667E-2</c:v>
                </c:pt>
                <c:pt idx="483">
                  <c:v>-5.8411214953271E-2</c:v>
                </c:pt>
                <c:pt idx="484">
                  <c:v>-5.83333333333333E-2</c:v>
                </c:pt>
                <c:pt idx="485">
                  <c:v>-5.82750582750583E-2</c:v>
                </c:pt>
                <c:pt idx="486">
                  <c:v>-5.82750582750583E-2</c:v>
                </c:pt>
                <c:pt idx="487">
                  <c:v>-5.8000000000000003E-2</c:v>
                </c:pt>
                <c:pt idx="488">
                  <c:v>-5.7057057057057103E-2</c:v>
                </c:pt>
                <c:pt idx="489">
                  <c:v>-5.7057057057057103E-2</c:v>
                </c:pt>
                <c:pt idx="490">
                  <c:v>-5.7057057057057103E-2</c:v>
                </c:pt>
                <c:pt idx="491">
                  <c:v>-5.7057057057057103E-2</c:v>
                </c:pt>
                <c:pt idx="492">
                  <c:v>-5.7057057057057103E-2</c:v>
                </c:pt>
                <c:pt idx="493">
                  <c:v>-5.6886227544910198E-2</c:v>
                </c:pt>
                <c:pt idx="494">
                  <c:v>-5.6000000000000001E-2</c:v>
                </c:pt>
                <c:pt idx="495">
                  <c:v>-5.6000000000000001E-2</c:v>
                </c:pt>
                <c:pt idx="496">
                  <c:v>-5.6000000000000001E-2</c:v>
                </c:pt>
                <c:pt idx="497">
                  <c:v>-5.6000000000000001E-2</c:v>
                </c:pt>
                <c:pt idx="498">
                  <c:v>-5.6000000000000001E-2</c:v>
                </c:pt>
                <c:pt idx="499">
                  <c:v>-5.5944055944055902E-2</c:v>
                </c:pt>
                <c:pt idx="500">
                  <c:v>-5.5555555555555601E-2</c:v>
                </c:pt>
                <c:pt idx="501">
                  <c:v>-5.4054054054054099E-2</c:v>
                </c:pt>
                <c:pt idx="502">
                  <c:v>-5.4054054054054099E-2</c:v>
                </c:pt>
                <c:pt idx="503">
                  <c:v>-5.4054054054054099E-2</c:v>
                </c:pt>
                <c:pt idx="504">
                  <c:v>-5.4054054054054099E-2</c:v>
                </c:pt>
                <c:pt idx="505">
                  <c:v>-5.4054054054054099E-2</c:v>
                </c:pt>
                <c:pt idx="506">
                  <c:v>-5.4054054054054099E-2</c:v>
                </c:pt>
                <c:pt idx="507">
                  <c:v>-5.4054054054054099E-2</c:v>
                </c:pt>
                <c:pt idx="508">
                  <c:v>-5.3999999999999999E-2</c:v>
                </c:pt>
                <c:pt idx="509">
                  <c:v>-5.3999999999999999E-2</c:v>
                </c:pt>
                <c:pt idx="510">
                  <c:v>-5.3892215568862298E-2</c:v>
                </c:pt>
                <c:pt idx="511">
                  <c:v>-5.3738317757009303E-2</c:v>
                </c:pt>
                <c:pt idx="512">
                  <c:v>-5.3613053613053602E-2</c:v>
                </c:pt>
                <c:pt idx="513">
                  <c:v>-5.3613053613053602E-2</c:v>
                </c:pt>
                <c:pt idx="514">
                  <c:v>-5.3613053613053602E-2</c:v>
                </c:pt>
                <c:pt idx="515">
                  <c:v>-5.3613053613053602E-2</c:v>
                </c:pt>
                <c:pt idx="516">
                  <c:v>-5.3613053613053602E-2</c:v>
                </c:pt>
                <c:pt idx="517">
                  <c:v>-5.3333333333333302E-2</c:v>
                </c:pt>
                <c:pt idx="518">
                  <c:v>-5.3333333333333302E-2</c:v>
                </c:pt>
                <c:pt idx="519">
                  <c:v>-5.3333333333333302E-2</c:v>
                </c:pt>
                <c:pt idx="520">
                  <c:v>-5.3333333333333302E-2</c:v>
                </c:pt>
                <c:pt idx="521">
                  <c:v>-5.1999999999999998E-2</c:v>
                </c:pt>
                <c:pt idx="522">
                  <c:v>-5.1999999999999998E-2</c:v>
                </c:pt>
                <c:pt idx="523">
                  <c:v>-5.1666666666666701E-2</c:v>
                </c:pt>
                <c:pt idx="524">
                  <c:v>-5.1666666666666701E-2</c:v>
                </c:pt>
                <c:pt idx="525">
                  <c:v>-5.1401869158878503E-2</c:v>
                </c:pt>
                <c:pt idx="526">
                  <c:v>-5.1282051282051301E-2</c:v>
                </c:pt>
                <c:pt idx="527">
                  <c:v>-5.1282051282051301E-2</c:v>
                </c:pt>
                <c:pt idx="528">
                  <c:v>-5.1051051051051101E-2</c:v>
                </c:pt>
                <c:pt idx="529">
                  <c:v>-5.1051051051051101E-2</c:v>
                </c:pt>
                <c:pt idx="530">
                  <c:v>-5.0955414012738898E-2</c:v>
                </c:pt>
                <c:pt idx="531">
                  <c:v>-5.0898203592814398E-2</c:v>
                </c:pt>
                <c:pt idx="532">
                  <c:v>-5.06666666666667E-2</c:v>
                </c:pt>
                <c:pt idx="533">
                  <c:v>-5.06666666666667E-2</c:v>
                </c:pt>
                <c:pt idx="534">
                  <c:v>-5.06666666666667E-2</c:v>
                </c:pt>
                <c:pt idx="535">
                  <c:v>-5.06666666666667E-2</c:v>
                </c:pt>
                <c:pt idx="536">
                  <c:v>-5.06666666666667E-2</c:v>
                </c:pt>
                <c:pt idx="537">
                  <c:v>-0.05</c:v>
                </c:pt>
                <c:pt idx="538">
                  <c:v>-0.05</c:v>
                </c:pt>
                <c:pt idx="539">
                  <c:v>-4.8951048951049E-2</c:v>
                </c:pt>
                <c:pt idx="540">
                  <c:v>-4.8951048951049E-2</c:v>
                </c:pt>
                <c:pt idx="541">
                  <c:v>-4.8048048048047999E-2</c:v>
                </c:pt>
                <c:pt idx="542">
                  <c:v>-4.8000000000000001E-2</c:v>
                </c:pt>
                <c:pt idx="543">
                  <c:v>-4.8000000000000001E-2</c:v>
                </c:pt>
                <c:pt idx="544">
                  <c:v>-4.8000000000000001E-2</c:v>
                </c:pt>
                <c:pt idx="545">
                  <c:v>-4.8000000000000001E-2</c:v>
                </c:pt>
                <c:pt idx="546">
                  <c:v>-4.7904191616766498E-2</c:v>
                </c:pt>
                <c:pt idx="547">
                  <c:v>-4.7904191616766498E-2</c:v>
                </c:pt>
                <c:pt idx="548">
                  <c:v>-4.67289719626168E-2</c:v>
                </c:pt>
                <c:pt idx="549">
                  <c:v>-4.6666666666666697E-2</c:v>
                </c:pt>
                <c:pt idx="550">
                  <c:v>-4.6620046620046603E-2</c:v>
                </c:pt>
                <c:pt idx="551">
                  <c:v>-4.6620046620046603E-2</c:v>
                </c:pt>
                <c:pt idx="552">
                  <c:v>-4.6511627906976702E-2</c:v>
                </c:pt>
                <c:pt idx="553">
                  <c:v>-4.5999999999999999E-2</c:v>
                </c:pt>
                <c:pt idx="554">
                  <c:v>-4.5999999999999999E-2</c:v>
                </c:pt>
                <c:pt idx="555">
                  <c:v>-4.5333333333333302E-2</c:v>
                </c:pt>
                <c:pt idx="556">
                  <c:v>-4.5333333333333302E-2</c:v>
                </c:pt>
                <c:pt idx="557">
                  <c:v>-4.5333333333333302E-2</c:v>
                </c:pt>
                <c:pt idx="558">
                  <c:v>-4.5045045045045001E-2</c:v>
                </c:pt>
                <c:pt idx="559">
                  <c:v>-4.5045045045045001E-2</c:v>
                </c:pt>
                <c:pt idx="560">
                  <c:v>-4.5045045045045001E-2</c:v>
                </c:pt>
                <c:pt idx="561">
                  <c:v>-4.5045045045045001E-2</c:v>
                </c:pt>
                <c:pt idx="562">
                  <c:v>-4.5045045045045001E-2</c:v>
                </c:pt>
                <c:pt idx="563">
                  <c:v>-4.5045045045045001E-2</c:v>
                </c:pt>
                <c:pt idx="564">
                  <c:v>-4.4910179640718598E-2</c:v>
                </c:pt>
                <c:pt idx="565">
                  <c:v>-4.4392523364486E-2</c:v>
                </c:pt>
                <c:pt idx="566">
                  <c:v>-4.4392523364486E-2</c:v>
                </c:pt>
                <c:pt idx="567">
                  <c:v>-4.4392523364486E-2</c:v>
                </c:pt>
                <c:pt idx="568">
                  <c:v>-4.4289044289044302E-2</c:v>
                </c:pt>
                <c:pt idx="569">
                  <c:v>-4.4289044289044302E-2</c:v>
                </c:pt>
                <c:pt idx="570">
                  <c:v>-4.3999999999999997E-2</c:v>
                </c:pt>
                <c:pt idx="571">
                  <c:v>-4.26666666666667E-2</c:v>
                </c:pt>
                <c:pt idx="572">
                  <c:v>-4.26666666666667E-2</c:v>
                </c:pt>
                <c:pt idx="573">
                  <c:v>-4.26666666666667E-2</c:v>
                </c:pt>
                <c:pt idx="574">
                  <c:v>-4.26666666666667E-2</c:v>
                </c:pt>
                <c:pt idx="575">
                  <c:v>-4.26666666666667E-2</c:v>
                </c:pt>
                <c:pt idx="576">
                  <c:v>-4.26666666666667E-2</c:v>
                </c:pt>
                <c:pt idx="577">
                  <c:v>-4.2056074766355103E-2</c:v>
                </c:pt>
                <c:pt idx="578">
                  <c:v>-4.2042042042041997E-2</c:v>
                </c:pt>
                <c:pt idx="579">
                  <c:v>-4.2042042042041997E-2</c:v>
                </c:pt>
                <c:pt idx="580">
                  <c:v>-4.2042042042041997E-2</c:v>
                </c:pt>
                <c:pt idx="581">
                  <c:v>-4.2042042042041997E-2</c:v>
                </c:pt>
                <c:pt idx="582">
                  <c:v>-4.1958041958042001E-2</c:v>
                </c:pt>
                <c:pt idx="583">
                  <c:v>-4.1958041958042001E-2</c:v>
                </c:pt>
                <c:pt idx="584">
                  <c:v>-4.1958041958042001E-2</c:v>
                </c:pt>
                <c:pt idx="585">
                  <c:v>-4.1958041958042001E-2</c:v>
                </c:pt>
                <c:pt idx="586">
                  <c:v>-4.1916167664670698E-2</c:v>
                </c:pt>
                <c:pt idx="587">
                  <c:v>-4.1916167664670698E-2</c:v>
                </c:pt>
                <c:pt idx="588">
                  <c:v>-4.1916167664670698E-2</c:v>
                </c:pt>
                <c:pt idx="589">
                  <c:v>-4.1916167664670698E-2</c:v>
                </c:pt>
                <c:pt idx="590">
                  <c:v>-4.1666666666666699E-2</c:v>
                </c:pt>
                <c:pt idx="591">
                  <c:v>-4.1333333333333298E-2</c:v>
                </c:pt>
                <c:pt idx="592">
                  <c:v>-0.04</c:v>
                </c:pt>
                <c:pt idx="593">
                  <c:v>-0.04</c:v>
                </c:pt>
                <c:pt idx="594">
                  <c:v>-0.04</c:v>
                </c:pt>
                <c:pt idx="595">
                  <c:v>-0.04</c:v>
                </c:pt>
                <c:pt idx="596">
                  <c:v>-0.04</c:v>
                </c:pt>
                <c:pt idx="597">
                  <c:v>-0.04</c:v>
                </c:pt>
                <c:pt idx="598">
                  <c:v>-3.9719626168224297E-2</c:v>
                </c:pt>
                <c:pt idx="599">
                  <c:v>-3.9627039627039597E-2</c:v>
                </c:pt>
                <c:pt idx="600">
                  <c:v>-3.9039039039038999E-2</c:v>
                </c:pt>
                <c:pt idx="601">
                  <c:v>-3.9039039039038999E-2</c:v>
                </c:pt>
                <c:pt idx="602">
                  <c:v>-3.9039039039038999E-2</c:v>
                </c:pt>
                <c:pt idx="603">
                  <c:v>-3.9039039039038999E-2</c:v>
                </c:pt>
                <c:pt idx="604">
                  <c:v>-3.9039039039038999E-2</c:v>
                </c:pt>
                <c:pt idx="605">
                  <c:v>-3.8333333333333303E-2</c:v>
                </c:pt>
                <c:pt idx="606">
                  <c:v>-3.7999999999999999E-2</c:v>
                </c:pt>
                <c:pt idx="607">
                  <c:v>-3.7999999999999999E-2</c:v>
                </c:pt>
                <c:pt idx="608">
                  <c:v>-3.7999999999999999E-2</c:v>
                </c:pt>
                <c:pt idx="609">
                  <c:v>-3.7333333333333302E-2</c:v>
                </c:pt>
                <c:pt idx="610">
                  <c:v>-3.7333333333333302E-2</c:v>
                </c:pt>
                <c:pt idx="611">
                  <c:v>-3.7296037296037303E-2</c:v>
                </c:pt>
                <c:pt idx="612">
                  <c:v>-3.7296037296037303E-2</c:v>
                </c:pt>
                <c:pt idx="613">
                  <c:v>-3.6363636363636397E-2</c:v>
                </c:pt>
                <c:pt idx="614">
                  <c:v>-3.6036036036036001E-2</c:v>
                </c:pt>
                <c:pt idx="615">
                  <c:v>-3.6036036036036001E-2</c:v>
                </c:pt>
                <c:pt idx="616">
                  <c:v>-3.5999999999999997E-2</c:v>
                </c:pt>
                <c:pt idx="617">
                  <c:v>-3.5999999999999997E-2</c:v>
                </c:pt>
                <c:pt idx="618">
                  <c:v>-3.5999999999999997E-2</c:v>
                </c:pt>
                <c:pt idx="619">
                  <c:v>-3.59281437125748E-2</c:v>
                </c:pt>
                <c:pt idx="620">
                  <c:v>-3.50467289719626E-2</c:v>
                </c:pt>
                <c:pt idx="621">
                  <c:v>-3.5000000000000003E-2</c:v>
                </c:pt>
                <c:pt idx="622">
                  <c:v>-3.4965034965035002E-2</c:v>
                </c:pt>
                <c:pt idx="623">
                  <c:v>-3.4965034965035002E-2</c:v>
                </c:pt>
                <c:pt idx="624">
                  <c:v>-3.46666666666667E-2</c:v>
                </c:pt>
                <c:pt idx="625">
                  <c:v>-3.46666666666667E-2</c:v>
                </c:pt>
                <c:pt idx="626">
                  <c:v>-3.46666666666667E-2</c:v>
                </c:pt>
                <c:pt idx="627">
                  <c:v>-3.46666666666667E-2</c:v>
                </c:pt>
                <c:pt idx="628">
                  <c:v>-3.46666666666667E-2</c:v>
                </c:pt>
                <c:pt idx="629">
                  <c:v>-3.46666666666667E-2</c:v>
                </c:pt>
                <c:pt idx="630">
                  <c:v>-3.3333333333333298E-2</c:v>
                </c:pt>
                <c:pt idx="631">
                  <c:v>-3.3033033033033003E-2</c:v>
                </c:pt>
                <c:pt idx="632">
                  <c:v>-3.3033033033033003E-2</c:v>
                </c:pt>
                <c:pt idx="633">
                  <c:v>-3.3033033033033003E-2</c:v>
                </c:pt>
                <c:pt idx="634">
                  <c:v>-3.3033033033033003E-2</c:v>
                </c:pt>
                <c:pt idx="635">
                  <c:v>-3.29341317365269E-2</c:v>
                </c:pt>
                <c:pt idx="636">
                  <c:v>-3.29341317365269E-2</c:v>
                </c:pt>
                <c:pt idx="637">
                  <c:v>-3.29341317365269E-2</c:v>
                </c:pt>
                <c:pt idx="638">
                  <c:v>-3.27102803738318E-2</c:v>
                </c:pt>
                <c:pt idx="639">
                  <c:v>-3.27102803738318E-2</c:v>
                </c:pt>
                <c:pt idx="640">
                  <c:v>-3.2000000000000001E-2</c:v>
                </c:pt>
                <c:pt idx="641">
                  <c:v>-3.2000000000000001E-2</c:v>
                </c:pt>
                <c:pt idx="642">
                  <c:v>-3.2000000000000001E-2</c:v>
                </c:pt>
                <c:pt idx="643">
                  <c:v>-3.2000000000000001E-2</c:v>
                </c:pt>
                <c:pt idx="644">
                  <c:v>-3.2000000000000001E-2</c:v>
                </c:pt>
                <c:pt idx="645">
                  <c:v>-3.2000000000000001E-2</c:v>
                </c:pt>
                <c:pt idx="646">
                  <c:v>-3.2000000000000001E-2</c:v>
                </c:pt>
                <c:pt idx="647">
                  <c:v>-3.2000000000000001E-2</c:v>
                </c:pt>
                <c:pt idx="648">
                  <c:v>-3.2000000000000001E-2</c:v>
                </c:pt>
                <c:pt idx="649">
                  <c:v>-3.03738317757009E-2</c:v>
                </c:pt>
                <c:pt idx="650">
                  <c:v>-3.03738317757009E-2</c:v>
                </c:pt>
                <c:pt idx="651">
                  <c:v>-3.03030303030303E-2</c:v>
                </c:pt>
                <c:pt idx="652">
                  <c:v>-3.03030303030303E-2</c:v>
                </c:pt>
                <c:pt idx="653">
                  <c:v>-3.0120481927710802E-2</c:v>
                </c:pt>
                <c:pt idx="654">
                  <c:v>-3.0030030030029999E-2</c:v>
                </c:pt>
                <c:pt idx="655">
                  <c:v>-3.0030030030029999E-2</c:v>
                </c:pt>
                <c:pt idx="656">
                  <c:v>-0.03</c:v>
                </c:pt>
                <c:pt idx="657">
                  <c:v>-0.03</c:v>
                </c:pt>
                <c:pt idx="658">
                  <c:v>-2.9940119760479E-2</c:v>
                </c:pt>
                <c:pt idx="659">
                  <c:v>-2.9333333333333302E-2</c:v>
                </c:pt>
                <c:pt idx="660">
                  <c:v>-2.9333333333333302E-2</c:v>
                </c:pt>
                <c:pt idx="661">
                  <c:v>-2.9333333333333302E-2</c:v>
                </c:pt>
                <c:pt idx="662">
                  <c:v>-2.9333333333333302E-2</c:v>
                </c:pt>
                <c:pt idx="663">
                  <c:v>-2.9333333333333302E-2</c:v>
                </c:pt>
                <c:pt idx="664">
                  <c:v>-2.80373831775701E-2</c:v>
                </c:pt>
                <c:pt idx="665">
                  <c:v>-2.80373831775701E-2</c:v>
                </c:pt>
                <c:pt idx="666">
                  <c:v>-2.8000000000000001E-2</c:v>
                </c:pt>
                <c:pt idx="667">
                  <c:v>-2.7972027972028E-2</c:v>
                </c:pt>
                <c:pt idx="668">
                  <c:v>-2.7972027972028E-2</c:v>
                </c:pt>
                <c:pt idx="669">
                  <c:v>-2.7027027027027001E-2</c:v>
                </c:pt>
                <c:pt idx="670">
                  <c:v>-2.7027027027027001E-2</c:v>
                </c:pt>
                <c:pt idx="671">
                  <c:v>-2.7027027027027001E-2</c:v>
                </c:pt>
                <c:pt idx="672">
                  <c:v>-2.7027027027027001E-2</c:v>
                </c:pt>
                <c:pt idx="673">
                  <c:v>-2.7027027027027001E-2</c:v>
                </c:pt>
                <c:pt idx="674">
                  <c:v>-2.7027027027027001E-2</c:v>
                </c:pt>
                <c:pt idx="675">
                  <c:v>-2.69461077844311E-2</c:v>
                </c:pt>
                <c:pt idx="676">
                  <c:v>-2.69461077844311E-2</c:v>
                </c:pt>
                <c:pt idx="677">
                  <c:v>-2.6737967914438499E-2</c:v>
                </c:pt>
                <c:pt idx="678">
                  <c:v>-2.66666666666667E-2</c:v>
                </c:pt>
                <c:pt idx="679">
                  <c:v>-2.66666666666667E-2</c:v>
                </c:pt>
                <c:pt idx="680">
                  <c:v>-2.66666666666667E-2</c:v>
                </c:pt>
                <c:pt idx="681">
                  <c:v>-2.5999999999999999E-2</c:v>
                </c:pt>
                <c:pt idx="682">
                  <c:v>-2.5999999999999999E-2</c:v>
                </c:pt>
                <c:pt idx="683">
                  <c:v>-2.57009345794393E-2</c:v>
                </c:pt>
                <c:pt idx="684">
                  <c:v>-2.5641025641025599E-2</c:v>
                </c:pt>
                <c:pt idx="685">
                  <c:v>-2.5333333333333301E-2</c:v>
                </c:pt>
                <c:pt idx="686">
                  <c:v>-2.5000000000000001E-2</c:v>
                </c:pt>
                <c:pt idx="687">
                  <c:v>-2.4024024024024E-2</c:v>
                </c:pt>
                <c:pt idx="688">
                  <c:v>-2.4024024024024E-2</c:v>
                </c:pt>
                <c:pt idx="689">
                  <c:v>-2.4024024024024E-2</c:v>
                </c:pt>
                <c:pt idx="690">
                  <c:v>-2.4024024024024E-2</c:v>
                </c:pt>
                <c:pt idx="691">
                  <c:v>-2.4E-2</c:v>
                </c:pt>
                <c:pt idx="692">
                  <c:v>-2.4E-2</c:v>
                </c:pt>
                <c:pt idx="693">
                  <c:v>-2.4E-2</c:v>
                </c:pt>
                <c:pt idx="694">
                  <c:v>-2.4E-2</c:v>
                </c:pt>
                <c:pt idx="695">
                  <c:v>-2.4E-2</c:v>
                </c:pt>
                <c:pt idx="696">
                  <c:v>-2.4E-2</c:v>
                </c:pt>
                <c:pt idx="697">
                  <c:v>-2.4E-2</c:v>
                </c:pt>
                <c:pt idx="698">
                  <c:v>-2.4E-2</c:v>
                </c:pt>
                <c:pt idx="699">
                  <c:v>-2.39520958083832E-2</c:v>
                </c:pt>
                <c:pt idx="700">
                  <c:v>-2.39520958083832E-2</c:v>
                </c:pt>
                <c:pt idx="701">
                  <c:v>-2.39520958083832E-2</c:v>
                </c:pt>
                <c:pt idx="702">
                  <c:v>-2.1999999999999999E-2</c:v>
                </c:pt>
                <c:pt idx="703">
                  <c:v>-2.1333333333333301E-2</c:v>
                </c:pt>
                <c:pt idx="704">
                  <c:v>-2.1333333333333301E-2</c:v>
                </c:pt>
                <c:pt idx="705">
                  <c:v>-2.1333333333333301E-2</c:v>
                </c:pt>
                <c:pt idx="706">
                  <c:v>-2.10280373831776E-2</c:v>
                </c:pt>
                <c:pt idx="707">
                  <c:v>-2.10280373831776E-2</c:v>
                </c:pt>
                <c:pt idx="708">
                  <c:v>-2.10280373831776E-2</c:v>
                </c:pt>
                <c:pt idx="709">
                  <c:v>-2.1021021021020998E-2</c:v>
                </c:pt>
                <c:pt idx="710">
                  <c:v>-2.1021021021020998E-2</c:v>
                </c:pt>
                <c:pt idx="711">
                  <c:v>-2.1021021021020998E-2</c:v>
                </c:pt>
                <c:pt idx="712">
                  <c:v>-2.0979020979021001E-2</c:v>
                </c:pt>
                <c:pt idx="713">
                  <c:v>-2.0979020979021001E-2</c:v>
                </c:pt>
                <c:pt idx="714">
                  <c:v>-2.0979020979021001E-2</c:v>
                </c:pt>
                <c:pt idx="715">
                  <c:v>-2.09580838323353E-2</c:v>
                </c:pt>
                <c:pt idx="716">
                  <c:v>-2.09580838323353E-2</c:v>
                </c:pt>
                <c:pt idx="717">
                  <c:v>-2.09580838323353E-2</c:v>
                </c:pt>
                <c:pt idx="718">
                  <c:v>-1.86915887850467E-2</c:v>
                </c:pt>
                <c:pt idx="719">
                  <c:v>-1.8666666666666699E-2</c:v>
                </c:pt>
                <c:pt idx="720">
                  <c:v>-1.8666666666666699E-2</c:v>
                </c:pt>
                <c:pt idx="721">
                  <c:v>-1.8666666666666699E-2</c:v>
                </c:pt>
                <c:pt idx="722">
                  <c:v>-1.8666666666666699E-2</c:v>
                </c:pt>
                <c:pt idx="723">
                  <c:v>-1.8666666666666699E-2</c:v>
                </c:pt>
                <c:pt idx="724">
                  <c:v>-1.8018018018018001E-2</c:v>
                </c:pt>
                <c:pt idx="725">
                  <c:v>-1.8018018018018001E-2</c:v>
                </c:pt>
                <c:pt idx="726">
                  <c:v>-1.8018018018018001E-2</c:v>
                </c:pt>
                <c:pt idx="727">
                  <c:v>-1.8018018018018001E-2</c:v>
                </c:pt>
                <c:pt idx="728">
                  <c:v>-1.8018018018018001E-2</c:v>
                </c:pt>
                <c:pt idx="729">
                  <c:v>-1.79640718562874E-2</c:v>
                </c:pt>
                <c:pt idx="730">
                  <c:v>-1.79640718562874E-2</c:v>
                </c:pt>
                <c:pt idx="731">
                  <c:v>-1.79640718562874E-2</c:v>
                </c:pt>
                <c:pt idx="732">
                  <c:v>-1.79640718562874E-2</c:v>
                </c:pt>
                <c:pt idx="733">
                  <c:v>-1.7333333333333301E-2</c:v>
                </c:pt>
                <c:pt idx="734">
                  <c:v>-1.7333333333333301E-2</c:v>
                </c:pt>
                <c:pt idx="735">
                  <c:v>-1.6666666666666701E-2</c:v>
                </c:pt>
                <c:pt idx="736">
                  <c:v>-1.63551401869159E-2</c:v>
                </c:pt>
                <c:pt idx="737">
                  <c:v>-1.6317016317016299E-2</c:v>
                </c:pt>
                <c:pt idx="738">
                  <c:v>-1.6317016317016299E-2</c:v>
                </c:pt>
                <c:pt idx="739">
                  <c:v>-1.6E-2</c:v>
                </c:pt>
                <c:pt idx="740">
                  <c:v>-1.6E-2</c:v>
                </c:pt>
                <c:pt idx="741">
                  <c:v>-1.6E-2</c:v>
                </c:pt>
                <c:pt idx="742">
                  <c:v>-1.5015015015014999E-2</c:v>
                </c:pt>
                <c:pt idx="743">
                  <c:v>-1.5015015015014999E-2</c:v>
                </c:pt>
                <c:pt idx="744">
                  <c:v>-1.5015015015014999E-2</c:v>
                </c:pt>
                <c:pt idx="745">
                  <c:v>-1.49700598802395E-2</c:v>
                </c:pt>
                <c:pt idx="746">
                  <c:v>-1.49700598802395E-2</c:v>
                </c:pt>
                <c:pt idx="747">
                  <c:v>-1.4492753623188401E-2</c:v>
                </c:pt>
                <c:pt idx="748">
                  <c:v>-1.4018691588785E-2</c:v>
                </c:pt>
                <c:pt idx="749">
                  <c:v>-1.4E-2</c:v>
                </c:pt>
                <c:pt idx="750">
                  <c:v>-1.4E-2</c:v>
                </c:pt>
                <c:pt idx="751">
                  <c:v>-1.3986013986014E-2</c:v>
                </c:pt>
                <c:pt idx="752">
                  <c:v>-1.3986013986014E-2</c:v>
                </c:pt>
                <c:pt idx="753">
                  <c:v>-1.3698630136986301E-2</c:v>
                </c:pt>
                <c:pt idx="754">
                  <c:v>-1.3333333333333299E-2</c:v>
                </c:pt>
                <c:pt idx="755">
                  <c:v>-1.3333333333333299E-2</c:v>
                </c:pt>
                <c:pt idx="756">
                  <c:v>-1.3333333333333299E-2</c:v>
                </c:pt>
                <c:pt idx="757">
                  <c:v>-1.3333333333333299E-2</c:v>
                </c:pt>
                <c:pt idx="758">
                  <c:v>-1.3333333333333299E-2</c:v>
                </c:pt>
                <c:pt idx="759">
                  <c:v>-1.3333333333333299E-2</c:v>
                </c:pt>
                <c:pt idx="760">
                  <c:v>-1.3333333333333299E-2</c:v>
                </c:pt>
                <c:pt idx="761">
                  <c:v>-1.2012012012012E-2</c:v>
                </c:pt>
                <c:pt idx="762">
                  <c:v>-1.2012012012012E-2</c:v>
                </c:pt>
                <c:pt idx="763">
                  <c:v>-1.2012012012012E-2</c:v>
                </c:pt>
                <c:pt idx="764">
                  <c:v>-1.2E-2</c:v>
                </c:pt>
                <c:pt idx="765">
                  <c:v>-1.16822429906542E-2</c:v>
                </c:pt>
                <c:pt idx="766">
                  <c:v>-1.16822429906542E-2</c:v>
                </c:pt>
                <c:pt idx="767">
                  <c:v>-1.16822429906542E-2</c:v>
                </c:pt>
                <c:pt idx="768">
                  <c:v>-1.16822429906542E-2</c:v>
                </c:pt>
                <c:pt idx="769">
                  <c:v>-1.0666666666666699E-2</c:v>
                </c:pt>
                <c:pt idx="770">
                  <c:v>-1.0666666666666699E-2</c:v>
                </c:pt>
                <c:pt idx="771">
                  <c:v>-1.0666666666666699E-2</c:v>
                </c:pt>
                <c:pt idx="772">
                  <c:v>-1.0666666666666699E-2</c:v>
                </c:pt>
                <c:pt idx="773">
                  <c:v>-1.0666666666666699E-2</c:v>
                </c:pt>
                <c:pt idx="774">
                  <c:v>-1.0666666666666699E-2</c:v>
                </c:pt>
                <c:pt idx="775">
                  <c:v>-1.0666666666666699E-2</c:v>
                </c:pt>
                <c:pt idx="776">
                  <c:v>-1.0666666666666699E-2</c:v>
                </c:pt>
                <c:pt idx="777">
                  <c:v>-1.0666666666666699E-2</c:v>
                </c:pt>
                <c:pt idx="778">
                  <c:v>-1.0666666666666699E-2</c:v>
                </c:pt>
                <c:pt idx="779">
                  <c:v>-1.0638297872340399E-2</c:v>
                </c:pt>
                <c:pt idx="780">
                  <c:v>-0.01</c:v>
                </c:pt>
                <c:pt idx="781">
                  <c:v>-9.3457943925233603E-3</c:v>
                </c:pt>
                <c:pt idx="782">
                  <c:v>-9.3457943925233603E-3</c:v>
                </c:pt>
                <c:pt idx="783">
                  <c:v>-9.3240093240093205E-3</c:v>
                </c:pt>
                <c:pt idx="784">
                  <c:v>-9.0090090090090107E-3</c:v>
                </c:pt>
                <c:pt idx="785">
                  <c:v>-9.0090090090090107E-3</c:v>
                </c:pt>
                <c:pt idx="786">
                  <c:v>-9.0090090090090107E-3</c:v>
                </c:pt>
                <c:pt idx="787">
                  <c:v>-8.9820359281437105E-3</c:v>
                </c:pt>
                <c:pt idx="788">
                  <c:v>-8.9820359281437105E-3</c:v>
                </c:pt>
                <c:pt idx="789">
                  <c:v>-8.9820359281437105E-3</c:v>
                </c:pt>
                <c:pt idx="790">
                  <c:v>-8.9820359281437105E-3</c:v>
                </c:pt>
                <c:pt idx="791">
                  <c:v>-8.9820359281437105E-3</c:v>
                </c:pt>
                <c:pt idx="792">
                  <c:v>-8.9820359281437105E-3</c:v>
                </c:pt>
                <c:pt idx="793">
                  <c:v>-8.3333333333333297E-3</c:v>
                </c:pt>
                <c:pt idx="794">
                  <c:v>-8.0000000000000002E-3</c:v>
                </c:pt>
                <c:pt idx="795">
                  <c:v>-8.0000000000000002E-3</c:v>
                </c:pt>
                <c:pt idx="796">
                  <c:v>-8.0000000000000002E-3</c:v>
                </c:pt>
                <c:pt idx="797">
                  <c:v>-8.0000000000000002E-3</c:v>
                </c:pt>
                <c:pt idx="798">
                  <c:v>-8.0000000000000002E-3</c:v>
                </c:pt>
                <c:pt idx="799">
                  <c:v>-8.0000000000000002E-3</c:v>
                </c:pt>
                <c:pt idx="800">
                  <c:v>-8.0000000000000002E-3</c:v>
                </c:pt>
                <c:pt idx="801">
                  <c:v>-8.0000000000000002E-3</c:v>
                </c:pt>
                <c:pt idx="802">
                  <c:v>-8.0000000000000002E-3</c:v>
                </c:pt>
                <c:pt idx="803">
                  <c:v>-8.0000000000000002E-3</c:v>
                </c:pt>
                <c:pt idx="804">
                  <c:v>-7.0093457943925198E-3</c:v>
                </c:pt>
                <c:pt idx="805">
                  <c:v>-6.9930069930069904E-3</c:v>
                </c:pt>
                <c:pt idx="806">
                  <c:v>-6.9930069930069904E-3</c:v>
                </c:pt>
                <c:pt idx="807">
                  <c:v>-6.6666666666666697E-3</c:v>
                </c:pt>
                <c:pt idx="808">
                  <c:v>-6.0060060060060103E-3</c:v>
                </c:pt>
                <c:pt idx="809">
                  <c:v>-6.0060060060060103E-3</c:v>
                </c:pt>
                <c:pt idx="810">
                  <c:v>-6.0000000000000001E-3</c:v>
                </c:pt>
                <c:pt idx="811">
                  <c:v>-6.0000000000000001E-3</c:v>
                </c:pt>
                <c:pt idx="812">
                  <c:v>-5.9880239520958096E-3</c:v>
                </c:pt>
                <c:pt idx="813">
                  <c:v>-5.9880239520958096E-3</c:v>
                </c:pt>
                <c:pt idx="814">
                  <c:v>-5.3333333333333297E-3</c:v>
                </c:pt>
                <c:pt idx="815">
                  <c:v>-5.3333333333333297E-3</c:v>
                </c:pt>
                <c:pt idx="816">
                  <c:v>-5.3333333333333297E-3</c:v>
                </c:pt>
                <c:pt idx="817">
                  <c:v>-5.3333333333333297E-3</c:v>
                </c:pt>
                <c:pt idx="818">
                  <c:v>-5.3333333333333297E-3</c:v>
                </c:pt>
                <c:pt idx="819">
                  <c:v>-5.0000000000000001E-3</c:v>
                </c:pt>
                <c:pt idx="820">
                  <c:v>-4.6728971962616802E-3</c:v>
                </c:pt>
                <c:pt idx="821">
                  <c:v>-4.6620046620046603E-3</c:v>
                </c:pt>
                <c:pt idx="822">
                  <c:v>-4.6620046620046603E-3</c:v>
                </c:pt>
                <c:pt idx="823">
                  <c:v>-4.0000000000000001E-3</c:v>
                </c:pt>
                <c:pt idx="824">
                  <c:v>-3.3333333333333301E-3</c:v>
                </c:pt>
                <c:pt idx="825">
                  <c:v>-3.0030030030029999E-3</c:v>
                </c:pt>
                <c:pt idx="826">
                  <c:v>-3.0030030030029999E-3</c:v>
                </c:pt>
                <c:pt idx="827">
                  <c:v>-3.0030030030029999E-3</c:v>
                </c:pt>
                <c:pt idx="828">
                  <c:v>-2.9940119760479E-3</c:v>
                </c:pt>
                <c:pt idx="829">
                  <c:v>-2.9940119760479E-3</c:v>
                </c:pt>
                <c:pt idx="830">
                  <c:v>-2.9940119760479E-3</c:v>
                </c:pt>
                <c:pt idx="831">
                  <c:v>-2.9940119760479E-3</c:v>
                </c:pt>
                <c:pt idx="832">
                  <c:v>-2.9940119760479E-3</c:v>
                </c:pt>
                <c:pt idx="833">
                  <c:v>-2.9940119760479E-3</c:v>
                </c:pt>
                <c:pt idx="834">
                  <c:v>-2.9940119760479E-3</c:v>
                </c:pt>
                <c:pt idx="835">
                  <c:v>-2.66666666666667E-3</c:v>
                </c:pt>
                <c:pt idx="836">
                  <c:v>-2.66666666666667E-3</c:v>
                </c:pt>
                <c:pt idx="837">
                  <c:v>-2.66666666666667E-3</c:v>
                </c:pt>
                <c:pt idx="838">
                  <c:v>-2.3364485981308401E-3</c:v>
                </c:pt>
                <c:pt idx="839">
                  <c:v>-2.3364485981308401E-3</c:v>
                </c:pt>
                <c:pt idx="840">
                  <c:v>-2.3310023310023301E-3</c:v>
                </c:pt>
                <c:pt idx="841">
                  <c:v>-2E-3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1.33333333333333E-3</c:v>
                </c:pt>
                <c:pt idx="868">
                  <c:v>1.66666666666667E-3</c:v>
                </c:pt>
                <c:pt idx="869">
                  <c:v>2E-3</c:v>
                </c:pt>
                <c:pt idx="870">
                  <c:v>2E-3</c:v>
                </c:pt>
                <c:pt idx="871">
                  <c:v>2.3310023310023301E-3</c:v>
                </c:pt>
                <c:pt idx="872">
                  <c:v>2.3310023310023301E-3</c:v>
                </c:pt>
                <c:pt idx="873">
                  <c:v>2.3364485981308401E-3</c:v>
                </c:pt>
                <c:pt idx="874">
                  <c:v>2.3364485981308401E-3</c:v>
                </c:pt>
                <c:pt idx="875">
                  <c:v>2.66666666666667E-3</c:v>
                </c:pt>
                <c:pt idx="876">
                  <c:v>2.66666666666667E-3</c:v>
                </c:pt>
                <c:pt idx="877">
                  <c:v>2.66666666666667E-3</c:v>
                </c:pt>
                <c:pt idx="878">
                  <c:v>2.66666666666667E-3</c:v>
                </c:pt>
                <c:pt idx="879">
                  <c:v>2.9940119760479E-3</c:v>
                </c:pt>
                <c:pt idx="880">
                  <c:v>3.0030030030029999E-3</c:v>
                </c:pt>
                <c:pt idx="881">
                  <c:v>3.0030030030029999E-3</c:v>
                </c:pt>
                <c:pt idx="882">
                  <c:v>3.0030030030029999E-3</c:v>
                </c:pt>
                <c:pt idx="883">
                  <c:v>3.0030030030029999E-3</c:v>
                </c:pt>
                <c:pt idx="884">
                  <c:v>3.0030030030029999E-3</c:v>
                </c:pt>
                <c:pt idx="885">
                  <c:v>3.0030030030029999E-3</c:v>
                </c:pt>
                <c:pt idx="886">
                  <c:v>4.0000000000000001E-3</c:v>
                </c:pt>
                <c:pt idx="887">
                  <c:v>4.0000000000000001E-3</c:v>
                </c:pt>
                <c:pt idx="888">
                  <c:v>4.6620046620046603E-3</c:v>
                </c:pt>
                <c:pt idx="889">
                  <c:v>5.3333333333333297E-3</c:v>
                </c:pt>
                <c:pt idx="890">
                  <c:v>5.3333333333333297E-3</c:v>
                </c:pt>
                <c:pt idx="891">
                  <c:v>5.3333333333333297E-3</c:v>
                </c:pt>
                <c:pt idx="892">
                  <c:v>5.3333333333333297E-3</c:v>
                </c:pt>
                <c:pt idx="893">
                  <c:v>5.3333333333333297E-3</c:v>
                </c:pt>
                <c:pt idx="894">
                  <c:v>5.3333333333333297E-3</c:v>
                </c:pt>
                <c:pt idx="895">
                  <c:v>5.9880239520958096E-3</c:v>
                </c:pt>
                <c:pt idx="896">
                  <c:v>6.0000000000000001E-3</c:v>
                </c:pt>
                <c:pt idx="897">
                  <c:v>6.0060060060060103E-3</c:v>
                </c:pt>
                <c:pt idx="898">
                  <c:v>6.6666666666666697E-3</c:v>
                </c:pt>
                <c:pt idx="899">
                  <c:v>6.9930069930069904E-3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8.9820359281437105E-3</c:v>
                </c:pt>
                <c:pt idx="909">
                  <c:v>8.9820359281437105E-3</c:v>
                </c:pt>
                <c:pt idx="910">
                  <c:v>8.9820359281437105E-3</c:v>
                </c:pt>
                <c:pt idx="911">
                  <c:v>9.0090090090090107E-3</c:v>
                </c:pt>
                <c:pt idx="912">
                  <c:v>9.0090090090090107E-3</c:v>
                </c:pt>
                <c:pt idx="913">
                  <c:v>9.0090090090090107E-3</c:v>
                </c:pt>
                <c:pt idx="914">
                  <c:v>9.3240093240093205E-3</c:v>
                </c:pt>
                <c:pt idx="915">
                  <c:v>9.3240093240093205E-3</c:v>
                </c:pt>
                <c:pt idx="916">
                  <c:v>9.3240093240093205E-3</c:v>
                </c:pt>
                <c:pt idx="917">
                  <c:v>9.3240093240093205E-3</c:v>
                </c:pt>
                <c:pt idx="918">
                  <c:v>0.01</c:v>
                </c:pt>
                <c:pt idx="919">
                  <c:v>0.01</c:v>
                </c:pt>
                <c:pt idx="920">
                  <c:v>1.0666666666666699E-2</c:v>
                </c:pt>
                <c:pt idx="921">
                  <c:v>1.0666666666666699E-2</c:v>
                </c:pt>
                <c:pt idx="922">
                  <c:v>1.0666666666666699E-2</c:v>
                </c:pt>
                <c:pt idx="923">
                  <c:v>1.0666666666666699E-2</c:v>
                </c:pt>
                <c:pt idx="924">
                  <c:v>1.0666666666666699E-2</c:v>
                </c:pt>
                <c:pt idx="925">
                  <c:v>1.1655011655011699E-2</c:v>
                </c:pt>
                <c:pt idx="926">
                  <c:v>1.1655011655011699E-2</c:v>
                </c:pt>
                <c:pt idx="927">
                  <c:v>1.1655011655011699E-2</c:v>
                </c:pt>
                <c:pt idx="928">
                  <c:v>1.19760479041916E-2</c:v>
                </c:pt>
                <c:pt idx="929">
                  <c:v>1.19760479041916E-2</c:v>
                </c:pt>
                <c:pt idx="930">
                  <c:v>1.19760479041916E-2</c:v>
                </c:pt>
                <c:pt idx="931">
                  <c:v>1.2012012012012E-2</c:v>
                </c:pt>
                <c:pt idx="932">
                  <c:v>1.2012012012012E-2</c:v>
                </c:pt>
                <c:pt idx="933">
                  <c:v>1.2012012012012E-2</c:v>
                </c:pt>
                <c:pt idx="934">
                  <c:v>1.3333333333333299E-2</c:v>
                </c:pt>
                <c:pt idx="935">
                  <c:v>1.3333333333333299E-2</c:v>
                </c:pt>
                <c:pt idx="936">
                  <c:v>1.3333333333333299E-2</c:v>
                </c:pt>
                <c:pt idx="937">
                  <c:v>1.3333333333333299E-2</c:v>
                </c:pt>
                <c:pt idx="938">
                  <c:v>1.3333333333333299E-2</c:v>
                </c:pt>
                <c:pt idx="939">
                  <c:v>1.3333333333333299E-2</c:v>
                </c:pt>
                <c:pt idx="940">
                  <c:v>1.3986013986014E-2</c:v>
                </c:pt>
                <c:pt idx="941">
                  <c:v>1.3986013986014E-2</c:v>
                </c:pt>
                <c:pt idx="942">
                  <c:v>1.4E-2</c:v>
                </c:pt>
                <c:pt idx="943">
                  <c:v>1.4E-2</c:v>
                </c:pt>
                <c:pt idx="944">
                  <c:v>1.4E-2</c:v>
                </c:pt>
                <c:pt idx="945">
                  <c:v>1.4E-2</c:v>
                </c:pt>
                <c:pt idx="946">
                  <c:v>1.4018691588785E-2</c:v>
                </c:pt>
                <c:pt idx="947">
                  <c:v>1.4018691588785E-2</c:v>
                </c:pt>
                <c:pt idx="948">
                  <c:v>1.49700598802395E-2</c:v>
                </c:pt>
                <c:pt idx="949">
                  <c:v>1.49700598802395E-2</c:v>
                </c:pt>
                <c:pt idx="950">
                  <c:v>1.49700598802395E-2</c:v>
                </c:pt>
                <c:pt idx="951">
                  <c:v>1.5015015015014999E-2</c:v>
                </c:pt>
                <c:pt idx="952">
                  <c:v>1.5015015015014999E-2</c:v>
                </c:pt>
                <c:pt idx="953">
                  <c:v>1.5015015015014999E-2</c:v>
                </c:pt>
                <c:pt idx="954">
                  <c:v>1.6E-2</c:v>
                </c:pt>
                <c:pt idx="955">
                  <c:v>1.6E-2</c:v>
                </c:pt>
                <c:pt idx="956">
                  <c:v>1.6E-2</c:v>
                </c:pt>
                <c:pt idx="957">
                  <c:v>1.6E-2</c:v>
                </c:pt>
                <c:pt idx="958">
                  <c:v>1.6E-2</c:v>
                </c:pt>
                <c:pt idx="959">
                  <c:v>1.6E-2</c:v>
                </c:pt>
                <c:pt idx="960">
                  <c:v>1.6E-2</c:v>
                </c:pt>
                <c:pt idx="961">
                  <c:v>1.6E-2</c:v>
                </c:pt>
                <c:pt idx="962">
                  <c:v>1.6317016317016299E-2</c:v>
                </c:pt>
                <c:pt idx="963">
                  <c:v>1.63551401869159E-2</c:v>
                </c:pt>
                <c:pt idx="964">
                  <c:v>1.63551401869159E-2</c:v>
                </c:pt>
                <c:pt idx="965">
                  <c:v>1.7999999999999999E-2</c:v>
                </c:pt>
                <c:pt idx="966">
                  <c:v>1.7999999999999999E-2</c:v>
                </c:pt>
                <c:pt idx="967">
                  <c:v>1.7999999999999999E-2</c:v>
                </c:pt>
                <c:pt idx="968">
                  <c:v>1.7999999999999999E-2</c:v>
                </c:pt>
                <c:pt idx="969">
                  <c:v>1.8018018018018001E-2</c:v>
                </c:pt>
                <c:pt idx="970">
                  <c:v>1.8018018018018001E-2</c:v>
                </c:pt>
                <c:pt idx="971">
                  <c:v>1.8018018018018001E-2</c:v>
                </c:pt>
                <c:pt idx="972">
                  <c:v>1.8018018018018001E-2</c:v>
                </c:pt>
                <c:pt idx="973">
                  <c:v>1.8018018018018001E-2</c:v>
                </c:pt>
                <c:pt idx="974">
                  <c:v>1.8018018018018001E-2</c:v>
                </c:pt>
                <c:pt idx="975">
                  <c:v>1.8018018018018001E-2</c:v>
                </c:pt>
                <c:pt idx="976">
                  <c:v>1.8333333333333299E-2</c:v>
                </c:pt>
                <c:pt idx="977">
                  <c:v>1.8333333333333299E-2</c:v>
                </c:pt>
                <c:pt idx="978">
                  <c:v>1.8666666666666699E-2</c:v>
                </c:pt>
                <c:pt idx="979">
                  <c:v>1.8666666666666699E-2</c:v>
                </c:pt>
                <c:pt idx="980">
                  <c:v>1.8666666666666699E-2</c:v>
                </c:pt>
                <c:pt idx="981">
                  <c:v>1.8666666666666699E-2</c:v>
                </c:pt>
                <c:pt idx="982">
                  <c:v>1.86915887850467E-2</c:v>
                </c:pt>
                <c:pt idx="983">
                  <c:v>0.02</c:v>
                </c:pt>
                <c:pt idx="984">
                  <c:v>2.09580838323353E-2</c:v>
                </c:pt>
                <c:pt idx="985">
                  <c:v>2.09580838323353E-2</c:v>
                </c:pt>
                <c:pt idx="986">
                  <c:v>2.09580838323353E-2</c:v>
                </c:pt>
                <c:pt idx="987">
                  <c:v>2.0979020979021001E-2</c:v>
                </c:pt>
                <c:pt idx="988">
                  <c:v>2.0979020979021001E-2</c:v>
                </c:pt>
                <c:pt idx="989">
                  <c:v>2.1021021021020998E-2</c:v>
                </c:pt>
                <c:pt idx="990">
                  <c:v>2.1021021021020998E-2</c:v>
                </c:pt>
                <c:pt idx="991">
                  <c:v>2.1021021021020998E-2</c:v>
                </c:pt>
                <c:pt idx="992">
                  <c:v>2.1021021021020998E-2</c:v>
                </c:pt>
                <c:pt idx="993">
                  <c:v>2.1021021021020998E-2</c:v>
                </c:pt>
                <c:pt idx="994">
                  <c:v>2.1021021021020998E-2</c:v>
                </c:pt>
                <c:pt idx="995">
                  <c:v>2.1333333333333301E-2</c:v>
                </c:pt>
                <c:pt idx="996">
                  <c:v>2.1333333333333301E-2</c:v>
                </c:pt>
                <c:pt idx="997">
                  <c:v>2.1333333333333301E-2</c:v>
                </c:pt>
                <c:pt idx="998">
                  <c:v>2.1333333333333301E-2</c:v>
                </c:pt>
                <c:pt idx="999">
                  <c:v>2.1333333333333301E-2</c:v>
                </c:pt>
                <c:pt idx="1000">
                  <c:v>2.1333333333333301E-2</c:v>
                </c:pt>
                <c:pt idx="1001">
                  <c:v>2.1333333333333301E-2</c:v>
                </c:pt>
                <c:pt idx="1002">
                  <c:v>2.1666666666666699E-2</c:v>
                </c:pt>
                <c:pt idx="1003">
                  <c:v>2.3310023310023301E-2</c:v>
                </c:pt>
                <c:pt idx="1004">
                  <c:v>2.3310023310023301E-2</c:v>
                </c:pt>
                <c:pt idx="1005">
                  <c:v>2.33644859813084E-2</c:v>
                </c:pt>
                <c:pt idx="1006">
                  <c:v>2.39520958083832E-2</c:v>
                </c:pt>
                <c:pt idx="1007">
                  <c:v>2.39520958083832E-2</c:v>
                </c:pt>
                <c:pt idx="1008">
                  <c:v>2.4E-2</c:v>
                </c:pt>
                <c:pt idx="1009">
                  <c:v>2.4E-2</c:v>
                </c:pt>
                <c:pt idx="1010">
                  <c:v>2.4E-2</c:v>
                </c:pt>
                <c:pt idx="1011">
                  <c:v>2.4E-2</c:v>
                </c:pt>
                <c:pt idx="1012">
                  <c:v>2.4E-2</c:v>
                </c:pt>
                <c:pt idx="1013">
                  <c:v>2.4E-2</c:v>
                </c:pt>
                <c:pt idx="1014">
                  <c:v>2.4E-2</c:v>
                </c:pt>
                <c:pt idx="1015">
                  <c:v>2.4E-2</c:v>
                </c:pt>
                <c:pt idx="1016">
                  <c:v>2.4E-2</c:v>
                </c:pt>
                <c:pt idx="1017">
                  <c:v>2.4E-2</c:v>
                </c:pt>
                <c:pt idx="1018">
                  <c:v>2.4024024024024E-2</c:v>
                </c:pt>
                <c:pt idx="1019">
                  <c:v>2.4024024024024E-2</c:v>
                </c:pt>
                <c:pt idx="1020">
                  <c:v>2.4024024024024E-2</c:v>
                </c:pt>
                <c:pt idx="1021">
                  <c:v>2.5000000000000001E-2</c:v>
                </c:pt>
                <c:pt idx="1022">
                  <c:v>2.5641025641025599E-2</c:v>
                </c:pt>
                <c:pt idx="1023">
                  <c:v>2.5641025641025599E-2</c:v>
                </c:pt>
                <c:pt idx="1024">
                  <c:v>2.57009345794393E-2</c:v>
                </c:pt>
                <c:pt idx="1025">
                  <c:v>2.57009345794393E-2</c:v>
                </c:pt>
                <c:pt idx="1026">
                  <c:v>2.66666666666667E-2</c:v>
                </c:pt>
                <c:pt idx="1027">
                  <c:v>2.66666666666667E-2</c:v>
                </c:pt>
                <c:pt idx="1028">
                  <c:v>2.66666666666667E-2</c:v>
                </c:pt>
                <c:pt idx="1029">
                  <c:v>2.66666666666667E-2</c:v>
                </c:pt>
                <c:pt idx="1030">
                  <c:v>2.69461077844311E-2</c:v>
                </c:pt>
                <c:pt idx="1031">
                  <c:v>2.69461077844311E-2</c:v>
                </c:pt>
                <c:pt idx="1032">
                  <c:v>2.69461077844311E-2</c:v>
                </c:pt>
                <c:pt idx="1033">
                  <c:v>2.69461077844311E-2</c:v>
                </c:pt>
                <c:pt idx="1034">
                  <c:v>2.69461077844311E-2</c:v>
                </c:pt>
                <c:pt idx="1035">
                  <c:v>2.69461077844311E-2</c:v>
                </c:pt>
                <c:pt idx="1036">
                  <c:v>2.7027027027027001E-2</c:v>
                </c:pt>
                <c:pt idx="1037">
                  <c:v>2.7027027027027001E-2</c:v>
                </c:pt>
                <c:pt idx="1038">
                  <c:v>2.7027027027027001E-2</c:v>
                </c:pt>
                <c:pt idx="1039">
                  <c:v>2.7027027027027001E-2</c:v>
                </c:pt>
                <c:pt idx="1040">
                  <c:v>2.7027027027027001E-2</c:v>
                </c:pt>
                <c:pt idx="1041">
                  <c:v>2.7027027027027001E-2</c:v>
                </c:pt>
                <c:pt idx="1042">
                  <c:v>2.7027027027027001E-2</c:v>
                </c:pt>
                <c:pt idx="1043">
                  <c:v>2.7972027972028E-2</c:v>
                </c:pt>
                <c:pt idx="1044">
                  <c:v>2.8000000000000001E-2</c:v>
                </c:pt>
                <c:pt idx="1045">
                  <c:v>2.8000000000000001E-2</c:v>
                </c:pt>
                <c:pt idx="1046">
                  <c:v>2.9333333333333302E-2</c:v>
                </c:pt>
                <c:pt idx="1047">
                  <c:v>2.9333333333333302E-2</c:v>
                </c:pt>
                <c:pt idx="1048">
                  <c:v>2.9333333333333302E-2</c:v>
                </c:pt>
                <c:pt idx="1049">
                  <c:v>2.9333333333333302E-2</c:v>
                </c:pt>
                <c:pt idx="1050">
                  <c:v>2.9333333333333302E-2</c:v>
                </c:pt>
                <c:pt idx="1051">
                  <c:v>2.9333333333333302E-2</c:v>
                </c:pt>
                <c:pt idx="1052">
                  <c:v>2.9333333333333302E-2</c:v>
                </c:pt>
                <c:pt idx="1053">
                  <c:v>2.9333333333333302E-2</c:v>
                </c:pt>
                <c:pt idx="1054">
                  <c:v>2.9940119760479E-2</c:v>
                </c:pt>
                <c:pt idx="1055">
                  <c:v>2.9940119760479E-2</c:v>
                </c:pt>
                <c:pt idx="1056">
                  <c:v>2.9940119760479E-2</c:v>
                </c:pt>
                <c:pt idx="1057">
                  <c:v>2.9940119760479E-2</c:v>
                </c:pt>
                <c:pt idx="1058">
                  <c:v>2.9940119760479E-2</c:v>
                </c:pt>
                <c:pt idx="1059">
                  <c:v>2.9940119760479E-2</c:v>
                </c:pt>
                <c:pt idx="1060">
                  <c:v>2.9940119760479E-2</c:v>
                </c:pt>
                <c:pt idx="1061">
                  <c:v>0.03</c:v>
                </c:pt>
                <c:pt idx="1062">
                  <c:v>3.0030030030029999E-2</c:v>
                </c:pt>
                <c:pt idx="1063">
                  <c:v>3.0030030030029999E-2</c:v>
                </c:pt>
                <c:pt idx="1064">
                  <c:v>3.0030030030029999E-2</c:v>
                </c:pt>
                <c:pt idx="1065">
                  <c:v>3.03030303030303E-2</c:v>
                </c:pt>
                <c:pt idx="1066">
                  <c:v>3.03030303030303E-2</c:v>
                </c:pt>
                <c:pt idx="1067">
                  <c:v>3.03030303030303E-2</c:v>
                </c:pt>
                <c:pt idx="1068">
                  <c:v>3.03030303030303E-2</c:v>
                </c:pt>
                <c:pt idx="1069">
                  <c:v>3.03030303030303E-2</c:v>
                </c:pt>
                <c:pt idx="1070">
                  <c:v>3.03030303030303E-2</c:v>
                </c:pt>
                <c:pt idx="1071">
                  <c:v>3.03738317757009E-2</c:v>
                </c:pt>
                <c:pt idx="1072">
                  <c:v>3.1666666666666697E-2</c:v>
                </c:pt>
                <c:pt idx="1073">
                  <c:v>3.2000000000000001E-2</c:v>
                </c:pt>
                <c:pt idx="1074">
                  <c:v>3.2000000000000001E-2</c:v>
                </c:pt>
                <c:pt idx="1075">
                  <c:v>3.27102803738318E-2</c:v>
                </c:pt>
                <c:pt idx="1076">
                  <c:v>3.29341317365269E-2</c:v>
                </c:pt>
                <c:pt idx="1077">
                  <c:v>3.29341317365269E-2</c:v>
                </c:pt>
                <c:pt idx="1078">
                  <c:v>3.3033033033033003E-2</c:v>
                </c:pt>
                <c:pt idx="1079">
                  <c:v>3.3033033033033003E-2</c:v>
                </c:pt>
                <c:pt idx="1080">
                  <c:v>3.3033033033033003E-2</c:v>
                </c:pt>
                <c:pt idx="1081">
                  <c:v>3.3033033033033003E-2</c:v>
                </c:pt>
                <c:pt idx="1082">
                  <c:v>3.3033033033033003E-2</c:v>
                </c:pt>
                <c:pt idx="1083">
                  <c:v>3.4000000000000002E-2</c:v>
                </c:pt>
                <c:pt idx="1084">
                  <c:v>3.4000000000000002E-2</c:v>
                </c:pt>
                <c:pt idx="1085">
                  <c:v>3.4000000000000002E-2</c:v>
                </c:pt>
                <c:pt idx="1086">
                  <c:v>3.4000000000000002E-2</c:v>
                </c:pt>
                <c:pt idx="1087">
                  <c:v>3.4000000000000002E-2</c:v>
                </c:pt>
                <c:pt idx="1088">
                  <c:v>3.46666666666667E-2</c:v>
                </c:pt>
                <c:pt idx="1089">
                  <c:v>3.46666666666667E-2</c:v>
                </c:pt>
                <c:pt idx="1090">
                  <c:v>3.46666666666667E-2</c:v>
                </c:pt>
                <c:pt idx="1091">
                  <c:v>3.4965034965035002E-2</c:v>
                </c:pt>
                <c:pt idx="1092">
                  <c:v>3.4965034965035002E-2</c:v>
                </c:pt>
                <c:pt idx="1093">
                  <c:v>3.4965034965035002E-2</c:v>
                </c:pt>
                <c:pt idx="1094">
                  <c:v>3.5000000000000003E-2</c:v>
                </c:pt>
                <c:pt idx="1095">
                  <c:v>3.50467289719626E-2</c:v>
                </c:pt>
                <c:pt idx="1096">
                  <c:v>3.59281437125748E-2</c:v>
                </c:pt>
                <c:pt idx="1097">
                  <c:v>3.59281437125748E-2</c:v>
                </c:pt>
                <c:pt idx="1098">
                  <c:v>3.59281437125748E-2</c:v>
                </c:pt>
                <c:pt idx="1099">
                  <c:v>3.59281437125748E-2</c:v>
                </c:pt>
                <c:pt idx="1100">
                  <c:v>3.6036036036036001E-2</c:v>
                </c:pt>
                <c:pt idx="1101">
                  <c:v>3.6036036036036001E-2</c:v>
                </c:pt>
                <c:pt idx="1102">
                  <c:v>3.6036036036036001E-2</c:v>
                </c:pt>
                <c:pt idx="1103">
                  <c:v>3.6036036036036001E-2</c:v>
                </c:pt>
                <c:pt idx="1104">
                  <c:v>3.6036036036036001E-2</c:v>
                </c:pt>
                <c:pt idx="1105">
                  <c:v>3.6036036036036001E-2</c:v>
                </c:pt>
                <c:pt idx="1106">
                  <c:v>3.7333333333333302E-2</c:v>
                </c:pt>
                <c:pt idx="1107">
                  <c:v>3.7333333333333302E-2</c:v>
                </c:pt>
                <c:pt idx="1108">
                  <c:v>3.7333333333333302E-2</c:v>
                </c:pt>
                <c:pt idx="1109">
                  <c:v>3.7333333333333302E-2</c:v>
                </c:pt>
                <c:pt idx="1110">
                  <c:v>3.7999999999999999E-2</c:v>
                </c:pt>
                <c:pt idx="1111">
                  <c:v>3.8922155688622798E-2</c:v>
                </c:pt>
                <c:pt idx="1112">
                  <c:v>3.9039039039038999E-2</c:v>
                </c:pt>
                <c:pt idx="1113">
                  <c:v>3.9039039039038999E-2</c:v>
                </c:pt>
                <c:pt idx="1114">
                  <c:v>3.9039039039038999E-2</c:v>
                </c:pt>
                <c:pt idx="1115">
                  <c:v>3.9039039039038999E-2</c:v>
                </c:pt>
                <c:pt idx="1116">
                  <c:v>3.9627039627039597E-2</c:v>
                </c:pt>
                <c:pt idx="1117">
                  <c:v>3.9627039627039597E-2</c:v>
                </c:pt>
                <c:pt idx="1118">
                  <c:v>3.9719626168224297E-2</c:v>
                </c:pt>
                <c:pt idx="1119">
                  <c:v>3.9719626168224297E-2</c:v>
                </c:pt>
                <c:pt idx="1120">
                  <c:v>0.04</c:v>
                </c:pt>
                <c:pt idx="1121">
                  <c:v>0.04</c:v>
                </c:pt>
                <c:pt idx="1122">
                  <c:v>0.04</c:v>
                </c:pt>
                <c:pt idx="1123">
                  <c:v>0.04</c:v>
                </c:pt>
                <c:pt idx="1124">
                  <c:v>0.04</c:v>
                </c:pt>
                <c:pt idx="1125">
                  <c:v>4.1916167664670698E-2</c:v>
                </c:pt>
                <c:pt idx="1126">
                  <c:v>4.1916167664670698E-2</c:v>
                </c:pt>
                <c:pt idx="1127">
                  <c:v>4.1958041958042001E-2</c:v>
                </c:pt>
                <c:pt idx="1128">
                  <c:v>4.2000000000000003E-2</c:v>
                </c:pt>
                <c:pt idx="1129">
                  <c:v>4.2000000000000003E-2</c:v>
                </c:pt>
                <c:pt idx="1130">
                  <c:v>4.2000000000000003E-2</c:v>
                </c:pt>
                <c:pt idx="1131">
                  <c:v>4.2042042042041997E-2</c:v>
                </c:pt>
                <c:pt idx="1132">
                  <c:v>4.2042042042041997E-2</c:v>
                </c:pt>
                <c:pt idx="1133">
                  <c:v>4.2042042042041997E-2</c:v>
                </c:pt>
                <c:pt idx="1134">
                  <c:v>4.2056074766355103E-2</c:v>
                </c:pt>
                <c:pt idx="1135">
                  <c:v>4.26666666666667E-2</c:v>
                </c:pt>
                <c:pt idx="1136">
                  <c:v>4.26666666666667E-2</c:v>
                </c:pt>
                <c:pt idx="1137">
                  <c:v>4.26666666666667E-2</c:v>
                </c:pt>
                <c:pt idx="1138">
                  <c:v>4.26666666666667E-2</c:v>
                </c:pt>
                <c:pt idx="1139">
                  <c:v>4.26666666666667E-2</c:v>
                </c:pt>
                <c:pt idx="1140">
                  <c:v>4.3956043956044001E-2</c:v>
                </c:pt>
                <c:pt idx="1141">
                  <c:v>4.4289044289044302E-2</c:v>
                </c:pt>
                <c:pt idx="1142">
                  <c:v>4.4392523364486E-2</c:v>
                </c:pt>
                <c:pt idx="1143">
                  <c:v>4.4392523364486E-2</c:v>
                </c:pt>
                <c:pt idx="1144">
                  <c:v>4.4910179640718598E-2</c:v>
                </c:pt>
                <c:pt idx="1145">
                  <c:v>4.49438202247191E-2</c:v>
                </c:pt>
                <c:pt idx="1146">
                  <c:v>4.4999999999999998E-2</c:v>
                </c:pt>
                <c:pt idx="1147">
                  <c:v>4.5045045045045001E-2</c:v>
                </c:pt>
                <c:pt idx="1148">
                  <c:v>4.5045045045045001E-2</c:v>
                </c:pt>
                <c:pt idx="1149">
                  <c:v>4.5045045045045001E-2</c:v>
                </c:pt>
                <c:pt idx="1150">
                  <c:v>4.5045045045045001E-2</c:v>
                </c:pt>
                <c:pt idx="1151">
                  <c:v>4.5045045045045001E-2</c:v>
                </c:pt>
                <c:pt idx="1152">
                  <c:v>4.5045045045045001E-2</c:v>
                </c:pt>
                <c:pt idx="1153">
                  <c:v>4.5045045045045001E-2</c:v>
                </c:pt>
                <c:pt idx="1154">
                  <c:v>4.5045045045045001E-2</c:v>
                </c:pt>
                <c:pt idx="1155">
                  <c:v>4.5045045045045001E-2</c:v>
                </c:pt>
                <c:pt idx="1156">
                  <c:v>4.5333333333333302E-2</c:v>
                </c:pt>
                <c:pt idx="1157">
                  <c:v>4.5333333333333302E-2</c:v>
                </c:pt>
                <c:pt idx="1158">
                  <c:v>4.5333333333333302E-2</c:v>
                </c:pt>
                <c:pt idx="1159">
                  <c:v>4.5333333333333302E-2</c:v>
                </c:pt>
                <c:pt idx="1160">
                  <c:v>4.5999999999999999E-2</c:v>
                </c:pt>
                <c:pt idx="1161">
                  <c:v>4.5999999999999999E-2</c:v>
                </c:pt>
                <c:pt idx="1162">
                  <c:v>4.6620046620046603E-2</c:v>
                </c:pt>
                <c:pt idx="1163">
                  <c:v>4.6620046620046603E-2</c:v>
                </c:pt>
                <c:pt idx="1164">
                  <c:v>4.6666666666666697E-2</c:v>
                </c:pt>
                <c:pt idx="1165">
                  <c:v>4.67289719626168E-2</c:v>
                </c:pt>
                <c:pt idx="1166">
                  <c:v>4.7904191616766498E-2</c:v>
                </c:pt>
                <c:pt idx="1167">
                  <c:v>4.8000000000000001E-2</c:v>
                </c:pt>
                <c:pt idx="1168">
                  <c:v>4.8000000000000001E-2</c:v>
                </c:pt>
                <c:pt idx="1169">
                  <c:v>4.8000000000000001E-2</c:v>
                </c:pt>
                <c:pt idx="1170">
                  <c:v>4.8000000000000001E-2</c:v>
                </c:pt>
                <c:pt idx="1171">
                  <c:v>4.8000000000000001E-2</c:v>
                </c:pt>
                <c:pt idx="1172">
                  <c:v>4.8048048048047999E-2</c:v>
                </c:pt>
                <c:pt idx="1173">
                  <c:v>4.8048048048047999E-2</c:v>
                </c:pt>
                <c:pt idx="1174">
                  <c:v>4.8333333333333298E-2</c:v>
                </c:pt>
                <c:pt idx="1175">
                  <c:v>0.05</c:v>
                </c:pt>
                <c:pt idx="1176">
                  <c:v>5.06666666666667E-2</c:v>
                </c:pt>
                <c:pt idx="1177">
                  <c:v>5.0898203592814398E-2</c:v>
                </c:pt>
                <c:pt idx="1178">
                  <c:v>5.0898203592814398E-2</c:v>
                </c:pt>
                <c:pt idx="1179">
                  <c:v>5.0898203592814398E-2</c:v>
                </c:pt>
                <c:pt idx="1180">
                  <c:v>5.1051051051051101E-2</c:v>
                </c:pt>
                <c:pt idx="1181">
                  <c:v>5.1051051051051101E-2</c:v>
                </c:pt>
                <c:pt idx="1182">
                  <c:v>5.1051051051051101E-2</c:v>
                </c:pt>
                <c:pt idx="1183">
                  <c:v>5.1051051051051101E-2</c:v>
                </c:pt>
                <c:pt idx="1184">
                  <c:v>5.1051051051051101E-2</c:v>
                </c:pt>
                <c:pt idx="1185">
                  <c:v>5.1051051051051101E-2</c:v>
                </c:pt>
                <c:pt idx="1186">
                  <c:v>5.1282051282051301E-2</c:v>
                </c:pt>
                <c:pt idx="1187">
                  <c:v>5.1282051282051301E-2</c:v>
                </c:pt>
                <c:pt idx="1188">
                  <c:v>5.1282051282051301E-2</c:v>
                </c:pt>
                <c:pt idx="1189">
                  <c:v>5.1282051282051301E-2</c:v>
                </c:pt>
                <c:pt idx="1190">
                  <c:v>5.1999999999999998E-2</c:v>
                </c:pt>
                <c:pt idx="1191">
                  <c:v>5.1999999999999998E-2</c:v>
                </c:pt>
                <c:pt idx="1192">
                  <c:v>5.1999999999999998E-2</c:v>
                </c:pt>
                <c:pt idx="1193">
                  <c:v>5.1999999999999998E-2</c:v>
                </c:pt>
                <c:pt idx="1194">
                  <c:v>5.3333333333333302E-2</c:v>
                </c:pt>
                <c:pt idx="1195">
                  <c:v>5.3333333333333302E-2</c:v>
                </c:pt>
                <c:pt idx="1196">
                  <c:v>5.3333333333333302E-2</c:v>
                </c:pt>
                <c:pt idx="1197">
                  <c:v>5.3333333333333302E-2</c:v>
                </c:pt>
                <c:pt idx="1198">
                  <c:v>5.3333333333333302E-2</c:v>
                </c:pt>
                <c:pt idx="1199">
                  <c:v>5.3333333333333302E-2</c:v>
                </c:pt>
                <c:pt idx="1200">
                  <c:v>5.3333333333333302E-2</c:v>
                </c:pt>
                <c:pt idx="1201">
                  <c:v>5.4054054054054099E-2</c:v>
                </c:pt>
                <c:pt idx="1202">
                  <c:v>5.4054054054054099E-2</c:v>
                </c:pt>
                <c:pt idx="1203">
                  <c:v>5.4054054054054099E-2</c:v>
                </c:pt>
                <c:pt idx="1204">
                  <c:v>5.4054054054054099E-2</c:v>
                </c:pt>
                <c:pt idx="1205">
                  <c:v>5.4054054054054099E-2</c:v>
                </c:pt>
                <c:pt idx="1206">
                  <c:v>5.4054054054054099E-2</c:v>
                </c:pt>
                <c:pt idx="1207">
                  <c:v>5.5E-2</c:v>
                </c:pt>
                <c:pt idx="1208">
                  <c:v>5.5944055944055902E-2</c:v>
                </c:pt>
                <c:pt idx="1209">
                  <c:v>5.6000000000000001E-2</c:v>
                </c:pt>
                <c:pt idx="1210">
                  <c:v>5.6000000000000001E-2</c:v>
                </c:pt>
                <c:pt idx="1211">
                  <c:v>5.6000000000000001E-2</c:v>
                </c:pt>
                <c:pt idx="1212">
                  <c:v>5.6000000000000001E-2</c:v>
                </c:pt>
                <c:pt idx="1213">
                  <c:v>5.6000000000000001E-2</c:v>
                </c:pt>
                <c:pt idx="1214">
                  <c:v>5.60747663551402E-2</c:v>
                </c:pt>
                <c:pt idx="1215">
                  <c:v>5.6886227544910198E-2</c:v>
                </c:pt>
                <c:pt idx="1216">
                  <c:v>5.6886227544910198E-2</c:v>
                </c:pt>
                <c:pt idx="1217">
                  <c:v>5.7057057057057103E-2</c:v>
                </c:pt>
                <c:pt idx="1218">
                  <c:v>5.7057057057057103E-2</c:v>
                </c:pt>
                <c:pt idx="1219">
                  <c:v>5.7057057057057103E-2</c:v>
                </c:pt>
                <c:pt idx="1220">
                  <c:v>5.7057057057057103E-2</c:v>
                </c:pt>
                <c:pt idx="1221">
                  <c:v>5.7057057057057103E-2</c:v>
                </c:pt>
                <c:pt idx="1222">
                  <c:v>5.7057057057057103E-2</c:v>
                </c:pt>
                <c:pt idx="1223">
                  <c:v>5.7057057057057103E-2</c:v>
                </c:pt>
                <c:pt idx="1224">
                  <c:v>5.7057057057057103E-2</c:v>
                </c:pt>
                <c:pt idx="1225">
                  <c:v>5.8000000000000003E-2</c:v>
                </c:pt>
                <c:pt idx="1226">
                  <c:v>5.8000000000000003E-2</c:v>
                </c:pt>
                <c:pt idx="1227">
                  <c:v>5.83333333333333E-2</c:v>
                </c:pt>
                <c:pt idx="1228">
                  <c:v>5.8411214953271E-2</c:v>
                </c:pt>
                <c:pt idx="1229">
                  <c:v>5.86666666666667E-2</c:v>
                </c:pt>
                <c:pt idx="1230">
                  <c:v>5.86666666666667E-2</c:v>
                </c:pt>
                <c:pt idx="1231">
                  <c:v>5.86666666666667E-2</c:v>
                </c:pt>
                <c:pt idx="1232">
                  <c:v>5.86666666666667E-2</c:v>
                </c:pt>
                <c:pt idx="1233">
                  <c:v>5.86666666666667E-2</c:v>
                </c:pt>
                <c:pt idx="1234">
                  <c:v>5.86666666666667E-2</c:v>
                </c:pt>
                <c:pt idx="1235">
                  <c:v>5.86666666666667E-2</c:v>
                </c:pt>
                <c:pt idx="1236">
                  <c:v>0.06</c:v>
                </c:pt>
                <c:pt idx="1237">
                  <c:v>6.0060060060060101E-2</c:v>
                </c:pt>
                <c:pt idx="1238">
                  <c:v>6.0060060060060101E-2</c:v>
                </c:pt>
                <c:pt idx="1239">
                  <c:v>6.0060060060060101E-2</c:v>
                </c:pt>
                <c:pt idx="1240">
                  <c:v>6.0060060060060101E-2</c:v>
                </c:pt>
                <c:pt idx="1241">
                  <c:v>6.0060060060060101E-2</c:v>
                </c:pt>
                <c:pt idx="1242">
                  <c:v>6.0606060606060601E-2</c:v>
                </c:pt>
                <c:pt idx="1243">
                  <c:v>6.0747663551401897E-2</c:v>
                </c:pt>
                <c:pt idx="1244">
                  <c:v>6.1333333333333302E-2</c:v>
                </c:pt>
                <c:pt idx="1245">
                  <c:v>6.1333333333333302E-2</c:v>
                </c:pt>
                <c:pt idx="1246">
                  <c:v>6.1333333333333302E-2</c:v>
                </c:pt>
                <c:pt idx="1247">
                  <c:v>6.1333333333333302E-2</c:v>
                </c:pt>
                <c:pt idx="1248">
                  <c:v>6.1333333333333302E-2</c:v>
                </c:pt>
                <c:pt idx="1249">
                  <c:v>6.2E-2</c:v>
                </c:pt>
                <c:pt idx="1250">
                  <c:v>6.2E-2</c:v>
                </c:pt>
                <c:pt idx="1251">
                  <c:v>6.2874251497005998E-2</c:v>
                </c:pt>
                <c:pt idx="1252">
                  <c:v>6.2937062937062901E-2</c:v>
                </c:pt>
                <c:pt idx="1253">
                  <c:v>6.2937062937062901E-2</c:v>
                </c:pt>
                <c:pt idx="1254">
                  <c:v>6.2937062937062901E-2</c:v>
                </c:pt>
                <c:pt idx="1255">
                  <c:v>6.2937062937062901E-2</c:v>
                </c:pt>
                <c:pt idx="1256">
                  <c:v>6.2937062937062901E-2</c:v>
                </c:pt>
                <c:pt idx="1257">
                  <c:v>6.3063063063063099E-2</c:v>
                </c:pt>
                <c:pt idx="1258">
                  <c:v>6.3063063063063099E-2</c:v>
                </c:pt>
                <c:pt idx="1259">
                  <c:v>6.3084112149532703E-2</c:v>
                </c:pt>
                <c:pt idx="1260">
                  <c:v>6.3084112149532703E-2</c:v>
                </c:pt>
                <c:pt idx="1261">
                  <c:v>6.3084112149532703E-2</c:v>
                </c:pt>
                <c:pt idx="1262">
                  <c:v>6.3084112149532703E-2</c:v>
                </c:pt>
                <c:pt idx="1263">
                  <c:v>6.4000000000000001E-2</c:v>
                </c:pt>
                <c:pt idx="1264">
                  <c:v>6.4000000000000001E-2</c:v>
                </c:pt>
                <c:pt idx="1265">
                  <c:v>6.4000000000000001E-2</c:v>
                </c:pt>
                <c:pt idx="1266">
                  <c:v>6.5268065268065306E-2</c:v>
                </c:pt>
                <c:pt idx="1267">
                  <c:v>6.5268065268065306E-2</c:v>
                </c:pt>
                <c:pt idx="1268">
                  <c:v>6.5268065268065306E-2</c:v>
                </c:pt>
                <c:pt idx="1269">
                  <c:v>6.5268065268065306E-2</c:v>
                </c:pt>
                <c:pt idx="1270">
                  <c:v>6.5268065268065306E-2</c:v>
                </c:pt>
                <c:pt idx="1271">
                  <c:v>6.5420560747663503E-2</c:v>
                </c:pt>
                <c:pt idx="1272">
                  <c:v>6.5868263473053898E-2</c:v>
                </c:pt>
                <c:pt idx="1273">
                  <c:v>6.6000000000000003E-2</c:v>
                </c:pt>
                <c:pt idx="1274">
                  <c:v>6.6066066066066104E-2</c:v>
                </c:pt>
                <c:pt idx="1275">
                  <c:v>6.6066066066066104E-2</c:v>
                </c:pt>
                <c:pt idx="1276">
                  <c:v>6.6066066066066104E-2</c:v>
                </c:pt>
                <c:pt idx="1277">
                  <c:v>6.6066066066066104E-2</c:v>
                </c:pt>
                <c:pt idx="1278">
                  <c:v>6.6265060240963902E-2</c:v>
                </c:pt>
                <c:pt idx="1279">
                  <c:v>6.6666666666666693E-2</c:v>
                </c:pt>
                <c:pt idx="1280">
                  <c:v>6.6666666666666693E-2</c:v>
                </c:pt>
                <c:pt idx="1281">
                  <c:v>6.6666666666666693E-2</c:v>
                </c:pt>
                <c:pt idx="1282">
                  <c:v>6.75990675990676E-2</c:v>
                </c:pt>
                <c:pt idx="1283">
                  <c:v>6.77570093457944E-2</c:v>
                </c:pt>
                <c:pt idx="1284">
                  <c:v>6.8000000000000005E-2</c:v>
                </c:pt>
                <c:pt idx="1285">
                  <c:v>6.9069069069069094E-2</c:v>
                </c:pt>
                <c:pt idx="1286">
                  <c:v>6.9069069069069094E-2</c:v>
                </c:pt>
                <c:pt idx="1287">
                  <c:v>6.9069069069069094E-2</c:v>
                </c:pt>
                <c:pt idx="1288">
                  <c:v>6.9069069069069094E-2</c:v>
                </c:pt>
                <c:pt idx="1289">
                  <c:v>6.9069069069069094E-2</c:v>
                </c:pt>
                <c:pt idx="1290">
                  <c:v>6.9333333333333302E-2</c:v>
                </c:pt>
                <c:pt idx="1291">
                  <c:v>6.9333333333333302E-2</c:v>
                </c:pt>
                <c:pt idx="1292">
                  <c:v>6.9565217391304293E-2</c:v>
                </c:pt>
                <c:pt idx="1293">
                  <c:v>7.0000000000000007E-2</c:v>
                </c:pt>
                <c:pt idx="1294">
                  <c:v>7.0000000000000007E-2</c:v>
                </c:pt>
                <c:pt idx="1295">
                  <c:v>7.0000000000000007E-2</c:v>
                </c:pt>
                <c:pt idx="1296">
                  <c:v>7.0000000000000007E-2</c:v>
                </c:pt>
                <c:pt idx="1297">
                  <c:v>7.00934579439252E-2</c:v>
                </c:pt>
                <c:pt idx="1298">
                  <c:v>7.1666666666666698E-2</c:v>
                </c:pt>
                <c:pt idx="1299">
                  <c:v>7.1666666666666698E-2</c:v>
                </c:pt>
                <c:pt idx="1300">
                  <c:v>7.1999999999999995E-2</c:v>
                </c:pt>
                <c:pt idx="1301">
                  <c:v>7.1999999999999995E-2</c:v>
                </c:pt>
                <c:pt idx="1302">
                  <c:v>7.1999999999999995E-2</c:v>
                </c:pt>
                <c:pt idx="1303">
                  <c:v>7.1999999999999995E-2</c:v>
                </c:pt>
                <c:pt idx="1304">
                  <c:v>7.1999999999999995E-2</c:v>
                </c:pt>
                <c:pt idx="1305">
                  <c:v>7.2072072072072099E-2</c:v>
                </c:pt>
                <c:pt idx="1306">
                  <c:v>7.2072072072072099E-2</c:v>
                </c:pt>
                <c:pt idx="1307">
                  <c:v>7.2261072261072298E-2</c:v>
                </c:pt>
                <c:pt idx="1308">
                  <c:v>7.2429906542056097E-2</c:v>
                </c:pt>
                <c:pt idx="1309">
                  <c:v>7.2429906542056097E-2</c:v>
                </c:pt>
                <c:pt idx="1310">
                  <c:v>7.2463768115942004E-2</c:v>
                </c:pt>
                <c:pt idx="1311">
                  <c:v>7.3333333333333306E-2</c:v>
                </c:pt>
                <c:pt idx="1312">
                  <c:v>7.4592074592074606E-2</c:v>
                </c:pt>
                <c:pt idx="1313">
                  <c:v>7.4592074592074606E-2</c:v>
                </c:pt>
                <c:pt idx="1314">
                  <c:v>7.4666666666666701E-2</c:v>
                </c:pt>
                <c:pt idx="1315">
                  <c:v>7.4666666666666701E-2</c:v>
                </c:pt>
                <c:pt idx="1316">
                  <c:v>7.4666666666666701E-2</c:v>
                </c:pt>
                <c:pt idx="1317">
                  <c:v>7.4666666666666701E-2</c:v>
                </c:pt>
                <c:pt idx="1318">
                  <c:v>7.4666666666666701E-2</c:v>
                </c:pt>
                <c:pt idx="1319">
                  <c:v>7.4766355140186896E-2</c:v>
                </c:pt>
                <c:pt idx="1320">
                  <c:v>7.4850299401197598E-2</c:v>
                </c:pt>
                <c:pt idx="1321">
                  <c:v>7.5075075075075104E-2</c:v>
                </c:pt>
                <c:pt idx="1322">
                  <c:v>7.5075075075075104E-2</c:v>
                </c:pt>
                <c:pt idx="1323">
                  <c:v>7.5075075075075104E-2</c:v>
                </c:pt>
                <c:pt idx="1324">
                  <c:v>7.5268817204301106E-2</c:v>
                </c:pt>
                <c:pt idx="1325">
                  <c:v>7.5999999999999998E-2</c:v>
                </c:pt>
                <c:pt idx="1326">
                  <c:v>7.5999999999999998E-2</c:v>
                </c:pt>
                <c:pt idx="1327">
                  <c:v>7.69230769230769E-2</c:v>
                </c:pt>
                <c:pt idx="1328">
                  <c:v>7.7102803738317793E-2</c:v>
                </c:pt>
                <c:pt idx="1329">
                  <c:v>7.7102803738317793E-2</c:v>
                </c:pt>
                <c:pt idx="1330">
                  <c:v>7.7333333333333296E-2</c:v>
                </c:pt>
                <c:pt idx="1331">
                  <c:v>7.7333333333333296E-2</c:v>
                </c:pt>
                <c:pt idx="1332">
                  <c:v>7.7333333333333296E-2</c:v>
                </c:pt>
                <c:pt idx="1333">
                  <c:v>7.7333333333333296E-2</c:v>
                </c:pt>
                <c:pt idx="1334">
                  <c:v>7.7333333333333296E-2</c:v>
                </c:pt>
                <c:pt idx="1335">
                  <c:v>7.7333333333333296E-2</c:v>
                </c:pt>
                <c:pt idx="1336">
                  <c:v>7.7844311377245498E-2</c:v>
                </c:pt>
                <c:pt idx="1337">
                  <c:v>7.8E-2</c:v>
                </c:pt>
                <c:pt idx="1338">
                  <c:v>7.8078078078078095E-2</c:v>
                </c:pt>
                <c:pt idx="1339">
                  <c:v>7.8078078078078095E-2</c:v>
                </c:pt>
                <c:pt idx="1340">
                  <c:v>7.9254079254079193E-2</c:v>
                </c:pt>
                <c:pt idx="1341">
                  <c:v>0.08</c:v>
                </c:pt>
                <c:pt idx="1342">
                  <c:v>0.08</c:v>
                </c:pt>
                <c:pt idx="1343">
                  <c:v>0.08</c:v>
                </c:pt>
                <c:pt idx="1344">
                  <c:v>0.08</c:v>
                </c:pt>
                <c:pt idx="1345">
                  <c:v>0.08</c:v>
                </c:pt>
                <c:pt idx="1346">
                  <c:v>8.0838323353293398E-2</c:v>
                </c:pt>
                <c:pt idx="1347">
                  <c:v>8.0838323353293398E-2</c:v>
                </c:pt>
                <c:pt idx="1348">
                  <c:v>8.1081081081081099E-2</c:v>
                </c:pt>
                <c:pt idx="1349">
                  <c:v>8.1081081081081099E-2</c:v>
                </c:pt>
                <c:pt idx="1350">
                  <c:v>8.1081081081081099E-2</c:v>
                </c:pt>
                <c:pt idx="1351">
                  <c:v>8.1081081081081099E-2</c:v>
                </c:pt>
                <c:pt idx="1352">
                  <c:v>8.1081081081081099E-2</c:v>
                </c:pt>
                <c:pt idx="1353">
                  <c:v>8.1081081081081099E-2</c:v>
                </c:pt>
                <c:pt idx="1354">
                  <c:v>8.1081081081081099E-2</c:v>
                </c:pt>
                <c:pt idx="1355">
                  <c:v>8.1081081081081099E-2</c:v>
                </c:pt>
                <c:pt idx="1356">
                  <c:v>8.1081081081081099E-2</c:v>
                </c:pt>
                <c:pt idx="1357">
                  <c:v>8.1585081585081598E-2</c:v>
                </c:pt>
                <c:pt idx="1358">
                  <c:v>8.1585081585081598E-2</c:v>
                </c:pt>
                <c:pt idx="1359">
                  <c:v>8.1775700934579407E-2</c:v>
                </c:pt>
                <c:pt idx="1360">
                  <c:v>8.2000000000000003E-2</c:v>
                </c:pt>
                <c:pt idx="1361">
                  <c:v>8.2000000000000003E-2</c:v>
                </c:pt>
                <c:pt idx="1362">
                  <c:v>8.2666666666666694E-2</c:v>
                </c:pt>
                <c:pt idx="1363">
                  <c:v>8.2666666666666694E-2</c:v>
                </c:pt>
                <c:pt idx="1364">
                  <c:v>8.2666666666666694E-2</c:v>
                </c:pt>
                <c:pt idx="1365">
                  <c:v>8.3333333333333301E-2</c:v>
                </c:pt>
                <c:pt idx="1366">
                  <c:v>8.3832335329341298E-2</c:v>
                </c:pt>
                <c:pt idx="1367">
                  <c:v>8.3832335329341298E-2</c:v>
                </c:pt>
                <c:pt idx="1368">
                  <c:v>8.3832335329341298E-2</c:v>
                </c:pt>
                <c:pt idx="1369">
                  <c:v>8.3916083916083906E-2</c:v>
                </c:pt>
                <c:pt idx="1370">
                  <c:v>8.3916083916083906E-2</c:v>
                </c:pt>
                <c:pt idx="1371">
                  <c:v>8.4000000000000005E-2</c:v>
                </c:pt>
                <c:pt idx="1372">
                  <c:v>8.4084084084084104E-2</c:v>
                </c:pt>
                <c:pt idx="1373">
                  <c:v>8.4112149532710304E-2</c:v>
                </c:pt>
                <c:pt idx="1374">
                  <c:v>8.4112149532710304E-2</c:v>
                </c:pt>
                <c:pt idx="1375">
                  <c:v>8.4112149532710304E-2</c:v>
                </c:pt>
                <c:pt idx="1376">
                  <c:v>8.5000000000000006E-2</c:v>
                </c:pt>
                <c:pt idx="1377">
                  <c:v>8.5333333333333303E-2</c:v>
                </c:pt>
                <c:pt idx="1378">
                  <c:v>8.5333333333333303E-2</c:v>
                </c:pt>
                <c:pt idx="1379">
                  <c:v>8.6247086247086199E-2</c:v>
                </c:pt>
                <c:pt idx="1380">
                  <c:v>8.6247086247086199E-2</c:v>
                </c:pt>
                <c:pt idx="1381">
                  <c:v>8.6247086247086199E-2</c:v>
                </c:pt>
                <c:pt idx="1382">
                  <c:v>8.7087087087087095E-2</c:v>
                </c:pt>
                <c:pt idx="1383">
                  <c:v>8.7912087912087905E-2</c:v>
                </c:pt>
                <c:pt idx="1384">
                  <c:v>8.7999999999999995E-2</c:v>
                </c:pt>
                <c:pt idx="1385">
                  <c:v>8.8578088578088604E-2</c:v>
                </c:pt>
                <c:pt idx="1386">
                  <c:v>8.8578088578088604E-2</c:v>
                </c:pt>
                <c:pt idx="1387">
                  <c:v>8.9820359281437098E-2</c:v>
                </c:pt>
                <c:pt idx="1388">
                  <c:v>8.9820359281437098E-2</c:v>
                </c:pt>
                <c:pt idx="1389">
                  <c:v>0.09</c:v>
                </c:pt>
                <c:pt idx="1390">
                  <c:v>9.00900900900901E-2</c:v>
                </c:pt>
                <c:pt idx="1391">
                  <c:v>9.00900900900901E-2</c:v>
                </c:pt>
                <c:pt idx="1392">
                  <c:v>9.00900900900901E-2</c:v>
                </c:pt>
                <c:pt idx="1393">
                  <c:v>9.00900900900901E-2</c:v>
                </c:pt>
                <c:pt idx="1394">
                  <c:v>9.0666666666666701E-2</c:v>
                </c:pt>
                <c:pt idx="1395">
                  <c:v>9.0666666666666701E-2</c:v>
                </c:pt>
                <c:pt idx="1396">
                  <c:v>9.0909090909090898E-2</c:v>
                </c:pt>
                <c:pt idx="1397">
                  <c:v>9.0909090909090898E-2</c:v>
                </c:pt>
                <c:pt idx="1398">
                  <c:v>9.11214953271028E-2</c:v>
                </c:pt>
                <c:pt idx="1399">
                  <c:v>9.3023255813953501E-2</c:v>
                </c:pt>
                <c:pt idx="1400">
                  <c:v>9.3093093093093104E-2</c:v>
                </c:pt>
                <c:pt idx="1401">
                  <c:v>9.3240093240093205E-2</c:v>
                </c:pt>
                <c:pt idx="1402">
                  <c:v>9.3333333333333296E-2</c:v>
                </c:pt>
                <c:pt idx="1403">
                  <c:v>9.3333333333333296E-2</c:v>
                </c:pt>
                <c:pt idx="1404">
                  <c:v>9.3333333333333296E-2</c:v>
                </c:pt>
                <c:pt idx="1405">
                  <c:v>9.3333333333333296E-2</c:v>
                </c:pt>
                <c:pt idx="1406">
                  <c:v>9.34579439252336E-2</c:v>
                </c:pt>
                <c:pt idx="1407">
                  <c:v>9.4E-2</c:v>
                </c:pt>
                <c:pt idx="1408">
                  <c:v>9.4E-2</c:v>
                </c:pt>
                <c:pt idx="1409">
                  <c:v>9.5571095571095596E-2</c:v>
                </c:pt>
                <c:pt idx="1410">
                  <c:v>9.5794392523364497E-2</c:v>
                </c:pt>
                <c:pt idx="1411">
                  <c:v>9.6000000000000002E-2</c:v>
                </c:pt>
                <c:pt idx="1412">
                  <c:v>9.6000000000000002E-2</c:v>
                </c:pt>
                <c:pt idx="1413">
                  <c:v>9.6000000000000002E-2</c:v>
                </c:pt>
                <c:pt idx="1414">
                  <c:v>9.6000000000000002E-2</c:v>
                </c:pt>
                <c:pt idx="1415">
                  <c:v>9.6000000000000002E-2</c:v>
                </c:pt>
                <c:pt idx="1416">
                  <c:v>9.6000000000000002E-2</c:v>
                </c:pt>
                <c:pt idx="1417">
                  <c:v>9.6096096096096095E-2</c:v>
                </c:pt>
                <c:pt idx="1418">
                  <c:v>9.6096096096096095E-2</c:v>
                </c:pt>
                <c:pt idx="1419">
                  <c:v>9.6096096096096095E-2</c:v>
                </c:pt>
                <c:pt idx="1420">
                  <c:v>9.7902097902097904E-2</c:v>
                </c:pt>
                <c:pt idx="1421">
                  <c:v>9.7902097902097904E-2</c:v>
                </c:pt>
                <c:pt idx="1422">
                  <c:v>9.8130841121495296E-2</c:v>
                </c:pt>
                <c:pt idx="1423">
                  <c:v>9.8666666666666694E-2</c:v>
                </c:pt>
                <c:pt idx="1424">
                  <c:v>9.8666666666666694E-2</c:v>
                </c:pt>
                <c:pt idx="1425">
                  <c:v>9.8666666666666694E-2</c:v>
                </c:pt>
                <c:pt idx="1426">
                  <c:v>9.8666666666666694E-2</c:v>
                </c:pt>
                <c:pt idx="1427">
                  <c:v>9.8802395209580798E-2</c:v>
                </c:pt>
                <c:pt idx="1428">
                  <c:v>9.90990990990991E-2</c:v>
                </c:pt>
                <c:pt idx="1429">
                  <c:v>0.1</c:v>
                </c:pt>
                <c:pt idx="1430">
                  <c:v>0.1</c:v>
                </c:pt>
                <c:pt idx="1431">
                  <c:v>0.1002331002331</c:v>
                </c:pt>
                <c:pt idx="1432">
                  <c:v>0.1002331002331</c:v>
                </c:pt>
                <c:pt idx="1433">
                  <c:v>0.101333333333333</c:v>
                </c:pt>
                <c:pt idx="1434">
                  <c:v>0.101333333333333</c:v>
                </c:pt>
                <c:pt idx="1435">
                  <c:v>0.101333333333333</c:v>
                </c:pt>
                <c:pt idx="1436">
                  <c:v>0.10199999999999999</c:v>
                </c:pt>
                <c:pt idx="1437">
                  <c:v>0.10199999999999999</c:v>
                </c:pt>
                <c:pt idx="1438">
                  <c:v>0.10199999999999999</c:v>
                </c:pt>
                <c:pt idx="1439">
                  <c:v>0.10210210210210199</c:v>
                </c:pt>
                <c:pt idx="1440">
                  <c:v>0.102564102564103</c:v>
                </c:pt>
                <c:pt idx="1441">
                  <c:v>0.103333333333333</c:v>
                </c:pt>
                <c:pt idx="1442">
                  <c:v>0.103333333333333</c:v>
                </c:pt>
                <c:pt idx="1443">
                  <c:v>0.103333333333333</c:v>
                </c:pt>
                <c:pt idx="1444">
                  <c:v>0.104</c:v>
                </c:pt>
                <c:pt idx="1445">
                  <c:v>0.104</c:v>
                </c:pt>
                <c:pt idx="1446">
                  <c:v>0.104</c:v>
                </c:pt>
                <c:pt idx="1447">
                  <c:v>0.104790419161677</c:v>
                </c:pt>
                <c:pt idx="1448">
                  <c:v>0.104790419161677</c:v>
                </c:pt>
                <c:pt idx="1449">
                  <c:v>0.10489510489510501</c:v>
                </c:pt>
                <c:pt idx="1450">
                  <c:v>0.10489510489510501</c:v>
                </c:pt>
                <c:pt idx="1451">
                  <c:v>0.10489510489510501</c:v>
                </c:pt>
                <c:pt idx="1452">
                  <c:v>0.10666666666666701</c:v>
                </c:pt>
                <c:pt idx="1453">
                  <c:v>0.10666666666666701</c:v>
                </c:pt>
                <c:pt idx="1454">
                  <c:v>0.10666666666666701</c:v>
                </c:pt>
                <c:pt idx="1455">
                  <c:v>0.107226107226107</c:v>
                </c:pt>
                <c:pt idx="1456">
                  <c:v>0.107226107226107</c:v>
                </c:pt>
                <c:pt idx="1457">
                  <c:v>0.10747663551401899</c:v>
                </c:pt>
                <c:pt idx="1458">
                  <c:v>0.108</c:v>
                </c:pt>
                <c:pt idx="1459">
                  <c:v>0.108108108108108</c:v>
                </c:pt>
                <c:pt idx="1460">
                  <c:v>0.108108108108108</c:v>
                </c:pt>
                <c:pt idx="1461">
                  <c:v>0.108108108108108</c:v>
                </c:pt>
                <c:pt idx="1462">
                  <c:v>0.108108108108108</c:v>
                </c:pt>
                <c:pt idx="1463">
                  <c:v>0.108108108108108</c:v>
                </c:pt>
                <c:pt idx="1464">
                  <c:v>0.108108108108108</c:v>
                </c:pt>
                <c:pt idx="1465">
                  <c:v>0.108108108108108</c:v>
                </c:pt>
                <c:pt idx="1466">
                  <c:v>0.108108108108108</c:v>
                </c:pt>
                <c:pt idx="1467">
                  <c:v>0.108333333333333</c:v>
                </c:pt>
                <c:pt idx="1468">
                  <c:v>0.108333333333333</c:v>
                </c:pt>
                <c:pt idx="1469">
                  <c:v>0.109333333333333</c:v>
                </c:pt>
                <c:pt idx="1470">
                  <c:v>0.10955710955711</c:v>
                </c:pt>
                <c:pt idx="1471">
                  <c:v>0.10981308411215</c:v>
                </c:pt>
                <c:pt idx="1472">
                  <c:v>0.10989010989011</c:v>
                </c:pt>
                <c:pt idx="1473">
                  <c:v>0.11</c:v>
                </c:pt>
                <c:pt idx="1474">
                  <c:v>0.11111111111111099</c:v>
                </c:pt>
                <c:pt idx="1475">
                  <c:v>0.11111111111111099</c:v>
                </c:pt>
                <c:pt idx="1476">
                  <c:v>0.111888111888112</c:v>
                </c:pt>
                <c:pt idx="1477">
                  <c:v>0.112</c:v>
                </c:pt>
                <c:pt idx="1478">
                  <c:v>0.11214953271028</c:v>
                </c:pt>
                <c:pt idx="1479">
                  <c:v>0.11333333333333299</c:v>
                </c:pt>
                <c:pt idx="1480">
                  <c:v>0.114</c:v>
                </c:pt>
                <c:pt idx="1481">
                  <c:v>0.114114114114114</c:v>
                </c:pt>
                <c:pt idx="1482">
                  <c:v>0.114114114114114</c:v>
                </c:pt>
                <c:pt idx="1483">
                  <c:v>0.114219114219114</c:v>
                </c:pt>
                <c:pt idx="1484">
                  <c:v>0.11448598130841101</c:v>
                </c:pt>
                <c:pt idx="1485">
                  <c:v>0.115</c:v>
                </c:pt>
                <c:pt idx="1486">
                  <c:v>0.115</c:v>
                </c:pt>
                <c:pt idx="1487">
                  <c:v>0.115</c:v>
                </c:pt>
                <c:pt idx="1488">
                  <c:v>0.115384615384615</c:v>
                </c:pt>
                <c:pt idx="1489">
                  <c:v>0.116550116550117</c:v>
                </c:pt>
                <c:pt idx="1490">
                  <c:v>0.116766467065868</c:v>
                </c:pt>
                <c:pt idx="1491">
                  <c:v>0.116766467065868</c:v>
                </c:pt>
                <c:pt idx="1492">
                  <c:v>0.117117117117117</c:v>
                </c:pt>
                <c:pt idx="1493">
                  <c:v>0.117117117117117</c:v>
                </c:pt>
                <c:pt idx="1494">
                  <c:v>0.118666666666667</c:v>
                </c:pt>
                <c:pt idx="1495">
                  <c:v>0.11888111888111901</c:v>
                </c:pt>
                <c:pt idx="1496">
                  <c:v>0.11888111888111901</c:v>
                </c:pt>
                <c:pt idx="1497">
                  <c:v>0.11915887850467299</c:v>
                </c:pt>
                <c:pt idx="1498">
                  <c:v>0.11915887850467299</c:v>
                </c:pt>
                <c:pt idx="1499">
                  <c:v>0.119760479041916</c:v>
                </c:pt>
                <c:pt idx="1500">
                  <c:v>0.12</c:v>
                </c:pt>
                <c:pt idx="1501">
                  <c:v>0.12</c:v>
                </c:pt>
                <c:pt idx="1502">
                  <c:v>0.12</c:v>
                </c:pt>
                <c:pt idx="1503">
                  <c:v>0.12</c:v>
                </c:pt>
                <c:pt idx="1504">
                  <c:v>0.12</c:v>
                </c:pt>
                <c:pt idx="1505">
                  <c:v>0.12012012012011999</c:v>
                </c:pt>
                <c:pt idx="1506">
                  <c:v>0.12012012012011999</c:v>
                </c:pt>
                <c:pt idx="1507">
                  <c:v>0.12068965517241401</c:v>
                </c:pt>
                <c:pt idx="1508">
                  <c:v>0.12121212121212099</c:v>
                </c:pt>
                <c:pt idx="1509">
                  <c:v>0.121495327102804</c:v>
                </c:pt>
                <c:pt idx="1510">
                  <c:v>0.12166666666666701</c:v>
                </c:pt>
                <c:pt idx="1511">
                  <c:v>0.12266666666666701</c:v>
                </c:pt>
                <c:pt idx="1512">
                  <c:v>0.122754491017964</c:v>
                </c:pt>
                <c:pt idx="1513">
                  <c:v>0.12345679012345701</c:v>
                </c:pt>
                <c:pt idx="1514">
                  <c:v>0.123831775700935</c:v>
                </c:pt>
                <c:pt idx="1515">
                  <c:v>0.123831775700935</c:v>
                </c:pt>
                <c:pt idx="1516">
                  <c:v>0.124</c:v>
                </c:pt>
                <c:pt idx="1517">
                  <c:v>0.12533333333333299</c:v>
                </c:pt>
                <c:pt idx="1518">
                  <c:v>0.12533333333333299</c:v>
                </c:pt>
                <c:pt idx="1519">
                  <c:v>0.12533333333333299</c:v>
                </c:pt>
                <c:pt idx="1520">
                  <c:v>0.125874125874126</c:v>
                </c:pt>
                <c:pt idx="1521">
                  <c:v>0.126126126126126</c:v>
                </c:pt>
                <c:pt idx="1522">
                  <c:v>0.126126126126126</c:v>
                </c:pt>
                <c:pt idx="1523">
                  <c:v>0.126126126126126</c:v>
                </c:pt>
                <c:pt idx="1524">
                  <c:v>0.126126126126126</c:v>
                </c:pt>
                <c:pt idx="1525">
                  <c:v>0.126126126126126</c:v>
                </c:pt>
                <c:pt idx="1526">
                  <c:v>0.126126126126126</c:v>
                </c:pt>
                <c:pt idx="1527">
                  <c:v>0.126126126126126</c:v>
                </c:pt>
                <c:pt idx="1528">
                  <c:v>0.12666666666666701</c:v>
                </c:pt>
                <c:pt idx="1529">
                  <c:v>0.126984126984127</c:v>
                </c:pt>
                <c:pt idx="1530">
                  <c:v>0.128</c:v>
                </c:pt>
                <c:pt idx="1531">
                  <c:v>0.128</c:v>
                </c:pt>
                <c:pt idx="1532">
                  <c:v>0.128</c:v>
                </c:pt>
                <c:pt idx="1533">
                  <c:v>0.128504672897196</c:v>
                </c:pt>
                <c:pt idx="1534">
                  <c:v>0.128504672897196</c:v>
                </c:pt>
                <c:pt idx="1535">
                  <c:v>0.12874251497006001</c:v>
                </c:pt>
                <c:pt idx="1536">
                  <c:v>0.13066666666666699</c:v>
                </c:pt>
                <c:pt idx="1537">
                  <c:v>0.13066666666666699</c:v>
                </c:pt>
                <c:pt idx="1538">
                  <c:v>0.13066666666666699</c:v>
                </c:pt>
                <c:pt idx="1539">
                  <c:v>0.13173652694610799</c:v>
                </c:pt>
                <c:pt idx="1540">
                  <c:v>0.13213213213213201</c:v>
                </c:pt>
                <c:pt idx="1541">
                  <c:v>0.13235294117647101</c:v>
                </c:pt>
                <c:pt idx="1542">
                  <c:v>0.13317757009345799</c:v>
                </c:pt>
                <c:pt idx="1543">
                  <c:v>0.133333333333333</c:v>
                </c:pt>
                <c:pt idx="1544">
                  <c:v>0.133333333333333</c:v>
                </c:pt>
                <c:pt idx="1545">
                  <c:v>0.133333333333333</c:v>
                </c:pt>
                <c:pt idx="1546">
                  <c:v>0.133333333333333</c:v>
                </c:pt>
                <c:pt idx="1547">
                  <c:v>0.13400000000000001</c:v>
                </c:pt>
                <c:pt idx="1548">
                  <c:v>0.13400000000000001</c:v>
                </c:pt>
                <c:pt idx="1549">
                  <c:v>0.13400000000000001</c:v>
                </c:pt>
                <c:pt idx="1550">
                  <c:v>0.134730538922156</c:v>
                </c:pt>
                <c:pt idx="1551">
                  <c:v>0.13500000000000001</c:v>
                </c:pt>
                <c:pt idx="1552">
                  <c:v>0.135135135135135</c:v>
                </c:pt>
                <c:pt idx="1553">
                  <c:v>0.135135135135135</c:v>
                </c:pt>
                <c:pt idx="1554">
                  <c:v>0.135135135135135</c:v>
                </c:pt>
                <c:pt idx="1555">
                  <c:v>0.135135135135135</c:v>
                </c:pt>
                <c:pt idx="1556">
                  <c:v>0.135135135135135</c:v>
                </c:pt>
                <c:pt idx="1557">
                  <c:v>0.135135135135135</c:v>
                </c:pt>
                <c:pt idx="1558">
                  <c:v>0.135135135135135</c:v>
                </c:pt>
                <c:pt idx="1559">
                  <c:v>0.135135135135135</c:v>
                </c:pt>
                <c:pt idx="1560">
                  <c:v>0.13600000000000001</c:v>
                </c:pt>
                <c:pt idx="1561">
                  <c:v>0.13600000000000001</c:v>
                </c:pt>
                <c:pt idx="1562">
                  <c:v>0.13785046728972</c:v>
                </c:pt>
                <c:pt idx="1563">
                  <c:v>0.13785046728972</c:v>
                </c:pt>
                <c:pt idx="1564">
                  <c:v>0.13800000000000001</c:v>
                </c:pt>
                <c:pt idx="1565">
                  <c:v>0.13800000000000001</c:v>
                </c:pt>
                <c:pt idx="1566">
                  <c:v>0.13800000000000001</c:v>
                </c:pt>
                <c:pt idx="1567">
                  <c:v>0.13813813813813799</c:v>
                </c:pt>
                <c:pt idx="1568">
                  <c:v>0.13829787234042601</c:v>
                </c:pt>
                <c:pt idx="1569">
                  <c:v>0.13866666666666699</c:v>
                </c:pt>
                <c:pt idx="1570">
                  <c:v>0.13888888888888901</c:v>
                </c:pt>
                <c:pt idx="1571">
                  <c:v>0.13986013986014001</c:v>
                </c:pt>
                <c:pt idx="1572">
                  <c:v>0.13986013986014001</c:v>
                </c:pt>
                <c:pt idx="1573">
                  <c:v>0.14000000000000001</c:v>
                </c:pt>
                <c:pt idx="1574">
                  <c:v>0.14000000000000001</c:v>
                </c:pt>
                <c:pt idx="1575">
                  <c:v>0.14018691588785001</c:v>
                </c:pt>
                <c:pt idx="1576">
                  <c:v>0.14018691588785001</c:v>
                </c:pt>
                <c:pt idx="1577">
                  <c:v>0.14018691588785001</c:v>
                </c:pt>
                <c:pt idx="1578">
                  <c:v>0.14133333333333301</c:v>
                </c:pt>
                <c:pt idx="1579">
                  <c:v>0.14133333333333301</c:v>
                </c:pt>
                <c:pt idx="1580">
                  <c:v>0.14133333333333301</c:v>
                </c:pt>
                <c:pt idx="1581">
                  <c:v>0.141666666666667</c:v>
                </c:pt>
                <c:pt idx="1582">
                  <c:v>0.14219114219114201</c:v>
                </c:pt>
                <c:pt idx="1583">
                  <c:v>0.14285714285714299</c:v>
                </c:pt>
                <c:pt idx="1584">
                  <c:v>0.14371257485029901</c:v>
                </c:pt>
                <c:pt idx="1585">
                  <c:v>0.14399999999999999</c:v>
                </c:pt>
                <c:pt idx="1586">
                  <c:v>0.14432989690721601</c:v>
                </c:pt>
                <c:pt idx="1587">
                  <c:v>0.14438502673796799</c:v>
                </c:pt>
                <c:pt idx="1588">
                  <c:v>0.144859813084112</c:v>
                </c:pt>
                <c:pt idx="1589">
                  <c:v>0.14499999999999999</c:v>
                </c:pt>
                <c:pt idx="1590">
                  <c:v>0.145454545454545</c:v>
                </c:pt>
                <c:pt idx="1591">
                  <c:v>0.14599999999999999</c:v>
                </c:pt>
                <c:pt idx="1592">
                  <c:v>0.14599999999999999</c:v>
                </c:pt>
                <c:pt idx="1593">
                  <c:v>0.146666666666667</c:v>
                </c:pt>
                <c:pt idx="1594">
                  <c:v>0.146666666666667</c:v>
                </c:pt>
                <c:pt idx="1595">
                  <c:v>0.14670658682634699</c:v>
                </c:pt>
                <c:pt idx="1596">
                  <c:v>0.14670658682634699</c:v>
                </c:pt>
                <c:pt idx="1597">
                  <c:v>0.14685314685314699</c:v>
                </c:pt>
                <c:pt idx="1598">
                  <c:v>0.14685314685314699</c:v>
                </c:pt>
                <c:pt idx="1599">
                  <c:v>0.14918414918414899</c:v>
                </c:pt>
                <c:pt idx="1600">
                  <c:v>0.15</c:v>
                </c:pt>
                <c:pt idx="1601">
                  <c:v>0.15151515151515199</c:v>
                </c:pt>
                <c:pt idx="1602">
                  <c:v>0.151869158878505</c:v>
                </c:pt>
                <c:pt idx="1603">
                  <c:v>0.152</c:v>
                </c:pt>
                <c:pt idx="1604">
                  <c:v>0.152</c:v>
                </c:pt>
                <c:pt idx="1605">
                  <c:v>0.152</c:v>
                </c:pt>
                <c:pt idx="1606">
                  <c:v>0.15384615384615399</c:v>
                </c:pt>
                <c:pt idx="1607">
                  <c:v>0.154</c:v>
                </c:pt>
                <c:pt idx="1608">
                  <c:v>0.154</c:v>
                </c:pt>
                <c:pt idx="1609">
                  <c:v>0.154205607476636</c:v>
                </c:pt>
                <c:pt idx="1610">
                  <c:v>0.15466666666666701</c:v>
                </c:pt>
                <c:pt idx="1611">
                  <c:v>0.15466666666666701</c:v>
                </c:pt>
                <c:pt idx="1612">
                  <c:v>0.156</c:v>
                </c:pt>
                <c:pt idx="1613">
                  <c:v>0.15654205607476601</c:v>
                </c:pt>
                <c:pt idx="1614">
                  <c:v>0.158</c:v>
                </c:pt>
                <c:pt idx="1615">
                  <c:v>0.158</c:v>
                </c:pt>
                <c:pt idx="1616">
                  <c:v>0.15868263473053901</c:v>
                </c:pt>
                <c:pt idx="1617">
                  <c:v>0.15887850467289699</c:v>
                </c:pt>
                <c:pt idx="1618">
                  <c:v>0.15915915915915901</c:v>
                </c:pt>
                <c:pt idx="1619">
                  <c:v>0.159574468085106</c:v>
                </c:pt>
                <c:pt idx="1620">
                  <c:v>0.16</c:v>
                </c:pt>
                <c:pt idx="1621">
                  <c:v>0.16</c:v>
                </c:pt>
                <c:pt idx="1622">
                  <c:v>0.16</c:v>
                </c:pt>
                <c:pt idx="1623">
                  <c:v>0.160839160839161</c:v>
                </c:pt>
                <c:pt idx="1624">
                  <c:v>0.16161616161616199</c:v>
                </c:pt>
                <c:pt idx="1625">
                  <c:v>0.16167664670658699</c:v>
                </c:pt>
                <c:pt idx="1626">
                  <c:v>0.162162162162162</c:v>
                </c:pt>
                <c:pt idx="1627">
                  <c:v>0.162162162162162</c:v>
                </c:pt>
                <c:pt idx="1628">
                  <c:v>0.162162162162162</c:v>
                </c:pt>
                <c:pt idx="1629">
                  <c:v>0.162162162162162</c:v>
                </c:pt>
                <c:pt idx="1630">
                  <c:v>0.162162162162162</c:v>
                </c:pt>
                <c:pt idx="1631">
                  <c:v>0.162162162162162</c:v>
                </c:pt>
                <c:pt idx="1632">
                  <c:v>0.16355140186915901</c:v>
                </c:pt>
                <c:pt idx="1633">
                  <c:v>0.164179104477612</c:v>
                </c:pt>
                <c:pt idx="1634">
                  <c:v>0.164556962025316</c:v>
                </c:pt>
                <c:pt idx="1635">
                  <c:v>0.164670658682635</c:v>
                </c:pt>
                <c:pt idx="1636">
                  <c:v>0.16500000000000001</c:v>
                </c:pt>
                <c:pt idx="1637">
                  <c:v>0.16504854368932001</c:v>
                </c:pt>
                <c:pt idx="1638">
                  <c:v>0.165165165165165</c:v>
                </c:pt>
                <c:pt idx="1639">
                  <c:v>0.165333333333333</c:v>
                </c:pt>
                <c:pt idx="1640">
                  <c:v>0.165333333333333</c:v>
                </c:pt>
                <c:pt idx="1641">
                  <c:v>0.16588785046728999</c:v>
                </c:pt>
                <c:pt idx="1642">
                  <c:v>0.16588785046728999</c:v>
                </c:pt>
                <c:pt idx="1643">
                  <c:v>0.16800000000000001</c:v>
                </c:pt>
                <c:pt idx="1644">
                  <c:v>0.16800000000000001</c:v>
                </c:pt>
                <c:pt idx="1645">
                  <c:v>0.168224299065421</c:v>
                </c:pt>
                <c:pt idx="1646">
                  <c:v>0.168333333333333</c:v>
                </c:pt>
                <c:pt idx="1647">
                  <c:v>0.17066666666666699</c:v>
                </c:pt>
                <c:pt idx="1648">
                  <c:v>0.17249417249417201</c:v>
                </c:pt>
                <c:pt idx="1649">
                  <c:v>0.17289719626168201</c:v>
                </c:pt>
                <c:pt idx="1650">
                  <c:v>0.17333333333333301</c:v>
                </c:pt>
                <c:pt idx="1651">
                  <c:v>0.173913043478261</c:v>
                </c:pt>
                <c:pt idx="1652">
                  <c:v>0.17399999999999999</c:v>
                </c:pt>
                <c:pt idx="1653">
                  <c:v>0.174174174174174</c:v>
                </c:pt>
                <c:pt idx="1654">
                  <c:v>0.174174174174174</c:v>
                </c:pt>
                <c:pt idx="1655">
                  <c:v>0.17499999999999999</c:v>
                </c:pt>
                <c:pt idx="1656">
                  <c:v>0.17499999999999999</c:v>
                </c:pt>
                <c:pt idx="1657">
                  <c:v>0.17599999999999999</c:v>
                </c:pt>
                <c:pt idx="1658">
                  <c:v>0.17599999999999999</c:v>
                </c:pt>
                <c:pt idx="1659">
                  <c:v>0.17599999999999999</c:v>
                </c:pt>
                <c:pt idx="1660">
                  <c:v>0.17717717717717699</c:v>
                </c:pt>
                <c:pt idx="1661">
                  <c:v>0.177215189873418</c:v>
                </c:pt>
                <c:pt idx="1662">
                  <c:v>0.17799999999999999</c:v>
                </c:pt>
                <c:pt idx="1663">
                  <c:v>0.17799999999999999</c:v>
                </c:pt>
                <c:pt idx="1664">
                  <c:v>0.17833333333333301</c:v>
                </c:pt>
                <c:pt idx="1665">
                  <c:v>0.17833333333333301</c:v>
                </c:pt>
                <c:pt idx="1666">
                  <c:v>0.178666666666667</c:v>
                </c:pt>
                <c:pt idx="1667">
                  <c:v>0.17948717948717899</c:v>
                </c:pt>
                <c:pt idx="1668">
                  <c:v>0.17990654205607501</c:v>
                </c:pt>
                <c:pt idx="1669">
                  <c:v>0.18</c:v>
                </c:pt>
                <c:pt idx="1670">
                  <c:v>0.18</c:v>
                </c:pt>
                <c:pt idx="1671">
                  <c:v>0.18</c:v>
                </c:pt>
                <c:pt idx="1672">
                  <c:v>0.18</c:v>
                </c:pt>
                <c:pt idx="1673">
                  <c:v>0.18018018018018001</c:v>
                </c:pt>
                <c:pt idx="1674">
                  <c:v>0.181666666666667</c:v>
                </c:pt>
                <c:pt idx="1675">
                  <c:v>0.18263473053892201</c:v>
                </c:pt>
                <c:pt idx="1676">
                  <c:v>0.183544303797468</c:v>
                </c:pt>
                <c:pt idx="1677">
                  <c:v>0.184</c:v>
                </c:pt>
                <c:pt idx="1678">
                  <c:v>0.184</c:v>
                </c:pt>
                <c:pt idx="1679">
                  <c:v>0.184</c:v>
                </c:pt>
                <c:pt idx="1680">
                  <c:v>0.18414918414918399</c:v>
                </c:pt>
                <c:pt idx="1681">
                  <c:v>0.184579439252336</c:v>
                </c:pt>
                <c:pt idx="1682">
                  <c:v>0.18562874251497</c:v>
                </c:pt>
                <c:pt idx="1683">
                  <c:v>0.186</c:v>
                </c:pt>
                <c:pt idx="1684">
                  <c:v>0.18666666666666701</c:v>
                </c:pt>
                <c:pt idx="1685">
                  <c:v>0.18862275449101801</c:v>
                </c:pt>
                <c:pt idx="1686">
                  <c:v>0.18862275449101801</c:v>
                </c:pt>
                <c:pt idx="1687">
                  <c:v>0.188811188811189</c:v>
                </c:pt>
                <c:pt idx="1688">
                  <c:v>0.18918918918918901</c:v>
                </c:pt>
                <c:pt idx="1689">
                  <c:v>0.19</c:v>
                </c:pt>
                <c:pt idx="1690">
                  <c:v>0.19</c:v>
                </c:pt>
                <c:pt idx="1691">
                  <c:v>0.19230769230769201</c:v>
                </c:pt>
                <c:pt idx="1692">
                  <c:v>0.19230769230769201</c:v>
                </c:pt>
                <c:pt idx="1693">
                  <c:v>0.19600000000000001</c:v>
                </c:pt>
                <c:pt idx="1694">
                  <c:v>0.19626168224299101</c:v>
                </c:pt>
                <c:pt idx="1695">
                  <c:v>0.197333333333333</c:v>
                </c:pt>
                <c:pt idx="1696">
                  <c:v>0.19800000000000001</c:v>
                </c:pt>
                <c:pt idx="1697">
                  <c:v>0.2</c:v>
                </c:pt>
                <c:pt idx="1698">
                  <c:v>0.20046620046620001</c:v>
                </c:pt>
                <c:pt idx="1699">
                  <c:v>0.20266666666666699</c:v>
                </c:pt>
                <c:pt idx="1700">
                  <c:v>0.20266666666666699</c:v>
                </c:pt>
                <c:pt idx="1701">
                  <c:v>0.20327102803738301</c:v>
                </c:pt>
                <c:pt idx="1702">
                  <c:v>0.20499999999999999</c:v>
                </c:pt>
                <c:pt idx="1703">
                  <c:v>0.20512820512820501</c:v>
                </c:pt>
                <c:pt idx="1704">
                  <c:v>0.20560747663551401</c:v>
                </c:pt>
                <c:pt idx="1705">
                  <c:v>0.20599999999999999</c:v>
                </c:pt>
                <c:pt idx="1706">
                  <c:v>0.20979020979021001</c:v>
                </c:pt>
                <c:pt idx="1707">
                  <c:v>0.20979020979021001</c:v>
                </c:pt>
                <c:pt idx="1708">
                  <c:v>0.21</c:v>
                </c:pt>
                <c:pt idx="1709">
                  <c:v>0.21</c:v>
                </c:pt>
                <c:pt idx="1710">
                  <c:v>0.21</c:v>
                </c:pt>
                <c:pt idx="1711">
                  <c:v>0.21</c:v>
                </c:pt>
                <c:pt idx="1712">
                  <c:v>0.21199999999999999</c:v>
                </c:pt>
                <c:pt idx="1713">
                  <c:v>0.21212121212121199</c:v>
                </c:pt>
                <c:pt idx="1714">
                  <c:v>0.21212121212121199</c:v>
                </c:pt>
                <c:pt idx="1715">
                  <c:v>0.21445221445221399</c:v>
                </c:pt>
                <c:pt idx="1716">
                  <c:v>0.216</c:v>
                </c:pt>
                <c:pt idx="1717">
                  <c:v>0.216</c:v>
                </c:pt>
                <c:pt idx="1718">
                  <c:v>0.21666666666666701</c:v>
                </c:pt>
                <c:pt idx="1719">
                  <c:v>0.22</c:v>
                </c:pt>
                <c:pt idx="1720">
                  <c:v>0.22</c:v>
                </c:pt>
                <c:pt idx="1721">
                  <c:v>0.22</c:v>
                </c:pt>
                <c:pt idx="1722">
                  <c:v>0.221445221445221</c:v>
                </c:pt>
                <c:pt idx="1723">
                  <c:v>0.223333333333333</c:v>
                </c:pt>
                <c:pt idx="1724">
                  <c:v>0.223776223776224</c:v>
                </c:pt>
                <c:pt idx="1725">
                  <c:v>0.22600000000000001</c:v>
                </c:pt>
                <c:pt idx="1726">
                  <c:v>0.22800000000000001</c:v>
                </c:pt>
                <c:pt idx="1727">
                  <c:v>0.228228228228228</c:v>
                </c:pt>
                <c:pt idx="1728">
                  <c:v>0.23</c:v>
                </c:pt>
                <c:pt idx="1729">
                  <c:v>0.23130841121495299</c:v>
                </c:pt>
                <c:pt idx="1730">
                  <c:v>0.23310023310023301</c:v>
                </c:pt>
                <c:pt idx="1731">
                  <c:v>0.23376623376623401</c:v>
                </c:pt>
                <c:pt idx="1732">
                  <c:v>0.23711340206185599</c:v>
                </c:pt>
                <c:pt idx="1733">
                  <c:v>0.24324324324324301</c:v>
                </c:pt>
                <c:pt idx="1734">
                  <c:v>0.24324324324324301</c:v>
                </c:pt>
                <c:pt idx="1735">
                  <c:v>0.24399999999999999</c:v>
                </c:pt>
                <c:pt idx="1736">
                  <c:v>0.24468085106383</c:v>
                </c:pt>
                <c:pt idx="1737">
                  <c:v>0.24475524475524499</c:v>
                </c:pt>
                <c:pt idx="1738">
                  <c:v>0.248</c:v>
                </c:pt>
                <c:pt idx="1739">
                  <c:v>0.24833333333333299</c:v>
                </c:pt>
                <c:pt idx="1740">
                  <c:v>0.24941724941724899</c:v>
                </c:pt>
                <c:pt idx="1741">
                  <c:v>0.25</c:v>
                </c:pt>
                <c:pt idx="1742">
                  <c:v>0.252</c:v>
                </c:pt>
                <c:pt idx="1743">
                  <c:v>0.25407925407925402</c:v>
                </c:pt>
                <c:pt idx="1744">
                  <c:v>0.25449101796407197</c:v>
                </c:pt>
                <c:pt idx="1745">
                  <c:v>0.255255255255255</c:v>
                </c:pt>
                <c:pt idx="1746">
                  <c:v>0.25600000000000001</c:v>
                </c:pt>
                <c:pt idx="1747">
                  <c:v>0.256410256410256</c:v>
                </c:pt>
                <c:pt idx="1748">
                  <c:v>0.25800000000000001</c:v>
                </c:pt>
                <c:pt idx="1749">
                  <c:v>0.25800000000000001</c:v>
                </c:pt>
                <c:pt idx="1750">
                  <c:v>0.25833333333333303</c:v>
                </c:pt>
                <c:pt idx="1751">
                  <c:v>0.26869158878504701</c:v>
                </c:pt>
                <c:pt idx="1752">
                  <c:v>0.26933333333333298</c:v>
                </c:pt>
                <c:pt idx="1753">
                  <c:v>0.27027027027027001</c:v>
                </c:pt>
                <c:pt idx="1754">
                  <c:v>0.27027027027027001</c:v>
                </c:pt>
                <c:pt idx="1755">
                  <c:v>0.27102803738317799</c:v>
                </c:pt>
                <c:pt idx="1756">
                  <c:v>0.27272727272727298</c:v>
                </c:pt>
                <c:pt idx="1757">
                  <c:v>0.27800000000000002</c:v>
                </c:pt>
                <c:pt idx="1758">
                  <c:v>0.27927927927927898</c:v>
                </c:pt>
                <c:pt idx="1759">
                  <c:v>0.27972027972028002</c:v>
                </c:pt>
                <c:pt idx="1760">
                  <c:v>0.28037383177570102</c:v>
                </c:pt>
                <c:pt idx="1761">
                  <c:v>0.28395061728395099</c:v>
                </c:pt>
                <c:pt idx="1762">
                  <c:v>0.28438228438228402</c:v>
                </c:pt>
                <c:pt idx="1763">
                  <c:v>0.28571428571428598</c:v>
                </c:pt>
                <c:pt idx="1764">
                  <c:v>0.28738317757009302</c:v>
                </c:pt>
                <c:pt idx="1765">
                  <c:v>0.28799999999999998</c:v>
                </c:pt>
                <c:pt idx="1766">
                  <c:v>0.28904428904428903</c:v>
                </c:pt>
                <c:pt idx="1767">
                  <c:v>0.289719626168224</c:v>
                </c:pt>
                <c:pt idx="1768">
                  <c:v>0.28999999999999998</c:v>
                </c:pt>
                <c:pt idx="1769">
                  <c:v>0.29199999999999998</c:v>
                </c:pt>
                <c:pt idx="1770">
                  <c:v>0.293333333333333</c:v>
                </c:pt>
                <c:pt idx="1771">
                  <c:v>0.29429429429429399</c:v>
                </c:pt>
                <c:pt idx="1772">
                  <c:v>0.29599999999999999</c:v>
                </c:pt>
                <c:pt idx="1773">
                  <c:v>0.29672897196261699</c:v>
                </c:pt>
                <c:pt idx="1774">
                  <c:v>0.29729729729729698</c:v>
                </c:pt>
                <c:pt idx="1775">
                  <c:v>0.29729729729729698</c:v>
                </c:pt>
                <c:pt idx="1776">
                  <c:v>0.29940119760479</c:v>
                </c:pt>
                <c:pt idx="1777">
                  <c:v>0.3</c:v>
                </c:pt>
                <c:pt idx="1778">
                  <c:v>0.3</c:v>
                </c:pt>
                <c:pt idx="1779">
                  <c:v>0.3</c:v>
                </c:pt>
                <c:pt idx="1780">
                  <c:v>0.30303030303030298</c:v>
                </c:pt>
                <c:pt idx="1781">
                  <c:v>0.30399999999999999</c:v>
                </c:pt>
                <c:pt idx="1782">
                  <c:v>0.30399999999999999</c:v>
                </c:pt>
                <c:pt idx="1783">
                  <c:v>0.30630630630630601</c:v>
                </c:pt>
                <c:pt idx="1784">
                  <c:v>0.31182795698924698</c:v>
                </c:pt>
                <c:pt idx="1785">
                  <c:v>0.312</c:v>
                </c:pt>
                <c:pt idx="1786">
                  <c:v>0.31466666666666698</c:v>
                </c:pt>
                <c:pt idx="1787">
                  <c:v>0.31468531468531502</c:v>
                </c:pt>
                <c:pt idx="1788">
                  <c:v>0.316</c:v>
                </c:pt>
                <c:pt idx="1789">
                  <c:v>0.31733333333333302</c:v>
                </c:pt>
                <c:pt idx="1790">
                  <c:v>0.31733333333333302</c:v>
                </c:pt>
                <c:pt idx="1791">
                  <c:v>0.317647058823529</c:v>
                </c:pt>
                <c:pt idx="1792">
                  <c:v>0.31775700934579398</c:v>
                </c:pt>
                <c:pt idx="1793">
                  <c:v>0.32333333333333297</c:v>
                </c:pt>
                <c:pt idx="1794">
                  <c:v>0.32467532467532501</c:v>
                </c:pt>
                <c:pt idx="1795">
                  <c:v>0.32666666666666699</c:v>
                </c:pt>
                <c:pt idx="1796">
                  <c:v>0.32786885245901598</c:v>
                </c:pt>
                <c:pt idx="1797">
                  <c:v>0.32857142857142901</c:v>
                </c:pt>
                <c:pt idx="1798">
                  <c:v>0.33</c:v>
                </c:pt>
                <c:pt idx="1799">
                  <c:v>0.33177570093457898</c:v>
                </c:pt>
                <c:pt idx="1800">
                  <c:v>0.33400000000000002</c:v>
                </c:pt>
                <c:pt idx="1801">
                  <c:v>0.33500000000000002</c:v>
                </c:pt>
                <c:pt idx="1802">
                  <c:v>0.33600000000000002</c:v>
                </c:pt>
                <c:pt idx="1803">
                  <c:v>0.33600000000000002</c:v>
                </c:pt>
                <c:pt idx="1804">
                  <c:v>0.33733333333333299</c:v>
                </c:pt>
                <c:pt idx="1805">
                  <c:v>0.33913043478260901</c:v>
                </c:pt>
                <c:pt idx="1806">
                  <c:v>0.34131736526946099</c:v>
                </c:pt>
                <c:pt idx="1807">
                  <c:v>0.34246575342465801</c:v>
                </c:pt>
                <c:pt idx="1808">
                  <c:v>0.342592592592593</c:v>
                </c:pt>
                <c:pt idx="1809">
                  <c:v>0.34399999999999997</c:v>
                </c:pt>
                <c:pt idx="1810">
                  <c:v>0.345345345345345</c:v>
                </c:pt>
                <c:pt idx="1811">
                  <c:v>0.34666666666666701</c:v>
                </c:pt>
                <c:pt idx="1812">
                  <c:v>0.349333333333333</c:v>
                </c:pt>
                <c:pt idx="1813">
                  <c:v>0.35166666666666702</c:v>
                </c:pt>
                <c:pt idx="1814">
                  <c:v>0.35199999999999998</c:v>
                </c:pt>
                <c:pt idx="1815">
                  <c:v>0.35299999999999998</c:v>
                </c:pt>
                <c:pt idx="1816">
                  <c:v>0.35399999999999998</c:v>
                </c:pt>
                <c:pt idx="1817">
                  <c:v>0.35466666666666702</c:v>
                </c:pt>
                <c:pt idx="1818">
                  <c:v>0.355140186915888</c:v>
                </c:pt>
                <c:pt idx="1819">
                  <c:v>0.35747663551401898</c:v>
                </c:pt>
                <c:pt idx="1820">
                  <c:v>0.36</c:v>
                </c:pt>
                <c:pt idx="1821">
                  <c:v>0.36266666666666703</c:v>
                </c:pt>
                <c:pt idx="1822">
                  <c:v>0.36363636363636398</c:v>
                </c:pt>
                <c:pt idx="1823">
                  <c:v>0.36399999999999999</c:v>
                </c:pt>
                <c:pt idx="1824">
                  <c:v>0.36499999999999999</c:v>
                </c:pt>
                <c:pt idx="1825">
                  <c:v>0.36666666666666697</c:v>
                </c:pt>
                <c:pt idx="1826">
                  <c:v>0.36799999999999999</c:v>
                </c:pt>
                <c:pt idx="1827">
                  <c:v>0.36986301369863001</c:v>
                </c:pt>
                <c:pt idx="1828">
                  <c:v>0.37</c:v>
                </c:pt>
                <c:pt idx="1829">
                  <c:v>0.37062937062937101</c:v>
                </c:pt>
                <c:pt idx="1830">
                  <c:v>0.37333333333333302</c:v>
                </c:pt>
                <c:pt idx="1831">
                  <c:v>0.37362637362637402</c:v>
                </c:pt>
                <c:pt idx="1832">
                  <c:v>0.376</c:v>
                </c:pt>
                <c:pt idx="1833">
                  <c:v>0.37878787878787901</c:v>
                </c:pt>
                <c:pt idx="1834">
                  <c:v>0.38</c:v>
                </c:pt>
                <c:pt idx="1835">
                  <c:v>0.38</c:v>
                </c:pt>
                <c:pt idx="1836">
                  <c:v>0.38461538461538503</c:v>
                </c:pt>
                <c:pt idx="1837">
                  <c:v>0.38800000000000001</c:v>
                </c:pt>
                <c:pt idx="1838">
                  <c:v>0.38927738927738897</c:v>
                </c:pt>
                <c:pt idx="1839">
                  <c:v>0.38927738927738897</c:v>
                </c:pt>
                <c:pt idx="1840">
                  <c:v>0.391608391608392</c:v>
                </c:pt>
                <c:pt idx="1841">
                  <c:v>0.391666666666667</c:v>
                </c:pt>
                <c:pt idx="1842">
                  <c:v>0.39393939393939398</c:v>
                </c:pt>
                <c:pt idx="1843">
                  <c:v>0.394666666666667</c:v>
                </c:pt>
                <c:pt idx="1844">
                  <c:v>0.394859813084112</c:v>
                </c:pt>
                <c:pt idx="1845">
                  <c:v>0.39600000000000002</c:v>
                </c:pt>
                <c:pt idx="1846">
                  <c:v>0.401666666666667</c:v>
                </c:pt>
                <c:pt idx="1847">
                  <c:v>0.40400000000000003</c:v>
                </c:pt>
                <c:pt idx="1848">
                  <c:v>0.40533333333333299</c:v>
                </c:pt>
                <c:pt idx="1849">
                  <c:v>0.40533333333333299</c:v>
                </c:pt>
                <c:pt idx="1850">
                  <c:v>0.415584415584416</c:v>
                </c:pt>
                <c:pt idx="1851">
                  <c:v>0.41599999999999998</c:v>
                </c:pt>
                <c:pt idx="1852">
                  <c:v>0.41866666666666702</c:v>
                </c:pt>
                <c:pt idx="1853">
                  <c:v>0.42</c:v>
                </c:pt>
                <c:pt idx="1854">
                  <c:v>0.42</c:v>
                </c:pt>
                <c:pt idx="1855">
                  <c:v>0.42533333333333301</c:v>
                </c:pt>
                <c:pt idx="1856">
                  <c:v>0.42599999999999999</c:v>
                </c:pt>
                <c:pt idx="1857">
                  <c:v>0.42814371257485001</c:v>
                </c:pt>
                <c:pt idx="1858">
                  <c:v>0.42857142857142899</c:v>
                </c:pt>
                <c:pt idx="1859">
                  <c:v>0.43055555555555602</c:v>
                </c:pt>
                <c:pt idx="1860">
                  <c:v>0.43113772455089799</c:v>
                </c:pt>
                <c:pt idx="1861">
                  <c:v>0.43123543123543101</c:v>
                </c:pt>
                <c:pt idx="1862">
                  <c:v>0.432</c:v>
                </c:pt>
                <c:pt idx="1863">
                  <c:v>0.43269230769230799</c:v>
                </c:pt>
                <c:pt idx="1864">
                  <c:v>0.43333333333333302</c:v>
                </c:pt>
                <c:pt idx="1865">
                  <c:v>0.43666666666666698</c:v>
                </c:pt>
                <c:pt idx="1866">
                  <c:v>0.43956043956044</c:v>
                </c:pt>
                <c:pt idx="1867">
                  <c:v>0.44</c:v>
                </c:pt>
                <c:pt idx="1868">
                  <c:v>0.44055944055944102</c:v>
                </c:pt>
                <c:pt idx="1869">
                  <c:v>0.44055944055944102</c:v>
                </c:pt>
                <c:pt idx="1870">
                  <c:v>0.44166666666666698</c:v>
                </c:pt>
                <c:pt idx="1871">
                  <c:v>0.442</c:v>
                </c:pt>
                <c:pt idx="1872">
                  <c:v>0.44289044289044299</c:v>
                </c:pt>
                <c:pt idx="1873">
                  <c:v>0.44400000000000001</c:v>
                </c:pt>
                <c:pt idx="1874">
                  <c:v>0.45166666666666699</c:v>
                </c:pt>
                <c:pt idx="1875">
                  <c:v>0.45333333333333298</c:v>
                </c:pt>
                <c:pt idx="1876">
                  <c:v>0.45744680851063801</c:v>
                </c:pt>
                <c:pt idx="1877">
                  <c:v>0.46153846153846201</c:v>
                </c:pt>
                <c:pt idx="1878">
                  <c:v>0.461666666666667</c:v>
                </c:pt>
                <c:pt idx="1879">
                  <c:v>0.46261682242990698</c:v>
                </c:pt>
                <c:pt idx="1880">
                  <c:v>0.46666666666666701</c:v>
                </c:pt>
                <c:pt idx="1881">
                  <c:v>0.47</c:v>
                </c:pt>
                <c:pt idx="1882">
                  <c:v>0.47</c:v>
                </c:pt>
                <c:pt idx="1883">
                  <c:v>0.47199999999999998</c:v>
                </c:pt>
                <c:pt idx="1884">
                  <c:v>0.47199999999999998</c:v>
                </c:pt>
                <c:pt idx="1885">
                  <c:v>0.47319347319347299</c:v>
                </c:pt>
                <c:pt idx="1886">
                  <c:v>0.473333333333333</c:v>
                </c:pt>
                <c:pt idx="1887">
                  <c:v>0.476190476190476</c:v>
                </c:pt>
                <c:pt idx="1888">
                  <c:v>0.48</c:v>
                </c:pt>
                <c:pt idx="1889">
                  <c:v>0.48148148148148101</c:v>
                </c:pt>
                <c:pt idx="1890">
                  <c:v>0.483333333333333</c:v>
                </c:pt>
                <c:pt idx="1891">
                  <c:v>0.48499999999999999</c:v>
                </c:pt>
                <c:pt idx="1892">
                  <c:v>0.48948948948949</c:v>
                </c:pt>
                <c:pt idx="1893">
                  <c:v>0.490566037735849</c:v>
                </c:pt>
                <c:pt idx="1894">
                  <c:v>0.492307692307692</c:v>
                </c:pt>
                <c:pt idx="1895">
                  <c:v>0.49333333333333301</c:v>
                </c:pt>
                <c:pt idx="1896">
                  <c:v>0.49397590361445798</c:v>
                </c:pt>
                <c:pt idx="1897">
                  <c:v>0.49666666666666698</c:v>
                </c:pt>
                <c:pt idx="1898">
                  <c:v>0.502</c:v>
                </c:pt>
                <c:pt idx="1899">
                  <c:v>0.51866666666666705</c:v>
                </c:pt>
                <c:pt idx="1900">
                  <c:v>0.51948051948051899</c:v>
                </c:pt>
                <c:pt idx="1901">
                  <c:v>0.52</c:v>
                </c:pt>
                <c:pt idx="1902">
                  <c:v>0.52447552447552404</c:v>
                </c:pt>
                <c:pt idx="1903">
                  <c:v>0.52600000000000002</c:v>
                </c:pt>
                <c:pt idx="1904">
                  <c:v>0.52913752913752898</c:v>
                </c:pt>
                <c:pt idx="1905">
                  <c:v>0.53066666666666695</c:v>
                </c:pt>
                <c:pt idx="1906">
                  <c:v>0.53066666666666695</c:v>
                </c:pt>
                <c:pt idx="1907">
                  <c:v>0.53333333333333299</c:v>
                </c:pt>
                <c:pt idx="1908">
                  <c:v>0.53500000000000003</c:v>
                </c:pt>
                <c:pt idx="1909">
                  <c:v>0.53613053613053596</c:v>
                </c:pt>
                <c:pt idx="1910">
                  <c:v>0.53846153846153799</c:v>
                </c:pt>
                <c:pt idx="1911">
                  <c:v>0.54054054054054101</c:v>
                </c:pt>
                <c:pt idx="1912">
                  <c:v>0.54400000000000004</c:v>
                </c:pt>
                <c:pt idx="1913">
                  <c:v>0.54400000000000004</c:v>
                </c:pt>
                <c:pt idx="1914">
                  <c:v>0.54666666666666697</c:v>
                </c:pt>
                <c:pt idx="1915">
                  <c:v>0.54933333333333301</c:v>
                </c:pt>
                <c:pt idx="1916">
                  <c:v>0.55200000000000005</c:v>
                </c:pt>
                <c:pt idx="1917">
                  <c:v>0.55841121495327095</c:v>
                </c:pt>
                <c:pt idx="1918">
                  <c:v>0.55932203389830504</c:v>
                </c:pt>
                <c:pt idx="1919">
                  <c:v>0.55944055944055904</c:v>
                </c:pt>
                <c:pt idx="1920">
                  <c:v>0.56000000000000005</c:v>
                </c:pt>
                <c:pt idx="1921">
                  <c:v>0.56799999999999995</c:v>
                </c:pt>
                <c:pt idx="1922">
                  <c:v>0.57142857142857095</c:v>
                </c:pt>
                <c:pt idx="1923">
                  <c:v>0.57399999999999995</c:v>
                </c:pt>
                <c:pt idx="1924">
                  <c:v>0.57466666666666699</c:v>
                </c:pt>
                <c:pt idx="1925">
                  <c:v>0.57499999999999996</c:v>
                </c:pt>
                <c:pt idx="1926">
                  <c:v>0.57599999999999996</c:v>
                </c:pt>
                <c:pt idx="1927">
                  <c:v>0.57692307692307698</c:v>
                </c:pt>
                <c:pt idx="1928">
                  <c:v>0.58024691358024705</c:v>
                </c:pt>
                <c:pt idx="1929">
                  <c:v>0.58041958041957997</c:v>
                </c:pt>
                <c:pt idx="1930">
                  <c:v>0.58399999999999996</c:v>
                </c:pt>
                <c:pt idx="1931">
                  <c:v>0.58399999999999996</c:v>
                </c:pt>
                <c:pt idx="1932">
                  <c:v>0.58558558558558604</c:v>
                </c:pt>
                <c:pt idx="1933">
                  <c:v>0.58933333333333304</c:v>
                </c:pt>
                <c:pt idx="1934">
                  <c:v>0.59</c:v>
                </c:pt>
                <c:pt idx="1935">
                  <c:v>0.59199999999999997</c:v>
                </c:pt>
                <c:pt idx="1936">
                  <c:v>0.59599999999999997</c:v>
                </c:pt>
                <c:pt idx="1937">
                  <c:v>0.59638554216867501</c:v>
                </c:pt>
                <c:pt idx="1938">
                  <c:v>0.59673659673659696</c:v>
                </c:pt>
                <c:pt idx="1939">
                  <c:v>0.59799999999999998</c:v>
                </c:pt>
                <c:pt idx="1940">
                  <c:v>0.59906759906759899</c:v>
                </c:pt>
                <c:pt idx="1941">
                  <c:v>0.6</c:v>
                </c:pt>
                <c:pt idx="1942">
                  <c:v>0.602739726027397</c:v>
                </c:pt>
                <c:pt idx="1943">
                  <c:v>0.60533333333333295</c:v>
                </c:pt>
                <c:pt idx="1944">
                  <c:v>0.60599999999999998</c:v>
                </c:pt>
                <c:pt idx="1945">
                  <c:v>0.61</c:v>
                </c:pt>
                <c:pt idx="1946">
                  <c:v>0.61066666666666702</c:v>
                </c:pt>
                <c:pt idx="1947">
                  <c:v>0.61363636363636398</c:v>
                </c:pt>
                <c:pt idx="1948">
                  <c:v>0.61448598130841103</c:v>
                </c:pt>
                <c:pt idx="1949">
                  <c:v>0.61538461538461497</c:v>
                </c:pt>
                <c:pt idx="1950">
                  <c:v>0.61599999999999999</c:v>
                </c:pt>
                <c:pt idx="1951">
                  <c:v>0.61599999999999999</c:v>
                </c:pt>
                <c:pt idx="1952">
                  <c:v>0.61599999999999999</c:v>
                </c:pt>
                <c:pt idx="1953">
                  <c:v>0.61666666666666703</c:v>
                </c:pt>
                <c:pt idx="1954">
                  <c:v>0.62004662004662003</c:v>
                </c:pt>
                <c:pt idx="1955">
                  <c:v>0.624</c:v>
                </c:pt>
                <c:pt idx="1956">
                  <c:v>0.63063063063063096</c:v>
                </c:pt>
                <c:pt idx="1957">
                  <c:v>0.63166666666666704</c:v>
                </c:pt>
                <c:pt idx="1958">
                  <c:v>0.63500000000000001</c:v>
                </c:pt>
                <c:pt idx="1959">
                  <c:v>0.63513513513513498</c:v>
                </c:pt>
                <c:pt idx="1960">
                  <c:v>0.63600000000000001</c:v>
                </c:pt>
                <c:pt idx="1961">
                  <c:v>0.64516129032258096</c:v>
                </c:pt>
                <c:pt idx="1962">
                  <c:v>0.64705882352941202</c:v>
                </c:pt>
                <c:pt idx="1963">
                  <c:v>0.65066666666666695</c:v>
                </c:pt>
                <c:pt idx="1964">
                  <c:v>0.65333333333333299</c:v>
                </c:pt>
                <c:pt idx="1965">
                  <c:v>0.65866666666666696</c:v>
                </c:pt>
                <c:pt idx="1966">
                  <c:v>0.66</c:v>
                </c:pt>
                <c:pt idx="1967">
                  <c:v>0.66300366300366298</c:v>
                </c:pt>
                <c:pt idx="1968">
                  <c:v>0.66400000000000003</c:v>
                </c:pt>
                <c:pt idx="1969">
                  <c:v>0.66400000000000003</c:v>
                </c:pt>
                <c:pt idx="1970">
                  <c:v>0.66588785046729004</c:v>
                </c:pt>
                <c:pt idx="1971">
                  <c:v>0.68400000000000005</c:v>
                </c:pt>
                <c:pt idx="1972">
                  <c:v>0.686746987951807</c:v>
                </c:pt>
                <c:pt idx="1973">
                  <c:v>0.68925233644859796</c:v>
                </c:pt>
                <c:pt idx="1974">
                  <c:v>0.69158878504672905</c:v>
                </c:pt>
                <c:pt idx="1975">
                  <c:v>0.69499999999999995</c:v>
                </c:pt>
                <c:pt idx="1976">
                  <c:v>0.69696969696969702</c:v>
                </c:pt>
                <c:pt idx="1977">
                  <c:v>0.69736842105263197</c:v>
                </c:pt>
                <c:pt idx="1978">
                  <c:v>0.69833333333333303</c:v>
                </c:pt>
                <c:pt idx="1979">
                  <c:v>0.70133333333333303</c:v>
                </c:pt>
                <c:pt idx="1980">
                  <c:v>0.703962703962704</c:v>
                </c:pt>
                <c:pt idx="1981">
                  <c:v>0.70533333333333303</c:v>
                </c:pt>
                <c:pt idx="1982">
                  <c:v>0.710666666666667</c:v>
                </c:pt>
                <c:pt idx="1983">
                  <c:v>0.71199999999999997</c:v>
                </c:pt>
                <c:pt idx="1984">
                  <c:v>0.71261682242990698</c:v>
                </c:pt>
                <c:pt idx="1985">
                  <c:v>0.71590909090909105</c:v>
                </c:pt>
                <c:pt idx="1986">
                  <c:v>0.71751412429378503</c:v>
                </c:pt>
                <c:pt idx="1987">
                  <c:v>0.72289156626506001</c:v>
                </c:pt>
                <c:pt idx="1988">
                  <c:v>0.73333333333333295</c:v>
                </c:pt>
                <c:pt idx="1989">
                  <c:v>0.74166666666666703</c:v>
                </c:pt>
                <c:pt idx="1990">
                  <c:v>0.74333333333333296</c:v>
                </c:pt>
                <c:pt idx="1991">
                  <c:v>0.74418604651162801</c:v>
                </c:pt>
                <c:pt idx="1992">
                  <c:v>0.746</c:v>
                </c:pt>
                <c:pt idx="1993">
                  <c:v>0.746835443037975</c:v>
                </c:pt>
                <c:pt idx="1994">
                  <c:v>0.74766355140186902</c:v>
                </c:pt>
                <c:pt idx="1995">
                  <c:v>0.752</c:v>
                </c:pt>
                <c:pt idx="1996">
                  <c:v>0.75833333333333297</c:v>
                </c:pt>
                <c:pt idx="1997">
                  <c:v>0.76</c:v>
                </c:pt>
                <c:pt idx="1998">
                  <c:v>0.76200000000000001</c:v>
                </c:pt>
                <c:pt idx="1999">
                  <c:v>0.76333333333333298</c:v>
                </c:pt>
                <c:pt idx="2000">
                  <c:v>0.76333333333333298</c:v>
                </c:pt>
                <c:pt idx="2001">
                  <c:v>0.78787878787878796</c:v>
                </c:pt>
                <c:pt idx="2002">
                  <c:v>0.78800000000000003</c:v>
                </c:pt>
                <c:pt idx="2003">
                  <c:v>0.793333333333333</c:v>
                </c:pt>
                <c:pt idx="2004">
                  <c:v>0.796875</c:v>
                </c:pt>
                <c:pt idx="2005">
                  <c:v>0.80147058823529405</c:v>
                </c:pt>
                <c:pt idx="2006">
                  <c:v>0.80400000000000005</c:v>
                </c:pt>
                <c:pt idx="2007">
                  <c:v>0.80412371134020599</c:v>
                </c:pt>
                <c:pt idx="2008">
                  <c:v>0.80519480519480502</c:v>
                </c:pt>
                <c:pt idx="2009">
                  <c:v>0.80800000000000005</c:v>
                </c:pt>
                <c:pt idx="2010">
                  <c:v>0.81200000000000006</c:v>
                </c:pt>
                <c:pt idx="2011">
                  <c:v>0.82133333333333303</c:v>
                </c:pt>
                <c:pt idx="2012">
                  <c:v>0.82533333333333303</c:v>
                </c:pt>
                <c:pt idx="2013">
                  <c:v>0.86153846153846203</c:v>
                </c:pt>
                <c:pt idx="2014">
                  <c:v>0.86399999999999999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</c:numCache>
            </c:numRef>
          </c:xVal>
          <c:yVal>
            <c:numRef>
              <c:f>'Minefield moves'!$C$2:$C$2096</c:f>
              <c:numCache>
                <c:formatCode>General</c:formatCode>
                <c:ptCount val="2095"/>
                <c:pt idx="0">
                  <c:v>5.9708230471847818E-4</c:v>
                </c:pt>
                <c:pt idx="1">
                  <c:v>5.9708230471847818E-4</c:v>
                </c:pt>
                <c:pt idx="2">
                  <c:v>5.9708230471847818E-4</c:v>
                </c:pt>
                <c:pt idx="3">
                  <c:v>5.9708230471847818E-4</c:v>
                </c:pt>
                <c:pt idx="4">
                  <c:v>5.9708230471847818E-4</c:v>
                </c:pt>
                <c:pt idx="5">
                  <c:v>9.3406831642433661E-3</c:v>
                </c:pt>
                <c:pt idx="6">
                  <c:v>1.7969084391812485E-2</c:v>
                </c:pt>
                <c:pt idx="7">
                  <c:v>1.9135089881147659E-2</c:v>
                </c:pt>
                <c:pt idx="8">
                  <c:v>6.6112029357033072E-2</c:v>
                </c:pt>
                <c:pt idx="9">
                  <c:v>8.6139310401837407E-2</c:v>
                </c:pt>
                <c:pt idx="10">
                  <c:v>9.5427826287564924E-2</c:v>
                </c:pt>
                <c:pt idx="11">
                  <c:v>0.10403005443419247</c:v>
                </c:pt>
                <c:pt idx="12">
                  <c:v>0.12582815303847877</c:v>
                </c:pt>
                <c:pt idx="13">
                  <c:v>0.14316453987175382</c:v>
                </c:pt>
                <c:pt idx="14">
                  <c:v>0.15789925509991293</c:v>
                </c:pt>
                <c:pt idx="15">
                  <c:v>0.18387808662551391</c:v>
                </c:pt>
                <c:pt idx="16">
                  <c:v>0.19577969208140206</c:v>
                </c:pt>
                <c:pt idx="17">
                  <c:v>0.21766916546748943</c:v>
                </c:pt>
                <c:pt idx="18">
                  <c:v>0.31748865326068526</c:v>
                </c:pt>
                <c:pt idx="19">
                  <c:v>0.31845376948920534</c:v>
                </c:pt>
                <c:pt idx="20">
                  <c:v>0.32024353429962482</c:v>
                </c:pt>
                <c:pt idx="21">
                  <c:v>0.32683709445315356</c:v>
                </c:pt>
                <c:pt idx="22">
                  <c:v>0.3276082006454652</c:v>
                </c:pt>
                <c:pt idx="23">
                  <c:v>0.33981286406828221</c:v>
                </c:pt>
                <c:pt idx="24">
                  <c:v>0.35739160026206335</c:v>
                </c:pt>
                <c:pt idx="25">
                  <c:v>0.37186640275459398</c:v>
                </c:pt>
                <c:pt idx="26">
                  <c:v>0.40040050516687614</c:v>
                </c:pt>
                <c:pt idx="27">
                  <c:v>0.41329112764746323</c:v>
                </c:pt>
                <c:pt idx="28">
                  <c:v>0.44736485807978582</c:v>
                </c:pt>
                <c:pt idx="29">
                  <c:v>0.45230668301805066</c:v>
                </c:pt>
                <c:pt idx="30">
                  <c:v>0.45455024875916622</c:v>
                </c:pt>
                <c:pt idx="31">
                  <c:v>0.45542106513735459</c:v>
                </c:pt>
                <c:pt idx="32">
                  <c:v>0.45622653573817679</c:v>
                </c:pt>
                <c:pt idx="33">
                  <c:v>0.47042868475025579</c:v>
                </c:pt>
                <c:pt idx="34">
                  <c:v>0.47296005013056691</c:v>
                </c:pt>
                <c:pt idx="35">
                  <c:v>0.47791439895435595</c:v>
                </c:pt>
                <c:pt idx="36">
                  <c:v>0.47889556519243603</c:v>
                </c:pt>
                <c:pt idx="37">
                  <c:v>0.48315992705668609</c:v>
                </c:pt>
                <c:pt idx="38">
                  <c:v>0.48738896070043214</c:v>
                </c:pt>
                <c:pt idx="39">
                  <c:v>0.49347758377418355</c:v>
                </c:pt>
                <c:pt idx="40">
                  <c:v>0.49774412510658889</c:v>
                </c:pt>
                <c:pt idx="41">
                  <c:v>0.50216430438862525</c:v>
                </c:pt>
                <c:pt idx="42">
                  <c:v>0.52333433470166812</c:v>
                </c:pt>
                <c:pt idx="43">
                  <c:v>0.52521518446712134</c:v>
                </c:pt>
                <c:pt idx="44">
                  <c:v>0.5504148376923893</c:v>
                </c:pt>
                <c:pt idx="45">
                  <c:v>0.5504148376923893</c:v>
                </c:pt>
                <c:pt idx="46">
                  <c:v>0.55210698724824281</c:v>
                </c:pt>
                <c:pt idx="47">
                  <c:v>0.56143195003504154</c:v>
                </c:pt>
                <c:pt idx="48">
                  <c:v>0.58001907106504513</c:v>
                </c:pt>
                <c:pt idx="49">
                  <c:v>0.58376940212020068</c:v>
                </c:pt>
                <c:pt idx="50">
                  <c:v>0.60630615712639213</c:v>
                </c:pt>
                <c:pt idx="51">
                  <c:v>0.61031625937713374</c:v>
                </c:pt>
                <c:pt idx="52">
                  <c:v>0.62878319856606379</c:v>
                </c:pt>
                <c:pt idx="53">
                  <c:v>0.62957956606742072</c:v>
                </c:pt>
                <c:pt idx="54">
                  <c:v>0.63324347790936242</c:v>
                </c:pt>
                <c:pt idx="55">
                  <c:v>0.64125111435058213</c:v>
                </c:pt>
                <c:pt idx="56">
                  <c:v>0.64125111435058213</c:v>
                </c:pt>
                <c:pt idx="57">
                  <c:v>0.65300381076572056</c:v>
                </c:pt>
                <c:pt idx="58">
                  <c:v>0.65300381076572056</c:v>
                </c:pt>
                <c:pt idx="59">
                  <c:v>0.67276261747509114</c:v>
                </c:pt>
                <c:pt idx="60">
                  <c:v>0.67899911293657034</c:v>
                </c:pt>
                <c:pt idx="61">
                  <c:v>0.6834417400923527</c:v>
                </c:pt>
                <c:pt idx="62">
                  <c:v>0.69544276101546243</c:v>
                </c:pt>
                <c:pt idx="63">
                  <c:v>0.7044335491054331</c:v>
                </c:pt>
                <c:pt idx="64">
                  <c:v>0.72096372852777901</c:v>
                </c:pt>
                <c:pt idx="65">
                  <c:v>0.72206373826576165</c:v>
                </c:pt>
                <c:pt idx="66">
                  <c:v>0.72206373826576165</c:v>
                </c:pt>
                <c:pt idx="67">
                  <c:v>0.72909165122437669</c:v>
                </c:pt>
                <c:pt idx="68">
                  <c:v>0.73724335568157739</c:v>
                </c:pt>
                <c:pt idx="69">
                  <c:v>0.75066189337820677</c:v>
                </c:pt>
                <c:pt idx="70">
                  <c:v>0.75066189337820677</c:v>
                </c:pt>
                <c:pt idx="71">
                  <c:v>0.75335669928724358</c:v>
                </c:pt>
                <c:pt idx="72">
                  <c:v>0.76116179492932734</c:v>
                </c:pt>
                <c:pt idx="73">
                  <c:v>0.76116179492932734</c:v>
                </c:pt>
                <c:pt idx="74">
                  <c:v>0.7631586777710081</c:v>
                </c:pt>
                <c:pt idx="75">
                  <c:v>0.77073855844842742</c:v>
                </c:pt>
                <c:pt idx="76">
                  <c:v>0.77831440872250879</c:v>
                </c:pt>
                <c:pt idx="77">
                  <c:v>0.78037985931594689</c:v>
                </c:pt>
                <c:pt idx="78">
                  <c:v>0.80127868269716451</c:v>
                </c:pt>
                <c:pt idx="79">
                  <c:v>0.80275347974054923</c:v>
                </c:pt>
                <c:pt idx="80">
                  <c:v>0.8062738228502736</c:v>
                </c:pt>
                <c:pt idx="81">
                  <c:v>0.81146730248762977</c:v>
                </c:pt>
                <c:pt idx="82">
                  <c:v>0.83019522369085275</c:v>
                </c:pt>
                <c:pt idx="83">
                  <c:v>0.83184154559106482</c:v>
                </c:pt>
                <c:pt idx="84">
                  <c:v>0.83644682297824846</c:v>
                </c:pt>
                <c:pt idx="85">
                  <c:v>0.83912925575321062</c:v>
                </c:pt>
                <c:pt idx="86">
                  <c:v>0.84478755102810987</c:v>
                </c:pt>
                <c:pt idx="87">
                  <c:v>0.84478755102810987</c:v>
                </c:pt>
                <c:pt idx="88">
                  <c:v>0.84478755102810987</c:v>
                </c:pt>
                <c:pt idx="89">
                  <c:v>0.84523854718932467</c:v>
                </c:pt>
                <c:pt idx="90">
                  <c:v>0.84523854718932467</c:v>
                </c:pt>
                <c:pt idx="91">
                  <c:v>0.85463698626870965</c:v>
                </c:pt>
                <c:pt idx="92">
                  <c:v>0.85463698626870965</c:v>
                </c:pt>
                <c:pt idx="93">
                  <c:v>0.86148147481748738</c:v>
                </c:pt>
                <c:pt idx="94">
                  <c:v>0.87400689202344151</c:v>
                </c:pt>
                <c:pt idx="95">
                  <c:v>0.88161540396806704</c:v>
                </c:pt>
                <c:pt idx="96">
                  <c:v>0.88161540396806704</c:v>
                </c:pt>
                <c:pt idx="97">
                  <c:v>0.88284557140554187</c:v>
                </c:pt>
                <c:pt idx="98">
                  <c:v>0.88450632274416874</c:v>
                </c:pt>
                <c:pt idx="99">
                  <c:v>0.89224555494224755</c:v>
                </c:pt>
                <c:pt idx="100">
                  <c:v>0.89279061770200907</c:v>
                </c:pt>
                <c:pt idx="101">
                  <c:v>0.89487672459134349</c:v>
                </c:pt>
                <c:pt idx="102">
                  <c:v>0.89487672459134349</c:v>
                </c:pt>
                <c:pt idx="103">
                  <c:v>0.89904805965576229</c:v>
                </c:pt>
                <c:pt idx="104">
                  <c:v>0.90009069234221006</c:v>
                </c:pt>
                <c:pt idx="105">
                  <c:v>0.90321805827029089</c:v>
                </c:pt>
                <c:pt idx="106">
                  <c:v>0.90321805827029089</c:v>
                </c:pt>
                <c:pt idx="107">
                  <c:v>0.90479235453894191</c:v>
                </c:pt>
                <c:pt idx="108">
                  <c:v>0.91102782028672957</c:v>
                </c:pt>
                <c:pt idx="109">
                  <c:v>0.91155325126043174</c:v>
                </c:pt>
                <c:pt idx="110">
                  <c:v>0.91155325126043174</c:v>
                </c:pt>
                <c:pt idx="111">
                  <c:v>0.91935685901296937</c:v>
                </c:pt>
                <c:pt idx="112">
                  <c:v>0.91988070574833203</c:v>
                </c:pt>
                <c:pt idx="113">
                  <c:v>0.92453446132573325</c:v>
                </c:pt>
                <c:pt idx="114">
                  <c:v>0.92662905076895918</c:v>
                </c:pt>
                <c:pt idx="115">
                  <c:v>0.92819881139609439</c:v>
                </c:pt>
                <c:pt idx="116">
                  <c:v>0.92819881139609439</c:v>
                </c:pt>
                <c:pt idx="117">
                  <c:v>0.92819881139609439</c:v>
                </c:pt>
                <c:pt idx="118">
                  <c:v>0.92977132241732297</c:v>
                </c:pt>
                <c:pt idx="119">
                  <c:v>0.92977132241732297</c:v>
                </c:pt>
                <c:pt idx="120">
                  <c:v>0.93027668718660916</c:v>
                </c:pt>
                <c:pt idx="121">
                  <c:v>0.93100988664492856</c:v>
                </c:pt>
                <c:pt idx="122">
                  <c:v>0.93389309438122803</c:v>
                </c:pt>
                <c:pt idx="123">
                  <c:v>0.94201963948322098</c:v>
                </c:pt>
                <c:pt idx="124">
                  <c:v>0.94480047509346798</c:v>
                </c:pt>
                <c:pt idx="125">
                  <c:v>0.9483923729122391</c:v>
                </c:pt>
                <c:pt idx="126">
                  <c:v>0.95099202204883992</c:v>
                </c:pt>
                <c:pt idx="127">
                  <c:v>0.95308075422377159</c:v>
                </c:pt>
                <c:pt idx="128">
                  <c:v>0.9545108249444203</c:v>
                </c:pt>
                <c:pt idx="129">
                  <c:v>0.9545108249444203</c:v>
                </c:pt>
                <c:pt idx="130">
                  <c:v>0.95514840363903009</c:v>
                </c:pt>
                <c:pt idx="131">
                  <c:v>0.95562540959514208</c:v>
                </c:pt>
                <c:pt idx="132">
                  <c:v>0.95562540959514208</c:v>
                </c:pt>
                <c:pt idx="133">
                  <c:v>0.95562540959514208</c:v>
                </c:pt>
                <c:pt idx="134">
                  <c:v>0.95562540959514208</c:v>
                </c:pt>
                <c:pt idx="135">
                  <c:v>0.95562540959514208</c:v>
                </c:pt>
                <c:pt idx="136">
                  <c:v>0.95919405640186473</c:v>
                </c:pt>
                <c:pt idx="137">
                  <c:v>0.96134512768635993</c:v>
                </c:pt>
                <c:pt idx="138">
                  <c:v>0.96134512768635993</c:v>
                </c:pt>
                <c:pt idx="139">
                  <c:v>0.96134512768635993</c:v>
                </c:pt>
                <c:pt idx="140">
                  <c:v>0.96165862891056952</c:v>
                </c:pt>
                <c:pt idx="141">
                  <c:v>0.96706784947674751</c:v>
                </c:pt>
                <c:pt idx="142">
                  <c:v>0.96706784947674751</c:v>
                </c:pt>
                <c:pt idx="143">
                  <c:v>0.96845724778983899</c:v>
                </c:pt>
                <c:pt idx="144">
                  <c:v>0.96959192993248711</c:v>
                </c:pt>
                <c:pt idx="145">
                  <c:v>0.97370821875501734</c:v>
                </c:pt>
                <c:pt idx="146">
                  <c:v>0.97724479342587611</c:v>
                </c:pt>
                <c:pt idx="147">
                  <c:v>0.9778194859204431</c:v>
                </c:pt>
                <c:pt idx="148">
                  <c:v>0.97987317053520784</c:v>
                </c:pt>
                <c:pt idx="149">
                  <c:v>0.98338243960279292</c:v>
                </c:pt>
                <c:pt idx="150">
                  <c:v>0.98602611165333132</c:v>
                </c:pt>
                <c:pt idx="151">
                  <c:v>0.98602611165333132</c:v>
                </c:pt>
                <c:pt idx="152">
                  <c:v>0.98953641062994357</c:v>
                </c:pt>
                <c:pt idx="153">
                  <c:v>0.99056081154138031</c:v>
                </c:pt>
                <c:pt idx="154">
                  <c:v>0.99056081154138031</c:v>
                </c:pt>
                <c:pt idx="155">
                  <c:v>0.99318840956020149</c:v>
                </c:pt>
                <c:pt idx="156">
                  <c:v>0.99318840956020149</c:v>
                </c:pt>
                <c:pt idx="157">
                  <c:v>0.99421011472554199</c:v>
                </c:pt>
                <c:pt idx="158">
                  <c:v>0.99469078585908877</c:v>
                </c:pt>
                <c:pt idx="159">
                  <c:v>0.99829310172429431</c:v>
                </c:pt>
                <c:pt idx="160">
                  <c:v>0.99872102604230883</c:v>
                </c:pt>
                <c:pt idx="161">
                  <c:v>0.99872102604230883</c:v>
                </c:pt>
                <c:pt idx="162">
                  <c:v>0.99872102604230883</c:v>
                </c:pt>
                <c:pt idx="163">
                  <c:v>1.002369794877753</c:v>
                </c:pt>
                <c:pt idx="164">
                  <c:v>1.002369794877753</c:v>
                </c:pt>
                <c:pt idx="165">
                  <c:v>1.0033879597230408</c:v>
                </c:pt>
                <c:pt idx="166">
                  <c:v>1.0039839922249889</c:v>
                </c:pt>
                <c:pt idx="167">
                  <c:v>1.004405714508132</c:v>
                </c:pt>
                <c:pt idx="168">
                  <c:v>1.0052464216239905</c:v>
                </c:pt>
                <c:pt idx="169">
                  <c:v>1.0084725661357901</c:v>
                </c:pt>
                <c:pt idx="170">
                  <c:v>1.0111048545172967</c:v>
                </c:pt>
                <c:pt idx="171">
                  <c:v>1.0119828067663315</c:v>
                </c:pt>
                <c:pt idx="172">
                  <c:v>1.0129438798906079</c:v>
                </c:pt>
                <c:pt idx="173">
                  <c:v>1.0129438798906079</c:v>
                </c:pt>
                <c:pt idx="174">
                  <c:v>1.0131355097625152</c:v>
                </c:pt>
                <c:pt idx="175">
                  <c:v>1.0131355097625152</c:v>
                </c:pt>
                <c:pt idx="176">
                  <c:v>1.0131355097625152</c:v>
                </c:pt>
                <c:pt idx="177">
                  <c:v>1.0131355097625152</c:v>
                </c:pt>
                <c:pt idx="178">
                  <c:v>1.0165855683226295</c:v>
                </c:pt>
                <c:pt idx="179">
                  <c:v>1.0186093495038628</c:v>
                </c:pt>
                <c:pt idx="180">
                  <c:v>1.0186093495038628</c:v>
                </c:pt>
                <c:pt idx="181">
                  <c:v>1.0186093495038628</c:v>
                </c:pt>
                <c:pt idx="182">
                  <c:v>1.0190819311670056</c:v>
                </c:pt>
                <c:pt idx="183">
                  <c:v>1.0200234885288362</c:v>
                </c:pt>
                <c:pt idx="184">
                  <c:v>1.0224227676350657</c:v>
                </c:pt>
                <c:pt idx="185">
                  <c:v>1.0234491906945007</c:v>
                </c:pt>
                <c:pt idx="186">
                  <c:v>1.0236606867670131</c:v>
                </c:pt>
                <c:pt idx="187">
                  <c:v>1.0266857892996373</c:v>
                </c:pt>
                <c:pt idx="188">
                  <c:v>1.0266857892996373</c:v>
                </c:pt>
                <c:pt idx="189">
                  <c:v>1.0270803527796761</c:v>
                </c:pt>
                <c:pt idx="190">
                  <c:v>1.0287000931715387</c:v>
                </c:pt>
                <c:pt idx="191">
                  <c:v>1.0287000931715387</c:v>
                </c:pt>
                <c:pt idx="192">
                  <c:v>1.0332109288794709</c:v>
                </c:pt>
                <c:pt idx="193">
                  <c:v>1.0347310379847536</c:v>
                </c:pt>
                <c:pt idx="194">
                  <c:v>1.0402384774515339</c:v>
                </c:pt>
                <c:pt idx="195">
                  <c:v>1.0403648632754179</c:v>
                </c:pt>
                <c:pt idx="196">
                  <c:v>1.0407434642436713</c:v>
                </c:pt>
                <c:pt idx="197">
                  <c:v>1.0411212324382804</c:v>
                </c:pt>
                <c:pt idx="198">
                  <c:v>1.0414981703987989</c:v>
                </c:pt>
                <c:pt idx="199">
                  <c:v>1.0427433646366107</c:v>
                </c:pt>
                <c:pt idx="200">
                  <c:v>1.0427433646366107</c:v>
                </c:pt>
                <c:pt idx="201">
                  <c:v>1.0427433646366107</c:v>
                </c:pt>
                <c:pt idx="202">
                  <c:v>1.0472398380739083</c:v>
                </c:pt>
                <c:pt idx="203">
                  <c:v>1.0493580205724462</c:v>
                </c:pt>
                <c:pt idx="204">
                  <c:v>1.0493580205724462</c:v>
                </c:pt>
                <c:pt idx="205">
                  <c:v>1.0507210339735256</c:v>
                </c:pt>
                <c:pt idx="206">
                  <c:v>1.0507210339735256</c:v>
                </c:pt>
                <c:pt idx="207">
                  <c:v>1.0507210339735256</c:v>
                </c:pt>
                <c:pt idx="208">
                  <c:v>1.051370688977258</c:v>
                </c:pt>
                <c:pt idx="209">
                  <c:v>1.052709832383022</c:v>
                </c:pt>
                <c:pt idx="210">
                  <c:v>1.0542138419437879</c:v>
                </c:pt>
                <c:pt idx="211">
                  <c:v>1.0542138419437879</c:v>
                </c:pt>
                <c:pt idx="212">
                  <c:v>1.0542138419437879</c:v>
                </c:pt>
                <c:pt idx="213">
                  <c:v>1.0542138419437879</c:v>
                </c:pt>
                <c:pt idx="214">
                  <c:v>1.0586623069621905</c:v>
                </c:pt>
                <c:pt idx="215">
                  <c:v>1.0586623069621905</c:v>
                </c:pt>
                <c:pt idx="216">
                  <c:v>1.0586623069621905</c:v>
                </c:pt>
                <c:pt idx="217">
                  <c:v>1.0586623069621905</c:v>
                </c:pt>
                <c:pt idx="218">
                  <c:v>1.0593737541937986</c:v>
                </c:pt>
                <c:pt idx="219">
                  <c:v>1.0611593182505537</c:v>
                </c:pt>
                <c:pt idx="220">
                  <c:v>1.0611593182505537</c:v>
                </c:pt>
                <c:pt idx="221">
                  <c:v>1.0619830519038005</c:v>
                </c:pt>
                <c:pt idx="222">
                  <c:v>1.0645933286758775</c:v>
                </c:pt>
                <c:pt idx="223">
                  <c:v>1.0645933286758775</c:v>
                </c:pt>
                <c:pt idx="224">
                  <c:v>1.0645933286758775</c:v>
                </c:pt>
                <c:pt idx="225">
                  <c:v>1.0665654414315138</c:v>
                </c:pt>
                <c:pt idx="226">
                  <c:v>1.0665654414315138</c:v>
                </c:pt>
                <c:pt idx="227">
                  <c:v>1.0665654414315138</c:v>
                </c:pt>
                <c:pt idx="228">
                  <c:v>1.0665654414315138</c:v>
                </c:pt>
                <c:pt idx="229">
                  <c:v>1.0672045115692423</c:v>
                </c:pt>
                <c:pt idx="230">
                  <c:v>1.0672045115692423</c:v>
                </c:pt>
                <c:pt idx="231">
                  <c:v>1.0672045115692423</c:v>
                </c:pt>
                <c:pt idx="232">
                  <c:v>1.0682403679114103</c:v>
                </c:pt>
                <c:pt idx="233">
                  <c:v>1.0682403679114103</c:v>
                </c:pt>
                <c:pt idx="234">
                  <c:v>1.0685350614958742</c:v>
                </c:pt>
                <c:pt idx="235">
                  <c:v>1.0688791426513247</c:v>
                </c:pt>
                <c:pt idx="236">
                  <c:v>1.0688791426513247</c:v>
                </c:pt>
                <c:pt idx="237">
                  <c:v>1.0688791426513247</c:v>
                </c:pt>
                <c:pt idx="238">
                  <c:v>1.0688791426513247</c:v>
                </c:pt>
                <c:pt idx="239">
                  <c:v>1.0705021615874208</c:v>
                </c:pt>
                <c:pt idx="240">
                  <c:v>1.0705021615874208</c:v>
                </c:pt>
                <c:pt idx="241">
                  <c:v>1.073448027080796</c:v>
                </c:pt>
                <c:pt idx="242">
                  <c:v>1.0744286926926003</c:v>
                </c:pt>
                <c:pt idx="243">
                  <c:v>1.075744366983961</c:v>
                </c:pt>
                <c:pt idx="244">
                  <c:v>1.0760528661007005</c:v>
                </c:pt>
                <c:pt idx="245">
                  <c:v>1.0760528661007005</c:v>
                </c:pt>
                <c:pt idx="246">
                  <c:v>1.0760528661007005</c:v>
                </c:pt>
                <c:pt idx="247">
                  <c:v>1.0760528661007005</c:v>
                </c:pt>
                <c:pt idx="248">
                  <c:v>1.076388069111716</c:v>
                </c:pt>
                <c:pt idx="249">
                  <c:v>1.076388069111716</c:v>
                </c:pt>
                <c:pt idx="250">
                  <c:v>1.0787137168990821</c:v>
                </c:pt>
                <c:pt idx="251">
                  <c:v>1.0822503141645554</c:v>
                </c:pt>
                <c:pt idx="252">
                  <c:v>1.0825775580878303</c:v>
                </c:pt>
                <c:pt idx="253">
                  <c:v>1.0825775580878303</c:v>
                </c:pt>
                <c:pt idx="254">
                  <c:v>1.0825775580878303</c:v>
                </c:pt>
                <c:pt idx="255">
                  <c:v>1.0848479681856618</c:v>
                </c:pt>
                <c:pt idx="256">
                  <c:v>1.0858188914811919</c:v>
                </c:pt>
                <c:pt idx="257">
                  <c:v>1.0858188914811919</c:v>
                </c:pt>
                <c:pt idx="258">
                  <c:v>1.0880881593129179</c:v>
                </c:pt>
                <c:pt idx="259">
                  <c:v>1.0880881593129179</c:v>
                </c:pt>
                <c:pt idx="260">
                  <c:v>1.0886324792758371</c:v>
                </c:pt>
                <c:pt idx="261">
                  <c:v>1.0893775484750543</c:v>
                </c:pt>
                <c:pt idx="262">
                  <c:v>1.0935873214169387</c:v>
                </c:pt>
                <c:pt idx="263">
                  <c:v>1.0935873214169387</c:v>
                </c:pt>
                <c:pt idx="264">
                  <c:v>1.0935873214169387</c:v>
                </c:pt>
                <c:pt idx="265">
                  <c:v>1.0935873214169387</c:v>
                </c:pt>
                <c:pt idx="266">
                  <c:v>1.0939008669261743</c:v>
                </c:pt>
                <c:pt idx="267">
                  <c:v>1.0939008669261743</c:v>
                </c:pt>
                <c:pt idx="268">
                  <c:v>1.0954177077828968</c:v>
                </c:pt>
                <c:pt idx="269">
                  <c:v>1.0973873500760556</c:v>
                </c:pt>
                <c:pt idx="270">
                  <c:v>1.0977616757504696</c:v>
                </c:pt>
                <c:pt idx="271">
                  <c:v>1.0977616757504696</c:v>
                </c:pt>
                <c:pt idx="272">
                  <c:v>1.0977616757504696</c:v>
                </c:pt>
                <c:pt idx="273">
                  <c:v>1.0977616757504696</c:v>
                </c:pt>
                <c:pt idx="274">
                  <c:v>1.0977616757504696</c:v>
                </c:pt>
                <c:pt idx="275">
                  <c:v>1.0977616757504696</c:v>
                </c:pt>
                <c:pt idx="276">
                  <c:v>1.1018130208637653</c:v>
                </c:pt>
                <c:pt idx="277">
                  <c:v>1.1018130208637653</c:v>
                </c:pt>
                <c:pt idx="278">
                  <c:v>1.1018130208637653</c:v>
                </c:pt>
                <c:pt idx="279">
                  <c:v>1.1022684287268523</c:v>
                </c:pt>
                <c:pt idx="280">
                  <c:v>1.1022684287268523</c:v>
                </c:pt>
                <c:pt idx="281">
                  <c:v>1.1028732557309495</c:v>
                </c:pt>
                <c:pt idx="282">
                  <c:v>1.1031746525905057</c:v>
                </c:pt>
                <c:pt idx="283">
                  <c:v>1.1031746525905057</c:v>
                </c:pt>
                <c:pt idx="284">
                  <c:v>1.1054479189500872</c:v>
                </c:pt>
                <c:pt idx="285">
                  <c:v>1.1054479189500872</c:v>
                </c:pt>
                <c:pt idx="286">
                  <c:v>1.1070321632682989</c:v>
                </c:pt>
                <c:pt idx="287">
                  <c:v>1.1084864212661938</c:v>
                </c:pt>
                <c:pt idx="288">
                  <c:v>1.1130855398192707</c:v>
                </c:pt>
                <c:pt idx="289">
                  <c:v>1.1130855398192707</c:v>
                </c:pt>
                <c:pt idx="290">
                  <c:v>1.1130855398192707</c:v>
                </c:pt>
                <c:pt idx="291">
                  <c:v>1.1155552312984272</c:v>
                </c:pt>
                <c:pt idx="292">
                  <c:v>1.116222147776655</c:v>
                </c:pt>
                <c:pt idx="293">
                  <c:v>1.116222147776655</c:v>
                </c:pt>
                <c:pt idx="294">
                  <c:v>1.1194459210081711</c:v>
                </c:pt>
                <c:pt idx="295">
                  <c:v>1.1202878583688212</c:v>
                </c:pt>
                <c:pt idx="296">
                  <c:v>1.1206727918860973</c:v>
                </c:pt>
                <c:pt idx="297">
                  <c:v>1.1206727918860973</c:v>
                </c:pt>
                <c:pt idx="298">
                  <c:v>1.1206727918860973</c:v>
                </c:pt>
                <c:pt idx="299">
                  <c:v>1.1215401598229369</c:v>
                </c:pt>
                <c:pt idx="300">
                  <c:v>1.1225615302907208</c:v>
                </c:pt>
                <c:pt idx="301">
                  <c:v>1.1225615302907208</c:v>
                </c:pt>
                <c:pt idx="302">
                  <c:v>1.122838621549388</c:v>
                </c:pt>
                <c:pt idx="303">
                  <c:v>1.122838621549388</c:v>
                </c:pt>
                <c:pt idx="304">
                  <c:v>1.122838621549388</c:v>
                </c:pt>
                <c:pt idx="305">
                  <c:v>1.122838621549388</c:v>
                </c:pt>
                <c:pt idx="306">
                  <c:v>1.1282079306462258</c:v>
                </c:pt>
                <c:pt idx="307">
                  <c:v>1.1282079306462258</c:v>
                </c:pt>
                <c:pt idx="308">
                  <c:v>1.1294148938764015</c:v>
                </c:pt>
                <c:pt idx="309">
                  <c:v>1.1310198166012226</c:v>
                </c:pt>
                <c:pt idx="310">
                  <c:v>1.1338240373923631</c:v>
                </c:pt>
                <c:pt idx="311">
                  <c:v>1.1338240373923631</c:v>
                </c:pt>
                <c:pt idx="312">
                  <c:v>1.1353408462561612</c:v>
                </c:pt>
                <c:pt idx="313">
                  <c:v>1.1356892142206116</c:v>
                </c:pt>
                <c:pt idx="314">
                  <c:v>1.1356892142206116</c:v>
                </c:pt>
                <c:pt idx="315">
                  <c:v>1.13594980176833</c:v>
                </c:pt>
                <c:pt idx="316">
                  <c:v>1.136360499766131</c:v>
                </c:pt>
                <c:pt idx="317">
                  <c:v>1.13713874449729</c:v>
                </c:pt>
                <c:pt idx="318">
                  <c:v>1.1377575565561995</c:v>
                </c:pt>
                <c:pt idx="319">
                  <c:v>1.1394091168564033</c:v>
                </c:pt>
                <c:pt idx="320">
                  <c:v>1.1424421842166363</c:v>
                </c:pt>
                <c:pt idx="321">
                  <c:v>1.1424421842166363</c:v>
                </c:pt>
                <c:pt idx="322">
                  <c:v>1.1431149040164752</c:v>
                </c:pt>
                <c:pt idx="323">
                  <c:v>1.1431149040164752</c:v>
                </c:pt>
                <c:pt idx="324">
                  <c:v>1.1431149040164752</c:v>
                </c:pt>
                <c:pt idx="325">
                  <c:v>1.1431149040164752</c:v>
                </c:pt>
                <c:pt idx="326">
                  <c:v>1.1447129803676597</c:v>
                </c:pt>
                <c:pt idx="327">
                  <c:v>1.1447129803676597</c:v>
                </c:pt>
                <c:pt idx="328">
                  <c:v>1.1447129803676597</c:v>
                </c:pt>
                <c:pt idx="329">
                  <c:v>1.1447129803676597</c:v>
                </c:pt>
                <c:pt idx="330">
                  <c:v>1.1449624365628084</c:v>
                </c:pt>
                <c:pt idx="331">
                  <c:v>1.1449624365628084</c:v>
                </c:pt>
                <c:pt idx="332">
                  <c:v>1.1449624365628084</c:v>
                </c:pt>
                <c:pt idx="333">
                  <c:v>1.1488908825325577</c:v>
                </c:pt>
                <c:pt idx="334">
                  <c:v>1.1495654145471841</c:v>
                </c:pt>
                <c:pt idx="335">
                  <c:v>1.1504832653911645</c:v>
                </c:pt>
                <c:pt idx="336">
                  <c:v>1.1504832653911645</c:v>
                </c:pt>
                <c:pt idx="337">
                  <c:v>1.1504832653911645</c:v>
                </c:pt>
                <c:pt idx="338">
                  <c:v>1.1504832653911645</c:v>
                </c:pt>
                <c:pt idx="339">
                  <c:v>1.1504832653911645</c:v>
                </c:pt>
                <c:pt idx="340">
                  <c:v>1.1504832653911645</c:v>
                </c:pt>
                <c:pt idx="341">
                  <c:v>1.1504832653911645</c:v>
                </c:pt>
                <c:pt idx="342">
                  <c:v>1.1504832653911645</c:v>
                </c:pt>
                <c:pt idx="343">
                  <c:v>1.1529922845977991</c:v>
                </c:pt>
                <c:pt idx="344">
                  <c:v>1.1529922845977991</c:v>
                </c:pt>
                <c:pt idx="345">
                  <c:v>1.1529922845977991</c:v>
                </c:pt>
                <c:pt idx="346">
                  <c:v>1.1547429358217272</c:v>
                </c:pt>
                <c:pt idx="347">
                  <c:v>1.1547429358217272</c:v>
                </c:pt>
                <c:pt idx="348">
                  <c:v>1.1577925683185601</c:v>
                </c:pt>
                <c:pt idx="349">
                  <c:v>1.161119631864199</c:v>
                </c:pt>
                <c:pt idx="350">
                  <c:v>1.1611959438358677</c:v>
                </c:pt>
                <c:pt idx="351">
                  <c:v>1.1611959438358677</c:v>
                </c:pt>
                <c:pt idx="352">
                  <c:v>1.1611959438358677</c:v>
                </c:pt>
                <c:pt idx="353">
                  <c:v>1.1650410880576829</c:v>
                </c:pt>
                <c:pt idx="354">
                  <c:v>1.1650410880576829</c:v>
                </c:pt>
                <c:pt idx="355">
                  <c:v>1.1650410880576829</c:v>
                </c:pt>
                <c:pt idx="356">
                  <c:v>1.1650410880576829</c:v>
                </c:pt>
                <c:pt idx="357">
                  <c:v>1.1650410880576829</c:v>
                </c:pt>
                <c:pt idx="358">
                  <c:v>1.166843519058681</c:v>
                </c:pt>
                <c:pt idx="359">
                  <c:v>1.166843519058681</c:v>
                </c:pt>
                <c:pt idx="360">
                  <c:v>1.166843519058681</c:v>
                </c:pt>
                <c:pt idx="361">
                  <c:v>1.1693214983298437</c:v>
                </c:pt>
                <c:pt idx="362">
                  <c:v>1.1693214983298437</c:v>
                </c:pt>
                <c:pt idx="363">
                  <c:v>1.1693214983298437</c:v>
                </c:pt>
                <c:pt idx="364">
                  <c:v>1.1693214983298437</c:v>
                </c:pt>
                <c:pt idx="365">
                  <c:v>1.1693214983298437</c:v>
                </c:pt>
                <c:pt idx="366">
                  <c:v>1.1699748680981614</c:v>
                </c:pt>
                <c:pt idx="367">
                  <c:v>1.1699748680981614</c:v>
                </c:pt>
                <c:pt idx="368">
                  <c:v>1.1716530334355659</c:v>
                </c:pt>
                <c:pt idx="369">
                  <c:v>1.1716530334355659</c:v>
                </c:pt>
                <c:pt idx="370">
                  <c:v>1.1722271058231357</c:v>
                </c:pt>
                <c:pt idx="371">
                  <c:v>1.1722271058231357</c:v>
                </c:pt>
                <c:pt idx="372">
                  <c:v>1.1722271058231357</c:v>
                </c:pt>
                <c:pt idx="373">
                  <c:v>1.1722271058231357</c:v>
                </c:pt>
                <c:pt idx="374">
                  <c:v>1.1722271058231357</c:v>
                </c:pt>
                <c:pt idx="375">
                  <c:v>1.1722271058231357</c:v>
                </c:pt>
                <c:pt idx="376">
                  <c:v>1.1722271058231357</c:v>
                </c:pt>
                <c:pt idx="377">
                  <c:v>1.1722271058231357</c:v>
                </c:pt>
                <c:pt idx="378">
                  <c:v>1.1734456366788555</c:v>
                </c:pt>
                <c:pt idx="379">
                  <c:v>1.1742257609603279</c:v>
                </c:pt>
                <c:pt idx="380">
                  <c:v>1.1742257609603279</c:v>
                </c:pt>
                <c:pt idx="381">
                  <c:v>1.1773664984117131</c:v>
                </c:pt>
                <c:pt idx="382">
                  <c:v>1.1773664984117131</c:v>
                </c:pt>
                <c:pt idx="383">
                  <c:v>1.1773664984117131</c:v>
                </c:pt>
                <c:pt idx="384">
                  <c:v>1.178453640716058</c:v>
                </c:pt>
                <c:pt idx="385">
                  <c:v>1.1793489094570251</c:v>
                </c:pt>
                <c:pt idx="386">
                  <c:v>1.1793489094570251</c:v>
                </c:pt>
                <c:pt idx="387">
                  <c:v>1.1799615080996981</c:v>
                </c:pt>
                <c:pt idx="388">
                  <c:v>1.1811191269494365</c:v>
                </c:pt>
                <c:pt idx="389">
                  <c:v>1.1811191269494365</c:v>
                </c:pt>
                <c:pt idx="390">
                  <c:v>1.1828851979031141</c:v>
                </c:pt>
                <c:pt idx="391">
                  <c:v>1.1828851979031141</c:v>
                </c:pt>
                <c:pt idx="392">
                  <c:v>1.1853285057154908</c:v>
                </c:pt>
                <c:pt idx="393">
                  <c:v>1.1853285057154908</c:v>
                </c:pt>
                <c:pt idx="394">
                  <c:v>1.1853285057154908</c:v>
                </c:pt>
                <c:pt idx="395">
                  <c:v>1.1855264715454013</c:v>
                </c:pt>
                <c:pt idx="396">
                  <c:v>1.1859210582670727</c:v>
                </c:pt>
                <c:pt idx="397">
                  <c:v>1.1859210582670727</c:v>
                </c:pt>
                <c:pt idx="398">
                  <c:v>1.1859210582670727</c:v>
                </c:pt>
                <c:pt idx="399">
                  <c:v>1.1861422287826797</c:v>
                </c:pt>
                <c:pt idx="400">
                  <c:v>1.1861422287826797</c:v>
                </c:pt>
                <c:pt idx="401">
                  <c:v>1.1861422287826797</c:v>
                </c:pt>
                <c:pt idx="402">
                  <c:v>1.1864047941020022</c:v>
                </c:pt>
                <c:pt idx="403">
                  <c:v>1.1864047941020022</c:v>
                </c:pt>
                <c:pt idx="404">
                  <c:v>1.1864047941020022</c:v>
                </c:pt>
                <c:pt idx="405">
                  <c:v>1.1864047941020022</c:v>
                </c:pt>
                <c:pt idx="406">
                  <c:v>1.1864047941020022</c:v>
                </c:pt>
                <c:pt idx="407">
                  <c:v>1.1864047941020022</c:v>
                </c:pt>
                <c:pt idx="408">
                  <c:v>1.1864047941020022</c:v>
                </c:pt>
                <c:pt idx="409">
                  <c:v>1.1866011972605273</c:v>
                </c:pt>
                <c:pt idx="410">
                  <c:v>1.1881582663829053</c:v>
                </c:pt>
                <c:pt idx="411">
                  <c:v>1.1922710911907539</c:v>
                </c:pt>
                <c:pt idx="412">
                  <c:v>1.1922710911907539</c:v>
                </c:pt>
                <c:pt idx="413">
                  <c:v>1.1932050943970707</c:v>
                </c:pt>
                <c:pt idx="414">
                  <c:v>1.1932050943970707</c:v>
                </c:pt>
                <c:pt idx="415">
                  <c:v>1.1933930628750524</c:v>
                </c:pt>
                <c:pt idx="416">
                  <c:v>1.1933930628750524</c:v>
                </c:pt>
                <c:pt idx="417">
                  <c:v>1.1933930628750524</c:v>
                </c:pt>
                <c:pt idx="418">
                  <c:v>1.1937677231219623</c:v>
                </c:pt>
                <c:pt idx="419">
                  <c:v>1.1974944519580466</c:v>
                </c:pt>
                <c:pt idx="420">
                  <c:v>1.1985888756161405</c:v>
                </c:pt>
                <c:pt idx="421">
                  <c:v>1.1987698333177466</c:v>
                </c:pt>
                <c:pt idx="422">
                  <c:v>1.1987698333177466</c:v>
                </c:pt>
                <c:pt idx="423">
                  <c:v>1.1987698333177466</c:v>
                </c:pt>
                <c:pt idx="424">
                  <c:v>1.1987698333177466</c:v>
                </c:pt>
                <c:pt idx="425">
                  <c:v>1.2003120275416668</c:v>
                </c:pt>
                <c:pt idx="426">
                  <c:v>1.2003120275416668</c:v>
                </c:pt>
                <c:pt idx="427">
                  <c:v>1.2003120275416668</c:v>
                </c:pt>
                <c:pt idx="428">
                  <c:v>1.2003120275416668</c:v>
                </c:pt>
                <c:pt idx="429">
                  <c:v>1.2009938523550712</c:v>
                </c:pt>
                <c:pt idx="430">
                  <c:v>1.2009938523550712</c:v>
                </c:pt>
                <c:pt idx="431">
                  <c:v>1.2009938523550712</c:v>
                </c:pt>
                <c:pt idx="432">
                  <c:v>1.2015269106609847</c:v>
                </c:pt>
                <c:pt idx="433">
                  <c:v>1.2037449957925208</c:v>
                </c:pt>
                <c:pt idx="434">
                  <c:v>1.204773785207313</c:v>
                </c:pt>
                <c:pt idx="435">
                  <c:v>1.204773785207313</c:v>
                </c:pt>
                <c:pt idx="436">
                  <c:v>1.2071600091900268</c:v>
                </c:pt>
                <c:pt idx="437">
                  <c:v>1.2071600091900268</c:v>
                </c:pt>
                <c:pt idx="438">
                  <c:v>1.2071600091900268</c:v>
                </c:pt>
                <c:pt idx="439">
                  <c:v>1.2071600091900268</c:v>
                </c:pt>
                <c:pt idx="440">
                  <c:v>1.2071600091900268</c:v>
                </c:pt>
                <c:pt idx="441">
                  <c:v>1.2071600091900268</c:v>
                </c:pt>
                <c:pt idx="442">
                  <c:v>1.2071600091900268</c:v>
                </c:pt>
                <c:pt idx="443">
                  <c:v>1.2071600091900268</c:v>
                </c:pt>
                <c:pt idx="444">
                  <c:v>1.2071600091900268</c:v>
                </c:pt>
                <c:pt idx="445">
                  <c:v>1.2071600091900268</c:v>
                </c:pt>
                <c:pt idx="446">
                  <c:v>1.2071600091900268</c:v>
                </c:pt>
                <c:pt idx="447">
                  <c:v>1.2086923824518139</c:v>
                </c:pt>
                <c:pt idx="448">
                  <c:v>1.2086923824518139</c:v>
                </c:pt>
                <c:pt idx="449">
                  <c:v>1.2086923824518139</c:v>
                </c:pt>
                <c:pt idx="450">
                  <c:v>1.2088607177002348</c:v>
                </c:pt>
                <c:pt idx="451">
                  <c:v>1.2088607177002348</c:v>
                </c:pt>
                <c:pt idx="452">
                  <c:v>1.2088607177002348</c:v>
                </c:pt>
                <c:pt idx="453">
                  <c:v>1.209028671900203</c:v>
                </c:pt>
                <c:pt idx="454">
                  <c:v>1.2091962463012922</c:v>
                </c:pt>
                <c:pt idx="455">
                  <c:v>1.2091962463012922</c:v>
                </c:pt>
                <c:pt idx="456">
                  <c:v>1.2091962463012922</c:v>
                </c:pt>
                <c:pt idx="457">
                  <c:v>1.2103351949401204</c:v>
                </c:pt>
                <c:pt idx="458">
                  <c:v>1.2107226688626704</c:v>
                </c:pt>
                <c:pt idx="459">
                  <c:v>1.2107226688626704</c:v>
                </c:pt>
                <c:pt idx="460">
                  <c:v>1.2139353389048249</c:v>
                </c:pt>
                <c:pt idx="461">
                  <c:v>1.2139353389048249</c:v>
                </c:pt>
                <c:pt idx="462">
                  <c:v>1.2156176248991941</c:v>
                </c:pt>
                <c:pt idx="463">
                  <c:v>1.2162453189648084</c:v>
                </c:pt>
                <c:pt idx="464">
                  <c:v>1.2162453189648084</c:v>
                </c:pt>
                <c:pt idx="465">
                  <c:v>1.216298303733589</c:v>
                </c:pt>
                <c:pt idx="466">
                  <c:v>1.216298303733589</c:v>
                </c:pt>
                <c:pt idx="467">
                  <c:v>1.216298303733589</c:v>
                </c:pt>
                <c:pt idx="468">
                  <c:v>1.2167733715340368</c:v>
                </c:pt>
                <c:pt idx="469">
                  <c:v>1.2167733715340368</c:v>
                </c:pt>
                <c:pt idx="470">
                  <c:v>1.2177139118430342</c:v>
                </c:pt>
                <c:pt idx="471">
                  <c:v>1.218968160400979</c:v>
                </c:pt>
                <c:pt idx="472">
                  <c:v>1.2206363584403486</c:v>
                </c:pt>
                <c:pt idx="473">
                  <c:v>1.2206363584403486</c:v>
                </c:pt>
                <c:pt idx="474">
                  <c:v>1.2238092526493367</c:v>
                </c:pt>
                <c:pt idx="475">
                  <c:v>1.2238092526493367</c:v>
                </c:pt>
                <c:pt idx="476">
                  <c:v>1.2239584867719611</c:v>
                </c:pt>
                <c:pt idx="477">
                  <c:v>1.2242559451247814</c:v>
                </c:pt>
                <c:pt idx="478">
                  <c:v>1.2246996244513726</c:v>
                </c:pt>
                <c:pt idx="479">
                  <c:v>1.2272614208924499</c:v>
                </c:pt>
                <c:pt idx="480">
                  <c:v>1.2272614208924499</c:v>
                </c:pt>
                <c:pt idx="481">
                  <c:v>1.2272614208924499</c:v>
                </c:pt>
                <c:pt idx="482">
                  <c:v>1.2272614208924499</c:v>
                </c:pt>
                <c:pt idx="483">
                  <c:v>1.2278920180331945</c:v>
                </c:pt>
                <c:pt idx="484">
                  <c:v>1.2280841314058184</c:v>
                </c:pt>
                <c:pt idx="485">
                  <c:v>1.2282278371725077</c:v>
                </c:pt>
                <c:pt idx="486">
                  <c:v>1.2282278371725077</c:v>
                </c:pt>
                <c:pt idx="487">
                  <c:v>1.2289056263487776</c:v>
                </c:pt>
                <c:pt idx="488">
                  <c:v>1.2312228842668858</c:v>
                </c:pt>
                <c:pt idx="489">
                  <c:v>1.2312228842668858</c:v>
                </c:pt>
                <c:pt idx="490">
                  <c:v>1.2312228842668858</c:v>
                </c:pt>
                <c:pt idx="491">
                  <c:v>1.2312228842668858</c:v>
                </c:pt>
                <c:pt idx="492">
                  <c:v>1.2312228842668858</c:v>
                </c:pt>
                <c:pt idx="493">
                  <c:v>1.2316416443114577</c:v>
                </c:pt>
                <c:pt idx="494">
                  <c:v>1.2338088913690237</c:v>
                </c:pt>
                <c:pt idx="495">
                  <c:v>1.2338088913690237</c:v>
                </c:pt>
                <c:pt idx="496">
                  <c:v>1.2338088913690237</c:v>
                </c:pt>
                <c:pt idx="497">
                  <c:v>1.2338088913690237</c:v>
                </c:pt>
                <c:pt idx="498">
                  <c:v>1.2338088913690237</c:v>
                </c:pt>
                <c:pt idx="499">
                  <c:v>1.2339454081860872</c:v>
                </c:pt>
                <c:pt idx="500">
                  <c:v>1.2348924786872082</c:v>
                </c:pt>
                <c:pt idx="501">
                  <c:v>1.2385368734858722</c:v>
                </c:pt>
                <c:pt idx="502">
                  <c:v>1.2385368734858722</c:v>
                </c:pt>
                <c:pt idx="503">
                  <c:v>1.2385368734858722</c:v>
                </c:pt>
                <c:pt idx="504">
                  <c:v>1.2385368734858722</c:v>
                </c:pt>
                <c:pt idx="505">
                  <c:v>1.2385368734858722</c:v>
                </c:pt>
                <c:pt idx="506">
                  <c:v>1.2385368734858722</c:v>
                </c:pt>
                <c:pt idx="507">
                  <c:v>1.2385368734858722</c:v>
                </c:pt>
                <c:pt idx="508">
                  <c:v>1.238667598135367</c:v>
                </c:pt>
                <c:pt idx="509">
                  <c:v>1.238667598135367</c:v>
                </c:pt>
                <c:pt idx="510">
                  <c:v>1.2389281659990088</c:v>
                </c:pt>
                <c:pt idx="511">
                  <c:v>1.2392999845929786</c:v>
                </c:pt>
                <c:pt idx="512">
                  <c:v>1.2396024258554923</c:v>
                </c:pt>
                <c:pt idx="513">
                  <c:v>1.2396024258554923</c:v>
                </c:pt>
                <c:pt idx="514">
                  <c:v>1.2396024258554923</c:v>
                </c:pt>
                <c:pt idx="515">
                  <c:v>1.2396024258554923</c:v>
                </c:pt>
                <c:pt idx="516">
                  <c:v>1.2396024258554923</c:v>
                </c:pt>
                <c:pt idx="517">
                  <c:v>1.2402771476586125</c:v>
                </c:pt>
                <c:pt idx="518">
                  <c:v>1.2402771476586125</c:v>
                </c:pt>
                <c:pt idx="519">
                  <c:v>1.2402771476586125</c:v>
                </c:pt>
                <c:pt idx="520">
                  <c:v>1.2402771476586125</c:v>
                </c:pt>
                <c:pt idx="521">
                  <c:v>1.2434810671736092</c:v>
                </c:pt>
                <c:pt idx="522">
                  <c:v>1.2434810671736092</c:v>
                </c:pt>
                <c:pt idx="523">
                  <c:v>1.2442788664329258</c:v>
                </c:pt>
                <c:pt idx="524">
                  <c:v>1.2442788664329258</c:v>
                </c:pt>
                <c:pt idx="525">
                  <c:v>1.2449117211458909</c:v>
                </c:pt>
                <c:pt idx="526">
                  <c:v>1.2451978151981726</c:v>
                </c:pt>
                <c:pt idx="527">
                  <c:v>1.2451978151981726</c:v>
                </c:pt>
                <c:pt idx="528">
                  <c:v>1.2457489162464763</c:v>
                </c:pt>
                <c:pt idx="529">
                  <c:v>1.2457489162464763</c:v>
                </c:pt>
                <c:pt idx="530">
                  <c:v>1.245976898632202</c:v>
                </c:pt>
                <c:pt idx="531">
                  <c:v>1.2461132279498712</c:v>
                </c:pt>
                <c:pt idx="532">
                  <c:v>1.2466645808967589</c:v>
                </c:pt>
                <c:pt idx="533">
                  <c:v>1.2466645808967589</c:v>
                </c:pt>
                <c:pt idx="534">
                  <c:v>1.2466645808967589</c:v>
                </c:pt>
                <c:pt idx="535">
                  <c:v>1.2466645808967589</c:v>
                </c:pt>
                <c:pt idx="536">
                  <c:v>1.2466645808967589</c:v>
                </c:pt>
                <c:pt idx="537">
                  <c:v>1.248248623390283</c:v>
                </c:pt>
                <c:pt idx="538">
                  <c:v>1.248248623390283</c:v>
                </c:pt>
                <c:pt idx="539">
                  <c:v>1.2507305093711358</c:v>
                </c:pt>
                <c:pt idx="540">
                  <c:v>1.2507305093711358</c:v>
                </c:pt>
                <c:pt idx="541">
                  <c:v>1.2528567307330909</c:v>
                </c:pt>
                <c:pt idx="542">
                  <c:v>1.2529695962297274</c:v>
                </c:pt>
                <c:pt idx="543">
                  <c:v>1.2529695962297274</c:v>
                </c:pt>
                <c:pt idx="544">
                  <c:v>1.2529695962297274</c:v>
                </c:pt>
                <c:pt idx="545">
                  <c:v>1.2529695962297274</c:v>
                </c:pt>
                <c:pt idx="546">
                  <c:v>1.2531945699694325</c:v>
                </c:pt>
                <c:pt idx="547">
                  <c:v>1.2531945699694325</c:v>
                </c:pt>
                <c:pt idx="548">
                  <c:v>1.2559453272516168</c:v>
                </c:pt>
                <c:pt idx="549">
                  <c:v>1.2560907027836974</c:v>
                </c:pt>
                <c:pt idx="550">
                  <c:v>1.2561994500084201</c:v>
                </c:pt>
                <c:pt idx="551">
                  <c:v>1.2561994500084201</c:v>
                </c:pt>
                <c:pt idx="552">
                  <c:v>1.2564522502793152</c:v>
                </c:pt>
                <c:pt idx="553">
                  <c:v>1.2576433198305927</c:v>
                </c:pt>
                <c:pt idx="554">
                  <c:v>1.2576433198305927</c:v>
                </c:pt>
                <c:pt idx="555">
                  <c:v>1.2591906134752087</c:v>
                </c:pt>
                <c:pt idx="556">
                  <c:v>1.2591906134752087</c:v>
                </c:pt>
                <c:pt idx="557">
                  <c:v>1.2591906134752087</c:v>
                </c:pt>
                <c:pt idx="558">
                  <c:v>1.2598580585720549</c:v>
                </c:pt>
                <c:pt idx="559">
                  <c:v>1.2598580585720549</c:v>
                </c:pt>
                <c:pt idx="560">
                  <c:v>1.2598580585720549</c:v>
                </c:pt>
                <c:pt idx="561">
                  <c:v>1.2598580585720549</c:v>
                </c:pt>
                <c:pt idx="562">
                  <c:v>1.2598580585720549</c:v>
                </c:pt>
                <c:pt idx="563">
                  <c:v>1.2598580585720549</c:v>
                </c:pt>
                <c:pt idx="564">
                  <c:v>1.2601699550856129</c:v>
                </c:pt>
                <c:pt idx="565">
                  <c:v>1.2613650732065653</c:v>
                </c:pt>
                <c:pt idx="566">
                  <c:v>1.2613650732065653</c:v>
                </c:pt>
                <c:pt idx="567">
                  <c:v>1.2613650732065653</c:v>
                </c:pt>
                <c:pt idx="568">
                  <c:v>1.2616035875570935</c:v>
                </c:pt>
                <c:pt idx="569">
                  <c:v>1.2616035875570935</c:v>
                </c:pt>
                <c:pt idx="570">
                  <c:v>1.2622691331817235</c:v>
                </c:pt>
                <c:pt idx="571">
                  <c:v>1.2653260677796299</c:v>
                </c:pt>
                <c:pt idx="572">
                  <c:v>1.2653260677796299</c:v>
                </c:pt>
                <c:pt idx="573">
                  <c:v>1.2653260677796299</c:v>
                </c:pt>
                <c:pt idx="574">
                  <c:v>1.2653260677796299</c:v>
                </c:pt>
                <c:pt idx="575">
                  <c:v>1.2653260677796299</c:v>
                </c:pt>
                <c:pt idx="576">
                  <c:v>1.2653260677796299</c:v>
                </c:pt>
                <c:pt idx="577">
                  <c:v>1.2667187138345068</c:v>
                </c:pt>
                <c:pt idx="578">
                  <c:v>1.2667506660225756</c:v>
                </c:pt>
                <c:pt idx="579">
                  <c:v>1.2667506660225756</c:v>
                </c:pt>
                <c:pt idx="580">
                  <c:v>1.2667506660225756</c:v>
                </c:pt>
                <c:pt idx="581">
                  <c:v>1.2667506660225756</c:v>
                </c:pt>
                <c:pt idx="582">
                  <c:v>1.2669418816116271</c:v>
                </c:pt>
                <c:pt idx="583">
                  <c:v>1.2669418816116271</c:v>
                </c:pt>
                <c:pt idx="584">
                  <c:v>1.2669418816116271</c:v>
                </c:pt>
                <c:pt idx="585">
                  <c:v>1.2669418816116271</c:v>
                </c:pt>
                <c:pt idx="586">
                  <c:v>1.2670371707217125</c:v>
                </c:pt>
                <c:pt idx="587">
                  <c:v>1.2670371707217125</c:v>
                </c:pt>
                <c:pt idx="588">
                  <c:v>1.2670371707217125</c:v>
                </c:pt>
                <c:pt idx="589">
                  <c:v>1.2670371707217125</c:v>
                </c:pt>
                <c:pt idx="590">
                  <c:v>1.2676044872973002</c:v>
                </c:pt>
                <c:pt idx="591">
                  <c:v>1.2683612241645674</c:v>
                </c:pt>
                <c:pt idx="592">
                  <c:v>1.2713744102716893</c:v>
                </c:pt>
                <c:pt idx="593">
                  <c:v>1.2713744102716893</c:v>
                </c:pt>
                <c:pt idx="594">
                  <c:v>1.2713744102716893</c:v>
                </c:pt>
                <c:pt idx="595">
                  <c:v>1.2713744102716893</c:v>
                </c:pt>
                <c:pt idx="596">
                  <c:v>1.2713744102716893</c:v>
                </c:pt>
                <c:pt idx="597">
                  <c:v>1.2713744102716893</c:v>
                </c:pt>
                <c:pt idx="598">
                  <c:v>1.2720052105475563</c:v>
                </c:pt>
                <c:pt idx="599">
                  <c:v>1.2722133012464985</c:v>
                </c:pt>
                <c:pt idx="600">
                  <c:v>1.2735323451599585</c:v>
                </c:pt>
                <c:pt idx="601">
                  <c:v>1.2735323451599585</c:v>
                </c:pt>
                <c:pt idx="602">
                  <c:v>1.2735323451599585</c:v>
                </c:pt>
                <c:pt idx="603">
                  <c:v>1.2735323451599585</c:v>
                </c:pt>
                <c:pt idx="604">
                  <c:v>1.2735323451599585</c:v>
                </c:pt>
                <c:pt idx="605">
                  <c:v>1.2751097063205434</c:v>
                </c:pt>
                <c:pt idx="606">
                  <c:v>1.275852577632431</c:v>
                </c:pt>
                <c:pt idx="607">
                  <c:v>1.275852577632431</c:v>
                </c:pt>
                <c:pt idx="608">
                  <c:v>1.275852577632431</c:v>
                </c:pt>
                <c:pt idx="609">
                  <c:v>1.2773341087117314</c:v>
                </c:pt>
                <c:pt idx="610">
                  <c:v>1.2773341087117314</c:v>
                </c:pt>
                <c:pt idx="611">
                  <c:v>1.277416825346869</c:v>
                </c:pt>
                <c:pt idx="612">
                  <c:v>1.277416825346869</c:v>
                </c:pt>
                <c:pt idx="613">
                  <c:v>1.2794789974306844</c:v>
                </c:pt>
                <c:pt idx="614">
                  <c:v>1.2802009150502787</c:v>
                </c:pt>
                <c:pt idx="615">
                  <c:v>1.2802009150502787</c:v>
                </c:pt>
                <c:pt idx="616">
                  <c:v>1.2802802422938597</c:v>
                </c:pt>
                <c:pt idx="617">
                  <c:v>1.2802802422938597</c:v>
                </c:pt>
                <c:pt idx="618">
                  <c:v>1.2802802422938597</c:v>
                </c:pt>
                <c:pt idx="619">
                  <c:v>1.2804383722068311</c:v>
                </c:pt>
                <c:pt idx="620">
                  <c:v>1.2823726676534899</c:v>
                </c:pt>
                <c:pt idx="621">
                  <c:v>1.2824749376239637</c:v>
                </c:pt>
                <c:pt idx="622">
                  <c:v>1.2825514429371994</c:v>
                </c:pt>
                <c:pt idx="623">
                  <c:v>1.2825514429371994</c:v>
                </c:pt>
                <c:pt idx="624">
                  <c:v>1.2832036481365874</c:v>
                </c:pt>
                <c:pt idx="625">
                  <c:v>1.2832036481365874</c:v>
                </c:pt>
                <c:pt idx="626">
                  <c:v>1.2832036481365874</c:v>
                </c:pt>
                <c:pt idx="627">
                  <c:v>1.2832036481365874</c:v>
                </c:pt>
                <c:pt idx="628">
                  <c:v>1.2832036481365874</c:v>
                </c:pt>
                <c:pt idx="629">
                  <c:v>1.2832036481365874</c:v>
                </c:pt>
                <c:pt idx="630">
                  <c:v>1.2861041396739583</c:v>
                </c:pt>
                <c:pt idx="631">
                  <c:v>1.2867542229156168</c:v>
                </c:pt>
                <c:pt idx="632">
                  <c:v>1.2867542229156168</c:v>
                </c:pt>
                <c:pt idx="633">
                  <c:v>1.2867542229156168</c:v>
                </c:pt>
                <c:pt idx="634">
                  <c:v>1.2867542229156168</c:v>
                </c:pt>
                <c:pt idx="635">
                  <c:v>1.2869680653235303</c:v>
                </c:pt>
                <c:pt idx="636">
                  <c:v>1.2869680653235303</c:v>
                </c:pt>
                <c:pt idx="637">
                  <c:v>1.2869680653235303</c:v>
                </c:pt>
                <c:pt idx="638">
                  <c:v>1.2874516016420812</c:v>
                </c:pt>
                <c:pt idx="639">
                  <c:v>1.2874516016420812</c:v>
                </c:pt>
                <c:pt idx="640">
                  <c:v>1.2889815314995003</c:v>
                </c:pt>
                <c:pt idx="641">
                  <c:v>1.2889815314995003</c:v>
                </c:pt>
                <c:pt idx="642">
                  <c:v>1.2889815314995003</c:v>
                </c:pt>
                <c:pt idx="643">
                  <c:v>1.2889815314995003</c:v>
                </c:pt>
                <c:pt idx="644">
                  <c:v>1.2889815314995003</c:v>
                </c:pt>
                <c:pt idx="645">
                  <c:v>1.2889815314995003</c:v>
                </c:pt>
                <c:pt idx="646">
                  <c:v>1.2889815314995003</c:v>
                </c:pt>
                <c:pt idx="647">
                  <c:v>1.2889815314995003</c:v>
                </c:pt>
                <c:pt idx="648">
                  <c:v>1.2889815314995003</c:v>
                </c:pt>
                <c:pt idx="649">
                  <c:v>1.2924593395654354</c:v>
                </c:pt>
                <c:pt idx="650">
                  <c:v>1.2924593395654354</c:v>
                </c:pt>
                <c:pt idx="651">
                  <c:v>1.2926099673380718</c:v>
                </c:pt>
                <c:pt idx="652">
                  <c:v>1.2926099673380718</c:v>
                </c:pt>
                <c:pt idx="653">
                  <c:v>1.2929980269618109</c:v>
                </c:pt>
                <c:pt idx="654">
                  <c:v>1.2931901452889942</c:v>
                </c:pt>
                <c:pt idx="655">
                  <c:v>1.2931901452889942</c:v>
                </c:pt>
                <c:pt idx="656">
                  <c:v>1.2932539046082108</c:v>
                </c:pt>
                <c:pt idx="657">
                  <c:v>1.2932539046082108</c:v>
                </c:pt>
                <c:pt idx="658">
                  <c:v>1.2933810057803665</c:v>
                </c:pt>
                <c:pt idx="659">
                  <c:v>1.2946662803047562</c:v>
                </c:pt>
                <c:pt idx="660">
                  <c:v>1.2946662803047562</c:v>
                </c:pt>
                <c:pt idx="661">
                  <c:v>1.2946662803047562</c:v>
                </c:pt>
                <c:pt idx="662">
                  <c:v>1.2946662803047562</c:v>
                </c:pt>
                <c:pt idx="663">
                  <c:v>1.2946662803047562</c:v>
                </c:pt>
                <c:pt idx="664">
                  <c:v>1.2973948955815633</c:v>
                </c:pt>
                <c:pt idx="665">
                  <c:v>1.2973948955815633</c:v>
                </c:pt>
                <c:pt idx="666">
                  <c:v>1.2974732724458096</c:v>
                </c:pt>
                <c:pt idx="667">
                  <c:v>1.2975319058196149</c:v>
                </c:pt>
                <c:pt idx="668">
                  <c:v>1.2975319058196149</c:v>
                </c:pt>
                <c:pt idx="669">
                  <c:v>1.299506589158141</c:v>
                </c:pt>
                <c:pt idx="670">
                  <c:v>1.299506589158141</c:v>
                </c:pt>
                <c:pt idx="671">
                  <c:v>1.299506589158141</c:v>
                </c:pt>
                <c:pt idx="672">
                  <c:v>1.299506589158141</c:v>
                </c:pt>
                <c:pt idx="673">
                  <c:v>1.299506589158141</c:v>
                </c:pt>
                <c:pt idx="674">
                  <c:v>1.299506589158141</c:v>
                </c:pt>
                <c:pt idx="675">
                  <c:v>1.2996751202745971</c:v>
                </c:pt>
                <c:pt idx="676">
                  <c:v>1.2996751202745971</c:v>
                </c:pt>
                <c:pt idx="677">
                  <c:v>1.3001082090281555</c:v>
                </c:pt>
                <c:pt idx="678">
                  <c:v>1.3002564352366486</c:v>
                </c:pt>
                <c:pt idx="679">
                  <c:v>1.3002564352366486</c:v>
                </c:pt>
                <c:pt idx="680">
                  <c:v>1.3002564352366486</c:v>
                </c:pt>
                <c:pt idx="681">
                  <c:v>1.3016390245400495</c:v>
                </c:pt>
                <c:pt idx="682">
                  <c:v>1.3016390245400495</c:v>
                </c:pt>
                <c:pt idx="683">
                  <c:v>1.3022572953760512</c:v>
                </c:pt>
                <c:pt idx="684">
                  <c:v>1.3023810017735071</c:v>
                </c:pt>
                <c:pt idx="685">
                  <c:v>1.303015589361886</c:v>
                </c:pt>
                <c:pt idx="686">
                  <c:v>1.3037016056469191</c:v>
                </c:pt>
                <c:pt idx="687">
                  <c:v>1.3057014930972366</c:v>
                </c:pt>
                <c:pt idx="688">
                  <c:v>1.3057014930972366</c:v>
                </c:pt>
                <c:pt idx="689">
                  <c:v>1.3057014930972366</c:v>
                </c:pt>
                <c:pt idx="690">
                  <c:v>1.3057014930972366</c:v>
                </c:pt>
                <c:pt idx="691">
                  <c:v>1.3057505567824017</c:v>
                </c:pt>
                <c:pt idx="692">
                  <c:v>1.3057505567824017</c:v>
                </c:pt>
                <c:pt idx="693">
                  <c:v>1.3057505567824017</c:v>
                </c:pt>
                <c:pt idx="694">
                  <c:v>1.3057505567824017</c:v>
                </c:pt>
                <c:pt idx="695">
                  <c:v>1.3057505567824017</c:v>
                </c:pt>
                <c:pt idx="696">
                  <c:v>1.3057505567824017</c:v>
                </c:pt>
                <c:pt idx="697">
                  <c:v>1.3057505567824017</c:v>
                </c:pt>
                <c:pt idx="698">
                  <c:v>1.3057505567824017</c:v>
                </c:pt>
                <c:pt idx="699">
                  <c:v>1.3058483667466443</c:v>
                </c:pt>
                <c:pt idx="700">
                  <c:v>1.3058483667466443</c:v>
                </c:pt>
                <c:pt idx="701">
                  <c:v>1.3058483667466443</c:v>
                </c:pt>
                <c:pt idx="702">
                  <c:v>1.3098072715737699</c:v>
                </c:pt>
                <c:pt idx="703">
                  <c:v>1.3111472258486794</c:v>
                </c:pt>
                <c:pt idx="704">
                  <c:v>1.3111472258486794</c:v>
                </c:pt>
                <c:pt idx="705">
                  <c:v>1.3111472258486794</c:v>
                </c:pt>
                <c:pt idx="706">
                  <c:v>1.311758788596497</c:v>
                </c:pt>
                <c:pt idx="707">
                  <c:v>1.311758788596497</c:v>
                </c:pt>
                <c:pt idx="708">
                  <c:v>1.311758788596497</c:v>
                </c:pt>
                <c:pt idx="709">
                  <c:v>1.3117728283857701</c:v>
                </c:pt>
                <c:pt idx="710">
                  <c:v>1.3117728283857701</c:v>
                </c:pt>
                <c:pt idx="711">
                  <c:v>1.3117728283857701</c:v>
                </c:pt>
                <c:pt idx="712">
                  <c:v>1.3118568564272981</c:v>
                </c:pt>
                <c:pt idx="713">
                  <c:v>1.3118568564272981</c:v>
                </c:pt>
                <c:pt idx="714">
                  <c:v>1.3118568564272981</c:v>
                </c:pt>
                <c:pt idx="715">
                  <c:v>1.3118987354819349</c:v>
                </c:pt>
                <c:pt idx="716">
                  <c:v>1.3118987354819349</c:v>
                </c:pt>
                <c:pt idx="717">
                  <c:v>1.3118987354819349</c:v>
                </c:pt>
                <c:pt idx="718">
                  <c:v>1.3163959938951777</c:v>
                </c:pt>
                <c:pt idx="719">
                  <c:v>1.316445044371314</c:v>
                </c:pt>
                <c:pt idx="720">
                  <c:v>1.316445044371314</c:v>
                </c:pt>
                <c:pt idx="721">
                  <c:v>1.316445044371314</c:v>
                </c:pt>
                <c:pt idx="722">
                  <c:v>1.316445044371314</c:v>
                </c:pt>
                <c:pt idx="723">
                  <c:v>1.316445044371314</c:v>
                </c:pt>
                <c:pt idx="724">
                  <c:v>1.317718600113672</c:v>
                </c:pt>
                <c:pt idx="725">
                  <c:v>1.317718600113672</c:v>
                </c:pt>
                <c:pt idx="726">
                  <c:v>1.317718600113672</c:v>
                </c:pt>
                <c:pt idx="727">
                  <c:v>1.317718600113672</c:v>
                </c:pt>
                <c:pt idx="728">
                  <c:v>1.317718600113672</c:v>
                </c:pt>
                <c:pt idx="729">
                  <c:v>1.317824250199231</c:v>
                </c:pt>
                <c:pt idx="730">
                  <c:v>1.317824250199231</c:v>
                </c:pt>
                <c:pt idx="731">
                  <c:v>1.317824250199231</c:v>
                </c:pt>
                <c:pt idx="732">
                  <c:v>1.317824250199231</c:v>
                </c:pt>
                <c:pt idx="733">
                  <c:v>1.3190564536823202</c:v>
                </c:pt>
                <c:pt idx="734">
                  <c:v>1.3190564536823202</c:v>
                </c:pt>
                <c:pt idx="735">
                  <c:v>1.3203527087537692</c:v>
                </c:pt>
                <c:pt idx="736">
                  <c:v>1.3209562673418886</c:v>
                </c:pt>
                <c:pt idx="737">
                  <c:v>1.3210300344073171</c:v>
                </c:pt>
                <c:pt idx="738">
                  <c:v>1.3210300344073171</c:v>
                </c:pt>
                <c:pt idx="739">
                  <c:v>1.3216426359178874</c:v>
                </c:pt>
                <c:pt idx="740">
                  <c:v>1.3216426359178874</c:v>
                </c:pt>
                <c:pt idx="741">
                  <c:v>1.3216426359178874</c:v>
                </c:pt>
                <c:pt idx="742">
                  <c:v>1.3235368482718721</c:v>
                </c:pt>
                <c:pt idx="743">
                  <c:v>1.3235368482718721</c:v>
                </c:pt>
                <c:pt idx="744">
                  <c:v>1.3235368482718721</c:v>
                </c:pt>
                <c:pt idx="745">
                  <c:v>1.3236229691246317</c:v>
                </c:pt>
                <c:pt idx="746">
                  <c:v>1.3236229691246317</c:v>
                </c:pt>
                <c:pt idx="747">
                  <c:v>1.3245355571061903</c:v>
                </c:pt>
                <c:pt idx="748">
                  <c:v>1.3254386969961556</c:v>
                </c:pt>
                <c:pt idx="749">
                  <c:v>1.3254742401331892</c:v>
                </c:pt>
                <c:pt idx="750">
                  <c:v>1.3254742401331892</c:v>
                </c:pt>
                <c:pt idx="751">
                  <c:v>1.3255008320511188</c:v>
                </c:pt>
                <c:pt idx="752">
                  <c:v>1.3255008320511188</c:v>
                </c:pt>
                <c:pt idx="753">
                  <c:v>1.3260466163024995</c:v>
                </c:pt>
                <c:pt idx="754">
                  <c:v>1.3267386462827997</c:v>
                </c:pt>
                <c:pt idx="755">
                  <c:v>1.3267386462827997</c:v>
                </c:pt>
                <c:pt idx="756">
                  <c:v>1.3267386462827997</c:v>
                </c:pt>
                <c:pt idx="757">
                  <c:v>1.3267386462827997</c:v>
                </c:pt>
                <c:pt idx="758">
                  <c:v>1.3267386462827997</c:v>
                </c:pt>
                <c:pt idx="759">
                  <c:v>1.3267386462827997</c:v>
                </c:pt>
                <c:pt idx="760">
                  <c:v>1.3267386462827997</c:v>
                </c:pt>
                <c:pt idx="761">
                  <c:v>1.329225648827459</c:v>
                </c:pt>
                <c:pt idx="762">
                  <c:v>1.329225648827459</c:v>
                </c:pt>
                <c:pt idx="763">
                  <c:v>1.329225648827459</c:v>
                </c:pt>
                <c:pt idx="764">
                  <c:v>1.3292481415552022</c:v>
                </c:pt>
                <c:pt idx="765">
                  <c:v>1.3298423843166001</c:v>
                </c:pt>
                <c:pt idx="766">
                  <c:v>1.3298423843166001</c:v>
                </c:pt>
                <c:pt idx="767">
                  <c:v>1.3298423843166001</c:v>
                </c:pt>
                <c:pt idx="768">
                  <c:v>1.3298423843166001</c:v>
                </c:pt>
                <c:pt idx="769">
                  <c:v>1.3317317440744703</c:v>
                </c:pt>
                <c:pt idx="770">
                  <c:v>1.3317317440744703</c:v>
                </c:pt>
                <c:pt idx="771">
                  <c:v>1.3317317440744703</c:v>
                </c:pt>
                <c:pt idx="772">
                  <c:v>1.3317317440744703</c:v>
                </c:pt>
                <c:pt idx="773">
                  <c:v>1.3317317440744703</c:v>
                </c:pt>
                <c:pt idx="774">
                  <c:v>1.3317317440744703</c:v>
                </c:pt>
                <c:pt idx="775">
                  <c:v>1.3317317440744703</c:v>
                </c:pt>
                <c:pt idx="776">
                  <c:v>1.3317317440744703</c:v>
                </c:pt>
                <c:pt idx="777">
                  <c:v>1.3317317440744703</c:v>
                </c:pt>
                <c:pt idx="778">
                  <c:v>1.3317317440744703</c:v>
                </c:pt>
                <c:pt idx="779">
                  <c:v>1.3317843041715727</c:v>
                </c:pt>
                <c:pt idx="780">
                  <c:v>1.332963784629545</c:v>
                </c:pt>
                <c:pt idx="781">
                  <c:v>1.3341664444607415</c:v>
                </c:pt>
                <c:pt idx="782">
                  <c:v>1.3341664444607415</c:v>
                </c:pt>
                <c:pt idx="783">
                  <c:v>1.3342063845986649</c:v>
                </c:pt>
                <c:pt idx="784">
                  <c:v>1.3347831147826072</c:v>
                </c:pt>
                <c:pt idx="785">
                  <c:v>1.3347831147826072</c:v>
                </c:pt>
                <c:pt idx="786">
                  <c:v>1.3347831147826072</c:v>
                </c:pt>
                <c:pt idx="787">
                  <c:v>1.3348324313780076</c:v>
                </c:pt>
                <c:pt idx="788">
                  <c:v>1.3348324313780076</c:v>
                </c:pt>
                <c:pt idx="789">
                  <c:v>1.3348324313780076</c:v>
                </c:pt>
                <c:pt idx="790">
                  <c:v>1.3348324313780076</c:v>
                </c:pt>
                <c:pt idx="791">
                  <c:v>1.3348324313780076</c:v>
                </c:pt>
                <c:pt idx="792">
                  <c:v>1.3348324313780076</c:v>
                </c:pt>
                <c:pt idx="793">
                  <c:v>1.3360152553257572</c:v>
                </c:pt>
                <c:pt idx="794">
                  <c:v>1.336620621294311</c:v>
                </c:pt>
                <c:pt idx="795">
                  <c:v>1.336620621294311</c:v>
                </c:pt>
                <c:pt idx="796">
                  <c:v>1.336620621294311</c:v>
                </c:pt>
                <c:pt idx="797">
                  <c:v>1.336620621294311</c:v>
                </c:pt>
                <c:pt idx="798">
                  <c:v>1.336620621294311</c:v>
                </c:pt>
                <c:pt idx="799">
                  <c:v>1.336620621294311</c:v>
                </c:pt>
                <c:pt idx="800">
                  <c:v>1.336620621294311</c:v>
                </c:pt>
                <c:pt idx="801">
                  <c:v>1.336620621294311</c:v>
                </c:pt>
                <c:pt idx="802">
                  <c:v>1.336620621294311</c:v>
                </c:pt>
                <c:pt idx="803">
                  <c:v>1.336620621294311</c:v>
                </c:pt>
                <c:pt idx="804">
                  <c:v>1.3384100065809568</c:v>
                </c:pt>
                <c:pt idx="805">
                  <c:v>1.3384393963845598</c:v>
                </c:pt>
                <c:pt idx="806">
                  <c:v>1.3384393963845598</c:v>
                </c:pt>
                <c:pt idx="807">
                  <c:v>1.3390255749773106</c:v>
                </c:pt>
                <c:pt idx="808">
                  <c:v>1.3402073972164645</c:v>
                </c:pt>
                <c:pt idx="809">
                  <c:v>1.3402073972164645</c:v>
                </c:pt>
                <c:pt idx="810">
                  <c:v>1.3402181111146507</c:v>
                </c:pt>
                <c:pt idx="811">
                  <c:v>1.3402181111146507</c:v>
                </c:pt>
                <c:pt idx="812">
                  <c:v>1.3402394731440008</c:v>
                </c:pt>
                <c:pt idx="813">
                  <c:v>1.3402394731440008</c:v>
                </c:pt>
                <c:pt idx="814">
                  <c:v>1.3414039939071232</c:v>
                </c:pt>
                <c:pt idx="815">
                  <c:v>1.3414039939071232</c:v>
                </c:pt>
                <c:pt idx="816">
                  <c:v>1.3414039939071232</c:v>
                </c:pt>
                <c:pt idx="817">
                  <c:v>1.3414039939071232</c:v>
                </c:pt>
                <c:pt idx="818">
                  <c:v>1.3414039939071232</c:v>
                </c:pt>
                <c:pt idx="819">
                  <c:v>1.3419944341905512</c:v>
                </c:pt>
                <c:pt idx="820">
                  <c:v>1.3425722141164631</c:v>
                </c:pt>
                <c:pt idx="821">
                  <c:v>1.3425914265022254</c:v>
                </c:pt>
                <c:pt idx="822">
                  <c:v>1.3425914265022254</c:v>
                </c:pt>
                <c:pt idx="823">
                  <c:v>1.3437557214157458</c:v>
                </c:pt>
                <c:pt idx="824">
                  <c:v>1.3449215273564765</c:v>
                </c:pt>
                <c:pt idx="825">
                  <c:v>1.3454966863091911</c:v>
                </c:pt>
                <c:pt idx="826">
                  <c:v>1.3454966863091911</c:v>
                </c:pt>
                <c:pt idx="827">
                  <c:v>1.3454966863091911</c:v>
                </c:pt>
                <c:pt idx="828">
                  <c:v>1.3455123180289008</c:v>
                </c:pt>
                <c:pt idx="829">
                  <c:v>1.3455123180289008</c:v>
                </c:pt>
                <c:pt idx="830">
                  <c:v>1.3455123180289008</c:v>
                </c:pt>
                <c:pt idx="831">
                  <c:v>1.3455123180289008</c:v>
                </c:pt>
                <c:pt idx="832">
                  <c:v>1.3455123180289008</c:v>
                </c:pt>
                <c:pt idx="833">
                  <c:v>1.3455123180289008</c:v>
                </c:pt>
                <c:pt idx="834">
                  <c:v>1.3455123180289008</c:v>
                </c:pt>
                <c:pt idx="835">
                  <c:v>1.3460806024025664</c:v>
                </c:pt>
                <c:pt idx="836">
                  <c:v>1.3460806024025664</c:v>
                </c:pt>
                <c:pt idx="837">
                  <c:v>1.3460806024025664</c:v>
                </c:pt>
                <c:pt idx="838">
                  <c:v>1.3466522250811825</c:v>
                </c:pt>
                <c:pt idx="839">
                  <c:v>1.3466522250811825</c:v>
                </c:pt>
                <c:pt idx="840">
                  <c:v>1.3466616389248922</c:v>
                </c:pt>
                <c:pt idx="841">
                  <c:v>1.3472329274141384</c:v>
                </c:pt>
                <c:pt idx="842">
                  <c:v>1.3506492123473601</c:v>
                </c:pt>
                <c:pt idx="843">
                  <c:v>1.3506492123473601</c:v>
                </c:pt>
                <c:pt idx="844">
                  <c:v>1.3506492123473601</c:v>
                </c:pt>
                <c:pt idx="845">
                  <c:v>1.3506492123473601</c:v>
                </c:pt>
                <c:pt idx="846">
                  <c:v>1.3506492123473601</c:v>
                </c:pt>
                <c:pt idx="847">
                  <c:v>1.3506492123473601</c:v>
                </c:pt>
                <c:pt idx="848">
                  <c:v>1.3506492123473601</c:v>
                </c:pt>
                <c:pt idx="849">
                  <c:v>1.3506492123473601</c:v>
                </c:pt>
                <c:pt idx="850">
                  <c:v>1.3506492123473601</c:v>
                </c:pt>
                <c:pt idx="851">
                  <c:v>1.3506492123473601</c:v>
                </c:pt>
                <c:pt idx="852">
                  <c:v>1.3506492123473601</c:v>
                </c:pt>
                <c:pt idx="853">
                  <c:v>1.3506492123473601</c:v>
                </c:pt>
                <c:pt idx="854">
                  <c:v>1.3506492123473601</c:v>
                </c:pt>
                <c:pt idx="855">
                  <c:v>1.3506492123473601</c:v>
                </c:pt>
                <c:pt idx="856">
                  <c:v>1.3506492123473601</c:v>
                </c:pt>
                <c:pt idx="857">
                  <c:v>1.3506492123473601</c:v>
                </c:pt>
                <c:pt idx="858">
                  <c:v>1.3506492123473601</c:v>
                </c:pt>
                <c:pt idx="859">
                  <c:v>1.3506492123473601</c:v>
                </c:pt>
                <c:pt idx="860">
                  <c:v>1.3506492123473601</c:v>
                </c:pt>
                <c:pt idx="861">
                  <c:v>1.3506492123473601</c:v>
                </c:pt>
                <c:pt idx="862">
                  <c:v>1.3506492123473601</c:v>
                </c:pt>
                <c:pt idx="863">
                  <c:v>1.3506492123473601</c:v>
                </c:pt>
                <c:pt idx="864">
                  <c:v>1.3506492123473601</c:v>
                </c:pt>
                <c:pt idx="865">
                  <c:v>1.3506492123473601</c:v>
                </c:pt>
                <c:pt idx="866">
                  <c:v>1.3506492123473601</c:v>
                </c:pt>
                <c:pt idx="867">
                  <c:v>1.3528926390936027</c:v>
                </c:pt>
                <c:pt idx="868">
                  <c:v>1.3534492123461359</c:v>
                </c:pt>
                <c:pt idx="869">
                  <c:v>1.354004067601825</c:v>
                </c:pt>
                <c:pt idx="870">
                  <c:v>1.354004067601825</c:v>
                </c:pt>
                <c:pt idx="871">
                  <c:v>1.3545533404619747</c:v>
                </c:pt>
                <c:pt idx="872">
                  <c:v>1.3545533404619747</c:v>
                </c:pt>
                <c:pt idx="873">
                  <c:v>1.354562363924793</c:v>
                </c:pt>
                <c:pt idx="874">
                  <c:v>1.354562363924793</c:v>
                </c:pt>
                <c:pt idx="875">
                  <c:v>1.3551086149278764</c:v>
                </c:pt>
                <c:pt idx="876">
                  <c:v>1.3551086149278764</c:v>
                </c:pt>
                <c:pt idx="877">
                  <c:v>1.3551086149278764</c:v>
                </c:pt>
                <c:pt idx="878">
                  <c:v>1.3551086149278764</c:v>
                </c:pt>
                <c:pt idx="879">
                  <c:v>1.3556484430194107</c:v>
                </c:pt>
                <c:pt idx="880">
                  <c:v>1.3556632467099354</c:v>
                </c:pt>
                <c:pt idx="881">
                  <c:v>1.3556632467099354</c:v>
                </c:pt>
                <c:pt idx="882">
                  <c:v>1.3556632467099354</c:v>
                </c:pt>
                <c:pt idx="883">
                  <c:v>1.3556632467099354</c:v>
                </c:pt>
                <c:pt idx="884">
                  <c:v>1.3556632467099354</c:v>
                </c:pt>
                <c:pt idx="885">
                  <c:v>1.3556632467099354</c:v>
                </c:pt>
                <c:pt idx="886">
                  <c:v>1.3572969928389376</c:v>
                </c:pt>
                <c:pt idx="887">
                  <c:v>1.3572969928389376</c:v>
                </c:pt>
                <c:pt idx="888">
                  <c:v>1.3583732322301529</c:v>
                </c:pt>
                <c:pt idx="889">
                  <c:v>1.3594576274827936</c:v>
                </c:pt>
                <c:pt idx="890">
                  <c:v>1.3594576274827936</c:v>
                </c:pt>
                <c:pt idx="891">
                  <c:v>1.3594576274827936</c:v>
                </c:pt>
                <c:pt idx="892">
                  <c:v>1.3594576274827936</c:v>
                </c:pt>
                <c:pt idx="893">
                  <c:v>1.3594576274827936</c:v>
                </c:pt>
                <c:pt idx="894">
                  <c:v>1.3594576274827936</c:v>
                </c:pt>
                <c:pt idx="895">
                  <c:v>1.3605083385218537</c:v>
                </c:pt>
                <c:pt idx="896">
                  <c:v>1.360527496119371</c:v>
                </c:pt>
                <c:pt idx="897">
                  <c:v>1.3605371028340627</c:v>
                </c:pt>
                <c:pt idx="898">
                  <c:v>1.361590375198781</c:v>
                </c:pt>
                <c:pt idx="899">
                  <c:v>1.3621081121493217</c:v>
                </c:pt>
                <c:pt idx="900">
                  <c:v>1.363695094025476</c:v>
                </c:pt>
                <c:pt idx="901">
                  <c:v>1.363695094025476</c:v>
                </c:pt>
                <c:pt idx="902">
                  <c:v>1.363695094025476</c:v>
                </c:pt>
                <c:pt idx="903">
                  <c:v>1.363695094025476</c:v>
                </c:pt>
                <c:pt idx="904">
                  <c:v>1.363695094025476</c:v>
                </c:pt>
                <c:pt idx="905">
                  <c:v>1.363695094025476</c:v>
                </c:pt>
                <c:pt idx="906">
                  <c:v>1.363695094025476</c:v>
                </c:pt>
                <c:pt idx="907">
                  <c:v>1.363695094025476</c:v>
                </c:pt>
                <c:pt idx="908">
                  <c:v>1.3652272698190762</c:v>
                </c:pt>
                <c:pt idx="909">
                  <c:v>1.3652272698190762</c:v>
                </c:pt>
                <c:pt idx="910">
                  <c:v>1.3652272698190762</c:v>
                </c:pt>
                <c:pt idx="911">
                  <c:v>1.3652691371599146</c:v>
                </c:pt>
                <c:pt idx="912">
                  <c:v>1.3652691371599146</c:v>
                </c:pt>
                <c:pt idx="913">
                  <c:v>1.3652691371599146</c:v>
                </c:pt>
                <c:pt idx="914">
                  <c:v>1.3657572205151545</c:v>
                </c:pt>
                <c:pt idx="915">
                  <c:v>1.3657572205151545</c:v>
                </c:pt>
                <c:pt idx="916">
                  <c:v>1.3657572205151545</c:v>
                </c:pt>
                <c:pt idx="917">
                  <c:v>1.3657572205151545</c:v>
                </c:pt>
                <c:pt idx="918">
                  <c:v>1.3667993117817769</c:v>
                </c:pt>
                <c:pt idx="919">
                  <c:v>1.3667993117817769</c:v>
                </c:pt>
                <c:pt idx="920">
                  <c:v>1.3678198857557662</c:v>
                </c:pt>
                <c:pt idx="921">
                  <c:v>1.3678198857557662</c:v>
                </c:pt>
                <c:pt idx="922">
                  <c:v>1.3678198857557662</c:v>
                </c:pt>
                <c:pt idx="923">
                  <c:v>1.3678198857557662</c:v>
                </c:pt>
                <c:pt idx="924">
                  <c:v>1.3678198857557662</c:v>
                </c:pt>
                <c:pt idx="925">
                  <c:v>1.3693198136789726</c:v>
                </c:pt>
                <c:pt idx="926">
                  <c:v>1.3693198136789726</c:v>
                </c:pt>
                <c:pt idx="927">
                  <c:v>1.3693198136789726</c:v>
                </c:pt>
                <c:pt idx="928">
                  <c:v>1.3698036512725735</c:v>
                </c:pt>
                <c:pt idx="929">
                  <c:v>1.3698036512725735</c:v>
                </c:pt>
                <c:pt idx="930">
                  <c:v>1.3698036512725735</c:v>
                </c:pt>
                <c:pt idx="931">
                  <c:v>1.3698577500538502</c:v>
                </c:pt>
                <c:pt idx="932">
                  <c:v>1.3698577500538502</c:v>
                </c:pt>
                <c:pt idx="933">
                  <c:v>1.3698577500538502</c:v>
                </c:pt>
                <c:pt idx="934">
                  <c:v>1.371830901560863</c:v>
                </c:pt>
                <c:pt idx="935">
                  <c:v>1.371830901560863</c:v>
                </c:pt>
                <c:pt idx="936">
                  <c:v>1.371830901560863</c:v>
                </c:pt>
                <c:pt idx="937">
                  <c:v>1.371830901560863</c:v>
                </c:pt>
                <c:pt idx="938">
                  <c:v>1.371830901560863</c:v>
                </c:pt>
                <c:pt idx="939">
                  <c:v>1.371830901560863</c:v>
                </c:pt>
                <c:pt idx="940">
                  <c:v>1.3727951643001945</c:v>
                </c:pt>
                <c:pt idx="941">
                  <c:v>1.3727951643001945</c:v>
                </c:pt>
                <c:pt idx="942">
                  <c:v>1.3728157516631625</c:v>
                </c:pt>
                <c:pt idx="943">
                  <c:v>1.3728157516631625</c:v>
                </c:pt>
                <c:pt idx="944">
                  <c:v>1.3728157516631625</c:v>
                </c:pt>
                <c:pt idx="945">
                  <c:v>1.3728157516631625</c:v>
                </c:pt>
                <c:pt idx="946">
                  <c:v>1.3728432606717127</c:v>
                </c:pt>
                <c:pt idx="947">
                  <c:v>1.3728432606717127</c:v>
                </c:pt>
                <c:pt idx="948">
                  <c:v>1.3742359415284666</c:v>
                </c:pt>
                <c:pt idx="949">
                  <c:v>1.3742359415284666</c:v>
                </c:pt>
                <c:pt idx="950">
                  <c:v>1.3742359415284666</c:v>
                </c:pt>
                <c:pt idx="951">
                  <c:v>1.3743013867091678</c:v>
                </c:pt>
                <c:pt idx="952">
                  <c:v>1.3743013867091678</c:v>
                </c:pt>
                <c:pt idx="953">
                  <c:v>1.3743013867091678</c:v>
                </c:pt>
                <c:pt idx="954">
                  <c:v>1.3757270685049845</c:v>
                </c:pt>
                <c:pt idx="955">
                  <c:v>1.3757270685049845</c:v>
                </c:pt>
                <c:pt idx="956">
                  <c:v>1.3757270685049845</c:v>
                </c:pt>
                <c:pt idx="957">
                  <c:v>1.3757270685049845</c:v>
                </c:pt>
                <c:pt idx="958">
                  <c:v>1.3757270685049845</c:v>
                </c:pt>
                <c:pt idx="959">
                  <c:v>1.3757270685049845</c:v>
                </c:pt>
                <c:pt idx="960">
                  <c:v>1.3757270685049845</c:v>
                </c:pt>
                <c:pt idx="961">
                  <c:v>1.3757270685049845</c:v>
                </c:pt>
                <c:pt idx="962">
                  <c:v>1.3761825615937113</c:v>
                </c:pt>
                <c:pt idx="963">
                  <c:v>1.3762372280434518</c:v>
                </c:pt>
                <c:pt idx="964">
                  <c:v>1.3762372280434518</c:v>
                </c:pt>
                <c:pt idx="965">
                  <c:v>1.3785731948574074</c:v>
                </c:pt>
                <c:pt idx="966">
                  <c:v>1.3785731948574074</c:v>
                </c:pt>
                <c:pt idx="967">
                  <c:v>1.3785731948574074</c:v>
                </c:pt>
                <c:pt idx="968">
                  <c:v>1.3785731948574074</c:v>
                </c:pt>
                <c:pt idx="969">
                  <c:v>1.3785985380237358</c:v>
                </c:pt>
                <c:pt idx="970">
                  <c:v>1.3785985380237358</c:v>
                </c:pt>
                <c:pt idx="971">
                  <c:v>1.3785985380237358</c:v>
                </c:pt>
                <c:pt idx="972">
                  <c:v>1.3785985380237358</c:v>
                </c:pt>
                <c:pt idx="973">
                  <c:v>1.3785985380237358</c:v>
                </c:pt>
                <c:pt idx="974">
                  <c:v>1.3785985380237358</c:v>
                </c:pt>
                <c:pt idx="975">
                  <c:v>1.3785985380237358</c:v>
                </c:pt>
                <c:pt idx="976">
                  <c:v>1.3790411809686707</c:v>
                </c:pt>
                <c:pt idx="977">
                  <c:v>1.3790411809686707</c:v>
                </c:pt>
                <c:pt idx="978">
                  <c:v>1.3795073423075002</c:v>
                </c:pt>
                <c:pt idx="979">
                  <c:v>1.3795073423075002</c:v>
                </c:pt>
                <c:pt idx="980">
                  <c:v>1.3795073423075002</c:v>
                </c:pt>
                <c:pt idx="981">
                  <c:v>1.3795073423075002</c:v>
                </c:pt>
                <c:pt idx="982">
                  <c:v>1.3795421221212298</c:v>
                </c:pt>
                <c:pt idx="983">
                  <c:v>1.3813537008933556</c:v>
                </c:pt>
                <c:pt idx="984">
                  <c:v>1.3826623096205479</c:v>
                </c:pt>
                <c:pt idx="985">
                  <c:v>1.3826623096205479</c:v>
                </c:pt>
                <c:pt idx="986">
                  <c:v>1.3826623096205479</c:v>
                </c:pt>
                <c:pt idx="987">
                  <c:v>1.3826907372823538</c:v>
                </c:pt>
                <c:pt idx="988">
                  <c:v>1.3826907372823538</c:v>
                </c:pt>
                <c:pt idx="989">
                  <c:v>1.3827477414538092</c:v>
                </c:pt>
                <c:pt idx="990">
                  <c:v>1.3827477414538092</c:v>
                </c:pt>
                <c:pt idx="991">
                  <c:v>1.3827477414538092</c:v>
                </c:pt>
                <c:pt idx="992">
                  <c:v>1.3827477414538092</c:v>
                </c:pt>
                <c:pt idx="993">
                  <c:v>1.3827477414538092</c:v>
                </c:pt>
                <c:pt idx="994">
                  <c:v>1.3827477414538092</c:v>
                </c:pt>
                <c:pt idx="995">
                  <c:v>1.3831707078092437</c:v>
                </c:pt>
                <c:pt idx="996">
                  <c:v>1.3831707078092437</c:v>
                </c:pt>
                <c:pt idx="997">
                  <c:v>1.3831707078092437</c:v>
                </c:pt>
                <c:pt idx="998">
                  <c:v>1.3831707078092437</c:v>
                </c:pt>
                <c:pt idx="999">
                  <c:v>1.3831707078092437</c:v>
                </c:pt>
                <c:pt idx="1000">
                  <c:v>1.3831707078092437</c:v>
                </c:pt>
                <c:pt idx="1001">
                  <c:v>1.3831707078092437</c:v>
                </c:pt>
                <c:pt idx="1002">
                  <c:v>1.3836203589701299</c:v>
                </c:pt>
                <c:pt idx="1003">
                  <c:v>1.3858101790376323</c:v>
                </c:pt>
                <c:pt idx="1004">
                  <c:v>1.3858101790376323</c:v>
                </c:pt>
                <c:pt idx="1005">
                  <c:v>1.3858819822024089</c:v>
                </c:pt>
                <c:pt idx="1006">
                  <c:v>1.3866535338378649</c:v>
                </c:pt>
                <c:pt idx="1007">
                  <c:v>1.3866535338378649</c:v>
                </c:pt>
                <c:pt idx="1008">
                  <c:v>1.3867161794267109</c:v>
                </c:pt>
                <c:pt idx="1009">
                  <c:v>1.3867161794267109</c:v>
                </c:pt>
                <c:pt idx="1010">
                  <c:v>1.3867161794267109</c:v>
                </c:pt>
                <c:pt idx="1011">
                  <c:v>1.3867161794267109</c:v>
                </c:pt>
                <c:pt idx="1012">
                  <c:v>1.3867161794267109</c:v>
                </c:pt>
                <c:pt idx="1013">
                  <c:v>1.3867161794267109</c:v>
                </c:pt>
                <c:pt idx="1014">
                  <c:v>1.3867161794267109</c:v>
                </c:pt>
                <c:pt idx="1015">
                  <c:v>1.3867161794267109</c:v>
                </c:pt>
                <c:pt idx="1016">
                  <c:v>1.3867161794267109</c:v>
                </c:pt>
                <c:pt idx="1017">
                  <c:v>1.3867161794267109</c:v>
                </c:pt>
                <c:pt idx="1018">
                  <c:v>1.386747581843361</c:v>
                </c:pt>
                <c:pt idx="1019">
                  <c:v>1.386747581843361</c:v>
                </c:pt>
                <c:pt idx="1020">
                  <c:v>1.386747581843361</c:v>
                </c:pt>
                <c:pt idx="1021">
                  <c:v>1.3880151407671029</c:v>
                </c:pt>
                <c:pt idx="1022">
                  <c:v>1.3888389946428958</c:v>
                </c:pt>
                <c:pt idx="1023">
                  <c:v>1.3888389946428958</c:v>
                </c:pt>
                <c:pt idx="1024">
                  <c:v>1.3889156379186081</c:v>
                </c:pt>
                <c:pt idx="1025">
                  <c:v>1.3889156379186081</c:v>
                </c:pt>
                <c:pt idx="1026">
                  <c:v>1.3901428015938559</c:v>
                </c:pt>
                <c:pt idx="1027">
                  <c:v>1.3901428015938559</c:v>
                </c:pt>
                <c:pt idx="1028">
                  <c:v>1.3901428015938559</c:v>
                </c:pt>
                <c:pt idx="1029">
                  <c:v>1.3901428015938559</c:v>
                </c:pt>
                <c:pt idx="1030">
                  <c:v>1.3904949612299307</c:v>
                </c:pt>
                <c:pt idx="1031">
                  <c:v>1.3904949612299307</c:v>
                </c:pt>
                <c:pt idx="1032">
                  <c:v>1.3904949612299307</c:v>
                </c:pt>
                <c:pt idx="1033">
                  <c:v>1.3904949612299307</c:v>
                </c:pt>
                <c:pt idx="1034">
                  <c:v>1.3904949612299307</c:v>
                </c:pt>
                <c:pt idx="1035">
                  <c:v>1.3904949612299307</c:v>
                </c:pt>
                <c:pt idx="1036">
                  <c:v>1.3905966922282629</c:v>
                </c:pt>
                <c:pt idx="1037">
                  <c:v>1.3905966922282629</c:v>
                </c:pt>
                <c:pt idx="1038">
                  <c:v>1.3905966922282629</c:v>
                </c:pt>
                <c:pt idx="1039">
                  <c:v>1.3905966922282629</c:v>
                </c:pt>
                <c:pt idx="1040">
                  <c:v>1.3905966922282629</c:v>
                </c:pt>
                <c:pt idx="1041">
                  <c:v>1.3905966922282629</c:v>
                </c:pt>
                <c:pt idx="1042">
                  <c:v>1.3905966922282629</c:v>
                </c:pt>
                <c:pt idx="1043">
                  <c:v>1.3917765596153391</c:v>
                </c:pt>
                <c:pt idx="1044">
                  <c:v>1.3918112538329355</c:v>
                </c:pt>
                <c:pt idx="1045">
                  <c:v>1.3918112538329355</c:v>
                </c:pt>
                <c:pt idx="1046">
                  <c:v>1.3934496491912136</c:v>
                </c:pt>
                <c:pt idx="1047">
                  <c:v>1.3934496491912136</c:v>
                </c:pt>
                <c:pt idx="1048">
                  <c:v>1.3934496491912136</c:v>
                </c:pt>
                <c:pt idx="1049">
                  <c:v>1.3934496491912136</c:v>
                </c:pt>
                <c:pt idx="1050">
                  <c:v>1.3934496491912136</c:v>
                </c:pt>
                <c:pt idx="1051">
                  <c:v>1.3934496491912136</c:v>
                </c:pt>
                <c:pt idx="1052">
                  <c:v>1.3934496491912136</c:v>
                </c:pt>
                <c:pt idx="1053">
                  <c:v>1.3934496491912136</c:v>
                </c:pt>
                <c:pt idx="1054">
                  <c:v>1.3941852843607703</c:v>
                </c:pt>
                <c:pt idx="1055">
                  <c:v>1.3941852843607703</c:v>
                </c:pt>
                <c:pt idx="1056">
                  <c:v>1.3941852843607703</c:v>
                </c:pt>
                <c:pt idx="1057">
                  <c:v>1.3941852843607703</c:v>
                </c:pt>
                <c:pt idx="1058">
                  <c:v>1.3941852843607703</c:v>
                </c:pt>
                <c:pt idx="1059">
                  <c:v>1.3941852843607703</c:v>
                </c:pt>
                <c:pt idx="1060">
                  <c:v>1.3941852843607703</c:v>
                </c:pt>
                <c:pt idx="1061">
                  <c:v>1.3942575408343678</c:v>
                </c:pt>
                <c:pt idx="1062">
                  <c:v>1.3942937546146821</c:v>
                </c:pt>
                <c:pt idx="1063">
                  <c:v>1.3942937546146821</c:v>
                </c:pt>
                <c:pt idx="1064">
                  <c:v>1.3942937546146821</c:v>
                </c:pt>
                <c:pt idx="1065">
                  <c:v>1.3946222673989046</c:v>
                </c:pt>
                <c:pt idx="1066">
                  <c:v>1.3946222673989046</c:v>
                </c:pt>
                <c:pt idx="1067">
                  <c:v>1.3946222673989046</c:v>
                </c:pt>
                <c:pt idx="1068">
                  <c:v>1.3946222673989046</c:v>
                </c:pt>
                <c:pt idx="1069">
                  <c:v>1.3946222673989046</c:v>
                </c:pt>
                <c:pt idx="1070">
                  <c:v>1.3946222673989046</c:v>
                </c:pt>
                <c:pt idx="1071">
                  <c:v>1.3947072587700931</c:v>
                </c:pt>
                <c:pt idx="1072">
                  <c:v>1.3962441844916673</c:v>
                </c:pt>
                <c:pt idx="1073">
                  <c:v>1.3966358279620756</c:v>
                </c:pt>
                <c:pt idx="1074">
                  <c:v>1.3966358279620756</c:v>
                </c:pt>
                <c:pt idx="1075">
                  <c:v>1.3974640215578218</c:v>
                </c:pt>
                <c:pt idx="1076">
                  <c:v>1.3977232449042367</c:v>
                </c:pt>
                <c:pt idx="1077">
                  <c:v>1.3977232449042367</c:v>
                </c:pt>
                <c:pt idx="1078">
                  <c:v>1.3978375007310679</c:v>
                </c:pt>
                <c:pt idx="1079">
                  <c:v>1.3978375007310679</c:v>
                </c:pt>
                <c:pt idx="1080">
                  <c:v>1.3978375007310679</c:v>
                </c:pt>
                <c:pt idx="1081">
                  <c:v>1.3978375007310679</c:v>
                </c:pt>
                <c:pt idx="1082">
                  <c:v>1.3978375007310679</c:v>
                </c:pt>
                <c:pt idx="1083">
                  <c:v>1.3989457527932392</c:v>
                </c:pt>
                <c:pt idx="1084">
                  <c:v>1.3989457527932392</c:v>
                </c:pt>
                <c:pt idx="1085">
                  <c:v>1.3989457527932392</c:v>
                </c:pt>
                <c:pt idx="1086">
                  <c:v>1.3989457527932392</c:v>
                </c:pt>
                <c:pt idx="1087">
                  <c:v>1.3989457527932392</c:v>
                </c:pt>
                <c:pt idx="1088">
                  <c:v>1.399700474915458</c:v>
                </c:pt>
                <c:pt idx="1089">
                  <c:v>1.399700474915458</c:v>
                </c:pt>
                <c:pt idx="1090">
                  <c:v>1.399700474915458</c:v>
                </c:pt>
                <c:pt idx="1091">
                  <c:v>1.4000357760551345</c:v>
                </c:pt>
                <c:pt idx="1092">
                  <c:v>1.4000357760551345</c:v>
                </c:pt>
                <c:pt idx="1093">
                  <c:v>1.4000357760551345</c:v>
                </c:pt>
                <c:pt idx="1094">
                  <c:v>1.4000749688268319</c:v>
                </c:pt>
                <c:pt idx="1095">
                  <c:v>1.4001273150790245</c:v>
                </c:pt>
                <c:pt idx="1096">
                  <c:v>1.401107634358969</c:v>
                </c:pt>
                <c:pt idx="1097">
                  <c:v>1.401107634358969</c:v>
                </c:pt>
                <c:pt idx="1098">
                  <c:v>1.401107634358969</c:v>
                </c:pt>
                <c:pt idx="1099">
                  <c:v>1.401107634358969</c:v>
                </c:pt>
                <c:pt idx="1100">
                  <c:v>1.4012267127531346</c:v>
                </c:pt>
                <c:pt idx="1101">
                  <c:v>1.4012267127531346</c:v>
                </c:pt>
                <c:pt idx="1102">
                  <c:v>1.4012267127531346</c:v>
                </c:pt>
                <c:pt idx="1103">
                  <c:v>1.4012267127531346</c:v>
                </c:pt>
                <c:pt idx="1104">
                  <c:v>1.4012267127531346</c:v>
                </c:pt>
                <c:pt idx="1105">
                  <c:v>1.4012267127531346</c:v>
                </c:pt>
                <c:pt idx="1106">
                  <c:v>1.4026427587156061</c:v>
                </c:pt>
                <c:pt idx="1107">
                  <c:v>1.4026427587156061</c:v>
                </c:pt>
                <c:pt idx="1108">
                  <c:v>1.4026427587156061</c:v>
                </c:pt>
                <c:pt idx="1109">
                  <c:v>1.4026427587156061</c:v>
                </c:pt>
                <c:pt idx="1110">
                  <c:v>1.403359116045394</c:v>
                </c:pt>
                <c:pt idx="1111">
                  <c:v>1.4043372947362711</c:v>
                </c:pt>
                <c:pt idx="1112">
                  <c:v>1.4044602240012529</c:v>
                </c:pt>
                <c:pt idx="1113">
                  <c:v>1.4044602240012529</c:v>
                </c:pt>
                <c:pt idx="1114">
                  <c:v>1.4044602240012529</c:v>
                </c:pt>
                <c:pt idx="1115">
                  <c:v>1.4044602240012529</c:v>
                </c:pt>
                <c:pt idx="1116">
                  <c:v>1.4050750344790068</c:v>
                </c:pt>
                <c:pt idx="1117">
                  <c:v>1.4050750344790068</c:v>
                </c:pt>
                <c:pt idx="1118">
                  <c:v>1.4051712940827099</c:v>
                </c:pt>
                <c:pt idx="1119">
                  <c:v>1.4051712940827099</c:v>
                </c:pt>
                <c:pt idx="1120">
                  <c:v>1.4054618800577925</c:v>
                </c:pt>
                <c:pt idx="1121">
                  <c:v>1.4054618800577925</c:v>
                </c:pt>
                <c:pt idx="1122">
                  <c:v>1.4054618800577925</c:v>
                </c:pt>
                <c:pt idx="1123">
                  <c:v>1.4054618800577925</c:v>
                </c:pt>
                <c:pt idx="1124">
                  <c:v>1.4054618800577925</c:v>
                </c:pt>
                <c:pt idx="1125">
                  <c:v>1.4074111192203651</c:v>
                </c:pt>
                <c:pt idx="1126">
                  <c:v>1.4074111192203651</c:v>
                </c:pt>
                <c:pt idx="1127">
                  <c:v>1.4074529996863263</c:v>
                </c:pt>
                <c:pt idx="1128">
                  <c:v>1.407494933128201</c:v>
                </c:pt>
                <c:pt idx="1129">
                  <c:v>1.407494933128201</c:v>
                </c:pt>
                <c:pt idx="1130">
                  <c:v>1.407494933128201</c:v>
                </c:pt>
                <c:pt idx="1131">
                  <c:v>1.4075369196096992</c:v>
                </c:pt>
                <c:pt idx="1132">
                  <c:v>1.4075369196096992</c:v>
                </c:pt>
                <c:pt idx="1133">
                  <c:v>1.4075369196096992</c:v>
                </c:pt>
                <c:pt idx="1134">
                  <c:v>1.4075509269011066</c:v>
                </c:pt>
                <c:pt idx="1135">
                  <c:v>1.4081570720301677</c:v>
                </c:pt>
                <c:pt idx="1136">
                  <c:v>1.4081570720301677</c:v>
                </c:pt>
                <c:pt idx="1137">
                  <c:v>1.4081570720301677</c:v>
                </c:pt>
                <c:pt idx="1138">
                  <c:v>1.4081570720301677</c:v>
                </c:pt>
                <c:pt idx="1139">
                  <c:v>1.4081570720301677</c:v>
                </c:pt>
                <c:pt idx="1140">
                  <c:v>1.4094155749727144</c:v>
                </c:pt>
                <c:pt idx="1141">
                  <c:v>1.4097358560952646</c:v>
                </c:pt>
                <c:pt idx="1142">
                  <c:v>1.4098349854909082</c:v>
                </c:pt>
                <c:pt idx="1143">
                  <c:v>1.4098349854909082</c:v>
                </c:pt>
                <c:pt idx="1144">
                  <c:v>1.4103280528004876</c:v>
                </c:pt>
                <c:pt idx="1145">
                  <c:v>1.4103599321537827</c:v>
                </c:pt>
                <c:pt idx="1146">
                  <c:v>1.4104131262279551</c:v>
                </c:pt>
                <c:pt idx="1147">
                  <c:v>1.4104557371672146</c:v>
                </c:pt>
                <c:pt idx="1148">
                  <c:v>1.4104557371672146</c:v>
                </c:pt>
                <c:pt idx="1149">
                  <c:v>1.4104557371672146</c:v>
                </c:pt>
                <c:pt idx="1150">
                  <c:v>1.4104557371672146</c:v>
                </c:pt>
                <c:pt idx="1151">
                  <c:v>1.4104557371672146</c:v>
                </c:pt>
                <c:pt idx="1152">
                  <c:v>1.4104557371672146</c:v>
                </c:pt>
                <c:pt idx="1153">
                  <c:v>1.4104557371672146</c:v>
                </c:pt>
                <c:pt idx="1154">
                  <c:v>1.4104557371672146</c:v>
                </c:pt>
                <c:pt idx="1155">
                  <c:v>1.4104557371672146</c:v>
                </c:pt>
                <c:pt idx="1156">
                  <c:v>1.4107276004614371</c:v>
                </c:pt>
                <c:pt idx="1157">
                  <c:v>1.4107276004614371</c:v>
                </c:pt>
                <c:pt idx="1158">
                  <c:v>1.4107276004614371</c:v>
                </c:pt>
                <c:pt idx="1159">
                  <c:v>1.4107276004614371</c:v>
                </c:pt>
                <c:pt idx="1160">
                  <c:v>1.4113506709997652</c:v>
                </c:pt>
                <c:pt idx="1161">
                  <c:v>1.4113506709997652</c:v>
                </c:pt>
                <c:pt idx="1162">
                  <c:v>1.4119231281406619</c:v>
                </c:pt>
                <c:pt idx="1163">
                  <c:v>1.4119231281406619</c:v>
                </c:pt>
                <c:pt idx="1164">
                  <c:v>1.4119658954554395</c:v>
                </c:pt>
                <c:pt idx="1165">
                  <c:v>1.4120229917879736</c:v>
                </c:pt>
                <c:pt idx="1166">
                  <c:v>1.4130870928743298</c:v>
                </c:pt>
                <c:pt idx="1167">
                  <c:v>1.4131727642541394</c:v>
                </c:pt>
                <c:pt idx="1168">
                  <c:v>1.4131727642541394</c:v>
                </c:pt>
                <c:pt idx="1169">
                  <c:v>1.4131727642541394</c:v>
                </c:pt>
                <c:pt idx="1170">
                  <c:v>1.4131727642541394</c:v>
                </c:pt>
                <c:pt idx="1171">
                  <c:v>1.4131727642541394</c:v>
                </c:pt>
                <c:pt idx="1172">
                  <c:v>1.4132156673283722</c:v>
                </c:pt>
                <c:pt idx="1173">
                  <c:v>1.4132156673283722</c:v>
                </c:pt>
                <c:pt idx="1174">
                  <c:v>1.4134695614063368</c:v>
                </c:pt>
                <c:pt idx="1175">
                  <c:v>1.414923963624209</c:v>
                </c:pt>
                <c:pt idx="1176">
                  <c:v>1.4154918957033205</c:v>
                </c:pt>
                <c:pt idx="1177">
                  <c:v>1.415687289822334</c:v>
                </c:pt>
                <c:pt idx="1178">
                  <c:v>1.415687289822334</c:v>
                </c:pt>
                <c:pt idx="1179">
                  <c:v>1.415687289822334</c:v>
                </c:pt>
                <c:pt idx="1180">
                  <c:v>1.4158157543952459</c:v>
                </c:pt>
                <c:pt idx="1181">
                  <c:v>1.4158157543952459</c:v>
                </c:pt>
                <c:pt idx="1182">
                  <c:v>1.4158157543952459</c:v>
                </c:pt>
                <c:pt idx="1183">
                  <c:v>1.4158157543952459</c:v>
                </c:pt>
                <c:pt idx="1184">
                  <c:v>1.4158157543952459</c:v>
                </c:pt>
                <c:pt idx="1185">
                  <c:v>1.4158157543952459</c:v>
                </c:pt>
                <c:pt idx="1186">
                  <c:v>1.4160091141610953</c:v>
                </c:pt>
                <c:pt idx="1187">
                  <c:v>1.4160091141610953</c:v>
                </c:pt>
                <c:pt idx="1188">
                  <c:v>1.4160091141610953</c:v>
                </c:pt>
                <c:pt idx="1189">
                  <c:v>1.4160091141610953</c:v>
                </c:pt>
                <c:pt idx="1190">
                  <c:v>1.4166039998471407</c:v>
                </c:pt>
                <c:pt idx="1191">
                  <c:v>1.4166039998471407</c:v>
                </c:pt>
                <c:pt idx="1192">
                  <c:v>1.4166039998471407</c:v>
                </c:pt>
                <c:pt idx="1193">
                  <c:v>1.4166039998471407</c:v>
                </c:pt>
                <c:pt idx="1194">
                  <c:v>1.4176843608003931</c:v>
                </c:pt>
                <c:pt idx="1195">
                  <c:v>1.4176843608003931</c:v>
                </c:pt>
                <c:pt idx="1196">
                  <c:v>1.4176843608003931</c:v>
                </c:pt>
                <c:pt idx="1197">
                  <c:v>1.4176843608003931</c:v>
                </c:pt>
                <c:pt idx="1198">
                  <c:v>1.4176843608003931</c:v>
                </c:pt>
                <c:pt idx="1199">
                  <c:v>1.4176843608003931</c:v>
                </c:pt>
                <c:pt idx="1200">
                  <c:v>1.4176843608003931</c:v>
                </c:pt>
                <c:pt idx="1201">
                  <c:v>1.4182550968689229</c:v>
                </c:pt>
                <c:pt idx="1202">
                  <c:v>1.4182550968689229</c:v>
                </c:pt>
                <c:pt idx="1203">
                  <c:v>1.4182550968689229</c:v>
                </c:pt>
                <c:pt idx="1204">
                  <c:v>1.4182550968689229</c:v>
                </c:pt>
                <c:pt idx="1205">
                  <c:v>1.4182550968689229</c:v>
                </c:pt>
                <c:pt idx="1206">
                  <c:v>1.4182550968689229</c:v>
                </c:pt>
                <c:pt idx="1207">
                  <c:v>1.4189900606931145</c:v>
                </c:pt>
                <c:pt idx="1208">
                  <c:v>1.4197075445227489</c:v>
                </c:pt>
                <c:pt idx="1209">
                  <c:v>1.4197495595219964</c:v>
                </c:pt>
                <c:pt idx="1210">
                  <c:v>1.4197495595219964</c:v>
                </c:pt>
                <c:pt idx="1211">
                  <c:v>1.4197495595219964</c:v>
                </c:pt>
                <c:pt idx="1212">
                  <c:v>1.4197495595219964</c:v>
                </c:pt>
                <c:pt idx="1213">
                  <c:v>1.4197495595219964</c:v>
                </c:pt>
                <c:pt idx="1214">
                  <c:v>1.419805622566654</c:v>
                </c:pt>
                <c:pt idx="1215">
                  <c:v>1.4204076240144667</c:v>
                </c:pt>
                <c:pt idx="1216">
                  <c:v>1.4204076240144667</c:v>
                </c:pt>
                <c:pt idx="1217">
                  <c:v>1.4205328479704082</c:v>
                </c:pt>
                <c:pt idx="1218">
                  <c:v>1.4205328479704082</c:v>
                </c:pt>
                <c:pt idx="1219">
                  <c:v>1.4205328479704082</c:v>
                </c:pt>
                <c:pt idx="1220">
                  <c:v>1.4205328479704082</c:v>
                </c:pt>
                <c:pt idx="1221">
                  <c:v>1.4205328479704082</c:v>
                </c:pt>
                <c:pt idx="1222">
                  <c:v>1.4205328479704082</c:v>
                </c:pt>
                <c:pt idx="1223">
                  <c:v>1.4205328479704082</c:v>
                </c:pt>
                <c:pt idx="1224">
                  <c:v>1.4205328479704082</c:v>
                </c:pt>
                <c:pt idx="1225">
                  <c:v>1.421214598366181</c:v>
                </c:pt>
                <c:pt idx="1226">
                  <c:v>1.421214598366181</c:v>
                </c:pt>
                <c:pt idx="1227">
                  <c:v>1.4214517645921609</c:v>
                </c:pt>
                <c:pt idx="1228">
                  <c:v>1.4215068883848117</c:v>
                </c:pt>
                <c:pt idx="1229">
                  <c:v>1.4216869261036633</c:v>
                </c:pt>
                <c:pt idx="1230">
                  <c:v>1.4216869261036633</c:v>
                </c:pt>
                <c:pt idx="1231">
                  <c:v>1.4216869261036633</c:v>
                </c:pt>
                <c:pt idx="1232">
                  <c:v>1.4216869261036633</c:v>
                </c:pt>
                <c:pt idx="1233">
                  <c:v>1.4216869261036633</c:v>
                </c:pt>
                <c:pt idx="1234">
                  <c:v>1.4216869261036633</c:v>
                </c:pt>
                <c:pt idx="1235">
                  <c:v>1.4216869261036633</c:v>
                </c:pt>
                <c:pt idx="1236">
                  <c:v>1.4226075049721767</c:v>
                </c:pt>
                <c:pt idx="1237">
                  <c:v>1.4226482161304999</c:v>
                </c:pt>
                <c:pt idx="1238">
                  <c:v>1.4226482161304999</c:v>
                </c:pt>
                <c:pt idx="1239">
                  <c:v>1.4226482161304999</c:v>
                </c:pt>
                <c:pt idx="1240">
                  <c:v>1.4226482161304999</c:v>
                </c:pt>
                <c:pt idx="1241">
                  <c:v>1.4226482161304999</c:v>
                </c:pt>
                <c:pt idx="1242">
                  <c:v>1.4230153240270444</c:v>
                </c:pt>
                <c:pt idx="1243">
                  <c:v>1.4231096507823424</c:v>
                </c:pt>
                <c:pt idx="1244">
                  <c:v>1.4234959292981284</c:v>
                </c:pt>
                <c:pt idx="1245">
                  <c:v>1.4234959292981284</c:v>
                </c:pt>
                <c:pt idx="1246">
                  <c:v>1.4234959292981284</c:v>
                </c:pt>
                <c:pt idx="1247">
                  <c:v>1.4234959292981284</c:v>
                </c:pt>
                <c:pt idx="1248">
                  <c:v>1.4234959292981284</c:v>
                </c:pt>
                <c:pt idx="1249">
                  <c:v>1.4239280643683123</c:v>
                </c:pt>
                <c:pt idx="1250">
                  <c:v>1.4239280643683123</c:v>
                </c:pt>
                <c:pt idx="1251">
                  <c:v>1.4244825380194814</c:v>
                </c:pt>
                <c:pt idx="1252">
                  <c:v>1.4245218404898208</c:v>
                </c:pt>
                <c:pt idx="1253">
                  <c:v>1.4245218404898208</c:v>
                </c:pt>
                <c:pt idx="1254">
                  <c:v>1.4245218404898208</c:v>
                </c:pt>
                <c:pt idx="1255">
                  <c:v>1.4245218404898208</c:v>
                </c:pt>
                <c:pt idx="1256">
                  <c:v>1.4245218404898208</c:v>
                </c:pt>
                <c:pt idx="1257">
                  <c:v>1.4246004654482423</c:v>
                </c:pt>
                <c:pt idx="1258">
                  <c:v>1.4246004654482423</c:v>
                </c:pt>
                <c:pt idx="1259">
                  <c:v>1.4246135721154187</c:v>
                </c:pt>
                <c:pt idx="1260">
                  <c:v>1.4246135721154187</c:v>
                </c:pt>
                <c:pt idx="1261">
                  <c:v>1.4246135721154187</c:v>
                </c:pt>
                <c:pt idx="1262">
                  <c:v>1.4246135721154187</c:v>
                </c:pt>
                <c:pt idx="1263">
                  <c:v>1.425176072618104</c:v>
                </c:pt>
                <c:pt idx="1264">
                  <c:v>1.425176072618104</c:v>
                </c:pt>
                <c:pt idx="1265">
                  <c:v>1.425176072618104</c:v>
                </c:pt>
                <c:pt idx="1266">
                  <c:v>1.4259296798184502</c:v>
                </c:pt>
                <c:pt idx="1267">
                  <c:v>1.4259296798184502</c:v>
                </c:pt>
                <c:pt idx="1268">
                  <c:v>1.4259296798184502</c:v>
                </c:pt>
                <c:pt idx="1269">
                  <c:v>1.4259296798184502</c:v>
                </c:pt>
                <c:pt idx="1270">
                  <c:v>1.4259296798184502</c:v>
                </c:pt>
                <c:pt idx="1271">
                  <c:v>1.4260183353305034</c:v>
                </c:pt>
                <c:pt idx="1272">
                  <c:v>1.4262761658760683</c:v>
                </c:pt>
                <c:pt idx="1273">
                  <c:v>1.4263513368727465</c:v>
                </c:pt>
                <c:pt idx="1274">
                  <c:v>1.4263889161175822</c:v>
                </c:pt>
                <c:pt idx="1275">
                  <c:v>1.4263889161175822</c:v>
                </c:pt>
                <c:pt idx="1276">
                  <c:v>1.4263889161175822</c:v>
                </c:pt>
                <c:pt idx="1277">
                  <c:v>1.4263889161175822</c:v>
                </c:pt>
                <c:pt idx="1278">
                  <c:v>1.4265016257316385</c:v>
                </c:pt>
                <c:pt idx="1279">
                  <c:v>1.4267268945633755</c:v>
                </c:pt>
                <c:pt idx="1280">
                  <c:v>1.4267268945633755</c:v>
                </c:pt>
                <c:pt idx="1281">
                  <c:v>1.4267268945633755</c:v>
                </c:pt>
                <c:pt idx="1282">
                  <c:v>1.427238546407632</c:v>
                </c:pt>
                <c:pt idx="1283">
                  <c:v>1.4273236440757451</c:v>
                </c:pt>
                <c:pt idx="1284">
                  <c:v>1.4274536754207758</c:v>
                </c:pt>
                <c:pt idx="1285">
                  <c:v>1.428012944821881</c:v>
                </c:pt>
                <c:pt idx="1286">
                  <c:v>1.428012944821881</c:v>
                </c:pt>
                <c:pt idx="1287">
                  <c:v>1.428012944821881</c:v>
                </c:pt>
                <c:pt idx="1288">
                  <c:v>1.428012944821881</c:v>
                </c:pt>
                <c:pt idx="1289">
                  <c:v>1.428012944821881</c:v>
                </c:pt>
                <c:pt idx="1290">
                  <c:v>1.4281479688320671</c:v>
                </c:pt>
                <c:pt idx="1291">
                  <c:v>1.4281479688320671</c:v>
                </c:pt>
                <c:pt idx="1292">
                  <c:v>1.4282653956469731</c:v>
                </c:pt>
                <c:pt idx="1293">
                  <c:v>1.4284829177348966</c:v>
                </c:pt>
                <c:pt idx="1294">
                  <c:v>1.4284829177348966</c:v>
                </c:pt>
                <c:pt idx="1295">
                  <c:v>1.4284829177348966</c:v>
                </c:pt>
                <c:pt idx="1296">
                  <c:v>1.4284829177348966</c:v>
                </c:pt>
                <c:pt idx="1297">
                  <c:v>1.4285292228051754</c:v>
                </c:pt>
                <c:pt idx="1298">
                  <c:v>1.4292846669974639</c:v>
                </c:pt>
                <c:pt idx="1299">
                  <c:v>1.4292846669974639</c:v>
                </c:pt>
                <c:pt idx="1300">
                  <c:v>1.4294389045159426</c:v>
                </c:pt>
                <c:pt idx="1301">
                  <c:v>1.4294389045159426</c:v>
                </c:pt>
                <c:pt idx="1302">
                  <c:v>1.4294389045159426</c:v>
                </c:pt>
                <c:pt idx="1303">
                  <c:v>1.4294389045159426</c:v>
                </c:pt>
                <c:pt idx="1304">
                  <c:v>1.4294389045159426</c:v>
                </c:pt>
                <c:pt idx="1305">
                  <c:v>1.4294719850959656</c:v>
                </c:pt>
                <c:pt idx="1306">
                  <c:v>1.4294719850959656</c:v>
                </c:pt>
                <c:pt idx="1307">
                  <c:v>1.4295582820730037</c:v>
                </c:pt>
                <c:pt idx="1308">
                  <c:v>1.4296348168756483</c:v>
                </c:pt>
                <c:pt idx="1309">
                  <c:v>1.4296348168756483</c:v>
                </c:pt>
                <c:pt idx="1310">
                  <c:v>1.4296501037722233</c:v>
                </c:pt>
                <c:pt idx="1311">
                  <c:v>1.4300354579521333</c:v>
                </c:pt>
                <c:pt idx="1312">
                  <c:v>1.4305686633468342</c:v>
                </c:pt>
                <c:pt idx="1313">
                  <c:v>1.4305686633468342</c:v>
                </c:pt>
                <c:pt idx="1314">
                  <c:v>1.4305993462796167</c:v>
                </c:pt>
                <c:pt idx="1315">
                  <c:v>1.4305993462796167</c:v>
                </c:pt>
                <c:pt idx="1316">
                  <c:v>1.4305993462796167</c:v>
                </c:pt>
                <c:pt idx="1317">
                  <c:v>1.4305993462796167</c:v>
                </c:pt>
                <c:pt idx="1318">
                  <c:v>1.4305993462796167</c:v>
                </c:pt>
                <c:pt idx="1319">
                  <c:v>1.4306401926364838</c:v>
                </c:pt>
                <c:pt idx="1320">
                  <c:v>1.4306744461609584</c:v>
                </c:pt>
                <c:pt idx="1321">
                  <c:v>1.4307655276554216</c:v>
                </c:pt>
                <c:pt idx="1322">
                  <c:v>1.4307655276554216</c:v>
                </c:pt>
                <c:pt idx="1323">
                  <c:v>1.4307655276554216</c:v>
                </c:pt>
                <c:pt idx="1324">
                  <c:v>1.4308432879546351</c:v>
                </c:pt>
                <c:pt idx="1325">
                  <c:v>1.4311305306664708</c:v>
                </c:pt>
                <c:pt idx="1326">
                  <c:v>1.4311305306664708</c:v>
                </c:pt>
                <c:pt idx="1327">
                  <c:v>1.4314790964474555</c:v>
                </c:pt>
                <c:pt idx="1328">
                  <c:v>1.43154513751176</c:v>
                </c:pt>
                <c:pt idx="1329">
                  <c:v>1.43154513751176</c:v>
                </c:pt>
                <c:pt idx="1330">
                  <c:v>1.431628974523562</c:v>
                </c:pt>
                <c:pt idx="1331">
                  <c:v>1.431628974523562</c:v>
                </c:pt>
                <c:pt idx="1332">
                  <c:v>1.431628974523562</c:v>
                </c:pt>
                <c:pt idx="1333">
                  <c:v>1.431628974523562</c:v>
                </c:pt>
                <c:pt idx="1334">
                  <c:v>1.431628974523562</c:v>
                </c:pt>
                <c:pt idx="1335">
                  <c:v>1.431628974523562</c:v>
                </c:pt>
                <c:pt idx="1336">
                  <c:v>1.4318113097182492</c:v>
                </c:pt>
                <c:pt idx="1337">
                  <c:v>1.4318659079336438</c:v>
                </c:pt>
                <c:pt idx="1338">
                  <c:v>1.4318931206928593</c:v>
                </c:pt>
                <c:pt idx="1339">
                  <c:v>1.4318931206928593</c:v>
                </c:pt>
                <c:pt idx="1340">
                  <c:v>1.4322893896905948</c:v>
                </c:pt>
                <c:pt idx="1341">
                  <c:v>1.4325275055308078</c:v>
                </c:pt>
                <c:pt idx="1342">
                  <c:v>1.4325275055308078</c:v>
                </c:pt>
                <c:pt idx="1343">
                  <c:v>1.4325275055308078</c:v>
                </c:pt>
                <c:pt idx="1344">
                  <c:v>1.4325275055308078</c:v>
                </c:pt>
                <c:pt idx="1345">
                  <c:v>1.4325275055308078</c:v>
                </c:pt>
                <c:pt idx="1346">
                  <c:v>1.4327828526627355</c:v>
                </c:pt>
                <c:pt idx="1347">
                  <c:v>1.4327828526627355</c:v>
                </c:pt>
                <c:pt idx="1348">
                  <c:v>1.4328543701409167</c:v>
                </c:pt>
                <c:pt idx="1349">
                  <c:v>1.4328543701409167</c:v>
                </c:pt>
                <c:pt idx="1350">
                  <c:v>1.4328543701409167</c:v>
                </c:pt>
                <c:pt idx="1351">
                  <c:v>1.4328543701409167</c:v>
                </c:pt>
                <c:pt idx="1352">
                  <c:v>1.4328543701409167</c:v>
                </c:pt>
                <c:pt idx="1353">
                  <c:v>1.4328543701409167</c:v>
                </c:pt>
                <c:pt idx="1354">
                  <c:v>1.4328543701409167</c:v>
                </c:pt>
                <c:pt idx="1355">
                  <c:v>1.4328543701409167</c:v>
                </c:pt>
                <c:pt idx="1356">
                  <c:v>1.4328543701409167</c:v>
                </c:pt>
                <c:pt idx="1357">
                  <c:v>1.4329993724071226</c:v>
                </c:pt>
                <c:pt idx="1358">
                  <c:v>1.4329993724071226</c:v>
                </c:pt>
                <c:pt idx="1359">
                  <c:v>1.4330529901177835</c:v>
                </c:pt>
                <c:pt idx="1360">
                  <c:v>1.4331152208578426</c:v>
                </c:pt>
                <c:pt idx="1361">
                  <c:v>1.4331152208578426</c:v>
                </c:pt>
                <c:pt idx="1362">
                  <c:v>1.4332946915972329</c:v>
                </c:pt>
                <c:pt idx="1363">
                  <c:v>1.4332946915972329</c:v>
                </c:pt>
                <c:pt idx="1364">
                  <c:v>1.4332946915972329</c:v>
                </c:pt>
                <c:pt idx="1365">
                  <c:v>1.4334659398773453</c:v>
                </c:pt>
                <c:pt idx="1366">
                  <c:v>1.4335887373405465</c:v>
                </c:pt>
                <c:pt idx="1367">
                  <c:v>1.4335887373405465</c:v>
                </c:pt>
                <c:pt idx="1368">
                  <c:v>1.4335887373405465</c:v>
                </c:pt>
                <c:pt idx="1369">
                  <c:v>1.4336088950029617</c:v>
                </c:pt>
                <c:pt idx="1370">
                  <c:v>1.4336088950029617</c:v>
                </c:pt>
                <c:pt idx="1371">
                  <c:v>1.4336289627457099</c:v>
                </c:pt>
                <c:pt idx="1372">
                  <c:v>1.433648939901776</c:v>
                </c:pt>
                <c:pt idx="1373">
                  <c:v>1.4336555787075258</c:v>
                </c:pt>
                <c:pt idx="1374">
                  <c:v>1.4336555787075258</c:v>
                </c:pt>
                <c:pt idx="1375">
                  <c:v>1.4336555787075258</c:v>
                </c:pt>
                <c:pt idx="1376">
                  <c:v>1.4338580682911792</c:v>
                </c:pt>
                <c:pt idx="1377">
                  <c:v>1.4339303211453733</c:v>
                </c:pt>
                <c:pt idx="1378">
                  <c:v>1.4339303211453733</c:v>
                </c:pt>
                <c:pt idx="1379">
                  <c:v>1.4341178290116197</c:v>
                </c:pt>
                <c:pt idx="1380">
                  <c:v>1.4341178290116197</c:v>
                </c:pt>
                <c:pt idx="1381">
                  <c:v>1.4341178290116197</c:v>
                </c:pt>
                <c:pt idx="1382">
                  <c:v>1.4342765520430187</c:v>
                </c:pt>
                <c:pt idx="1383">
                  <c:v>1.4344197081814587</c:v>
                </c:pt>
                <c:pt idx="1384">
                  <c:v>1.4344342188216683</c:v>
                </c:pt>
                <c:pt idx="1385">
                  <c:v>1.4345260671393159</c:v>
                </c:pt>
                <c:pt idx="1386">
                  <c:v>1.4345260671393159</c:v>
                </c:pt>
                <c:pt idx="1387">
                  <c:v>1.4347024687308085</c:v>
                </c:pt>
                <c:pt idx="1388">
                  <c:v>1.4347024687308085</c:v>
                </c:pt>
                <c:pt idx="1389">
                  <c:v>1.4347256080244395</c:v>
                </c:pt>
                <c:pt idx="1390">
                  <c:v>1.434736986959646</c:v>
                </c:pt>
                <c:pt idx="1391">
                  <c:v>1.434736986959646</c:v>
                </c:pt>
                <c:pt idx="1392">
                  <c:v>1.434736986959646</c:v>
                </c:pt>
                <c:pt idx="1393">
                  <c:v>1.434736986959646</c:v>
                </c:pt>
                <c:pt idx="1394">
                  <c:v>1.4348062455770834</c:v>
                </c:pt>
                <c:pt idx="1395">
                  <c:v>1.4348062455770834</c:v>
                </c:pt>
                <c:pt idx="1396">
                  <c:v>1.4348335233026774</c:v>
                </c:pt>
                <c:pt idx="1397">
                  <c:v>1.4348335233026774</c:v>
                </c:pt>
                <c:pt idx="1398">
                  <c:v>1.4348565266494069</c:v>
                </c:pt>
                <c:pt idx="1399">
                  <c:v>1.4350251687274702</c:v>
                </c:pt>
                <c:pt idx="1400">
                  <c:v>1.4350300835021439</c:v>
                </c:pt>
                <c:pt idx="1401">
                  <c:v>1.4350401326589952</c:v>
                </c:pt>
                <c:pt idx="1402">
                  <c:v>1.4350462987310597</c:v>
                </c:pt>
                <c:pt idx="1403">
                  <c:v>1.4350462987310597</c:v>
                </c:pt>
                <c:pt idx="1404">
                  <c:v>1.4350462987310597</c:v>
                </c:pt>
                <c:pt idx="1405">
                  <c:v>1.4350462987310597</c:v>
                </c:pt>
                <c:pt idx="1406">
                  <c:v>1.4350542873337058</c:v>
                </c:pt>
                <c:pt idx="1407">
                  <c:v>1.4350856825782616</c:v>
                </c:pt>
                <c:pt idx="1408">
                  <c:v>1.4350856825782616</c:v>
                </c:pt>
                <c:pt idx="1409">
                  <c:v>1.435145851629013</c:v>
                </c:pt>
                <c:pt idx="1410">
                  <c:v>1.4351506826391682</c:v>
                </c:pt>
                <c:pt idx="1411">
                  <c:v>1.4351543120187449</c:v>
                </c:pt>
                <c:pt idx="1412">
                  <c:v>1.4351543120187449</c:v>
                </c:pt>
                <c:pt idx="1413">
                  <c:v>1.4351543120187449</c:v>
                </c:pt>
                <c:pt idx="1414">
                  <c:v>1.4351543120187449</c:v>
                </c:pt>
                <c:pt idx="1415">
                  <c:v>1.4351543120187449</c:v>
                </c:pt>
                <c:pt idx="1416">
                  <c:v>1.4351543120187449</c:v>
                </c:pt>
                <c:pt idx="1417">
                  <c:v>1.4351557390704817</c:v>
                </c:pt>
                <c:pt idx="1418">
                  <c:v>1.4351557390704817</c:v>
                </c:pt>
                <c:pt idx="1419">
                  <c:v>1.4351557390704817</c:v>
                </c:pt>
                <c:pt idx="1420">
                  <c:v>1.4351506579122479</c:v>
                </c:pt>
                <c:pt idx="1421">
                  <c:v>1.4351506579122479</c:v>
                </c:pt>
                <c:pt idx="1422">
                  <c:v>1.4351456921368411</c:v>
                </c:pt>
                <c:pt idx="1423">
                  <c:v>1.4351302556214796</c:v>
                </c:pt>
                <c:pt idx="1424">
                  <c:v>1.4351302556214796</c:v>
                </c:pt>
                <c:pt idx="1425">
                  <c:v>1.4351302556214796</c:v>
                </c:pt>
                <c:pt idx="1426">
                  <c:v>1.4351302556214796</c:v>
                </c:pt>
                <c:pt idx="1427">
                  <c:v>1.4351254990308109</c:v>
                </c:pt>
                <c:pt idx="1428">
                  <c:v>1.4351139096739682</c:v>
                </c:pt>
                <c:pt idx="1429">
                  <c:v>1.4350687019421355</c:v>
                </c:pt>
                <c:pt idx="1430">
                  <c:v>1.4350687019421355</c:v>
                </c:pt>
                <c:pt idx="1431">
                  <c:v>1.4350545504948318</c:v>
                </c:pt>
                <c:pt idx="1432">
                  <c:v>1.4350545504948318</c:v>
                </c:pt>
                <c:pt idx="1433">
                  <c:v>1.4349741361805162</c:v>
                </c:pt>
                <c:pt idx="1434">
                  <c:v>1.4349741361805162</c:v>
                </c:pt>
                <c:pt idx="1435">
                  <c:v>1.4349741361805162</c:v>
                </c:pt>
                <c:pt idx="1436">
                  <c:v>1.4349144757194163</c:v>
                </c:pt>
                <c:pt idx="1437">
                  <c:v>1.4349144757194163</c:v>
                </c:pt>
                <c:pt idx="1438">
                  <c:v>1.4349144757194163</c:v>
                </c:pt>
                <c:pt idx="1439">
                  <c:v>1.4349046099569203</c:v>
                </c:pt>
                <c:pt idx="1440">
                  <c:v>1.4348575496498646</c:v>
                </c:pt>
                <c:pt idx="1441">
                  <c:v>1.4347704047833405</c:v>
                </c:pt>
                <c:pt idx="1442">
                  <c:v>1.4347704047833405</c:v>
                </c:pt>
                <c:pt idx="1443">
                  <c:v>1.4347704047833405</c:v>
                </c:pt>
                <c:pt idx="1444">
                  <c:v>1.4346859967939629</c:v>
                </c:pt>
                <c:pt idx="1445">
                  <c:v>1.4346859967939629</c:v>
                </c:pt>
                <c:pt idx="1446">
                  <c:v>1.4346859967939629</c:v>
                </c:pt>
                <c:pt idx="1447">
                  <c:v>1.4345752356816499</c:v>
                </c:pt>
                <c:pt idx="1448">
                  <c:v>1.4345752356816499</c:v>
                </c:pt>
                <c:pt idx="1449">
                  <c:v>1.4345596969302905</c:v>
                </c:pt>
                <c:pt idx="1450">
                  <c:v>1.4345596969302905</c:v>
                </c:pt>
                <c:pt idx="1451">
                  <c:v>1.4345596969302905</c:v>
                </c:pt>
                <c:pt idx="1452">
                  <c:v>1.4342659169969567</c:v>
                </c:pt>
                <c:pt idx="1453">
                  <c:v>1.4342659169969567</c:v>
                </c:pt>
                <c:pt idx="1454">
                  <c:v>1.4342659169969567</c:v>
                </c:pt>
                <c:pt idx="1455">
                  <c:v>1.4341610551542885</c:v>
                </c:pt>
                <c:pt idx="1456">
                  <c:v>1.4341610551542885</c:v>
                </c:pt>
                <c:pt idx="1457">
                  <c:v>1.434112215440873</c:v>
                </c:pt>
                <c:pt idx="1458">
                  <c:v>1.4340064342538525</c:v>
                </c:pt>
                <c:pt idx="1459">
                  <c:v>1.4339839512280474</c:v>
                </c:pt>
                <c:pt idx="1460">
                  <c:v>1.4339839512280474</c:v>
                </c:pt>
                <c:pt idx="1461">
                  <c:v>1.4339839512280474</c:v>
                </c:pt>
                <c:pt idx="1462">
                  <c:v>1.4339839512280474</c:v>
                </c:pt>
                <c:pt idx="1463">
                  <c:v>1.4339839512280474</c:v>
                </c:pt>
                <c:pt idx="1464">
                  <c:v>1.4339839512280474</c:v>
                </c:pt>
                <c:pt idx="1465">
                  <c:v>1.4339839512280474</c:v>
                </c:pt>
                <c:pt idx="1466">
                  <c:v>1.4339839512280474</c:v>
                </c:pt>
                <c:pt idx="1467">
                  <c:v>1.4339364161336674</c:v>
                </c:pt>
                <c:pt idx="1468">
                  <c:v>1.4339364161336674</c:v>
                </c:pt>
                <c:pt idx="1469">
                  <c:v>1.4337140127250727</c:v>
                </c:pt>
                <c:pt idx="1470">
                  <c:v>1.4336617083831913</c:v>
                </c:pt>
                <c:pt idx="1471">
                  <c:v>1.433600741324154</c:v>
                </c:pt>
                <c:pt idx="1472">
                  <c:v>1.4335821581879451</c:v>
                </c:pt>
                <c:pt idx="1473">
                  <c:v>1.4335554561308173</c:v>
                </c:pt>
                <c:pt idx="1474">
                  <c:v>1.4332729144320027</c:v>
                </c:pt>
                <c:pt idx="1475">
                  <c:v>1.4332729144320027</c:v>
                </c:pt>
                <c:pt idx="1476">
                  <c:v>1.4330617618919459</c:v>
                </c:pt>
                <c:pt idx="1477">
                  <c:v>1.433030436260998</c:v>
                </c:pt>
                <c:pt idx="1478">
                  <c:v>1.4329882097661057</c:v>
                </c:pt>
                <c:pt idx="1479">
                  <c:v>1.4326393284670014</c:v>
                </c:pt>
                <c:pt idx="1480">
                  <c:v>1.4324314561057188</c:v>
                </c:pt>
                <c:pt idx="1481">
                  <c:v>1.4323950515590387</c:v>
                </c:pt>
                <c:pt idx="1482">
                  <c:v>1.4323950515590387</c:v>
                </c:pt>
                <c:pt idx="1483">
                  <c:v>1.4323613421321191</c:v>
                </c:pt>
                <c:pt idx="1484">
                  <c:v>1.4322747504707847</c:v>
                </c:pt>
                <c:pt idx="1485">
                  <c:v>1.4321042595095337</c:v>
                </c:pt>
                <c:pt idx="1486">
                  <c:v>1.4321042595095337</c:v>
                </c:pt>
                <c:pt idx="1487">
                  <c:v>1.4321042595095337</c:v>
                </c:pt>
                <c:pt idx="1488">
                  <c:v>1.4319735000723062</c:v>
                </c:pt>
                <c:pt idx="1489">
                  <c:v>1.4315605966874814</c:v>
                </c:pt>
                <c:pt idx="1490">
                  <c:v>1.4314811938398855</c:v>
                </c:pt>
                <c:pt idx="1491">
                  <c:v>1.4314811938398855</c:v>
                </c:pt>
                <c:pt idx="1492">
                  <c:v>1.4313506696169431</c:v>
                </c:pt>
                <c:pt idx="1493">
                  <c:v>1.4313506696169431</c:v>
                </c:pt>
                <c:pt idx="1494">
                  <c:v>1.4307467557207179</c:v>
                </c:pt>
                <c:pt idx="1495">
                  <c:v>1.430659694222179</c:v>
                </c:pt>
                <c:pt idx="1496">
                  <c:v>1.430659694222179</c:v>
                </c:pt>
                <c:pt idx="1497">
                  <c:v>1.4305456740557265</c:v>
                </c:pt>
                <c:pt idx="1498">
                  <c:v>1.4305456740557265</c:v>
                </c:pt>
                <c:pt idx="1499">
                  <c:v>1.4302938524132305</c:v>
                </c:pt>
                <c:pt idx="1500">
                  <c:v>1.430191740162067</c:v>
                </c:pt>
                <c:pt idx="1501">
                  <c:v>1.430191740162067</c:v>
                </c:pt>
                <c:pt idx="1502">
                  <c:v>1.430191740162067</c:v>
                </c:pt>
                <c:pt idx="1503">
                  <c:v>1.430191740162067</c:v>
                </c:pt>
                <c:pt idx="1504">
                  <c:v>1.430191740162067</c:v>
                </c:pt>
                <c:pt idx="1505">
                  <c:v>1.4301401336852937</c:v>
                </c:pt>
                <c:pt idx="1506">
                  <c:v>1.4301401336852937</c:v>
                </c:pt>
                <c:pt idx="1507">
                  <c:v>1.4298918389613495</c:v>
                </c:pt>
                <c:pt idx="1508">
                  <c:v>1.4296588244215234</c:v>
                </c:pt>
                <c:pt idx="1509">
                  <c:v>1.4295304227479475</c:v>
                </c:pt>
                <c:pt idx="1510">
                  <c:v>1.4294520249642162</c:v>
                </c:pt>
                <c:pt idx="1511">
                  <c:v>1.428983721897978</c:v>
                </c:pt>
                <c:pt idx="1512">
                  <c:v>1.4289417174508499</c:v>
                </c:pt>
                <c:pt idx="1513">
                  <c:v>1.4286007381572898</c:v>
                </c:pt>
                <c:pt idx="1514">
                  <c:v>1.4284149751978255</c:v>
                </c:pt>
                <c:pt idx="1515">
                  <c:v>1.4284149751978255</c:v>
                </c:pt>
                <c:pt idx="1516">
                  <c:v>1.4283308023538221</c:v>
                </c:pt>
                <c:pt idx="1517">
                  <c:v>1.4276453350290859</c:v>
                </c:pt>
                <c:pt idx="1518">
                  <c:v>1.4276453350290859</c:v>
                </c:pt>
                <c:pt idx="1519">
                  <c:v>1.4276453350290859</c:v>
                </c:pt>
                <c:pt idx="1520">
                  <c:v>1.4273580462545359</c:v>
                </c:pt>
                <c:pt idx="1521">
                  <c:v>1.4272223492208813</c:v>
                </c:pt>
                <c:pt idx="1522">
                  <c:v>1.4272223492208813</c:v>
                </c:pt>
                <c:pt idx="1523">
                  <c:v>1.4272223492208813</c:v>
                </c:pt>
                <c:pt idx="1524">
                  <c:v>1.4272223492208813</c:v>
                </c:pt>
                <c:pt idx="1525">
                  <c:v>1.4272223492208813</c:v>
                </c:pt>
                <c:pt idx="1526">
                  <c:v>1.4272223492208813</c:v>
                </c:pt>
                <c:pt idx="1527">
                  <c:v>1.4272223492208813</c:v>
                </c:pt>
                <c:pt idx="1528">
                  <c:v>1.4269273670767675</c:v>
                </c:pt>
                <c:pt idx="1529">
                  <c:v>1.4267516373668345</c:v>
                </c:pt>
                <c:pt idx="1530">
                  <c:v>1.4261769478693327</c:v>
                </c:pt>
                <c:pt idx="1531">
                  <c:v>1.4261769478693327</c:v>
                </c:pt>
                <c:pt idx="1532">
                  <c:v>1.4261769478693327</c:v>
                </c:pt>
                <c:pt idx="1533">
                  <c:v>1.4258844552385566</c:v>
                </c:pt>
                <c:pt idx="1534">
                  <c:v>1.4258844552385566</c:v>
                </c:pt>
                <c:pt idx="1535">
                  <c:v>1.4257450009601789</c:v>
                </c:pt>
                <c:pt idx="1536">
                  <c:v>1.4245789642420998</c:v>
                </c:pt>
                <c:pt idx="1537">
                  <c:v>1.4245789642420998</c:v>
                </c:pt>
                <c:pt idx="1538">
                  <c:v>1.4245789642420998</c:v>
                </c:pt>
                <c:pt idx="1539">
                  <c:v>1.4239015278618232</c:v>
                </c:pt>
                <c:pt idx="1540">
                  <c:v>1.4236457713182005</c:v>
                </c:pt>
                <c:pt idx="1541">
                  <c:v>1.4235017857656032</c:v>
                </c:pt>
                <c:pt idx="1542">
                  <c:v>1.4229562512041107</c:v>
                </c:pt>
                <c:pt idx="1543">
                  <c:v>1.4228518232951182</c:v>
                </c:pt>
                <c:pt idx="1544">
                  <c:v>1.4228518232951182</c:v>
                </c:pt>
                <c:pt idx="1545">
                  <c:v>1.4228518232951182</c:v>
                </c:pt>
                <c:pt idx="1546">
                  <c:v>1.4228518232951182</c:v>
                </c:pt>
                <c:pt idx="1547">
                  <c:v>1.4223999120370721</c:v>
                </c:pt>
                <c:pt idx="1548">
                  <c:v>1.4223999120370721</c:v>
                </c:pt>
                <c:pt idx="1549">
                  <c:v>1.4223999120370721</c:v>
                </c:pt>
                <c:pt idx="1550">
                  <c:v>1.4218954774470784</c:v>
                </c:pt>
                <c:pt idx="1551">
                  <c:v>1.4217069817807808</c:v>
                </c:pt>
                <c:pt idx="1552">
                  <c:v>1.421611957382291</c:v>
                </c:pt>
                <c:pt idx="1553">
                  <c:v>1.421611957382291</c:v>
                </c:pt>
                <c:pt idx="1554">
                  <c:v>1.421611957382291</c:v>
                </c:pt>
                <c:pt idx="1555">
                  <c:v>1.421611957382291</c:v>
                </c:pt>
                <c:pt idx="1556">
                  <c:v>1.421611957382291</c:v>
                </c:pt>
                <c:pt idx="1557">
                  <c:v>1.421611957382291</c:v>
                </c:pt>
                <c:pt idx="1558">
                  <c:v>1.421611957382291</c:v>
                </c:pt>
                <c:pt idx="1559">
                  <c:v>1.421611957382291</c:v>
                </c:pt>
                <c:pt idx="1560">
                  <c:v>1.4209959992993351</c:v>
                </c:pt>
                <c:pt idx="1561">
                  <c:v>1.4209959992993351</c:v>
                </c:pt>
                <c:pt idx="1562">
                  <c:v>1.4196328327978276</c:v>
                </c:pt>
                <c:pt idx="1563">
                  <c:v>1.4196328327978276</c:v>
                </c:pt>
                <c:pt idx="1564">
                  <c:v>1.4195199880476661</c:v>
                </c:pt>
                <c:pt idx="1565">
                  <c:v>1.4195199880476661</c:v>
                </c:pt>
                <c:pt idx="1566">
                  <c:v>1.4195199880476661</c:v>
                </c:pt>
                <c:pt idx="1567">
                  <c:v>1.4194153851927906</c:v>
                </c:pt>
                <c:pt idx="1568">
                  <c:v>1.419294001709922</c:v>
                </c:pt>
                <c:pt idx="1569">
                  <c:v>1.4190120014318703</c:v>
                </c:pt>
                <c:pt idx="1570">
                  <c:v>1.4188408994498782</c:v>
                </c:pt>
                <c:pt idx="1571">
                  <c:v>1.4180826817150878</c:v>
                </c:pt>
                <c:pt idx="1572">
                  <c:v>1.4180826817150878</c:v>
                </c:pt>
                <c:pt idx="1573">
                  <c:v>1.4179721059017873</c:v>
                </c:pt>
                <c:pt idx="1574">
                  <c:v>1.4179721059017873</c:v>
                </c:pt>
                <c:pt idx="1575">
                  <c:v>1.4178237801090872</c:v>
                </c:pt>
                <c:pt idx="1576">
                  <c:v>1.4178237801090872</c:v>
                </c:pt>
                <c:pt idx="1577">
                  <c:v>1.4178237801090872</c:v>
                </c:pt>
                <c:pt idx="1578">
                  <c:v>1.4169003735431882</c:v>
                </c:pt>
                <c:pt idx="1579">
                  <c:v>1.4169003735431882</c:v>
                </c:pt>
                <c:pt idx="1580">
                  <c:v>1.4169003735431882</c:v>
                </c:pt>
                <c:pt idx="1581">
                  <c:v>1.4166274744987717</c:v>
                </c:pt>
                <c:pt idx="1582">
                  <c:v>1.4161940715180739</c:v>
                </c:pt>
                <c:pt idx="1583">
                  <c:v>1.4156366468920523</c:v>
                </c:pt>
                <c:pt idx="1584">
                  <c:v>1.4149090795204087</c:v>
                </c:pt>
                <c:pt idx="1585">
                  <c:v>1.4146616939086436</c:v>
                </c:pt>
                <c:pt idx="1586">
                  <c:v>1.4143759425169269</c:v>
                </c:pt>
                <c:pt idx="1587">
                  <c:v>1.4143280013159261</c:v>
                </c:pt>
                <c:pt idx="1588">
                  <c:v>1.4139128899148286</c:v>
                </c:pt>
                <c:pt idx="1589">
                  <c:v>1.4137895574331691</c:v>
                </c:pt>
                <c:pt idx="1590">
                  <c:v>1.4133872628330266</c:v>
                </c:pt>
                <c:pt idx="1591">
                  <c:v>1.4128996736166521</c:v>
                </c:pt>
                <c:pt idx="1592">
                  <c:v>1.4128996736166521</c:v>
                </c:pt>
                <c:pt idx="1593">
                  <c:v>1.4122965749645624</c:v>
                </c:pt>
                <c:pt idx="1594">
                  <c:v>1.4122965749645624</c:v>
                </c:pt>
                <c:pt idx="1595">
                  <c:v>1.4122602116782006</c:v>
                </c:pt>
                <c:pt idx="1596">
                  <c:v>1.4122602116782006</c:v>
                </c:pt>
                <c:pt idx="1597">
                  <c:v>1.412126468399407</c:v>
                </c:pt>
                <c:pt idx="1598">
                  <c:v>1.412126468399407</c:v>
                </c:pt>
                <c:pt idx="1599">
                  <c:v>1.4099483250974039</c:v>
                </c:pt>
                <c:pt idx="1600">
                  <c:v>1.4091633588329888</c:v>
                </c:pt>
                <c:pt idx="1601">
                  <c:v>1.4076745531438113</c:v>
                </c:pt>
                <c:pt idx="1602">
                  <c:v>1.4073209024507278</c:v>
                </c:pt>
                <c:pt idx="1603">
                  <c:v>1.4071896380074822</c:v>
                </c:pt>
                <c:pt idx="1604">
                  <c:v>1.4071896380074822</c:v>
                </c:pt>
                <c:pt idx="1605">
                  <c:v>1.4071896380074822</c:v>
                </c:pt>
                <c:pt idx="1606">
                  <c:v>1.4053056262605748</c:v>
                </c:pt>
                <c:pt idx="1607">
                  <c:v>1.4051459415610279</c:v>
                </c:pt>
                <c:pt idx="1608">
                  <c:v>1.4051459415610279</c:v>
                </c:pt>
                <c:pt idx="1609">
                  <c:v>1.404931887622354</c:v>
                </c:pt>
                <c:pt idx="1610">
                  <c:v>1.4044492130835518</c:v>
                </c:pt>
                <c:pt idx="1611">
                  <c:v>1.4044492130835518</c:v>
                </c:pt>
                <c:pt idx="1612">
                  <c:v>1.4030325825481094</c:v>
                </c:pt>
                <c:pt idx="1613">
                  <c:v>1.4024478460980085</c:v>
                </c:pt>
                <c:pt idx="1614">
                  <c:v>1.4008498843705148</c:v>
                </c:pt>
                <c:pt idx="1615">
                  <c:v>1.4008498843705148</c:v>
                </c:pt>
                <c:pt idx="1616">
                  <c:v>1.4000890786363429</c:v>
                </c:pt>
                <c:pt idx="1617">
                  <c:v>1.3998692965505048</c:v>
                </c:pt>
                <c:pt idx="1618">
                  <c:v>1.3995532282589218</c:v>
                </c:pt>
                <c:pt idx="1619">
                  <c:v>1.3990830286744829</c:v>
                </c:pt>
                <c:pt idx="1620">
                  <c:v>1.398598180694862</c:v>
                </c:pt>
                <c:pt idx="1621">
                  <c:v>1.398598180694862</c:v>
                </c:pt>
                <c:pt idx="1622">
                  <c:v>1.398598180694862</c:v>
                </c:pt>
                <c:pt idx="1623">
                  <c:v>1.3976329413508297</c:v>
                </c:pt>
                <c:pt idx="1624">
                  <c:v>1.3967284458426337</c:v>
                </c:pt>
                <c:pt idx="1625">
                  <c:v>1.3966576027837021</c:v>
                </c:pt>
                <c:pt idx="1626">
                  <c:v>1.396086679052849</c:v>
                </c:pt>
                <c:pt idx="1627">
                  <c:v>1.396086679052849</c:v>
                </c:pt>
                <c:pt idx="1628">
                  <c:v>1.396086679052849</c:v>
                </c:pt>
                <c:pt idx="1629">
                  <c:v>1.396086679052849</c:v>
                </c:pt>
                <c:pt idx="1630">
                  <c:v>1.396086679052849</c:v>
                </c:pt>
                <c:pt idx="1631">
                  <c:v>1.396086679052849</c:v>
                </c:pt>
                <c:pt idx="1632">
                  <c:v>1.3944308432698884</c:v>
                </c:pt>
                <c:pt idx="1633">
                  <c:v>1.3936719111441751</c:v>
                </c:pt>
                <c:pt idx="1634">
                  <c:v>1.3932118313143131</c:v>
                </c:pt>
                <c:pt idx="1635">
                  <c:v>1.3930729200646939</c:v>
                </c:pt>
                <c:pt idx="1636">
                  <c:v>1.3926693037585327</c:v>
                </c:pt>
                <c:pt idx="1637">
                  <c:v>1.3926096568005375</c:v>
                </c:pt>
                <c:pt idx="1638">
                  <c:v>1.3924661976925883</c:v>
                </c:pt>
                <c:pt idx="1639">
                  <c:v>1.3922589242199157</c:v>
                </c:pt>
                <c:pt idx="1640">
                  <c:v>1.3922589242199157</c:v>
                </c:pt>
                <c:pt idx="1641">
                  <c:v>1.391572071508032</c:v>
                </c:pt>
                <c:pt idx="1642">
                  <c:v>1.391572071508032</c:v>
                </c:pt>
                <c:pt idx="1643">
                  <c:v>1.388908338783293</c:v>
                </c:pt>
                <c:pt idx="1644">
                  <c:v>1.388908338783293</c:v>
                </c:pt>
                <c:pt idx="1645">
                  <c:v>1.3886210552729081</c:v>
                </c:pt>
                <c:pt idx="1646">
                  <c:v>1.3884810984935652</c:v>
                </c:pt>
                <c:pt idx="1647">
                  <c:v>1.3854383122364911</c:v>
                </c:pt>
                <c:pt idx="1648">
                  <c:v>1.3829917593077186</c:v>
                </c:pt>
                <c:pt idx="1649">
                  <c:v>1.3824447559451678</c:v>
                </c:pt>
                <c:pt idx="1650">
                  <c:v>1.3818497808392329</c:v>
                </c:pt>
                <c:pt idx="1651">
                  <c:v>1.3810540781066745</c:v>
                </c:pt>
                <c:pt idx="1652">
                  <c:v>1.3809342442153356</c:v>
                </c:pt>
                <c:pt idx="1653">
                  <c:v>1.3806938415016115</c:v>
                </c:pt>
                <c:pt idx="1654">
                  <c:v>1.3806938415016115</c:v>
                </c:pt>
                <c:pt idx="1655">
                  <c:v>1.3795471986962877</c:v>
                </c:pt>
                <c:pt idx="1656">
                  <c:v>1.3795471986962877</c:v>
                </c:pt>
                <c:pt idx="1657">
                  <c:v>1.3781437111429786</c:v>
                </c:pt>
                <c:pt idx="1658">
                  <c:v>1.3781437111429786</c:v>
                </c:pt>
                <c:pt idx="1659">
                  <c:v>1.3781437111429786</c:v>
                </c:pt>
                <c:pt idx="1660">
                  <c:v>1.3764705598014249</c:v>
                </c:pt>
                <c:pt idx="1661">
                  <c:v>1.3764161538665127</c:v>
                </c:pt>
                <c:pt idx="1662">
                  <c:v>1.3752876226545458</c:v>
                </c:pt>
                <c:pt idx="1663">
                  <c:v>1.3752876226545458</c:v>
                </c:pt>
                <c:pt idx="1664">
                  <c:v>1.3748052646079558</c:v>
                </c:pt>
                <c:pt idx="1665">
                  <c:v>1.3748052646079558</c:v>
                </c:pt>
                <c:pt idx="1666">
                  <c:v>1.3743210995571622</c:v>
                </c:pt>
                <c:pt idx="1667">
                  <c:v>1.3731216230523484</c:v>
                </c:pt>
                <c:pt idx="1668">
                  <c:v>1.3725043593912172</c:v>
                </c:pt>
                <c:pt idx="1669">
                  <c:v>1.3723664099883155</c:v>
                </c:pt>
                <c:pt idx="1670">
                  <c:v>1.3723664099883155</c:v>
                </c:pt>
                <c:pt idx="1671">
                  <c:v>1.3723664099883155</c:v>
                </c:pt>
                <c:pt idx="1672">
                  <c:v>1.3723664099883155</c:v>
                </c:pt>
                <c:pt idx="1673">
                  <c:v>1.3721000548695756</c:v>
                </c:pt>
                <c:pt idx="1674">
                  <c:v>1.369882635942917</c:v>
                </c:pt>
                <c:pt idx="1675">
                  <c:v>1.3684194444184117</c:v>
                </c:pt>
                <c:pt idx="1676">
                  <c:v>1.3670309762133177</c:v>
                </c:pt>
                <c:pt idx="1677">
                  <c:v>1.3663303829540461</c:v>
                </c:pt>
                <c:pt idx="1678">
                  <c:v>1.3663303829540461</c:v>
                </c:pt>
                <c:pt idx="1679">
                  <c:v>1.3663303829540461</c:v>
                </c:pt>
                <c:pt idx="1680">
                  <c:v>1.366100305652425</c:v>
                </c:pt>
                <c:pt idx="1681">
                  <c:v>1.3654347646178657</c:v>
                </c:pt>
                <c:pt idx="1682">
                  <c:v>1.3637993063918112</c:v>
                </c:pt>
                <c:pt idx="1683">
                  <c:v>1.3632164766070236</c:v>
                </c:pt>
                <c:pt idx="1684">
                  <c:v>1.3621644159671407</c:v>
                </c:pt>
                <c:pt idx="1685">
                  <c:v>1.3590370987405613</c:v>
                </c:pt>
                <c:pt idx="1686">
                  <c:v>1.3590370987405613</c:v>
                </c:pt>
                <c:pt idx="1687">
                  <c:v>1.3587326638259272</c:v>
                </c:pt>
                <c:pt idx="1688">
                  <c:v>1.3581202895366837</c:v>
                </c:pt>
                <c:pt idx="1689">
                  <c:v>1.3567992149231274</c:v>
                </c:pt>
                <c:pt idx="1690">
                  <c:v>1.3567992149231274</c:v>
                </c:pt>
                <c:pt idx="1691">
                  <c:v>1.3529832572274076</c:v>
                </c:pt>
                <c:pt idx="1692">
                  <c:v>1.3529832572274076</c:v>
                </c:pt>
                <c:pt idx="1693">
                  <c:v>1.3467069700570149</c:v>
                </c:pt>
                <c:pt idx="1694">
                  <c:v>1.3462542483204505</c:v>
                </c:pt>
                <c:pt idx="1695">
                  <c:v>1.3443894023172824</c:v>
                </c:pt>
                <c:pt idx="1696">
                  <c:v>1.3432205256874736</c:v>
                </c:pt>
                <c:pt idx="1697">
                  <c:v>1.3396737564702963</c:v>
                </c:pt>
                <c:pt idx="1698">
                  <c:v>1.3388383900819205</c:v>
                </c:pt>
                <c:pt idx="1699">
                  <c:v>1.3348518024579201</c:v>
                </c:pt>
                <c:pt idx="1700">
                  <c:v>1.3348518024579201</c:v>
                </c:pt>
                <c:pt idx="1701">
                  <c:v>1.3337443300202125</c:v>
                </c:pt>
                <c:pt idx="1702">
                  <c:v>1.3305463833960667</c:v>
                </c:pt>
                <c:pt idx="1703">
                  <c:v>1.3303075082450297</c:v>
                </c:pt>
                <c:pt idx="1704">
                  <c:v>1.3294123922798429</c:v>
                </c:pt>
                <c:pt idx="1705">
                  <c:v>1.3286767989027335</c:v>
                </c:pt>
                <c:pt idx="1706">
                  <c:v>1.321459242163465</c:v>
                </c:pt>
                <c:pt idx="1707">
                  <c:v>1.321459242163465</c:v>
                </c:pt>
                <c:pt idx="1708">
                  <c:v>1.3210537202004611</c:v>
                </c:pt>
                <c:pt idx="1709">
                  <c:v>1.3210537202004611</c:v>
                </c:pt>
                <c:pt idx="1710">
                  <c:v>1.3210537202004611</c:v>
                </c:pt>
                <c:pt idx="1711">
                  <c:v>1.3210537202004611</c:v>
                </c:pt>
                <c:pt idx="1712">
                  <c:v>1.3171563186414745</c:v>
                </c:pt>
                <c:pt idx="1713">
                  <c:v>1.3169182913852369</c:v>
                </c:pt>
                <c:pt idx="1714">
                  <c:v>1.3169182913852369</c:v>
                </c:pt>
                <c:pt idx="1715">
                  <c:v>1.3123006631410581</c:v>
                </c:pt>
                <c:pt idx="1716">
                  <c:v>1.3091926470547595</c:v>
                </c:pt>
                <c:pt idx="1717">
                  <c:v>1.3091926470547595</c:v>
                </c:pt>
                <c:pt idx="1718">
                  <c:v>1.3078437289711178</c:v>
                </c:pt>
                <c:pt idx="1719">
                  <c:v>1.3010077071252124</c:v>
                </c:pt>
                <c:pt idx="1720">
                  <c:v>1.3010077071252124</c:v>
                </c:pt>
                <c:pt idx="1721">
                  <c:v>1.3010077071252124</c:v>
                </c:pt>
                <c:pt idx="1722">
                  <c:v>1.2979969478773175</c:v>
                </c:pt>
                <c:pt idx="1723">
                  <c:v>1.2940213318080818</c:v>
                </c:pt>
                <c:pt idx="1724">
                  <c:v>1.2930819063305594</c:v>
                </c:pt>
                <c:pt idx="1725">
                  <c:v>1.2883258644420634</c:v>
                </c:pt>
                <c:pt idx="1726">
                  <c:v>1.2839931739736505</c:v>
                </c:pt>
                <c:pt idx="1727">
                  <c:v>1.283495456485142</c:v>
                </c:pt>
                <c:pt idx="1728">
                  <c:v>1.2796088131044392</c:v>
                </c:pt>
                <c:pt idx="1729">
                  <c:v>1.2767128821783835</c:v>
                </c:pt>
                <c:pt idx="1730">
                  <c:v>1.2727118911439173</c:v>
                </c:pt>
                <c:pt idx="1731">
                  <c:v>1.2712145000588875</c:v>
                </c:pt>
                <c:pt idx="1732">
                  <c:v>1.2636057498572104</c:v>
                </c:pt>
                <c:pt idx="1733">
                  <c:v>1.2493196232186086</c:v>
                </c:pt>
                <c:pt idx="1734">
                  <c:v>1.2493196232186086</c:v>
                </c:pt>
                <c:pt idx="1735">
                  <c:v>1.2475251043337052</c:v>
                </c:pt>
                <c:pt idx="1736">
                  <c:v>1.2459048947147544</c:v>
                </c:pt>
                <c:pt idx="1737">
                  <c:v>1.2457275359959934</c:v>
                </c:pt>
                <c:pt idx="1738">
                  <c:v>1.2379301018404936</c:v>
                </c:pt>
                <c:pt idx="1739">
                  <c:v>1.2371222943922526</c:v>
                </c:pt>
                <c:pt idx="1740">
                  <c:v>1.2344868790648396</c:v>
                </c:pt>
                <c:pt idx="1741">
                  <c:v>1.2330645610116064</c:v>
                </c:pt>
                <c:pt idx="1742">
                  <c:v>1.2281545658461974</c:v>
                </c:pt>
                <c:pt idx="1743">
                  <c:v>1.2230036056453784</c:v>
                </c:pt>
                <c:pt idx="1744">
                  <c:v>1.2219779934412882</c:v>
                </c:pt>
                <c:pt idx="1745">
                  <c:v>1.2200696320836362</c:v>
                </c:pt>
                <c:pt idx="1746">
                  <c:v>1.2182039538548171</c:v>
                </c:pt>
                <c:pt idx="1747">
                  <c:v>1.2171736974455825</c:v>
                </c:pt>
                <c:pt idx="1748">
                  <c:v>1.2131647176471725</c:v>
                </c:pt>
                <c:pt idx="1749">
                  <c:v>1.2131647176471725</c:v>
                </c:pt>
                <c:pt idx="1750">
                  <c:v>1.2123207725706315</c:v>
                </c:pt>
                <c:pt idx="1751">
                  <c:v>1.1855360641073995</c:v>
                </c:pt>
                <c:pt idx="1752">
                  <c:v>1.1838421472202643</c:v>
                </c:pt>
                <c:pt idx="1753">
                  <c:v>1.1813620937477347</c:v>
                </c:pt>
                <c:pt idx="1754">
                  <c:v>1.1813620937477347</c:v>
                </c:pt>
                <c:pt idx="1755">
                  <c:v>1.1793502999731114</c:v>
                </c:pt>
                <c:pt idx="1756">
                  <c:v>1.1748197124275279</c:v>
                </c:pt>
                <c:pt idx="1757">
                  <c:v>1.1605956911856048</c:v>
                </c:pt>
                <c:pt idx="1758">
                  <c:v>1.1571079128571602</c:v>
                </c:pt>
                <c:pt idx="1759">
                  <c:v>1.1559023427233677</c:v>
                </c:pt>
                <c:pt idx="1760">
                  <c:v>1.154112684249756</c:v>
                </c:pt>
                <c:pt idx="1761">
                  <c:v>1.1442550991941307</c:v>
                </c:pt>
                <c:pt idx="1762">
                  <c:v>1.14305833894834</c:v>
                </c:pt>
                <c:pt idx="1763">
                  <c:v>1.1393560436690298</c:v>
                </c:pt>
                <c:pt idx="1764">
                  <c:v>1.1346975095842151</c:v>
                </c:pt>
                <c:pt idx="1765">
                  <c:v>1.1329702044815915</c:v>
                </c:pt>
                <c:pt idx="1766">
                  <c:v>1.1300391603979321</c:v>
                </c:pt>
                <c:pt idx="1767">
                  <c:v>1.1281392282600828</c:v>
                </c:pt>
                <c:pt idx="1768">
                  <c:v>1.1273494339900823</c:v>
                </c:pt>
                <c:pt idx="1769">
                  <c:v>1.1216984817861761</c:v>
                </c:pt>
                <c:pt idx="1770">
                  <c:v>1.1179147755542411</c:v>
                </c:pt>
                <c:pt idx="1771">
                  <c:v>1.1151797873365807</c:v>
                </c:pt>
                <c:pt idx="1772">
                  <c:v>1.1103089725284994</c:v>
                </c:pt>
                <c:pt idx="1773">
                  <c:v>1.1082210866662257</c:v>
                </c:pt>
                <c:pt idx="1774">
                  <c:v>1.1065907617774686</c:v>
                </c:pt>
                <c:pt idx="1775">
                  <c:v>1.1065907617774686</c:v>
                </c:pt>
                <c:pt idx="1776">
                  <c:v>1.1005362229124638</c:v>
                </c:pt>
                <c:pt idx="1777">
                  <c:v>1.0988075649351636</c:v>
                </c:pt>
                <c:pt idx="1778">
                  <c:v>1.0988075649351636</c:v>
                </c:pt>
                <c:pt idx="1779">
                  <c:v>1.0988075649351636</c:v>
                </c:pt>
                <c:pt idx="1780">
                  <c:v>1.09002348970258</c:v>
                </c:pt>
                <c:pt idx="1781">
                  <c:v>1.0872001559889608</c:v>
                </c:pt>
                <c:pt idx="1782">
                  <c:v>1.0872001559889608</c:v>
                </c:pt>
                <c:pt idx="1783">
                  <c:v>1.0804617207660294</c:v>
                </c:pt>
                <c:pt idx="1784">
                  <c:v>1.0642003960886153</c:v>
                </c:pt>
                <c:pt idx="1785">
                  <c:v>1.0636909361052709</c:v>
                </c:pt>
                <c:pt idx="1786">
                  <c:v>1.0557737062603276</c:v>
                </c:pt>
                <c:pt idx="1787">
                  <c:v>1.055718206937504</c:v>
                </c:pt>
                <c:pt idx="1788">
                  <c:v>1.0518009186201192</c:v>
                </c:pt>
                <c:pt idx="1789">
                  <c:v>1.0478189728755753</c:v>
                </c:pt>
                <c:pt idx="1790">
                  <c:v>1.0478189728755753</c:v>
                </c:pt>
                <c:pt idx="1791">
                  <c:v>1.0468807370905964</c:v>
                </c:pt>
                <c:pt idx="1792">
                  <c:v>1.0465517995278495</c:v>
                </c:pt>
                <c:pt idx="1793">
                  <c:v>1.0297927133020996</c:v>
                </c:pt>
                <c:pt idx="1794">
                  <c:v>1.0257380963407143</c:v>
                </c:pt>
                <c:pt idx="1795">
                  <c:v>1.0197071707850365</c:v>
                </c:pt>
                <c:pt idx="1796">
                  <c:v>1.0160581998253548</c:v>
                </c:pt>
                <c:pt idx="1797">
                  <c:v>1.013922952797127</c:v>
                </c:pt>
                <c:pt idx="1798">
                  <c:v>1.0095752230764179</c:v>
                </c:pt>
                <c:pt idx="1799">
                  <c:v>1.0041600443787413</c:v>
                </c:pt>
                <c:pt idx="1800">
                  <c:v>0.99736036111035375</c:v>
                </c:pt>
                <c:pt idx="1801">
                  <c:v>0.99429763815679473</c:v>
                </c:pt>
                <c:pt idx="1802">
                  <c:v>0.99123149229949992</c:v>
                </c:pt>
                <c:pt idx="1803">
                  <c:v>0.99123149229949992</c:v>
                </c:pt>
                <c:pt idx="1804">
                  <c:v>0.98713812848242577</c:v>
                </c:pt>
                <c:pt idx="1805">
                  <c:v>0.98161198537279259</c:v>
                </c:pt>
                <c:pt idx="1806">
                  <c:v>0.97487385604344801</c:v>
                </c:pt>
                <c:pt idx="1807">
                  <c:v>0.97133003608877011</c:v>
                </c:pt>
                <c:pt idx="1808">
                  <c:v>0.97093839675651672</c:v>
                </c:pt>
                <c:pt idx="1809">
                  <c:v>0.96658984386449409</c:v>
                </c:pt>
                <c:pt idx="1810">
                  <c:v>0.96242819221850795</c:v>
                </c:pt>
                <c:pt idx="1811">
                  <c:v>0.95833644713585364</c:v>
                </c:pt>
                <c:pt idx="1812">
                  <c:v>0.95006608706047413</c:v>
                </c:pt>
                <c:pt idx="1813">
                  <c:v>0.94281691351738339</c:v>
                </c:pt>
                <c:pt idx="1814">
                  <c:v>0.94178042559701247</c:v>
                </c:pt>
                <c:pt idx="1815">
                  <c:v>0.93866969511998566</c:v>
                </c:pt>
                <c:pt idx="1816">
                  <c:v>0.93555713199081214</c:v>
                </c:pt>
                <c:pt idx="1817">
                  <c:v>0.93348111449197457</c:v>
                </c:pt>
                <c:pt idx="1818">
                  <c:v>0.93200610267227313</c:v>
                </c:pt>
                <c:pt idx="1819">
                  <c:v>0.92472285006422372</c:v>
                </c:pt>
                <c:pt idx="1820">
                  <c:v>0.91684809619419605</c:v>
                </c:pt>
                <c:pt idx="1821">
                  <c:v>0.90851763683461717</c:v>
                </c:pt>
                <c:pt idx="1822">
                  <c:v>0.90548652086459935</c:v>
                </c:pt>
                <c:pt idx="1823">
                  <c:v>0.90434962417095144</c:v>
                </c:pt>
                <c:pt idx="1824">
                  <c:v>0.90122256101455733</c:v>
                </c:pt>
                <c:pt idx="1825">
                  <c:v>0.89600903060860271</c:v>
                </c:pt>
                <c:pt idx="1826">
                  <c:v>0.89183684636936778</c:v>
                </c:pt>
                <c:pt idx="1827">
                  <c:v>0.88600559577863569</c:v>
                </c:pt>
                <c:pt idx="1828">
                  <c:v>0.88557676526931317</c:v>
                </c:pt>
                <c:pt idx="1829">
                  <c:v>0.88360645212436262</c:v>
                </c:pt>
                <c:pt idx="1830">
                  <c:v>0.87514011485277921</c:v>
                </c:pt>
                <c:pt idx="1831">
                  <c:v>0.87422249870970681</c:v>
                </c:pt>
                <c:pt idx="1832">
                  <c:v>0.86678967810985874</c:v>
                </c:pt>
                <c:pt idx="1833">
                  <c:v>0.85806042202537347</c:v>
                </c:pt>
                <c:pt idx="1834">
                  <c:v>0.85426576425589718</c:v>
                </c:pt>
                <c:pt idx="1835">
                  <c:v>0.85426576425589718</c:v>
                </c:pt>
                <c:pt idx="1836">
                  <c:v>0.83982366907727968</c:v>
                </c:pt>
                <c:pt idx="1837">
                  <c:v>0.82924290688293711</c:v>
                </c:pt>
                <c:pt idx="1838">
                  <c:v>0.82525255560813549</c:v>
                </c:pt>
                <c:pt idx="1839">
                  <c:v>0.82525255560813549</c:v>
                </c:pt>
                <c:pt idx="1840">
                  <c:v>0.8179757970643885</c:v>
                </c:pt>
                <c:pt idx="1841">
                  <c:v>0.81779396577244012</c:v>
                </c:pt>
                <c:pt idx="1842">
                  <c:v>0.8107061929250805</c:v>
                </c:pt>
                <c:pt idx="1843">
                  <c:v>0.80843969152604123</c:v>
                </c:pt>
                <c:pt idx="1844">
                  <c:v>0.80783789873212075</c:v>
                </c:pt>
                <c:pt idx="1845">
                  <c:v>0.80428658464471514</c:v>
                </c:pt>
                <c:pt idx="1846">
                  <c:v>0.7866706399498069</c:v>
                </c:pt>
                <c:pt idx="1847">
                  <c:v>0.77943549632943843</c:v>
                </c:pt>
                <c:pt idx="1848">
                  <c:v>0.7753065174706103</c:v>
                </c:pt>
                <c:pt idx="1849">
                  <c:v>0.7753065174706103</c:v>
                </c:pt>
                <c:pt idx="1850">
                  <c:v>0.7437119159004979</c:v>
                </c:pt>
                <c:pt idx="1851">
                  <c:v>0.7424372748156377</c:v>
                </c:pt>
                <c:pt idx="1852">
                  <c:v>0.73427109692665959</c:v>
                </c:pt>
                <c:pt idx="1853">
                  <c:v>0.7301965530608634</c:v>
                </c:pt>
                <c:pt idx="1854">
                  <c:v>0.7301965530608634</c:v>
                </c:pt>
                <c:pt idx="1855">
                  <c:v>0.71395894804294424</c:v>
                </c:pt>
                <c:pt idx="1856">
                  <c:v>0.71193637516272035</c:v>
                </c:pt>
                <c:pt idx="1857">
                  <c:v>0.70544390491449227</c:v>
                </c:pt>
                <c:pt idx="1858">
                  <c:v>0.70415061092001563</c:v>
                </c:pt>
                <c:pt idx="1859">
                  <c:v>0.69816048665831343</c:v>
                </c:pt>
                <c:pt idx="1860">
                  <c:v>0.69640586156307904</c:v>
                </c:pt>
                <c:pt idx="1861">
                  <c:v>0.69611151227043677</c:v>
                </c:pt>
                <c:pt idx="1862">
                  <c:v>0.69380951896350174</c:v>
                </c:pt>
                <c:pt idx="1863">
                  <c:v>0.69172714560494397</c:v>
                </c:pt>
                <c:pt idx="1864">
                  <c:v>0.68980078023974933</c:v>
                </c:pt>
                <c:pt idx="1865">
                  <c:v>0.67981154438015157</c:v>
                </c:pt>
                <c:pt idx="1866">
                  <c:v>0.67117868241998224</c:v>
                </c:pt>
                <c:pt idx="1867">
                  <c:v>0.66987063616364584</c:v>
                </c:pt>
                <c:pt idx="1868">
                  <c:v>0.66820711978230563</c:v>
                </c:pt>
                <c:pt idx="1869">
                  <c:v>0.66820711978230563</c:v>
                </c:pt>
                <c:pt idx="1870">
                  <c:v>0.66491897294244762</c:v>
                </c:pt>
                <c:pt idx="1871">
                  <c:v>0.66393017722318559</c:v>
                </c:pt>
                <c:pt idx="1872">
                  <c:v>0.66129132051754891</c:v>
                </c:pt>
                <c:pt idx="1873">
                  <c:v>0.65800833561592276</c:v>
                </c:pt>
                <c:pt idx="1874">
                  <c:v>0.63548832630838203</c:v>
                </c:pt>
                <c:pt idx="1875">
                  <c:v>0.63063210494476463</c:v>
                </c:pt>
                <c:pt idx="1876">
                  <c:v>0.61870956941208111</c:v>
                </c:pt>
                <c:pt idx="1877">
                  <c:v>0.60694203915273026</c:v>
                </c:pt>
                <c:pt idx="1878">
                  <c:v>0.60657483844384064</c:v>
                </c:pt>
                <c:pt idx="1879">
                  <c:v>0.60385634689818579</c:v>
                </c:pt>
                <c:pt idx="1880">
                  <c:v>0.59232768825862281</c:v>
                </c:pt>
                <c:pt idx="1881">
                  <c:v>0.58291120278317166</c:v>
                </c:pt>
                <c:pt idx="1882">
                  <c:v>0.58291120278317166</c:v>
                </c:pt>
                <c:pt idx="1883">
                  <c:v>0.57729347302347611</c:v>
                </c:pt>
                <c:pt idx="1884">
                  <c:v>0.57729347302347611</c:v>
                </c:pt>
                <c:pt idx="1885">
                  <c:v>0.57395283985486989</c:v>
                </c:pt>
                <c:pt idx="1886">
                  <c:v>0.57356193490375673</c:v>
                </c:pt>
                <c:pt idx="1887">
                  <c:v>0.56560298232346806</c:v>
                </c:pt>
                <c:pt idx="1888">
                  <c:v>0.5550713523866887</c:v>
                </c:pt>
                <c:pt idx="1889">
                  <c:v>0.55100093237388914</c:v>
                </c:pt>
                <c:pt idx="1890">
                  <c:v>0.54593305040429341</c:v>
                </c:pt>
                <c:pt idx="1891">
                  <c:v>0.54139127868324288</c:v>
                </c:pt>
                <c:pt idx="1892">
                  <c:v>0.52924956808431367</c:v>
                </c:pt>
                <c:pt idx="1893">
                  <c:v>0.52635837061752666</c:v>
                </c:pt>
                <c:pt idx="1894">
                  <c:v>0.5216977894238255</c:v>
                </c:pt>
                <c:pt idx="1895">
                  <c:v>0.51896302349773238</c:v>
                </c:pt>
                <c:pt idx="1896">
                  <c:v>0.51725339734392861</c:v>
                </c:pt>
                <c:pt idx="1897">
                  <c:v>0.51012568850656537</c:v>
                </c:pt>
                <c:pt idx="1898">
                  <c:v>0.49614948724769264</c:v>
                </c:pt>
                <c:pt idx="1899">
                  <c:v>0.45381633314625591</c:v>
                </c:pt>
                <c:pt idx="1900">
                  <c:v>0.45180267036162175</c:v>
                </c:pt>
                <c:pt idx="1901">
                  <c:v>0.45052000876808945</c:v>
                </c:pt>
                <c:pt idx="1902">
                  <c:v>0.43955554542431258</c:v>
                </c:pt>
                <c:pt idx="1903">
                  <c:v>0.43585623442676791</c:v>
                </c:pt>
                <c:pt idx="1904">
                  <c:v>0.42829981281398516</c:v>
                </c:pt>
                <c:pt idx="1905">
                  <c:v>0.42464505585850504</c:v>
                </c:pt>
                <c:pt idx="1906">
                  <c:v>0.42464505585850504</c:v>
                </c:pt>
                <c:pt idx="1907">
                  <c:v>0.41831568707103778</c:v>
                </c:pt>
                <c:pt idx="1908">
                  <c:v>0.41438846220921188</c:v>
                </c:pt>
                <c:pt idx="1909">
                  <c:v>0.41173712326918566</c:v>
                </c:pt>
                <c:pt idx="1910">
                  <c:v>0.40630265680370725</c:v>
                </c:pt>
                <c:pt idx="1911">
                  <c:v>0.4014924257659272</c:v>
                </c:pt>
                <c:pt idx="1912">
                  <c:v>0.39356529670423035</c:v>
                </c:pt>
                <c:pt idx="1913">
                  <c:v>0.39356529670423035</c:v>
                </c:pt>
                <c:pt idx="1914">
                  <c:v>0.38752081995142978</c:v>
                </c:pt>
                <c:pt idx="1915">
                  <c:v>0.3815340625044723</c:v>
                </c:pt>
                <c:pt idx="1916">
                  <c:v>0.37560522599871871</c:v>
                </c:pt>
                <c:pt idx="1917">
                  <c:v>0.36158916613556763</c:v>
                </c:pt>
                <c:pt idx="1918">
                  <c:v>0.35962532486200527</c:v>
                </c:pt>
                <c:pt idx="1919">
                  <c:v>0.35937027056862003</c:v>
                </c:pt>
                <c:pt idx="1920">
                  <c:v>0.35816797500705216</c:v>
                </c:pt>
                <c:pt idx="1921">
                  <c:v>0.34125747475407714</c:v>
                </c:pt>
                <c:pt idx="1922">
                  <c:v>0.33417203001823648</c:v>
                </c:pt>
                <c:pt idx="1923">
                  <c:v>0.32892181863632425</c:v>
                </c:pt>
                <c:pt idx="1924">
                  <c:v>0.32756959452548273</c:v>
                </c:pt>
                <c:pt idx="1925">
                  <c:v>0.32689486348396934</c:v>
                </c:pt>
                <c:pt idx="1926">
                  <c:v>0.32487619490675834</c:v>
                </c:pt>
                <c:pt idx="1927">
                  <c:v>0.32302016427302699</c:v>
                </c:pt>
                <c:pt idx="1928">
                  <c:v>0.31639542467193982</c:v>
                </c:pt>
                <c:pt idx="1929">
                  <c:v>0.3160537842610085</c:v>
                </c:pt>
                <c:pt idx="1930">
                  <c:v>0.30902520476958295</c:v>
                </c:pt>
                <c:pt idx="1931">
                  <c:v>0.30902520476958295</c:v>
                </c:pt>
                <c:pt idx="1932">
                  <c:v>0.30594653320034165</c:v>
                </c:pt>
                <c:pt idx="1933">
                  <c:v>0.29875240442588086</c:v>
                </c:pt>
                <c:pt idx="1934">
                  <c:v>0.29748485238813049</c:v>
                </c:pt>
                <c:pt idx="1935">
                  <c:v>0.29370423703287929</c:v>
                </c:pt>
                <c:pt idx="1936">
                  <c:v>0.28624207876661023</c:v>
                </c:pt>
                <c:pt idx="1937">
                  <c:v>0.28552980588258553</c:v>
                </c:pt>
                <c:pt idx="1938">
                  <c:v>0.28488231249083068</c:v>
                </c:pt>
                <c:pt idx="1939">
                  <c:v>0.28256045917303801</c:v>
                </c:pt>
                <c:pt idx="1940">
                  <c:v>0.28060868954138718</c:v>
                </c:pt>
                <c:pt idx="1941">
                  <c:v>0.2789117538331024</c:v>
                </c:pt>
                <c:pt idx="1942">
                  <c:v>0.273966862158255</c:v>
                </c:pt>
                <c:pt idx="1943">
                  <c:v>0.26934239496864887</c:v>
                </c:pt>
                <c:pt idx="1944">
                  <c:v>0.26816260410744369</c:v>
                </c:pt>
                <c:pt idx="1945">
                  <c:v>0.26116004736482251</c:v>
                </c:pt>
                <c:pt idx="1946">
                  <c:v>0.26000562875991196</c:v>
                </c:pt>
                <c:pt idx="1947">
                  <c:v>0.2549070856095883</c:v>
                </c:pt>
                <c:pt idx="1948">
                  <c:v>0.25346157212758824</c:v>
                </c:pt>
                <c:pt idx="1949">
                  <c:v>0.25193902165967569</c:v>
                </c:pt>
                <c:pt idx="1950">
                  <c:v>0.25090014591542364</c:v>
                </c:pt>
                <c:pt idx="1951">
                  <c:v>0.25090014591542364</c:v>
                </c:pt>
                <c:pt idx="1952">
                  <c:v>0.25090014591542364</c:v>
                </c:pt>
                <c:pt idx="1953">
                  <c:v>0.2497781494117661</c:v>
                </c:pt>
                <c:pt idx="1954">
                  <c:v>0.24414483414446259</c:v>
                </c:pt>
                <c:pt idx="1955">
                  <c:v>0.23767221103424219</c:v>
                </c:pt>
                <c:pt idx="1956">
                  <c:v>0.22709608996444874</c:v>
                </c:pt>
                <c:pt idx="1957">
                  <c:v>0.2254750378569661</c:v>
                </c:pt>
                <c:pt idx="1958">
                  <c:v>0.22031680719038757</c:v>
                </c:pt>
                <c:pt idx="1959">
                  <c:v>0.22010952955996024</c:v>
                </c:pt>
                <c:pt idx="1960">
                  <c:v>0.21878633836091851</c:v>
                </c:pt>
                <c:pt idx="1961">
                  <c:v>0.20512728859177246</c:v>
                </c:pt>
                <c:pt idx="1962">
                  <c:v>0.20237908928031684</c:v>
                </c:pt>
                <c:pt idx="1963">
                  <c:v>0.19722964138589547</c:v>
                </c:pt>
                <c:pt idx="1964">
                  <c:v>0.19348697896631392</c:v>
                </c:pt>
                <c:pt idx="1965">
                  <c:v>0.18616196729503881</c:v>
                </c:pt>
                <c:pt idx="1966">
                  <c:v>0.18436385661236279</c:v>
                </c:pt>
                <c:pt idx="1967">
                  <c:v>0.18036133925202766</c:v>
                </c:pt>
                <c:pt idx="1968">
                  <c:v>0.17904834345790183</c:v>
                </c:pt>
                <c:pt idx="1969">
                  <c:v>0.17904834345790183</c:v>
                </c:pt>
                <c:pt idx="1970">
                  <c:v>0.17658042623912903</c:v>
                </c:pt>
                <c:pt idx="1971">
                  <c:v>0.15420342922454303</c:v>
                </c:pt>
                <c:pt idx="1972">
                  <c:v>0.15101069900564909</c:v>
                </c:pt>
                <c:pt idx="1973">
                  <c:v>0.14814387646929672</c:v>
                </c:pt>
                <c:pt idx="1974">
                  <c:v>0.14550873671224918</c:v>
                </c:pt>
                <c:pt idx="1975">
                  <c:v>0.141727395440195</c:v>
                </c:pt>
                <c:pt idx="1976">
                  <c:v>0.13957932506819895</c:v>
                </c:pt>
                <c:pt idx="1977">
                  <c:v>0.13914762109451509</c:v>
                </c:pt>
                <c:pt idx="1978">
                  <c:v>0.13810723891542701</c:v>
                </c:pt>
                <c:pt idx="1979">
                  <c:v>0.13491164019735213</c:v>
                </c:pt>
                <c:pt idx="1980">
                  <c:v>0.13215903890125369</c:v>
                </c:pt>
                <c:pt idx="1981">
                  <c:v>0.13074187520060035</c:v>
                </c:pt>
                <c:pt idx="1982">
                  <c:v>0.1253415924040551</c:v>
                </c:pt>
                <c:pt idx="1983">
                  <c:v>0.12401960763116869</c:v>
                </c:pt>
                <c:pt idx="1984">
                  <c:v>0.12341180074257296</c:v>
                </c:pt>
                <c:pt idx="1985">
                  <c:v>0.12020766638902276</c:v>
                </c:pt>
                <c:pt idx="1986">
                  <c:v>0.11866986272943601</c:v>
                </c:pt>
                <c:pt idx="1987">
                  <c:v>0.11363199187128033</c:v>
                </c:pt>
                <c:pt idx="1988">
                  <c:v>0.10434071119179973</c:v>
                </c:pt>
                <c:pt idx="1989">
                  <c:v>9.7375095172514942E-2</c:v>
                </c:pt>
                <c:pt idx="1990">
                  <c:v>9.6028441209570561E-2</c:v>
                </c:pt>
                <c:pt idx="1991">
                  <c:v>9.5345348019072046E-2</c:v>
                </c:pt>
                <c:pt idx="1992">
                  <c:v>9.390540290406571E-2</c:v>
                </c:pt>
                <c:pt idx="1993">
                  <c:v>9.3248213692493934E-2</c:v>
                </c:pt>
                <c:pt idx="1994">
                  <c:v>9.2600507734799081E-2</c:v>
                </c:pt>
                <c:pt idx="1995">
                  <c:v>8.9268559808715675E-2</c:v>
                </c:pt>
                <c:pt idx="1996">
                  <c:v>8.4579514621076712E-2</c:v>
                </c:pt>
                <c:pt idx="1997">
                  <c:v>8.3379838767570297E-2</c:v>
                </c:pt>
                <c:pt idx="1998">
                  <c:v>8.1958778648230035E-2</c:v>
                </c:pt>
                <c:pt idx="1999">
                  <c:v>8.1022555964794823E-2</c:v>
                </c:pt>
                <c:pt idx="2000">
                  <c:v>8.1022555964794823E-2</c:v>
                </c:pt>
                <c:pt idx="2001">
                  <c:v>6.5308246368437073E-2</c:v>
                </c:pt>
                <c:pt idx="2002">
                  <c:v>6.5237485113950971E-2</c:v>
                </c:pt>
                <c:pt idx="2003">
                  <c:v>6.2187020210414369E-2</c:v>
                </c:pt>
                <c:pt idx="2004">
                  <c:v>6.0228299480763497E-2</c:v>
                </c:pt>
                <c:pt idx="2005">
                  <c:v>5.776440292138204E-2</c:v>
                </c:pt>
                <c:pt idx="2006">
                  <c:v>5.6444965926593094E-2</c:v>
                </c:pt>
                <c:pt idx="2007">
                  <c:v>5.6381092385989165E-2</c:v>
                </c:pt>
                <c:pt idx="2008">
                  <c:v>5.5830625663148795E-2</c:v>
                </c:pt>
                <c:pt idx="2009">
                  <c:v>5.4410460463427936E-2</c:v>
                </c:pt>
                <c:pt idx="2010">
                  <c:v>5.2438427680265284E-2</c:v>
                </c:pt>
                <c:pt idx="2011">
                  <c:v>4.8071782089004388E-2</c:v>
                </c:pt>
                <c:pt idx="2012">
                  <c:v>4.6297520103485354E-2</c:v>
                </c:pt>
                <c:pt idx="2013">
                  <c:v>3.2631506554618918E-2</c:v>
                </c:pt>
                <c:pt idx="2014">
                  <c:v>3.1844964802194412E-2</c:v>
                </c:pt>
                <c:pt idx="2015">
                  <c:v>7.3227519836332206E-3</c:v>
                </c:pt>
                <c:pt idx="2016">
                  <c:v>7.3227519836332206E-3</c:v>
                </c:pt>
                <c:pt idx="2017">
                  <c:v>7.3227519836332206E-3</c:v>
                </c:pt>
                <c:pt idx="2018">
                  <c:v>7.3227519836332206E-3</c:v>
                </c:pt>
                <c:pt idx="2019">
                  <c:v>7.3227519836332206E-3</c:v>
                </c:pt>
                <c:pt idx="2020">
                  <c:v>7.3227519836332206E-3</c:v>
                </c:pt>
                <c:pt idx="2021">
                  <c:v>7.3227519836332206E-3</c:v>
                </c:pt>
                <c:pt idx="2022">
                  <c:v>7.3227519836332206E-3</c:v>
                </c:pt>
                <c:pt idx="2023">
                  <c:v>7.3227519836332206E-3</c:v>
                </c:pt>
                <c:pt idx="2024">
                  <c:v>7.3227519836332206E-3</c:v>
                </c:pt>
                <c:pt idx="2025">
                  <c:v>7.3227519836332206E-3</c:v>
                </c:pt>
                <c:pt idx="2026">
                  <c:v>7.3227519836332206E-3</c:v>
                </c:pt>
                <c:pt idx="2027">
                  <c:v>7.3227519836332206E-3</c:v>
                </c:pt>
                <c:pt idx="2028">
                  <c:v>7.3227519836332206E-3</c:v>
                </c:pt>
                <c:pt idx="2029">
                  <c:v>7.3227519836332206E-3</c:v>
                </c:pt>
                <c:pt idx="2030">
                  <c:v>7.3227519836332206E-3</c:v>
                </c:pt>
                <c:pt idx="2031">
                  <c:v>7.3227519836332206E-3</c:v>
                </c:pt>
                <c:pt idx="2032">
                  <c:v>7.3227519836332206E-3</c:v>
                </c:pt>
                <c:pt idx="2033">
                  <c:v>7.3227519836332206E-3</c:v>
                </c:pt>
                <c:pt idx="2034">
                  <c:v>7.3227519836332206E-3</c:v>
                </c:pt>
                <c:pt idx="2035">
                  <c:v>7.3227519836332206E-3</c:v>
                </c:pt>
                <c:pt idx="2036">
                  <c:v>7.3227519836332206E-3</c:v>
                </c:pt>
                <c:pt idx="2037">
                  <c:v>7.3227519836332206E-3</c:v>
                </c:pt>
                <c:pt idx="2038">
                  <c:v>7.3227519836332206E-3</c:v>
                </c:pt>
                <c:pt idx="2039">
                  <c:v>7.3227519836332206E-3</c:v>
                </c:pt>
                <c:pt idx="2040">
                  <c:v>7.3227519836332206E-3</c:v>
                </c:pt>
                <c:pt idx="2041">
                  <c:v>7.3227519836332206E-3</c:v>
                </c:pt>
                <c:pt idx="2042">
                  <c:v>7.3227519836332206E-3</c:v>
                </c:pt>
                <c:pt idx="2043">
                  <c:v>7.3227519836332206E-3</c:v>
                </c:pt>
                <c:pt idx="2044">
                  <c:v>7.3227519836332206E-3</c:v>
                </c:pt>
                <c:pt idx="2045">
                  <c:v>7.3227519836332206E-3</c:v>
                </c:pt>
                <c:pt idx="2046">
                  <c:v>7.3227519836332206E-3</c:v>
                </c:pt>
                <c:pt idx="2047">
                  <c:v>7.3227519836332206E-3</c:v>
                </c:pt>
                <c:pt idx="2048">
                  <c:v>7.3227519836332206E-3</c:v>
                </c:pt>
                <c:pt idx="2049">
                  <c:v>7.3227519836332206E-3</c:v>
                </c:pt>
                <c:pt idx="2050">
                  <c:v>7.3227519836332206E-3</c:v>
                </c:pt>
                <c:pt idx="2051">
                  <c:v>7.3227519836332206E-3</c:v>
                </c:pt>
                <c:pt idx="2052">
                  <c:v>7.3227519836332206E-3</c:v>
                </c:pt>
                <c:pt idx="2053">
                  <c:v>7.3227519836332206E-3</c:v>
                </c:pt>
                <c:pt idx="2054">
                  <c:v>7.3227519836332206E-3</c:v>
                </c:pt>
                <c:pt idx="2055">
                  <c:v>7.3227519836332206E-3</c:v>
                </c:pt>
                <c:pt idx="2056">
                  <c:v>7.3227519836332206E-3</c:v>
                </c:pt>
                <c:pt idx="2057">
                  <c:v>7.3227519836332206E-3</c:v>
                </c:pt>
                <c:pt idx="2058">
                  <c:v>7.3227519836332206E-3</c:v>
                </c:pt>
                <c:pt idx="2059">
                  <c:v>7.3227519836332206E-3</c:v>
                </c:pt>
                <c:pt idx="2060">
                  <c:v>7.3227519836332206E-3</c:v>
                </c:pt>
                <c:pt idx="2061">
                  <c:v>7.3227519836332206E-3</c:v>
                </c:pt>
                <c:pt idx="2062">
                  <c:v>7.3227519836332206E-3</c:v>
                </c:pt>
                <c:pt idx="2063">
                  <c:v>7.3227519836332206E-3</c:v>
                </c:pt>
                <c:pt idx="2064">
                  <c:v>7.3227519836332206E-3</c:v>
                </c:pt>
                <c:pt idx="2065">
                  <c:v>7.3227519836332206E-3</c:v>
                </c:pt>
                <c:pt idx="2066">
                  <c:v>7.3227519836332206E-3</c:v>
                </c:pt>
                <c:pt idx="2067">
                  <c:v>7.3227519836332206E-3</c:v>
                </c:pt>
                <c:pt idx="2068">
                  <c:v>7.3227519836332206E-3</c:v>
                </c:pt>
                <c:pt idx="2069">
                  <c:v>7.3227519836332206E-3</c:v>
                </c:pt>
                <c:pt idx="2070">
                  <c:v>7.3227519836332206E-3</c:v>
                </c:pt>
                <c:pt idx="2071">
                  <c:v>7.3227519836332206E-3</c:v>
                </c:pt>
                <c:pt idx="2072">
                  <c:v>7.3227519836332206E-3</c:v>
                </c:pt>
                <c:pt idx="2073">
                  <c:v>7.3227519836332206E-3</c:v>
                </c:pt>
                <c:pt idx="2074">
                  <c:v>7.3227519836332206E-3</c:v>
                </c:pt>
                <c:pt idx="2075">
                  <c:v>7.3227519836332206E-3</c:v>
                </c:pt>
                <c:pt idx="2076">
                  <c:v>7.3227519836332206E-3</c:v>
                </c:pt>
                <c:pt idx="2077">
                  <c:v>7.3227519836332206E-3</c:v>
                </c:pt>
                <c:pt idx="2078">
                  <c:v>7.3227519836332206E-3</c:v>
                </c:pt>
                <c:pt idx="2079">
                  <c:v>7.3227519836332206E-3</c:v>
                </c:pt>
                <c:pt idx="2080">
                  <c:v>7.3227519836332206E-3</c:v>
                </c:pt>
                <c:pt idx="2081">
                  <c:v>7.3227519836332206E-3</c:v>
                </c:pt>
                <c:pt idx="2082">
                  <c:v>7.3227519836332206E-3</c:v>
                </c:pt>
                <c:pt idx="2083">
                  <c:v>7.3227519836332206E-3</c:v>
                </c:pt>
                <c:pt idx="2084">
                  <c:v>7.3227519836332206E-3</c:v>
                </c:pt>
                <c:pt idx="2085">
                  <c:v>7.3227519836332206E-3</c:v>
                </c:pt>
                <c:pt idx="2086">
                  <c:v>7.3227519836332206E-3</c:v>
                </c:pt>
                <c:pt idx="2087">
                  <c:v>7.3227519836332206E-3</c:v>
                </c:pt>
                <c:pt idx="2088">
                  <c:v>7.3227519836332206E-3</c:v>
                </c:pt>
                <c:pt idx="2089">
                  <c:v>7.3227519836332206E-3</c:v>
                </c:pt>
                <c:pt idx="2090">
                  <c:v>7.3227519836332206E-3</c:v>
                </c:pt>
                <c:pt idx="2091">
                  <c:v>7.3227519836332206E-3</c:v>
                </c:pt>
                <c:pt idx="2092">
                  <c:v>7.3227519836332206E-3</c:v>
                </c:pt>
                <c:pt idx="2093">
                  <c:v>7.3227519836332206E-3</c:v>
                </c:pt>
                <c:pt idx="2094">
                  <c:v>7.3227519836332206E-3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AC-4DE1-B971-99F41D7C9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102200"/>
        <c:axId val="911100888"/>
      </c:scatterChart>
      <c:valAx>
        <c:axId val="91110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100888"/>
        <c:crosses val="autoZero"/>
        <c:crossBetween val="midCat"/>
      </c:valAx>
      <c:valAx>
        <c:axId val="91110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10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Place</a:t>
            </a:r>
            <a:r>
              <a:rPr lang="en-GB" baseline="0"/>
              <a:t> distribution Minefield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'Minefield moves'!$D$2:$D$1956</c:f>
              <c:numCache>
                <c:formatCode>General</c:formatCode>
                <c:ptCount val="19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</c:numCache>
            </c:numRef>
          </c:xVal>
          <c:yVal>
            <c:numRef>
              <c:f>'Minefield moves'!$E$2:$E$1956</c:f>
              <c:numCache>
                <c:formatCode>General</c:formatCode>
                <c:ptCount val="195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AB-4752-8BDC-7C537E423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24352"/>
        <c:axId val="260332400"/>
      </c:scatterChart>
      <c:valAx>
        <c:axId val="37442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332400"/>
        <c:crosses val="autoZero"/>
        <c:crossBetween val="midCat"/>
      </c:valAx>
      <c:valAx>
        <c:axId val="26033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</a:t>
            </a:r>
            <a:r>
              <a:rPr lang="en-GB" baseline="0"/>
              <a:t> reward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'User moves'!$B$2:$B$524</c:f>
              <c:numCache>
                <c:formatCode>General</c:formatCode>
                <c:ptCount val="523"/>
                <c:pt idx="0">
                  <c:v>-0.91600000000000004</c:v>
                </c:pt>
                <c:pt idx="1">
                  <c:v>-0.7</c:v>
                </c:pt>
                <c:pt idx="2">
                  <c:v>-0.68266666666666698</c:v>
                </c:pt>
                <c:pt idx="3">
                  <c:v>-0.64</c:v>
                </c:pt>
                <c:pt idx="4">
                  <c:v>-0.62307692307692297</c:v>
                </c:pt>
                <c:pt idx="5">
                  <c:v>-0.57714285714285696</c:v>
                </c:pt>
                <c:pt idx="6">
                  <c:v>-0.55373831775700899</c:v>
                </c:pt>
                <c:pt idx="7">
                  <c:v>-0.54666666666666697</c:v>
                </c:pt>
                <c:pt idx="8">
                  <c:v>-0.487179487179487</c:v>
                </c:pt>
                <c:pt idx="9">
                  <c:v>-0.48666666666666702</c:v>
                </c:pt>
                <c:pt idx="10">
                  <c:v>-0.47967479674796698</c:v>
                </c:pt>
                <c:pt idx="11">
                  <c:v>-0.46153846153846201</c:v>
                </c:pt>
                <c:pt idx="12">
                  <c:v>-0.45066666666666699</c:v>
                </c:pt>
                <c:pt idx="13">
                  <c:v>-0.43466666666666698</c:v>
                </c:pt>
                <c:pt idx="14">
                  <c:v>-0.43</c:v>
                </c:pt>
                <c:pt idx="15">
                  <c:v>-0.41141141141141102</c:v>
                </c:pt>
                <c:pt idx="16">
                  <c:v>-0.376811594202899</c:v>
                </c:pt>
                <c:pt idx="17">
                  <c:v>-0.30399999999999999</c:v>
                </c:pt>
                <c:pt idx="18">
                  <c:v>-0.30133333333333301</c:v>
                </c:pt>
                <c:pt idx="19">
                  <c:v>-0.26400000000000001</c:v>
                </c:pt>
                <c:pt idx="20">
                  <c:v>-0.24941724941724899</c:v>
                </c:pt>
                <c:pt idx="21">
                  <c:v>-0.229333333333333</c:v>
                </c:pt>
                <c:pt idx="22">
                  <c:v>-0.22500000000000001</c:v>
                </c:pt>
                <c:pt idx="23">
                  <c:v>-0.21621621621621601</c:v>
                </c:pt>
                <c:pt idx="24">
                  <c:v>-0.214</c:v>
                </c:pt>
                <c:pt idx="25">
                  <c:v>-0.210280373831776</c:v>
                </c:pt>
                <c:pt idx="26">
                  <c:v>-0.20799999999999999</c:v>
                </c:pt>
                <c:pt idx="27">
                  <c:v>-0.20420420420420399</c:v>
                </c:pt>
                <c:pt idx="28">
                  <c:v>-0.20327102803738301</c:v>
                </c:pt>
                <c:pt idx="29">
                  <c:v>-0.20266666666666699</c:v>
                </c:pt>
                <c:pt idx="30">
                  <c:v>-0.18918918918918901</c:v>
                </c:pt>
                <c:pt idx="31">
                  <c:v>-0.184</c:v>
                </c:pt>
                <c:pt idx="32">
                  <c:v>-0.18018018018018001</c:v>
                </c:pt>
                <c:pt idx="33">
                  <c:v>-0.17990654205607501</c:v>
                </c:pt>
                <c:pt idx="34">
                  <c:v>-0.17499999999999999</c:v>
                </c:pt>
                <c:pt idx="35">
                  <c:v>-0.174174174174174</c:v>
                </c:pt>
                <c:pt idx="36">
                  <c:v>-0.165165165165165</c:v>
                </c:pt>
                <c:pt idx="37">
                  <c:v>-0.16355140186915901</c:v>
                </c:pt>
                <c:pt idx="38">
                  <c:v>-0.162162162162162</c:v>
                </c:pt>
                <c:pt idx="39">
                  <c:v>-0.162162162162162</c:v>
                </c:pt>
                <c:pt idx="40">
                  <c:v>-0.161214953271028</c:v>
                </c:pt>
                <c:pt idx="41">
                  <c:v>-0.16</c:v>
                </c:pt>
                <c:pt idx="42">
                  <c:v>-0.15584415584415601</c:v>
                </c:pt>
                <c:pt idx="43">
                  <c:v>-0.15</c:v>
                </c:pt>
                <c:pt idx="44">
                  <c:v>-0.14918414918414899</c:v>
                </c:pt>
                <c:pt idx="45">
                  <c:v>-0.14499999999999999</c:v>
                </c:pt>
                <c:pt idx="46">
                  <c:v>-0.13813813813813799</c:v>
                </c:pt>
                <c:pt idx="47">
                  <c:v>-0.13785046728972</c:v>
                </c:pt>
                <c:pt idx="48">
                  <c:v>-0.13600000000000001</c:v>
                </c:pt>
                <c:pt idx="49">
                  <c:v>-0.13600000000000001</c:v>
                </c:pt>
                <c:pt idx="50">
                  <c:v>-0.133333333333333</c:v>
                </c:pt>
                <c:pt idx="51">
                  <c:v>-0.13173652694610799</c:v>
                </c:pt>
                <c:pt idx="52">
                  <c:v>-0.13173652694610799</c:v>
                </c:pt>
                <c:pt idx="53">
                  <c:v>-0.12533333333333299</c:v>
                </c:pt>
                <c:pt idx="54">
                  <c:v>-0.123123123123123</c:v>
                </c:pt>
                <c:pt idx="55">
                  <c:v>-0.12</c:v>
                </c:pt>
                <c:pt idx="56">
                  <c:v>-0.116766467065868</c:v>
                </c:pt>
                <c:pt idx="57">
                  <c:v>-0.112903225806452</c:v>
                </c:pt>
                <c:pt idx="58">
                  <c:v>-0.112</c:v>
                </c:pt>
                <c:pt idx="59">
                  <c:v>-0.112</c:v>
                </c:pt>
                <c:pt idx="60">
                  <c:v>-0.112</c:v>
                </c:pt>
                <c:pt idx="61">
                  <c:v>-0.112</c:v>
                </c:pt>
                <c:pt idx="62">
                  <c:v>-0.109333333333333</c:v>
                </c:pt>
                <c:pt idx="63">
                  <c:v>-0.109333333333333</c:v>
                </c:pt>
                <c:pt idx="64">
                  <c:v>-0.104790419161677</c:v>
                </c:pt>
                <c:pt idx="65">
                  <c:v>-0.10199999999999999</c:v>
                </c:pt>
                <c:pt idx="66">
                  <c:v>-0.101796407185629</c:v>
                </c:pt>
                <c:pt idx="67">
                  <c:v>-0.100467289719626</c:v>
                </c:pt>
                <c:pt idx="68">
                  <c:v>-0.1</c:v>
                </c:pt>
                <c:pt idx="69">
                  <c:v>-9.90990990990991E-2</c:v>
                </c:pt>
                <c:pt idx="70">
                  <c:v>-9.90990990990991E-2</c:v>
                </c:pt>
                <c:pt idx="71">
                  <c:v>-9.8666666666666694E-2</c:v>
                </c:pt>
                <c:pt idx="72">
                  <c:v>-9.8666666666666694E-2</c:v>
                </c:pt>
                <c:pt idx="73">
                  <c:v>-9.8130841121495296E-2</c:v>
                </c:pt>
                <c:pt idx="74">
                  <c:v>-9.6666666666666706E-2</c:v>
                </c:pt>
                <c:pt idx="75">
                  <c:v>-9.6096096096096095E-2</c:v>
                </c:pt>
                <c:pt idx="76">
                  <c:v>-9.6096096096096095E-2</c:v>
                </c:pt>
                <c:pt idx="77">
                  <c:v>-9.6096096096096095E-2</c:v>
                </c:pt>
                <c:pt idx="78">
                  <c:v>-9.6000000000000002E-2</c:v>
                </c:pt>
                <c:pt idx="79">
                  <c:v>-9.3333333333333296E-2</c:v>
                </c:pt>
                <c:pt idx="80">
                  <c:v>-9.3333333333333296E-2</c:v>
                </c:pt>
                <c:pt idx="81">
                  <c:v>-9.3333333333333296E-2</c:v>
                </c:pt>
                <c:pt idx="82">
                  <c:v>-9.3093093093093104E-2</c:v>
                </c:pt>
                <c:pt idx="83">
                  <c:v>-9.00900900900901E-2</c:v>
                </c:pt>
                <c:pt idx="84">
                  <c:v>-9.00900900900901E-2</c:v>
                </c:pt>
                <c:pt idx="85">
                  <c:v>-8.8785046728972E-2</c:v>
                </c:pt>
                <c:pt idx="86">
                  <c:v>-8.7999999999999995E-2</c:v>
                </c:pt>
                <c:pt idx="87">
                  <c:v>-8.6826347305389198E-2</c:v>
                </c:pt>
                <c:pt idx="88">
                  <c:v>-8.5333333333333303E-2</c:v>
                </c:pt>
                <c:pt idx="89">
                  <c:v>-8.4084084084084104E-2</c:v>
                </c:pt>
                <c:pt idx="90">
                  <c:v>-8.3832335329341298E-2</c:v>
                </c:pt>
                <c:pt idx="91">
                  <c:v>-8.1585081585081598E-2</c:v>
                </c:pt>
                <c:pt idx="92">
                  <c:v>-8.1081081081081099E-2</c:v>
                </c:pt>
                <c:pt idx="93">
                  <c:v>-0.08</c:v>
                </c:pt>
                <c:pt idx="94">
                  <c:v>-0.08</c:v>
                </c:pt>
                <c:pt idx="95">
                  <c:v>-7.8078078078078095E-2</c:v>
                </c:pt>
                <c:pt idx="96">
                  <c:v>-7.7844311377245498E-2</c:v>
                </c:pt>
                <c:pt idx="97">
                  <c:v>-7.5075075075075104E-2</c:v>
                </c:pt>
                <c:pt idx="98">
                  <c:v>-7.2072072072072099E-2</c:v>
                </c:pt>
                <c:pt idx="99">
                  <c:v>-7.1999999999999995E-2</c:v>
                </c:pt>
                <c:pt idx="100">
                  <c:v>-7.1999999999999995E-2</c:v>
                </c:pt>
                <c:pt idx="101">
                  <c:v>-6.9930069930069894E-2</c:v>
                </c:pt>
                <c:pt idx="102">
                  <c:v>-6.9333333333333302E-2</c:v>
                </c:pt>
                <c:pt idx="103">
                  <c:v>-6.9333333333333302E-2</c:v>
                </c:pt>
                <c:pt idx="104">
                  <c:v>-6.9069069069069094E-2</c:v>
                </c:pt>
                <c:pt idx="105">
                  <c:v>-6.6666666666666693E-2</c:v>
                </c:pt>
                <c:pt idx="106">
                  <c:v>-6.6066066066066104E-2</c:v>
                </c:pt>
                <c:pt idx="107">
                  <c:v>-6.5268065268065306E-2</c:v>
                </c:pt>
                <c:pt idx="108">
                  <c:v>-6.3084112149532703E-2</c:v>
                </c:pt>
                <c:pt idx="109">
                  <c:v>-6.3063063063063099E-2</c:v>
                </c:pt>
                <c:pt idx="110">
                  <c:v>-5.7057057057057103E-2</c:v>
                </c:pt>
                <c:pt idx="111">
                  <c:v>-5.6000000000000001E-2</c:v>
                </c:pt>
                <c:pt idx="112">
                  <c:v>-5.6000000000000001E-2</c:v>
                </c:pt>
                <c:pt idx="113">
                  <c:v>-5.4054054054054099E-2</c:v>
                </c:pt>
                <c:pt idx="114">
                  <c:v>-5.3892215568862298E-2</c:v>
                </c:pt>
                <c:pt idx="115">
                  <c:v>-5.3892215568862298E-2</c:v>
                </c:pt>
                <c:pt idx="116">
                  <c:v>-5.1401869158878503E-2</c:v>
                </c:pt>
                <c:pt idx="117">
                  <c:v>-5.06666666666667E-2</c:v>
                </c:pt>
                <c:pt idx="118">
                  <c:v>-5.06666666666667E-2</c:v>
                </c:pt>
                <c:pt idx="119">
                  <c:v>-0.05</c:v>
                </c:pt>
                <c:pt idx="120">
                  <c:v>-4.8951048951049E-2</c:v>
                </c:pt>
                <c:pt idx="121">
                  <c:v>-4.8000000000000001E-2</c:v>
                </c:pt>
                <c:pt idx="122">
                  <c:v>-4.7904191616766498E-2</c:v>
                </c:pt>
                <c:pt idx="123">
                  <c:v>-4.7904191616766498E-2</c:v>
                </c:pt>
                <c:pt idx="124">
                  <c:v>-4.6620046620046603E-2</c:v>
                </c:pt>
                <c:pt idx="125">
                  <c:v>-4.6620046620046603E-2</c:v>
                </c:pt>
                <c:pt idx="126">
                  <c:v>-4.26666666666667E-2</c:v>
                </c:pt>
                <c:pt idx="127">
                  <c:v>-4.2056074766355103E-2</c:v>
                </c:pt>
                <c:pt idx="128">
                  <c:v>-4.2000000000000003E-2</c:v>
                </c:pt>
                <c:pt idx="129">
                  <c:v>-4.1916167664670698E-2</c:v>
                </c:pt>
                <c:pt idx="130">
                  <c:v>-0.04</c:v>
                </c:pt>
                <c:pt idx="131">
                  <c:v>-3.7333333333333302E-2</c:v>
                </c:pt>
                <c:pt idx="132">
                  <c:v>-3.7333333333333302E-2</c:v>
                </c:pt>
                <c:pt idx="133">
                  <c:v>-3.6036036036036001E-2</c:v>
                </c:pt>
                <c:pt idx="134">
                  <c:v>-3.59281437125748E-2</c:v>
                </c:pt>
                <c:pt idx="135">
                  <c:v>-3.3033033033033003E-2</c:v>
                </c:pt>
                <c:pt idx="136">
                  <c:v>-3.2634032634032598E-2</c:v>
                </c:pt>
                <c:pt idx="137">
                  <c:v>-3.2000000000000001E-2</c:v>
                </c:pt>
                <c:pt idx="138">
                  <c:v>-3.03738317757009E-2</c:v>
                </c:pt>
                <c:pt idx="139">
                  <c:v>-3.0030030030029999E-2</c:v>
                </c:pt>
                <c:pt idx="140">
                  <c:v>-2.9333333333333302E-2</c:v>
                </c:pt>
                <c:pt idx="141">
                  <c:v>-2.9333333333333302E-2</c:v>
                </c:pt>
                <c:pt idx="142">
                  <c:v>-2.7972027972028E-2</c:v>
                </c:pt>
                <c:pt idx="143">
                  <c:v>-2.7027027027027001E-2</c:v>
                </c:pt>
                <c:pt idx="144">
                  <c:v>-2.7027027027027001E-2</c:v>
                </c:pt>
                <c:pt idx="145">
                  <c:v>-2.69461077844311E-2</c:v>
                </c:pt>
                <c:pt idx="146">
                  <c:v>-2.33644859813084E-2</c:v>
                </c:pt>
                <c:pt idx="147">
                  <c:v>-2.1333333333333301E-2</c:v>
                </c:pt>
                <c:pt idx="148">
                  <c:v>-2.1021021021020998E-2</c:v>
                </c:pt>
                <c:pt idx="149">
                  <c:v>-1.8666666666666699E-2</c:v>
                </c:pt>
                <c:pt idx="150">
                  <c:v>-1.63551401869159E-2</c:v>
                </c:pt>
                <c:pt idx="151">
                  <c:v>-1.6E-2</c:v>
                </c:pt>
                <c:pt idx="152">
                  <c:v>-1.5015015015014999E-2</c:v>
                </c:pt>
                <c:pt idx="153">
                  <c:v>-1.5015015015014999E-2</c:v>
                </c:pt>
                <c:pt idx="154">
                  <c:v>-1.5015015015014999E-2</c:v>
                </c:pt>
                <c:pt idx="155">
                  <c:v>-1.5015015015014999E-2</c:v>
                </c:pt>
                <c:pt idx="156">
                  <c:v>-1.5015015015014999E-2</c:v>
                </c:pt>
                <c:pt idx="157">
                  <c:v>-1.3333333333333299E-2</c:v>
                </c:pt>
                <c:pt idx="158">
                  <c:v>-1.2012012012012E-2</c:v>
                </c:pt>
                <c:pt idx="159">
                  <c:v>-1.16822429906542E-2</c:v>
                </c:pt>
                <c:pt idx="160">
                  <c:v>-1.0666666666666699E-2</c:v>
                </c:pt>
                <c:pt idx="161">
                  <c:v>-9.3240093240093205E-3</c:v>
                </c:pt>
                <c:pt idx="162">
                  <c:v>-9.3240093240093205E-3</c:v>
                </c:pt>
                <c:pt idx="163">
                  <c:v>-9.3240093240093205E-3</c:v>
                </c:pt>
                <c:pt idx="164">
                  <c:v>-9.0090090090090107E-3</c:v>
                </c:pt>
                <c:pt idx="165">
                  <c:v>-8.9820359281437105E-3</c:v>
                </c:pt>
                <c:pt idx="166">
                  <c:v>-8.3333333333333297E-3</c:v>
                </c:pt>
                <c:pt idx="167">
                  <c:v>-8.0000000000000002E-3</c:v>
                </c:pt>
                <c:pt idx="168">
                  <c:v>-6.9930069930069904E-3</c:v>
                </c:pt>
                <c:pt idx="169">
                  <c:v>-5.9880239520958096E-3</c:v>
                </c:pt>
                <c:pt idx="170">
                  <c:v>-4.6728971962616802E-3</c:v>
                </c:pt>
                <c:pt idx="171">
                  <c:v>-2.3364485981308401E-3</c:v>
                </c:pt>
                <c:pt idx="172">
                  <c:v>-2.3310023310023301E-3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2.3310023310023301E-3</c:v>
                </c:pt>
                <c:pt idx="184">
                  <c:v>3.0030030030029999E-3</c:v>
                </c:pt>
                <c:pt idx="185">
                  <c:v>4.6620046620046603E-3</c:v>
                </c:pt>
                <c:pt idx="186">
                  <c:v>6.0060060060060103E-3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9.0090090090090107E-3</c:v>
                </c:pt>
                <c:pt idx="190">
                  <c:v>1.0666666666666699E-2</c:v>
                </c:pt>
                <c:pt idx="191">
                  <c:v>1.0666666666666699E-2</c:v>
                </c:pt>
                <c:pt idx="192">
                  <c:v>1.19760479041916E-2</c:v>
                </c:pt>
                <c:pt idx="193">
                  <c:v>1.2012012012012E-2</c:v>
                </c:pt>
                <c:pt idx="194">
                  <c:v>1.3986013986014E-2</c:v>
                </c:pt>
                <c:pt idx="195">
                  <c:v>1.5015015015014999E-2</c:v>
                </c:pt>
                <c:pt idx="196">
                  <c:v>1.6E-2</c:v>
                </c:pt>
                <c:pt idx="197">
                  <c:v>1.6E-2</c:v>
                </c:pt>
                <c:pt idx="198">
                  <c:v>1.7316017316017299E-2</c:v>
                </c:pt>
                <c:pt idx="199">
                  <c:v>1.8018018018018001E-2</c:v>
                </c:pt>
                <c:pt idx="200">
                  <c:v>1.8666666666666699E-2</c:v>
                </c:pt>
                <c:pt idx="201">
                  <c:v>2.0979020979021001E-2</c:v>
                </c:pt>
                <c:pt idx="202">
                  <c:v>2.0979020979021001E-2</c:v>
                </c:pt>
                <c:pt idx="203">
                  <c:v>2.1021021021020998E-2</c:v>
                </c:pt>
                <c:pt idx="204">
                  <c:v>2.1333333333333301E-2</c:v>
                </c:pt>
                <c:pt idx="205">
                  <c:v>2.1333333333333301E-2</c:v>
                </c:pt>
                <c:pt idx="206">
                  <c:v>2.1333333333333301E-2</c:v>
                </c:pt>
                <c:pt idx="207">
                  <c:v>2.1999999999999999E-2</c:v>
                </c:pt>
                <c:pt idx="208">
                  <c:v>2.39520958083832E-2</c:v>
                </c:pt>
                <c:pt idx="209">
                  <c:v>2.4E-2</c:v>
                </c:pt>
                <c:pt idx="210">
                  <c:v>2.4E-2</c:v>
                </c:pt>
                <c:pt idx="211">
                  <c:v>2.4024024024024E-2</c:v>
                </c:pt>
                <c:pt idx="212">
                  <c:v>2.40963855421687E-2</c:v>
                </c:pt>
                <c:pt idx="213">
                  <c:v>2.5000000000000001E-2</c:v>
                </c:pt>
                <c:pt idx="214">
                  <c:v>2.5641025641025599E-2</c:v>
                </c:pt>
                <c:pt idx="215">
                  <c:v>2.57009345794393E-2</c:v>
                </c:pt>
                <c:pt idx="216">
                  <c:v>3.46666666666667E-2</c:v>
                </c:pt>
                <c:pt idx="217">
                  <c:v>3.50467289719626E-2</c:v>
                </c:pt>
                <c:pt idx="218">
                  <c:v>3.59281437125748E-2</c:v>
                </c:pt>
                <c:pt idx="219">
                  <c:v>3.7333333333333302E-2</c:v>
                </c:pt>
                <c:pt idx="220">
                  <c:v>3.9039039039038999E-2</c:v>
                </c:pt>
                <c:pt idx="221">
                  <c:v>3.9627039627039597E-2</c:v>
                </c:pt>
                <c:pt idx="222">
                  <c:v>3.9627039627039597E-2</c:v>
                </c:pt>
                <c:pt idx="223">
                  <c:v>3.9627039627039597E-2</c:v>
                </c:pt>
                <c:pt idx="224">
                  <c:v>0.04</c:v>
                </c:pt>
                <c:pt idx="225">
                  <c:v>0.04</c:v>
                </c:pt>
                <c:pt idx="226">
                  <c:v>4.2042042042041997E-2</c:v>
                </c:pt>
                <c:pt idx="227">
                  <c:v>4.26666666666667E-2</c:v>
                </c:pt>
                <c:pt idx="228">
                  <c:v>4.26666666666667E-2</c:v>
                </c:pt>
                <c:pt idx="229">
                  <c:v>4.26666666666667E-2</c:v>
                </c:pt>
                <c:pt idx="230">
                  <c:v>4.5045045045045001E-2</c:v>
                </c:pt>
                <c:pt idx="231">
                  <c:v>4.5045045045045001E-2</c:v>
                </c:pt>
                <c:pt idx="232">
                  <c:v>4.5045045045045001E-2</c:v>
                </c:pt>
                <c:pt idx="233">
                  <c:v>4.5333333333333302E-2</c:v>
                </c:pt>
                <c:pt idx="234">
                  <c:v>4.9065420560747697E-2</c:v>
                </c:pt>
                <c:pt idx="235">
                  <c:v>4.92957746478873E-2</c:v>
                </c:pt>
                <c:pt idx="236">
                  <c:v>5.1051051051051101E-2</c:v>
                </c:pt>
                <c:pt idx="237">
                  <c:v>5.1401869158878503E-2</c:v>
                </c:pt>
                <c:pt idx="238">
                  <c:v>5.34351145038168E-2</c:v>
                </c:pt>
                <c:pt idx="239">
                  <c:v>5.3613053613053602E-2</c:v>
                </c:pt>
                <c:pt idx="240">
                  <c:v>5.5944055944055902E-2</c:v>
                </c:pt>
                <c:pt idx="241">
                  <c:v>5.9880239520958098E-2</c:v>
                </c:pt>
                <c:pt idx="242">
                  <c:v>0.06</c:v>
                </c:pt>
                <c:pt idx="243">
                  <c:v>0.06</c:v>
                </c:pt>
                <c:pt idx="244">
                  <c:v>6.1333333333333302E-2</c:v>
                </c:pt>
                <c:pt idx="245">
                  <c:v>6.2E-2</c:v>
                </c:pt>
                <c:pt idx="246">
                  <c:v>6.2874251497005998E-2</c:v>
                </c:pt>
                <c:pt idx="247">
                  <c:v>6.4000000000000001E-2</c:v>
                </c:pt>
                <c:pt idx="248">
                  <c:v>6.6066066066066104E-2</c:v>
                </c:pt>
                <c:pt idx="249">
                  <c:v>6.75990675990676E-2</c:v>
                </c:pt>
                <c:pt idx="250">
                  <c:v>6.8000000000000005E-2</c:v>
                </c:pt>
                <c:pt idx="251">
                  <c:v>6.8862275449101798E-2</c:v>
                </c:pt>
                <c:pt idx="252">
                  <c:v>7.1666666666666698E-2</c:v>
                </c:pt>
                <c:pt idx="253">
                  <c:v>7.1856287425149698E-2</c:v>
                </c:pt>
                <c:pt idx="254">
                  <c:v>7.2261072261072298E-2</c:v>
                </c:pt>
                <c:pt idx="255">
                  <c:v>7.2261072261072298E-2</c:v>
                </c:pt>
                <c:pt idx="256">
                  <c:v>7.3999999999999996E-2</c:v>
                </c:pt>
                <c:pt idx="257">
                  <c:v>7.7333333333333296E-2</c:v>
                </c:pt>
                <c:pt idx="258">
                  <c:v>7.7333333333333296E-2</c:v>
                </c:pt>
                <c:pt idx="259">
                  <c:v>7.7844311377245498E-2</c:v>
                </c:pt>
                <c:pt idx="260">
                  <c:v>7.9254079254079193E-2</c:v>
                </c:pt>
                <c:pt idx="261">
                  <c:v>0.08</c:v>
                </c:pt>
                <c:pt idx="262">
                  <c:v>8.1081081081081099E-2</c:v>
                </c:pt>
                <c:pt idx="263">
                  <c:v>8.1081081081081099E-2</c:v>
                </c:pt>
                <c:pt idx="264">
                  <c:v>8.2000000000000003E-2</c:v>
                </c:pt>
                <c:pt idx="265">
                  <c:v>8.3832335329341298E-2</c:v>
                </c:pt>
                <c:pt idx="266">
                  <c:v>8.4084084084084104E-2</c:v>
                </c:pt>
                <c:pt idx="267">
                  <c:v>8.5333333333333303E-2</c:v>
                </c:pt>
                <c:pt idx="268">
                  <c:v>8.6247086247086199E-2</c:v>
                </c:pt>
                <c:pt idx="269">
                  <c:v>8.7999999999999995E-2</c:v>
                </c:pt>
                <c:pt idx="270">
                  <c:v>8.8785046728972E-2</c:v>
                </c:pt>
                <c:pt idx="271">
                  <c:v>0.09</c:v>
                </c:pt>
                <c:pt idx="272">
                  <c:v>9.0666666666666701E-2</c:v>
                </c:pt>
                <c:pt idx="273">
                  <c:v>9.11214953271028E-2</c:v>
                </c:pt>
                <c:pt idx="274">
                  <c:v>9.2307692307692299E-2</c:v>
                </c:pt>
                <c:pt idx="275">
                  <c:v>9.2814371257484998E-2</c:v>
                </c:pt>
                <c:pt idx="276">
                  <c:v>9.3240093240093205E-2</c:v>
                </c:pt>
                <c:pt idx="277">
                  <c:v>9.4E-2</c:v>
                </c:pt>
                <c:pt idx="278">
                  <c:v>9.5000000000000001E-2</c:v>
                </c:pt>
                <c:pt idx="279">
                  <c:v>9.6000000000000002E-2</c:v>
                </c:pt>
                <c:pt idx="280">
                  <c:v>9.6096096096096095E-2</c:v>
                </c:pt>
                <c:pt idx="281">
                  <c:v>9.7087378640776698E-2</c:v>
                </c:pt>
                <c:pt idx="282">
                  <c:v>9.73333333333333E-2</c:v>
                </c:pt>
                <c:pt idx="283">
                  <c:v>9.8000000000000004E-2</c:v>
                </c:pt>
                <c:pt idx="284">
                  <c:v>9.8666666666666694E-2</c:v>
                </c:pt>
                <c:pt idx="285">
                  <c:v>9.8666666666666694E-2</c:v>
                </c:pt>
                <c:pt idx="286">
                  <c:v>9.90990990990991E-2</c:v>
                </c:pt>
                <c:pt idx="287">
                  <c:v>9.90990990990991E-2</c:v>
                </c:pt>
                <c:pt idx="288">
                  <c:v>0.101333333333333</c:v>
                </c:pt>
                <c:pt idx="289">
                  <c:v>0.104</c:v>
                </c:pt>
                <c:pt idx="290">
                  <c:v>0.104</c:v>
                </c:pt>
                <c:pt idx="291">
                  <c:v>0.10489510489510501</c:v>
                </c:pt>
                <c:pt idx="292">
                  <c:v>0.106</c:v>
                </c:pt>
                <c:pt idx="293">
                  <c:v>0.106</c:v>
                </c:pt>
                <c:pt idx="294">
                  <c:v>0.107226107226107</c:v>
                </c:pt>
                <c:pt idx="295">
                  <c:v>0.108</c:v>
                </c:pt>
                <c:pt idx="296">
                  <c:v>0.108108108108108</c:v>
                </c:pt>
                <c:pt idx="297">
                  <c:v>0.108108108108108</c:v>
                </c:pt>
                <c:pt idx="298">
                  <c:v>0.108108108108108</c:v>
                </c:pt>
                <c:pt idx="299">
                  <c:v>0.111666666666667</c:v>
                </c:pt>
                <c:pt idx="300">
                  <c:v>0.111888111888112</c:v>
                </c:pt>
                <c:pt idx="301">
                  <c:v>0.114114114114114</c:v>
                </c:pt>
                <c:pt idx="302">
                  <c:v>0.114219114219114</c:v>
                </c:pt>
                <c:pt idx="303">
                  <c:v>0.114666666666667</c:v>
                </c:pt>
                <c:pt idx="304">
                  <c:v>0.11600000000000001</c:v>
                </c:pt>
                <c:pt idx="305">
                  <c:v>0.11600000000000001</c:v>
                </c:pt>
                <c:pt idx="306">
                  <c:v>0.116666666666667</c:v>
                </c:pt>
                <c:pt idx="307">
                  <c:v>0.117117117117117</c:v>
                </c:pt>
                <c:pt idx="308">
                  <c:v>0.117333333333333</c:v>
                </c:pt>
                <c:pt idx="309">
                  <c:v>0.118333333333333</c:v>
                </c:pt>
                <c:pt idx="310">
                  <c:v>0.11888111888111901</c:v>
                </c:pt>
                <c:pt idx="311">
                  <c:v>0.11915887850467299</c:v>
                </c:pt>
                <c:pt idx="312">
                  <c:v>0.12</c:v>
                </c:pt>
                <c:pt idx="313">
                  <c:v>0.12012012012011999</c:v>
                </c:pt>
                <c:pt idx="314">
                  <c:v>0.12266666666666701</c:v>
                </c:pt>
                <c:pt idx="315">
                  <c:v>0.125874125874126</c:v>
                </c:pt>
                <c:pt idx="316">
                  <c:v>0.126126126126126</c:v>
                </c:pt>
                <c:pt idx="317">
                  <c:v>0.13</c:v>
                </c:pt>
                <c:pt idx="318">
                  <c:v>0.13084112149532701</c:v>
                </c:pt>
                <c:pt idx="319">
                  <c:v>0.13173652694610799</c:v>
                </c:pt>
                <c:pt idx="320">
                  <c:v>0.135135135135135</c:v>
                </c:pt>
                <c:pt idx="321">
                  <c:v>0.135135135135135</c:v>
                </c:pt>
                <c:pt idx="322">
                  <c:v>0.135135135135135</c:v>
                </c:pt>
                <c:pt idx="323">
                  <c:v>0.135135135135135</c:v>
                </c:pt>
                <c:pt idx="324">
                  <c:v>0.13600000000000001</c:v>
                </c:pt>
                <c:pt idx="325">
                  <c:v>0.13785046728972</c:v>
                </c:pt>
                <c:pt idx="326">
                  <c:v>0.13800000000000001</c:v>
                </c:pt>
                <c:pt idx="327">
                  <c:v>0.140718562874251</c:v>
                </c:pt>
                <c:pt idx="328">
                  <c:v>0.14133333333333301</c:v>
                </c:pt>
                <c:pt idx="329">
                  <c:v>0.14399999999999999</c:v>
                </c:pt>
                <c:pt idx="330">
                  <c:v>0.144859813084112</c:v>
                </c:pt>
                <c:pt idx="331">
                  <c:v>0.146666666666667</c:v>
                </c:pt>
                <c:pt idx="332">
                  <c:v>0.15015015015015001</c:v>
                </c:pt>
                <c:pt idx="333">
                  <c:v>0.152</c:v>
                </c:pt>
                <c:pt idx="334">
                  <c:v>0.152</c:v>
                </c:pt>
                <c:pt idx="335">
                  <c:v>0.152</c:v>
                </c:pt>
                <c:pt idx="336">
                  <c:v>0.15269461077844301</c:v>
                </c:pt>
                <c:pt idx="337">
                  <c:v>0.156156156156156</c:v>
                </c:pt>
                <c:pt idx="338">
                  <c:v>0.15733333333333299</c:v>
                </c:pt>
                <c:pt idx="339">
                  <c:v>0.15868263473053901</c:v>
                </c:pt>
                <c:pt idx="340">
                  <c:v>0.16166666666666701</c:v>
                </c:pt>
                <c:pt idx="341">
                  <c:v>0.16266666666666699</c:v>
                </c:pt>
                <c:pt idx="342">
                  <c:v>0.164670658682635</c:v>
                </c:pt>
                <c:pt idx="343">
                  <c:v>0.165165165165165</c:v>
                </c:pt>
                <c:pt idx="344">
                  <c:v>0.16666666666666699</c:v>
                </c:pt>
                <c:pt idx="345">
                  <c:v>0.17</c:v>
                </c:pt>
                <c:pt idx="346">
                  <c:v>0.170560747663551</c:v>
                </c:pt>
                <c:pt idx="347">
                  <c:v>0.171171171171171</c:v>
                </c:pt>
                <c:pt idx="348">
                  <c:v>0.17523364485981299</c:v>
                </c:pt>
                <c:pt idx="349">
                  <c:v>0.17599999999999999</c:v>
                </c:pt>
                <c:pt idx="350">
                  <c:v>0.177570093457944</c:v>
                </c:pt>
                <c:pt idx="351">
                  <c:v>0.17948717948717899</c:v>
                </c:pt>
                <c:pt idx="352">
                  <c:v>0.17948717948717899</c:v>
                </c:pt>
                <c:pt idx="353">
                  <c:v>0.18</c:v>
                </c:pt>
                <c:pt idx="354">
                  <c:v>0.18181818181818199</c:v>
                </c:pt>
                <c:pt idx="355">
                  <c:v>0.18181818181818199</c:v>
                </c:pt>
                <c:pt idx="356">
                  <c:v>0.182</c:v>
                </c:pt>
                <c:pt idx="357">
                  <c:v>0.182</c:v>
                </c:pt>
                <c:pt idx="358">
                  <c:v>0.18263473053892201</c:v>
                </c:pt>
                <c:pt idx="359">
                  <c:v>0.185</c:v>
                </c:pt>
                <c:pt idx="360">
                  <c:v>0.185567010309278</c:v>
                </c:pt>
                <c:pt idx="361">
                  <c:v>0.18618618618618599</c:v>
                </c:pt>
                <c:pt idx="362">
                  <c:v>0.18648018648018599</c:v>
                </c:pt>
                <c:pt idx="363">
                  <c:v>0.18833333333333299</c:v>
                </c:pt>
                <c:pt idx="364">
                  <c:v>0.18862275449101801</c:v>
                </c:pt>
                <c:pt idx="365">
                  <c:v>0.18918918918918901</c:v>
                </c:pt>
                <c:pt idx="366">
                  <c:v>0.18918918918918901</c:v>
                </c:pt>
                <c:pt idx="367">
                  <c:v>0.18925233644859801</c:v>
                </c:pt>
                <c:pt idx="368">
                  <c:v>0.197333333333333</c:v>
                </c:pt>
                <c:pt idx="369">
                  <c:v>0.197333333333333</c:v>
                </c:pt>
                <c:pt idx="370">
                  <c:v>0.20046620046620001</c:v>
                </c:pt>
                <c:pt idx="371">
                  <c:v>0.20046620046620001</c:v>
                </c:pt>
                <c:pt idx="372">
                  <c:v>0.204545454545455</c:v>
                </c:pt>
                <c:pt idx="373">
                  <c:v>0.20599999999999999</c:v>
                </c:pt>
                <c:pt idx="374">
                  <c:v>0.20599999999999999</c:v>
                </c:pt>
                <c:pt idx="375">
                  <c:v>0.20745920745920701</c:v>
                </c:pt>
                <c:pt idx="376">
                  <c:v>0.20745920745920701</c:v>
                </c:pt>
                <c:pt idx="377">
                  <c:v>0.20833333333333301</c:v>
                </c:pt>
                <c:pt idx="378">
                  <c:v>0.21333333333333299</c:v>
                </c:pt>
                <c:pt idx="379">
                  <c:v>0.214</c:v>
                </c:pt>
                <c:pt idx="380">
                  <c:v>0.21621621621621601</c:v>
                </c:pt>
                <c:pt idx="381">
                  <c:v>0.21621621621621601</c:v>
                </c:pt>
                <c:pt idx="382">
                  <c:v>0.217391304347826</c:v>
                </c:pt>
                <c:pt idx="383">
                  <c:v>0.21866666666666701</c:v>
                </c:pt>
                <c:pt idx="384">
                  <c:v>0.21911421911421899</c:v>
                </c:pt>
                <c:pt idx="385">
                  <c:v>0.22166666666666701</c:v>
                </c:pt>
                <c:pt idx="386">
                  <c:v>0.22429906542056099</c:v>
                </c:pt>
                <c:pt idx="387">
                  <c:v>0.22666666666666699</c:v>
                </c:pt>
                <c:pt idx="388">
                  <c:v>0.23200000000000001</c:v>
                </c:pt>
                <c:pt idx="389">
                  <c:v>0.23543123543123501</c:v>
                </c:pt>
                <c:pt idx="390">
                  <c:v>0.241666666666667</c:v>
                </c:pt>
                <c:pt idx="391">
                  <c:v>0.24199999999999999</c:v>
                </c:pt>
                <c:pt idx="392">
                  <c:v>0.24475524475524499</c:v>
                </c:pt>
                <c:pt idx="393">
                  <c:v>0.246</c:v>
                </c:pt>
                <c:pt idx="394">
                  <c:v>0.24833333333333299</c:v>
                </c:pt>
                <c:pt idx="395">
                  <c:v>0.252</c:v>
                </c:pt>
                <c:pt idx="396">
                  <c:v>0.252</c:v>
                </c:pt>
                <c:pt idx="397">
                  <c:v>0.256410256410256</c:v>
                </c:pt>
                <c:pt idx="398">
                  <c:v>0.25800000000000001</c:v>
                </c:pt>
                <c:pt idx="399">
                  <c:v>0.25874125874125897</c:v>
                </c:pt>
                <c:pt idx="400">
                  <c:v>0.26133333333333297</c:v>
                </c:pt>
                <c:pt idx="401">
                  <c:v>0.26133333333333297</c:v>
                </c:pt>
                <c:pt idx="402">
                  <c:v>0.26340326340326298</c:v>
                </c:pt>
                <c:pt idx="403">
                  <c:v>0.26415094339622602</c:v>
                </c:pt>
                <c:pt idx="404">
                  <c:v>0.26573426573426601</c:v>
                </c:pt>
                <c:pt idx="405">
                  <c:v>0.266666666666667</c:v>
                </c:pt>
                <c:pt idx="406">
                  <c:v>0.26800000000000002</c:v>
                </c:pt>
                <c:pt idx="407">
                  <c:v>0.269461077844311</c:v>
                </c:pt>
                <c:pt idx="408">
                  <c:v>0.27027027027027001</c:v>
                </c:pt>
                <c:pt idx="409">
                  <c:v>0.27544910179640703</c:v>
                </c:pt>
                <c:pt idx="410">
                  <c:v>0.27600000000000002</c:v>
                </c:pt>
                <c:pt idx="411">
                  <c:v>0.27800000000000002</c:v>
                </c:pt>
                <c:pt idx="412">
                  <c:v>0.27972027972028002</c:v>
                </c:pt>
                <c:pt idx="413">
                  <c:v>0.29066666666666702</c:v>
                </c:pt>
                <c:pt idx="414">
                  <c:v>0.29672897196261699</c:v>
                </c:pt>
                <c:pt idx="415">
                  <c:v>0.3</c:v>
                </c:pt>
                <c:pt idx="416">
                  <c:v>0.30266666666666697</c:v>
                </c:pt>
                <c:pt idx="417">
                  <c:v>0.30769230769230799</c:v>
                </c:pt>
                <c:pt idx="418">
                  <c:v>0.30933333333333302</c:v>
                </c:pt>
                <c:pt idx="419">
                  <c:v>0.32</c:v>
                </c:pt>
                <c:pt idx="420">
                  <c:v>0.32</c:v>
                </c:pt>
                <c:pt idx="421">
                  <c:v>0.32133333333333303</c:v>
                </c:pt>
                <c:pt idx="422">
                  <c:v>0.32467532467532501</c:v>
                </c:pt>
                <c:pt idx="423">
                  <c:v>0.32800000000000001</c:v>
                </c:pt>
                <c:pt idx="424">
                  <c:v>0.33644859813084099</c:v>
                </c:pt>
                <c:pt idx="425">
                  <c:v>0.34</c:v>
                </c:pt>
                <c:pt idx="426">
                  <c:v>0.34399999999999997</c:v>
                </c:pt>
                <c:pt idx="427">
                  <c:v>0.348333333333333</c:v>
                </c:pt>
                <c:pt idx="428">
                  <c:v>0.348333333333333</c:v>
                </c:pt>
                <c:pt idx="429">
                  <c:v>0.35164835164835201</c:v>
                </c:pt>
                <c:pt idx="430">
                  <c:v>0.35666666666666702</c:v>
                </c:pt>
                <c:pt idx="431">
                  <c:v>0.35981308411215002</c:v>
                </c:pt>
                <c:pt idx="432">
                  <c:v>0.36</c:v>
                </c:pt>
                <c:pt idx="433">
                  <c:v>0.36199999999999999</c:v>
                </c:pt>
                <c:pt idx="434">
                  <c:v>0.36231884057970998</c:v>
                </c:pt>
                <c:pt idx="435">
                  <c:v>0.36363636363636398</c:v>
                </c:pt>
                <c:pt idx="436">
                  <c:v>0.36682242990654201</c:v>
                </c:pt>
                <c:pt idx="437">
                  <c:v>0.37</c:v>
                </c:pt>
                <c:pt idx="438">
                  <c:v>0.37062937062937101</c:v>
                </c:pt>
                <c:pt idx="439">
                  <c:v>0.37866666666666698</c:v>
                </c:pt>
                <c:pt idx="440">
                  <c:v>0.38133333333333302</c:v>
                </c:pt>
                <c:pt idx="441">
                  <c:v>0.382284382284382</c:v>
                </c:pt>
                <c:pt idx="442">
                  <c:v>0.38500000000000001</c:v>
                </c:pt>
                <c:pt idx="443">
                  <c:v>0.38554216867469898</c:v>
                </c:pt>
                <c:pt idx="444">
                  <c:v>0.38888888888888901</c:v>
                </c:pt>
                <c:pt idx="445">
                  <c:v>0.39</c:v>
                </c:pt>
                <c:pt idx="446">
                  <c:v>0.4</c:v>
                </c:pt>
                <c:pt idx="447">
                  <c:v>0.4</c:v>
                </c:pt>
                <c:pt idx="448">
                  <c:v>0.40559440559440602</c:v>
                </c:pt>
                <c:pt idx="449">
                  <c:v>0.41066666666666701</c:v>
                </c:pt>
                <c:pt idx="450">
                  <c:v>0.41121495327102803</c:v>
                </c:pt>
                <c:pt idx="451">
                  <c:v>0.413333333333333</c:v>
                </c:pt>
                <c:pt idx="452">
                  <c:v>0.417249417249417</c:v>
                </c:pt>
                <c:pt idx="453">
                  <c:v>0.417249417249417</c:v>
                </c:pt>
                <c:pt idx="454">
                  <c:v>0.42</c:v>
                </c:pt>
                <c:pt idx="455">
                  <c:v>0.42199999999999999</c:v>
                </c:pt>
                <c:pt idx="456">
                  <c:v>0.42553191489361702</c:v>
                </c:pt>
                <c:pt idx="457">
                  <c:v>0.42890442890442898</c:v>
                </c:pt>
                <c:pt idx="458">
                  <c:v>0.432</c:v>
                </c:pt>
                <c:pt idx="459">
                  <c:v>0.44166666666666698</c:v>
                </c:pt>
                <c:pt idx="460">
                  <c:v>0.447552447552448</c:v>
                </c:pt>
                <c:pt idx="461">
                  <c:v>0.44800000000000001</c:v>
                </c:pt>
                <c:pt idx="462">
                  <c:v>0.45200000000000001</c:v>
                </c:pt>
                <c:pt idx="463">
                  <c:v>0.45333333333333298</c:v>
                </c:pt>
                <c:pt idx="464">
                  <c:v>0.45560747663551399</c:v>
                </c:pt>
                <c:pt idx="465">
                  <c:v>0.45833333333333298</c:v>
                </c:pt>
                <c:pt idx="466">
                  <c:v>0.46246246246246198</c:v>
                </c:pt>
                <c:pt idx="467">
                  <c:v>0.46386946386946398</c:v>
                </c:pt>
                <c:pt idx="468">
                  <c:v>0.48099999999999998</c:v>
                </c:pt>
                <c:pt idx="469">
                  <c:v>0.48666666666666702</c:v>
                </c:pt>
                <c:pt idx="470">
                  <c:v>0.50133333333333296</c:v>
                </c:pt>
                <c:pt idx="471">
                  <c:v>0.51515151515151503</c:v>
                </c:pt>
                <c:pt idx="472">
                  <c:v>0.51666666666666705</c:v>
                </c:pt>
                <c:pt idx="473">
                  <c:v>0.52500000000000002</c:v>
                </c:pt>
                <c:pt idx="474">
                  <c:v>0.52800000000000002</c:v>
                </c:pt>
                <c:pt idx="475">
                  <c:v>0.543333333333333</c:v>
                </c:pt>
                <c:pt idx="476">
                  <c:v>0.54800000000000004</c:v>
                </c:pt>
                <c:pt idx="477">
                  <c:v>0.55900000000000005</c:v>
                </c:pt>
                <c:pt idx="478">
                  <c:v>0.56399999999999995</c:v>
                </c:pt>
                <c:pt idx="479">
                  <c:v>0.56399999999999995</c:v>
                </c:pt>
                <c:pt idx="480">
                  <c:v>0.57692307692307698</c:v>
                </c:pt>
                <c:pt idx="481">
                  <c:v>0.57799999999999996</c:v>
                </c:pt>
                <c:pt idx="482">
                  <c:v>0.57808857808857805</c:v>
                </c:pt>
                <c:pt idx="483">
                  <c:v>0.58461538461538498</c:v>
                </c:pt>
                <c:pt idx="484">
                  <c:v>0.58741258741258695</c:v>
                </c:pt>
                <c:pt idx="485">
                  <c:v>0.594936708860759</c:v>
                </c:pt>
                <c:pt idx="486">
                  <c:v>0.62</c:v>
                </c:pt>
                <c:pt idx="487">
                  <c:v>0.63200000000000001</c:v>
                </c:pt>
                <c:pt idx="488">
                  <c:v>0.63800000000000001</c:v>
                </c:pt>
                <c:pt idx="489">
                  <c:v>0.65600000000000003</c:v>
                </c:pt>
                <c:pt idx="490">
                  <c:v>0.65654205607476601</c:v>
                </c:pt>
                <c:pt idx="491">
                  <c:v>0.65900000000000003</c:v>
                </c:pt>
                <c:pt idx="492">
                  <c:v>0.665333333333333</c:v>
                </c:pt>
                <c:pt idx="493">
                  <c:v>0.67901234567901203</c:v>
                </c:pt>
                <c:pt idx="494">
                  <c:v>0.68065268065268103</c:v>
                </c:pt>
                <c:pt idx="495">
                  <c:v>0.70499999999999996</c:v>
                </c:pt>
                <c:pt idx="496">
                  <c:v>0.74133333333333296</c:v>
                </c:pt>
                <c:pt idx="497">
                  <c:v>0.74333333333333296</c:v>
                </c:pt>
                <c:pt idx="498">
                  <c:v>0.77200000000000002</c:v>
                </c:pt>
                <c:pt idx="499">
                  <c:v>0.79100000000000004</c:v>
                </c:pt>
                <c:pt idx="500">
                  <c:v>0.79466666666666697</c:v>
                </c:pt>
                <c:pt idx="501">
                  <c:v>0.80172413793103403</c:v>
                </c:pt>
                <c:pt idx="502">
                  <c:v>0.82133333333333303</c:v>
                </c:pt>
                <c:pt idx="503">
                  <c:v>0.86666666666666703</c:v>
                </c:pt>
                <c:pt idx="504">
                  <c:v>0.92307692307692302</c:v>
                </c:pt>
                <c:pt idx="505">
                  <c:v>0.97872340425531901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</c:numCache>
            </c:numRef>
          </c:xVal>
          <c:yVal>
            <c:numRef>
              <c:f>'User moves'!$C$2:$C$524</c:f>
              <c:numCache>
                <c:formatCode>General</c:formatCode>
                <c:ptCount val="523"/>
                <c:pt idx="0">
                  <c:v>2.3723926884866488E-3</c:v>
                </c:pt>
                <c:pt idx="1">
                  <c:v>2.4990541218072117E-2</c:v>
                </c:pt>
                <c:pt idx="2">
                  <c:v>2.9486099018799054E-2</c:v>
                </c:pt>
                <c:pt idx="3">
                  <c:v>4.3650647665555743E-2</c:v>
                </c:pt>
                <c:pt idx="4">
                  <c:v>5.070127988873132E-2</c:v>
                </c:pt>
                <c:pt idx="5">
                  <c:v>7.4856519738565289E-2</c:v>
                </c:pt>
                <c:pt idx="6">
                  <c:v>9.0437113530347599E-2</c:v>
                </c:pt>
                <c:pt idx="7">
                  <c:v>9.5634318937813656E-2</c:v>
                </c:pt>
                <c:pt idx="8">
                  <c:v>0.14953638263539698</c:v>
                </c:pt>
                <c:pt idx="9">
                  <c:v>0.15008686834706017</c:v>
                </c:pt>
                <c:pt idx="10">
                  <c:v>0.15774944690190898</c:v>
                </c:pt>
                <c:pt idx="11">
                  <c:v>0.17902361777325748</c:v>
                </c:pt>
                <c:pt idx="12">
                  <c:v>0.19277412867737345</c:v>
                </c:pt>
                <c:pt idx="13">
                  <c:v>0.21441766872400245</c:v>
                </c:pt>
                <c:pt idx="14">
                  <c:v>0.22105246314624299</c:v>
                </c:pt>
                <c:pt idx="15">
                  <c:v>0.24895505886890562</c:v>
                </c:pt>
                <c:pt idx="16">
                  <c:v>0.30730153168312463</c:v>
                </c:pt>
                <c:pt idx="17">
                  <c:v>0.4573405368872378</c:v>
                </c:pt>
                <c:pt idx="18">
                  <c:v>0.46350590867335595</c:v>
                </c:pt>
                <c:pt idx="19">
                  <c:v>0.55424345749509207</c:v>
                </c:pt>
                <c:pt idx="20">
                  <c:v>0.59172083227219896</c:v>
                </c:pt>
                <c:pt idx="21">
                  <c:v>0.64490217516025805</c:v>
                </c:pt>
                <c:pt idx="22">
                  <c:v>0.65658511863181346</c:v>
                </c:pt>
                <c:pt idx="23">
                  <c:v>0.68046386668424452</c:v>
                </c:pt>
                <c:pt idx="24">
                  <c:v>0.68652726341386572</c:v>
                </c:pt>
                <c:pt idx="25">
                  <c:v>0.69673606129253507</c:v>
                </c:pt>
                <c:pt idx="26">
                  <c:v>0.70301368243485995</c:v>
                </c:pt>
                <c:pt idx="27">
                  <c:v>0.71349304338536645</c:v>
                </c:pt>
                <c:pt idx="28">
                  <c:v>0.71607478857616869</c:v>
                </c:pt>
                <c:pt idx="29">
                  <c:v>0.71774792999881132</c:v>
                </c:pt>
                <c:pt idx="30">
                  <c:v>0.75525800489988826</c:v>
                </c:pt>
                <c:pt idx="31">
                  <c:v>0.76978370193626777</c:v>
                </c:pt>
                <c:pt idx="32">
                  <c:v>0.78049817856045989</c:v>
                </c:pt>
                <c:pt idx="33">
                  <c:v>0.78126633405357182</c:v>
                </c:pt>
                <c:pt idx="34">
                  <c:v>0.79505141684845138</c:v>
                </c:pt>
                <c:pt idx="35">
                  <c:v>0.79737343974949082</c:v>
                </c:pt>
                <c:pt idx="36">
                  <c:v>0.82272524351301735</c:v>
                </c:pt>
                <c:pt idx="37">
                  <c:v>0.8272683455465315</c:v>
                </c:pt>
                <c:pt idx="38">
                  <c:v>0.83117928077561665</c:v>
                </c:pt>
                <c:pt idx="39">
                  <c:v>0.83117928077561665</c:v>
                </c:pt>
                <c:pt idx="40">
                  <c:v>0.83384568763161238</c:v>
                </c:pt>
                <c:pt idx="41">
                  <c:v>0.83726553006264648</c:v>
                </c:pt>
                <c:pt idx="42">
                  <c:v>0.84895952677279429</c:v>
                </c:pt>
                <c:pt idx="43">
                  <c:v>0.8653868092221394</c:v>
                </c:pt>
                <c:pt idx="44">
                  <c:v>0.86767779552867919</c:v>
                </c:pt>
                <c:pt idx="45">
                  <c:v>0.87941591192714674</c:v>
                </c:pt>
                <c:pt idx="46">
                  <c:v>0.89861444969114823</c:v>
                </c:pt>
                <c:pt idx="47">
                  <c:v>0.89941764233631083</c:v>
                </c:pt>
                <c:pt idx="48">
                  <c:v>0.90458061667771616</c:v>
                </c:pt>
                <c:pt idx="49">
                  <c:v>0.90458061667771616</c:v>
                </c:pt>
                <c:pt idx="50">
                  <c:v>0.9120091255031495</c:v>
                </c:pt>
                <c:pt idx="51">
                  <c:v>0.91645020822290924</c:v>
                </c:pt>
                <c:pt idx="52">
                  <c:v>0.91645020822290924</c:v>
                </c:pt>
                <c:pt idx="53">
                  <c:v>0.93419882211946081</c:v>
                </c:pt>
                <c:pt idx="54">
                  <c:v>0.9403004913971027</c:v>
                </c:pt>
                <c:pt idx="55">
                  <c:v>0.94889847048247333</c:v>
                </c:pt>
                <c:pt idx="56">
                  <c:v>0.95776872582720773</c:v>
                </c:pt>
                <c:pt idx="57">
                  <c:v>0.96832073120172535</c:v>
                </c:pt>
                <c:pt idx="58">
                  <c:v>0.97078019752042366</c:v>
                </c:pt>
                <c:pt idx="59">
                  <c:v>0.97078019752042366</c:v>
                </c:pt>
                <c:pt idx="60">
                  <c:v>0.97078019752042366</c:v>
                </c:pt>
                <c:pt idx="61">
                  <c:v>0.97078019752042366</c:v>
                </c:pt>
                <c:pt idx="62">
                  <c:v>0.97802382302555047</c:v>
                </c:pt>
                <c:pt idx="63">
                  <c:v>0.97802382302555047</c:v>
                </c:pt>
                <c:pt idx="64">
                  <c:v>0.99029999929492685</c:v>
                </c:pt>
                <c:pt idx="65">
                  <c:v>0.99779794728117077</c:v>
                </c:pt>
                <c:pt idx="66">
                  <c:v>0.99834368467295187</c:v>
                </c:pt>
                <c:pt idx="67">
                  <c:v>1.0019018977401213</c:v>
                </c:pt>
                <c:pt idx="68">
                  <c:v>1.0031510026750396</c:v>
                </c:pt>
                <c:pt idx="69">
                  <c:v>1.0055563737244424</c:v>
                </c:pt>
                <c:pt idx="70">
                  <c:v>1.0055563737244424</c:v>
                </c:pt>
                <c:pt idx="71">
                  <c:v>1.0067096230158192</c:v>
                </c:pt>
                <c:pt idx="72">
                  <c:v>1.0067096230158192</c:v>
                </c:pt>
                <c:pt idx="73">
                  <c:v>1.0081374025479171</c:v>
                </c:pt>
                <c:pt idx="74">
                  <c:v>1.0120319881712307</c:v>
                </c:pt>
                <c:pt idx="75">
                  <c:v>1.0135468852138403</c:v>
                </c:pt>
                <c:pt idx="76">
                  <c:v>1.0135468852138403</c:v>
                </c:pt>
                <c:pt idx="77">
                  <c:v>1.0135468852138403</c:v>
                </c:pt>
                <c:pt idx="78">
                  <c:v>1.0138018709722452</c:v>
                </c:pt>
                <c:pt idx="79">
                  <c:v>1.0208596195058643</c:v>
                </c:pt>
                <c:pt idx="80">
                  <c:v>1.0208596195058643</c:v>
                </c:pt>
                <c:pt idx="81">
                  <c:v>1.0208596195058643</c:v>
                </c:pt>
                <c:pt idx="82">
                  <c:v>1.0214937103786439</c:v>
                </c:pt>
                <c:pt idx="83">
                  <c:v>1.029394832663709</c:v>
                </c:pt>
                <c:pt idx="84">
                  <c:v>1.029394832663709</c:v>
                </c:pt>
                <c:pt idx="85">
                  <c:v>1.0328137410632299</c:v>
                </c:pt>
                <c:pt idx="86">
                  <c:v>1.0348659693433551</c:v>
                </c:pt>
                <c:pt idx="87">
                  <c:v>1.0379277985978654</c:v>
                </c:pt>
                <c:pt idx="88">
                  <c:v>1.0418117445617119</c:v>
                </c:pt>
                <c:pt idx="89">
                  <c:v>1.0450518968975606</c:v>
                </c:pt>
                <c:pt idx="90">
                  <c:v>1.0457037728348895</c:v>
                </c:pt>
                <c:pt idx="91">
                  <c:v>1.0515064839321111</c:v>
                </c:pt>
                <c:pt idx="92">
                  <c:v>1.0528038027870821</c:v>
                </c:pt>
                <c:pt idx="93">
                  <c:v>1.0555814304586386</c:v>
                </c:pt>
                <c:pt idx="94">
                  <c:v>1.0555814304586386</c:v>
                </c:pt>
                <c:pt idx="95">
                  <c:v>1.0605019353784424</c:v>
                </c:pt>
                <c:pt idx="96">
                  <c:v>1.0610988767606064</c:v>
                </c:pt>
                <c:pt idx="97">
                  <c:v>1.068144280266861</c:v>
                </c:pt>
                <c:pt idx="98">
                  <c:v>1.0757288260474898</c:v>
                </c:pt>
                <c:pt idx="99">
                  <c:v>1.0759101282588113</c:v>
                </c:pt>
                <c:pt idx="100">
                  <c:v>1.0759101282588113</c:v>
                </c:pt>
                <c:pt idx="101">
                  <c:v>1.0811023550417032</c:v>
                </c:pt>
                <c:pt idx="102">
                  <c:v>1.0825938393189647</c:v>
                </c:pt>
                <c:pt idx="103">
                  <c:v>1.0825938393189647</c:v>
                </c:pt>
                <c:pt idx="104">
                  <c:v>1.0832535651841564</c:v>
                </c:pt>
                <c:pt idx="105">
                  <c:v>1.0892289496501966</c:v>
                </c:pt>
                <c:pt idx="106">
                  <c:v>1.0907164948822847</c:v>
                </c:pt>
                <c:pt idx="107">
                  <c:v>1.0926890024439493</c:v>
                </c:pt>
                <c:pt idx="108">
                  <c:v>1.0980639816135038</c:v>
                </c:pt>
                <c:pt idx="109">
                  <c:v>1.0981156179654747</c:v>
                </c:pt>
                <c:pt idx="110">
                  <c:v>1.1127144889531304</c:v>
                </c:pt>
                <c:pt idx="111">
                  <c:v>1.1152554636165246</c:v>
                </c:pt>
                <c:pt idx="112">
                  <c:v>1.1152554636165246</c:v>
                </c:pt>
                <c:pt idx="113">
                  <c:v>1.1199102785254424</c:v>
                </c:pt>
                <c:pt idx="114">
                  <c:v>1.1202960563615987</c:v>
                </c:pt>
                <c:pt idx="115">
                  <c:v>1.1202960563615987</c:v>
                </c:pt>
                <c:pt idx="116">
                  <c:v>1.1262058590094342</c:v>
                </c:pt>
                <c:pt idx="117">
                  <c:v>1.1279409493080494</c:v>
                </c:pt>
                <c:pt idx="118">
                  <c:v>1.1279409493080494</c:v>
                </c:pt>
                <c:pt idx="119">
                  <c:v>1.1295104639308529</c:v>
                </c:pt>
                <c:pt idx="120">
                  <c:v>1.1319725521999002</c:v>
                </c:pt>
                <c:pt idx="121">
                  <c:v>1.1341969340599645</c:v>
                </c:pt>
                <c:pt idx="122">
                  <c:v>1.1344205979286843</c:v>
                </c:pt>
                <c:pt idx="123">
                  <c:v>1.1344205979286843</c:v>
                </c:pt>
                <c:pt idx="124">
                  <c:v>1.1374109593802182</c:v>
                </c:pt>
                <c:pt idx="125">
                  <c:v>1.1374109593802182</c:v>
                </c:pt>
                <c:pt idx="126">
                  <c:v>1.1465285812232013</c:v>
                </c:pt>
                <c:pt idx="127">
                  <c:v>1.1479246721370944</c:v>
                </c:pt>
                <c:pt idx="128">
                  <c:v>1.14805272009959</c:v>
                </c:pt>
                <c:pt idx="129">
                  <c:v>1.1482441013768114</c:v>
                </c:pt>
                <c:pt idx="130">
                  <c:v>1.1526015435266772</c:v>
                </c:pt>
                <c:pt idx="131">
                  <c:v>1.1586108117995293</c:v>
                </c:pt>
                <c:pt idx="132">
                  <c:v>1.1586108117995293</c:v>
                </c:pt>
                <c:pt idx="133">
                  <c:v>1.1615108106312069</c:v>
                </c:pt>
                <c:pt idx="134">
                  <c:v>1.1617512969142159</c:v>
                </c:pt>
                <c:pt idx="135">
                  <c:v>1.1681638902543741</c:v>
                </c:pt>
                <c:pt idx="136">
                  <c:v>1.1690414979415398</c:v>
                </c:pt>
                <c:pt idx="137">
                  <c:v>1.1704329596340803</c:v>
                </c:pt>
                <c:pt idx="138">
                  <c:v>1.1739842579720152</c:v>
                </c:pt>
                <c:pt idx="139">
                  <c:v>1.1747318178692936</c:v>
                </c:pt>
                <c:pt idx="140">
                  <c:v>1.1762432096379032</c:v>
                </c:pt>
                <c:pt idx="141">
                  <c:v>1.1762432096379032</c:v>
                </c:pt>
                <c:pt idx="142">
                  <c:v>1.1791827785222166</c:v>
                </c:pt>
                <c:pt idx="143">
                  <c:v>1.181212732684741</c:v>
                </c:pt>
                <c:pt idx="144">
                  <c:v>1.181212732684741</c:v>
                </c:pt>
                <c:pt idx="145">
                  <c:v>1.1813861469205318</c:v>
                </c:pt>
                <c:pt idx="146">
                  <c:v>1.1889965723815537</c:v>
                </c:pt>
                <c:pt idx="147">
                  <c:v>1.1932551024317708</c:v>
                </c:pt>
                <c:pt idx="148">
                  <c:v>1.193906167118453</c:v>
                </c:pt>
                <c:pt idx="149">
                  <c:v>1.1987818560666006</c:v>
                </c:pt>
                <c:pt idx="150">
                  <c:v>1.2035127103224204</c:v>
                </c:pt>
                <c:pt idx="151">
                  <c:v>1.2042345714673641</c:v>
                </c:pt>
                <c:pt idx="152">
                  <c:v>1.2062296648391881</c:v>
                </c:pt>
                <c:pt idx="153">
                  <c:v>1.2062296648391881</c:v>
                </c:pt>
                <c:pt idx="154">
                  <c:v>1.2062296648391881</c:v>
                </c:pt>
                <c:pt idx="155">
                  <c:v>1.2062296648391881</c:v>
                </c:pt>
                <c:pt idx="156">
                  <c:v>1.2062296648391881</c:v>
                </c:pt>
                <c:pt idx="157">
                  <c:v>1.2096120075939529</c:v>
                </c:pt>
                <c:pt idx="158">
                  <c:v>1.2122482326139878</c:v>
                </c:pt>
                <c:pt idx="159">
                  <c:v>1.212903222630157</c:v>
                </c:pt>
                <c:pt idx="160">
                  <c:v>1.2149129365388429</c:v>
                </c:pt>
                <c:pt idx="161">
                  <c:v>1.2175525934619222</c:v>
                </c:pt>
                <c:pt idx="162">
                  <c:v>1.2175525934619222</c:v>
                </c:pt>
                <c:pt idx="163">
                  <c:v>1.2175525934619222</c:v>
                </c:pt>
                <c:pt idx="164">
                  <c:v>1.2181690122046034</c:v>
                </c:pt>
                <c:pt idx="165">
                  <c:v>1.2182217445009758</c:v>
                </c:pt>
                <c:pt idx="166">
                  <c:v>1.2194875346170608</c:v>
                </c:pt>
                <c:pt idx="167">
                  <c:v>1.2201361439929832</c:v>
                </c:pt>
                <c:pt idx="168">
                  <c:v>1.2220880799433642</c:v>
                </c:pt>
                <c:pt idx="169">
                  <c:v>1.2240248353407952</c:v>
                </c:pt>
                <c:pt idx="170">
                  <c:v>1.2265421507614593</c:v>
                </c:pt>
                <c:pt idx="171">
                  <c:v>1.2309660821816024</c:v>
                </c:pt>
                <c:pt idx="172">
                  <c:v>1.2309763216592988</c:v>
                </c:pt>
                <c:pt idx="173">
                  <c:v>1.2353275079789352</c:v>
                </c:pt>
                <c:pt idx="174">
                  <c:v>1.2353275079789352</c:v>
                </c:pt>
                <c:pt idx="175">
                  <c:v>1.2353275079789352</c:v>
                </c:pt>
                <c:pt idx="176">
                  <c:v>1.2353275079789352</c:v>
                </c:pt>
                <c:pt idx="177">
                  <c:v>1.2353275079789352</c:v>
                </c:pt>
                <c:pt idx="178">
                  <c:v>1.2353275079789352</c:v>
                </c:pt>
                <c:pt idx="179">
                  <c:v>1.2353275079789352</c:v>
                </c:pt>
                <c:pt idx="180">
                  <c:v>1.2353275079789352</c:v>
                </c:pt>
                <c:pt idx="181">
                  <c:v>1.2353275079789352</c:v>
                </c:pt>
                <c:pt idx="182">
                  <c:v>1.2353275079789352</c:v>
                </c:pt>
                <c:pt idx="183">
                  <c:v>1.2396157069070386</c:v>
                </c:pt>
                <c:pt idx="184">
                  <c:v>1.2408401395919855</c:v>
                </c:pt>
                <c:pt idx="185">
                  <c:v>1.2438401566939619</c:v>
                </c:pt>
                <c:pt idx="186">
                  <c:v>1.2462466069098008</c:v>
                </c:pt>
                <c:pt idx="187">
                  <c:v>1.2497770651824569</c:v>
                </c:pt>
                <c:pt idx="188">
                  <c:v>1.2497770651824569</c:v>
                </c:pt>
                <c:pt idx="189">
                  <c:v>1.2515453104475363</c:v>
                </c:pt>
                <c:pt idx="190">
                  <c:v>1.2544234598900099</c:v>
                </c:pt>
                <c:pt idx="191">
                  <c:v>1.2544234598900099</c:v>
                </c:pt>
                <c:pt idx="192">
                  <c:v>1.2566731826644608</c:v>
                </c:pt>
                <c:pt idx="193">
                  <c:v>1.2567346778266106</c:v>
                </c:pt>
                <c:pt idx="194">
                  <c:v>1.2600855662660881</c:v>
                </c:pt>
                <c:pt idx="195">
                  <c:v>1.2618131645512025</c:v>
                </c:pt>
                <c:pt idx="196">
                  <c:v>1.2634545022613699</c:v>
                </c:pt>
                <c:pt idx="197">
                  <c:v>1.2634545022613699</c:v>
                </c:pt>
                <c:pt idx="198">
                  <c:v>1.2656284956348374</c:v>
                </c:pt>
                <c:pt idx="199">
                  <c:v>1.2667792547733514</c:v>
                </c:pt>
                <c:pt idx="200">
                  <c:v>1.2678370246886688</c:v>
                </c:pt>
                <c:pt idx="201">
                  <c:v>1.2715643909362877</c:v>
                </c:pt>
                <c:pt idx="202">
                  <c:v>1.2715643909362877</c:v>
                </c:pt>
                <c:pt idx="203">
                  <c:v>1.2716314620461313</c:v>
                </c:pt>
                <c:pt idx="204">
                  <c:v>1.2721294949002366</c:v>
                </c:pt>
                <c:pt idx="205">
                  <c:v>1.2721294949002366</c:v>
                </c:pt>
                <c:pt idx="206">
                  <c:v>1.2721294949002366</c:v>
                </c:pt>
                <c:pt idx="207">
                  <c:v>1.2731884222731351</c:v>
                </c:pt>
                <c:pt idx="208">
                  <c:v>1.2762562314077628</c:v>
                </c:pt>
                <c:pt idx="209">
                  <c:v>1.2763308965628426</c:v>
                </c:pt>
                <c:pt idx="210">
                  <c:v>1.2763308965628426</c:v>
                </c:pt>
                <c:pt idx="211">
                  <c:v>1.2763683300643756</c:v>
                </c:pt>
                <c:pt idx="212">
                  <c:v>1.2764810364177666</c:v>
                </c:pt>
                <c:pt idx="213">
                  <c:v>1.2778827394459278</c:v>
                </c:pt>
                <c:pt idx="214">
                  <c:v>1.2788706767966218</c:v>
                </c:pt>
                <c:pt idx="215">
                  <c:v>1.2789627339805725</c:v>
                </c:pt>
                <c:pt idx="216">
                  <c:v>1.2922061727418783</c:v>
                </c:pt>
                <c:pt idx="217">
                  <c:v>1.2927438770518507</c:v>
                </c:pt>
                <c:pt idx="218">
                  <c:v>1.2939833760294575</c:v>
                </c:pt>
                <c:pt idx="219">
                  <c:v>1.2959376737635342</c:v>
                </c:pt>
                <c:pt idx="220">
                  <c:v>1.2982738111277496</c:v>
                </c:pt>
                <c:pt idx="221">
                  <c:v>1.2990699211473862</c:v>
                </c:pt>
                <c:pt idx="222">
                  <c:v>1.2990699211473862</c:v>
                </c:pt>
                <c:pt idx="223">
                  <c:v>1.2990699211473862</c:v>
                </c:pt>
                <c:pt idx="224">
                  <c:v>1.2995724258578696</c:v>
                </c:pt>
                <c:pt idx="225">
                  <c:v>1.2995724258578696</c:v>
                </c:pt>
                <c:pt idx="226">
                  <c:v>1.3022898391069571</c:v>
                </c:pt>
                <c:pt idx="227">
                  <c:v>1.3031095554106549</c:v>
                </c:pt>
                <c:pt idx="228">
                  <c:v>1.3031095554106549</c:v>
                </c:pt>
                <c:pt idx="229">
                  <c:v>1.3031095554106549</c:v>
                </c:pt>
                <c:pt idx="230">
                  <c:v>1.3061812370363872</c:v>
                </c:pt>
                <c:pt idx="231">
                  <c:v>1.3061812370363872</c:v>
                </c:pt>
                <c:pt idx="232">
                  <c:v>1.3061812370363872</c:v>
                </c:pt>
                <c:pt idx="233">
                  <c:v>1.306548210656348</c:v>
                </c:pt>
                <c:pt idx="234">
                  <c:v>1.3111937975496206</c:v>
                </c:pt>
                <c:pt idx="235">
                  <c:v>1.3114741121198388</c:v>
                </c:pt>
                <c:pt idx="236">
                  <c:v>1.3135854182492024</c:v>
                </c:pt>
                <c:pt idx="237">
                  <c:v>1.3140021537898618</c:v>
                </c:pt>
                <c:pt idx="238">
                  <c:v>1.3163829226245147</c:v>
                </c:pt>
                <c:pt idx="239">
                  <c:v>1.3165884668703418</c:v>
                </c:pt>
                <c:pt idx="240">
                  <c:v>1.3192391790900648</c:v>
                </c:pt>
                <c:pt idx="241">
                  <c:v>1.3235374035210814</c:v>
                </c:pt>
                <c:pt idx="242">
                  <c:v>1.3236646582892853</c:v>
                </c:pt>
                <c:pt idx="243">
                  <c:v>1.3236646582892853</c:v>
                </c:pt>
                <c:pt idx="244">
                  <c:v>1.3250673200977783</c:v>
                </c:pt>
                <c:pt idx="245">
                  <c:v>1.3257589251479205</c:v>
                </c:pt>
                <c:pt idx="246">
                  <c:v>1.3266560306423432</c:v>
                </c:pt>
                <c:pt idx="247">
                  <c:v>1.3277947106841901</c:v>
                </c:pt>
                <c:pt idx="248">
                  <c:v>1.3298360368512516</c:v>
                </c:pt>
                <c:pt idx="249">
                  <c:v>1.3313099788559184</c:v>
                </c:pt>
                <c:pt idx="250">
                  <c:v>1.3316897278689499</c:v>
                </c:pt>
                <c:pt idx="251">
                  <c:v>1.3324983685091103</c:v>
                </c:pt>
                <c:pt idx="252">
                  <c:v>1.3350518570664895</c:v>
                </c:pt>
                <c:pt idx="253">
                  <c:v>1.3352202796377306</c:v>
                </c:pt>
                <c:pt idx="254">
                  <c:v>1.3355780142593376</c:v>
                </c:pt>
                <c:pt idx="255">
                  <c:v>1.3355780142593376</c:v>
                </c:pt>
                <c:pt idx="256">
                  <c:v>1.3370869124347631</c:v>
                </c:pt>
                <c:pt idx="257">
                  <c:v>1.3398522827045403</c:v>
                </c:pt>
                <c:pt idx="258">
                  <c:v>1.3398522827045403</c:v>
                </c:pt>
                <c:pt idx="259">
                  <c:v>1.3402613854335903</c:v>
                </c:pt>
                <c:pt idx="260">
                  <c:v>1.3413696016958887</c:v>
                </c:pt>
                <c:pt idx="261">
                  <c:v>1.3419437867700337</c:v>
                </c:pt>
                <c:pt idx="262">
                  <c:v>1.3427609750949543</c:v>
                </c:pt>
                <c:pt idx="263">
                  <c:v>1.3427609750949543</c:v>
                </c:pt>
                <c:pt idx="264">
                  <c:v>1.3434416132863642</c:v>
                </c:pt>
                <c:pt idx="265">
                  <c:v>1.3447604066682159</c:v>
                </c:pt>
                <c:pt idx="266">
                  <c:v>1.3449375949048652</c:v>
                </c:pt>
                <c:pt idx="267">
                  <c:v>1.3458025187280933</c:v>
                </c:pt>
                <c:pt idx="268">
                  <c:v>1.3464200315493888</c:v>
                </c:pt>
                <c:pt idx="269">
                  <c:v>1.3475687968777894</c:v>
                </c:pt>
                <c:pt idx="270">
                  <c:v>1.3480679671264637</c:v>
                </c:pt>
                <c:pt idx="271">
                  <c:v>1.3488217906714401</c:v>
                </c:pt>
                <c:pt idx="272">
                  <c:v>1.3492257605465789</c:v>
                </c:pt>
                <c:pt idx="273">
                  <c:v>1.3494974311748058</c:v>
                </c:pt>
                <c:pt idx="274">
                  <c:v>1.3501909184410472</c:v>
                </c:pt>
                <c:pt idx="275">
                  <c:v>1.3504805085821912</c:v>
                </c:pt>
                <c:pt idx="276">
                  <c:v>1.3507207571363657</c:v>
                </c:pt>
                <c:pt idx="277">
                  <c:v>1.3511426214892095</c:v>
                </c:pt>
                <c:pt idx="278">
                  <c:v>1.3516841365874197</c:v>
                </c:pt>
                <c:pt idx="279">
                  <c:v>1.3522101362163974</c:v>
                </c:pt>
                <c:pt idx="280">
                  <c:v>1.352259864923705</c:v>
                </c:pt>
                <c:pt idx="281">
                  <c:v>1.3527644673614641</c:v>
                </c:pt>
                <c:pt idx="282">
                  <c:v>1.3528873023633134</c:v>
                </c:pt>
                <c:pt idx="283">
                  <c:v>1.3532155164833803</c:v>
                </c:pt>
                <c:pt idx="284">
                  <c:v>1.3535368111695998</c:v>
                </c:pt>
                <c:pt idx="285">
                  <c:v>1.3535368111695998</c:v>
                </c:pt>
                <c:pt idx="286">
                  <c:v>1.3537415163853361</c:v>
                </c:pt>
                <c:pt idx="287">
                  <c:v>1.3537415163853361</c:v>
                </c:pt>
                <c:pt idx="288">
                  <c:v>1.3547526978496107</c:v>
                </c:pt>
                <c:pt idx="289">
                  <c:v>1.3558574954605136</c:v>
                </c:pt>
                <c:pt idx="290">
                  <c:v>1.3558574954605136</c:v>
                </c:pt>
                <c:pt idx="291">
                  <c:v>1.3562033855421158</c:v>
                </c:pt>
                <c:pt idx="292">
                  <c:v>1.3566130259269431</c:v>
                </c:pt>
                <c:pt idx="293">
                  <c:v>1.3566130259269431</c:v>
                </c:pt>
                <c:pt idx="294">
                  <c:v>1.3570451879527095</c:v>
                </c:pt>
                <c:pt idx="295">
                  <c:v>1.3573058091556718</c:v>
                </c:pt>
                <c:pt idx="296">
                  <c:v>1.3573414674344917</c:v>
                </c:pt>
                <c:pt idx="297">
                  <c:v>1.3573414674344917</c:v>
                </c:pt>
                <c:pt idx="298">
                  <c:v>1.3573414674344917</c:v>
                </c:pt>
                <c:pt idx="299">
                  <c:v>1.3584126288708729</c:v>
                </c:pt>
                <c:pt idx="300">
                  <c:v>1.3584726989856848</c:v>
                </c:pt>
                <c:pt idx="301">
                  <c:v>1.3590336086127259</c:v>
                </c:pt>
                <c:pt idx="302">
                  <c:v>1.3590581372848731</c:v>
                </c:pt>
                <c:pt idx="303">
                  <c:v>1.3591607379789956</c:v>
                </c:pt>
                <c:pt idx="304">
                  <c:v>1.3594476699426998</c:v>
                </c:pt>
                <c:pt idx="305">
                  <c:v>1.3594476699426998</c:v>
                </c:pt>
                <c:pt idx="306">
                  <c:v>1.3595806131579713</c:v>
                </c:pt>
                <c:pt idx="307">
                  <c:v>1.3596664668615357</c:v>
                </c:pt>
                <c:pt idx="308">
                  <c:v>1.3597065384112577</c:v>
                </c:pt>
                <c:pt idx="309">
                  <c:v>1.3598822633713927</c:v>
                </c:pt>
                <c:pt idx="310">
                  <c:v>1.3599718248965504</c:v>
                </c:pt>
                <c:pt idx="311">
                  <c:v>1.3600154259748445</c:v>
                </c:pt>
                <c:pt idx="312">
                  <c:v>1.3601400223884212</c:v>
                </c:pt>
                <c:pt idx="313">
                  <c:v>1.3601569032633687</c:v>
                </c:pt>
                <c:pt idx="314">
                  <c:v>1.3604610823662853</c:v>
                </c:pt>
                <c:pt idx="315">
                  <c:v>1.3606982070135529</c:v>
                </c:pt>
                <c:pt idx="316">
                  <c:v>1.3607099381628311</c:v>
                </c:pt>
                <c:pt idx="317">
                  <c:v>1.3607637603489282</c:v>
                </c:pt>
                <c:pt idx="318">
                  <c:v>1.3607440531669859</c:v>
                </c:pt>
                <c:pt idx="319">
                  <c:v>1.3607107663717628</c:v>
                </c:pt>
                <c:pt idx="320">
                  <c:v>1.3604689273309016</c:v>
                </c:pt>
                <c:pt idx="321">
                  <c:v>1.3604689273309016</c:v>
                </c:pt>
                <c:pt idx="322">
                  <c:v>1.3604689273309016</c:v>
                </c:pt>
                <c:pt idx="323">
                  <c:v>1.3604689273309016</c:v>
                </c:pt>
                <c:pt idx="324">
                  <c:v>1.3603782111193981</c:v>
                </c:pt>
                <c:pt idx="325">
                  <c:v>1.3601443774879753</c:v>
                </c:pt>
                <c:pt idx="326">
                  <c:v>1.3601231173180317</c:v>
                </c:pt>
                <c:pt idx="327">
                  <c:v>1.3596749835350299</c:v>
                </c:pt>
                <c:pt idx="328">
                  <c:v>1.3595574565316819</c:v>
                </c:pt>
                <c:pt idx="329">
                  <c:v>1.3589786021532877</c:v>
                </c:pt>
                <c:pt idx="330">
                  <c:v>1.3587680476318547</c:v>
                </c:pt>
                <c:pt idx="331">
                  <c:v>1.3582876118640086</c:v>
                </c:pt>
                <c:pt idx="332">
                  <c:v>1.3572163365250989</c:v>
                </c:pt>
                <c:pt idx="333">
                  <c:v>1.3565699365241981</c:v>
                </c:pt>
                <c:pt idx="334">
                  <c:v>1.3565699365241981</c:v>
                </c:pt>
                <c:pt idx="335">
                  <c:v>1.3565699365241981</c:v>
                </c:pt>
                <c:pt idx="336">
                  <c:v>1.3563133505104252</c:v>
                </c:pt>
                <c:pt idx="337">
                  <c:v>1.3549219944055937</c:v>
                </c:pt>
                <c:pt idx="338">
                  <c:v>1.3544061328199455</c:v>
                </c:pt>
                <c:pt idx="339">
                  <c:v>1.3537882373792232</c:v>
                </c:pt>
                <c:pt idx="340">
                  <c:v>1.3523210102037366</c:v>
                </c:pt>
                <c:pt idx="341">
                  <c:v>1.3517983431473399</c:v>
                </c:pt>
                <c:pt idx="342">
                  <c:v>1.3507042280547503</c:v>
                </c:pt>
                <c:pt idx="343">
                  <c:v>1.3504246736082401</c:v>
                </c:pt>
                <c:pt idx="344">
                  <c:v>1.3495526702027882</c:v>
                </c:pt>
                <c:pt idx="345">
                  <c:v>1.3474924983670902</c:v>
                </c:pt>
                <c:pt idx="346">
                  <c:v>1.3471291243816201</c:v>
                </c:pt>
                <c:pt idx="347">
                  <c:v>1.3467280701586701</c:v>
                </c:pt>
                <c:pt idx="348">
                  <c:v>1.3439136046648468</c:v>
                </c:pt>
                <c:pt idx="349">
                  <c:v>1.343354417376647</c:v>
                </c:pt>
                <c:pt idx="350">
                  <c:v>1.342180848937341</c:v>
                </c:pt>
                <c:pt idx="351">
                  <c:v>1.3406971698953483</c:v>
                </c:pt>
                <c:pt idx="352">
                  <c:v>1.3406971698953483</c:v>
                </c:pt>
                <c:pt idx="353">
                  <c:v>1.3402908481128921</c:v>
                </c:pt>
                <c:pt idx="354">
                  <c:v>1.3388182360464089</c:v>
                </c:pt>
                <c:pt idx="355">
                  <c:v>1.3388182360464089</c:v>
                </c:pt>
                <c:pt idx="356">
                  <c:v>1.3386682320644236</c:v>
                </c:pt>
                <c:pt idx="357">
                  <c:v>1.3386682320644236</c:v>
                </c:pt>
                <c:pt idx="358">
                  <c:v>1.3381406626580177</c:v>
                </c:pt>
                <c:pt idx="359">
                  <c:v>1.3361213962686547</c:v>
                </c:pt>
                <c:pt idx="360">
                  <c:v>1.3356248656717737</c:v>
                </c:pt>
                <c:pt idx="361">
                  <c:v>1.3350771602756877</c:v>
                </c:pt>
                <c:pt idx="362">
                  <c:v>1.3348150899068607</c:v>
                </c:pt>
                <c:pt idx="363">
                  <c:v>1.333133529615584</c:v>
                </c:pt>
                <c:pt idx="364">
                  <c:v>1.3328662897678922</c:v>
                </c:pt>
                <c:pt idx="365">
                  <c:v>1.3323396643804817</c:v>
                </c:pt>
                <c:pt idx="366">
                  <c:v>1.3323396643804817</c:v>
                </c:pt>
                <c:pt idx="367">
                  <c:v>1.3322806599118198</c:v>
                </c:pt>
                <c:pt idx="368">
                  <c:v>1.3242442550160023</c:v>
                </c:pt>
                <c:pt idx="369">
                  <c:v>1.3242442550160023</c:v>
                </c:pt>
                <c:pt idx="370">
                  <c:v>1.3208717563245986</c:v>
                </c:pt>
                <c:pt idx="371">
                  <c:v>1.3208717563245986</c:v>
                </c:pt>
                <c:pt idx="372">
                  <c:v>1.3162680589844968</c:v>
                </c:pt>
                <c:pt idx="373">
                  <c:v>1.3145688404012477</c:v>
                </c:pt>
                <c:pt idx="374">
                  <c:v>1.3145688404012477</c:v>
                </c:pt>
                <c:pt idx="375">
                  <c:v>1.3128339079746896</c:v>
                </c:pt>
                <c:pt idx="376">
                  <c:v>1.3128339079746896</c:v>
                </c:pt>
                <c:pt idx="377">
                  <c:v>1.3117801437297139</c:v>
                </c:pt>
                <c:pt idx="378">
                  <c:v>1.3055457662331886</c:v>
                </c:pt>
                <c:pt idx="379">
                  <c:v>1.3046880849386886</c:v>
                </c:pt>
                <c:pt idx="380">
                  <c:v>1.3017925371386927</c:v>
                </c:pt>
                <c:pt idx="381">
                  <c:v>1.3017925371386927</c:v>
                </c:pt>
                <c:pt idx="382">
                  <c:v>1.3002297170893287</c:v>
                </c:pt>
                <c:pt idx="383">
                  <c:v>1.2985120519687436</c:v>
                </c:pt>
                <c:pt idx="384">
                  <c:v>1.2979040018339016</c:v>
                </c:pt>
                <c:pt idx="385">
                  <c:v>1.2943839947103337</c:v>
                </c:pt>
                <c:pt idx="386">
                  <c:v>1.2906612488736076</c:v>
                </c:pt>
                <c:pt idx="387">
                  <c:v>1.287233478245859</c:v>
                </c:pt>
                <c:pt idx="388">
                  <c:v>1.2792396077580688</c:v>
                </c:pt>
                <c:pt idx="389">
                  <c:v>1.2739000780830412</c:v>
                </c:pt>
                <c:pt idx="390">
                  <c:v>1.2638105521965792</c:v>
                </c:pt>
                <c:pt idx="391">
                  <c:v>1.2632573518363384</c:v>
                </c:pt>
                <c:pt idx="392">
                  <c:v>1.2586316989372799</c:v>
                </c:pt>
                <c:pt idx="393">
                  <c:v>1.256511100572973</c:v>
                </c:pt>
                <c:pt idx="394">
                  <c:v>1.252484760781428</c:v>
                </c:pt>
                <c:pt idx="395">
                  <c:v>1.2460242296651955</c:v>
                </c:pt>
                <c:pt idx="396">
                  <c:v>1.2460242296651955</c:v>
                </c:pt>
                <c:pt idx="397">
                  <c:v>1.2380410795320462</c:v>
                </c:pt>
                <c:pt idx="398">
                  <c:v>1.2351074552840622</c:v>
                </c:pt>
                <c:pt idx="399">
                  <c:v>1.2337295540392381</c:v>
                </c:pt>
                <c:pt idx="400">
                  <c:v>1.2288615399833338</c:v>
                </c:pt>
                <c:pt idx="401">
                  <c:v>1.2288615399833338</c:v>
                </c:pt>
                <c:pt idx="402">
                  <c:v>1.2249191653868934</c:v>
                </c:pt>
                <c:pt idx="403">
                  <c:v>1.2234832566437912</c:v>
                </c:pt>
                <c:pt idx="404">
                  <c:v>1.2204218599328038</c:v>
                </c:pt>
                <c:pt idx="405">
                  <c:v>1.2186059939168241</c:v>
                </c:pt>
                <c:pt idx="406">
                  <c:v>1.2159926288541514</c:v>
                </c:pt>
                <c:pt idx="407">
                  <c:v>1.2131065037093576</c:v>
                </c:pt>
                <c:pt idx="408">
                  <c:v>1.2114980750862905</c:v>
                </c:pt>
                <c:pt idx="409">
                  <c:v>1.2010378243053577</c:v>
                </c:pt>
                <c:pt idx="410">
                  <c:v>1.1999084102363768</c:v>
                </c:pt>
                <c:pt idx="411">
                  <c:v>1.1957815759384147</c:v>
                </c:pt>
                <c:pt idx="412">
                  <c:v>1.1921988909927754</c:v>
                </c:pt>
                <c:pt idx="413">
                  <c:v>1.1687088184907661</c:v>
                </c:pt>
                <c:pt idx="414">
                  <c:v>1.1552061847577337</c:v>
                </c:pt>
                <c:pt idx="415">
                  <c:v>1.1477816383895014</c:v>
                </c:pt>
                <c:pt idx="416">
                  <c:v>1.1416590237137443</c:v>
                </c:pt>
                <c:pt idx="417">
                  <c:v>1.1299547426710659</c:v>
                </c:pt>
                <c:pt idx="418">
                  <c:v>1.1260873152245079</c:v>
                </c:pt>
                <c:pt idx="419">
                  <c:v>1.1004289417625344</c:v>
                </c:pt>
                <c:pt idx="420">
                  <c:v>1.1004289417625344</c:v>
                </c:pt>
                <c:pt idx="421">
                  <c:v>1.0971609036296248</c:v>
                </c:pt>
                <c:pt idx="422">
                  <c:v>1.0889131931326443</c:v>
                </c:pt>
                <c:pt idx="423">
                  <c:v>1.0806303946508127</c:v>
                </c:pt>
                <c:pt idx="424">
                  <c:v>1.0592515868624917</c:v>
                </c:pt>
                <c:pt idx="425">
                  <c:v>1.0501312928555981</c:v>
                </c:pt>
                <c:pt idx="426">
                  <c:v>1.0397702405594837</c:v>
                </c:pt>
                <c:pt idx="427">
                  <c:v>1.028445028425383</c:v>
                </c:pt>
                <c:pt idx="428">
                  <c:v>1.028445028425383</c:v>
                </c:pt>
                <c:pt idx="429">
                  <c:v>1.0197141304934711</c:v>
                </c:pt>
                <c:pt idx="430">
                  <c:v>1.0063931556363084</c:v>
                </c:pt>
                <c:pt idx="431">
                  <c:v>0.99798082862649784</c:v>
                </c:pt>
                <c:pt idx="432">
                  <c:v>0.99747968961885647</c:v>
                </c:pt>
                <c:pt idx="433">
                  <c:v>0.99210798523986532</c:v>
                </c:pt>
                <c:pt idx="434">
                  <c:v>0.99125004074383849</c:v>
                </c:pt>
                <c:pt idx="435">
                  <c:v>0.98770028806192556</c:v>
                </c:pt>
                <c:pt idx="436">
                  <c:v>0.97908691117280633</c:v>
                </c:pt>
                <c:pt idx="437">
                  <c:v>0.97045715533838151</c:v>
                </c:pt>
                <c:pt idx="438">
                  <c:v>0.96874343222369241</c:v>
                </c:pt>
                <c:pt idx="439">
                  <c:v>0.9467390972982459</c:v>
                </c:pt>
                <c:pt idx="440">
                  <c:v>0.93939334748312697</c:v>
                </c:pt>
                <c:pt idx="441">
                  <c:v>0.93676859623388176</c:v>
                </c:pt>
                <c:pt idx="442">
                  <c:v>0.92926037165749986</c:v>
                </c:pt>
                <c:pt idx="443">
                  <c:v>0.92775905619323096</c:v>
                </c:pt>
                <c:pt idx="444">
                  <c:v>0.91847568230633347</c:v>
                </c:pt>
                <c:pt idx="445">
                  <c:v>0.91538781130181213</c:v>
                </c:pt>
                <c:pt idx="446">
                  <c:v>0.88748613965686884</c:v>
                </c:pt>
                <c:pt idx="447">
                  <c:v>0.88748613965686884</c:v>
                </c:pt>
                <c:pt idx="448">
                  <c:v>0.87180690770319713</c:v>
                </c:pt>
                <c:pt idx="449">
                  <c:v>0.85756068324170731</c:v>
                </c:pt>
                <c:pt idx="450">
                  <c:v>0.85601940059173065</c:v>
                </c:pt>
                <c:pt idx="451">
                  <c:v>0.85006249227182584</c:v>
                </c:pt>
                <c:pt idx="452">
                  <c:v>0.83904400032028925</c:v>
                </c:pt>
                <c:pt idx="453">
                  <c:v>0.83904400032028925</c:v>
                </c:pt>
                <c:pt idx="454">
                  <c:v>0.83130163678713609</c:v>
                </c:pt>
                <c:pt idx="455">
                  <c:v>0.82567128073729867</c:v>
                </c:pt>
                <c:pt idx="456">
                  <c:v>0.81572856376441116</c:v>
                </c:pt>
                <c:pt idx="457">
                  <c:v>0.80623712597599906</c:v>
                </c:pt>
                <c:pt idx="458">
                  <c:v>0.79752944205744603</c:v>
                </c:pt>
                <c:pt idx="459">
                  <c:v>0.770385296746393</c:v>
                </c:pt>
                <c:pt idx="460">
                  <c:v>0.75391090591570964</c:v>
                </c:pt>
                <c:pt idx="461">
                  <c:v>0.75266029768882881</c:v>
                </c:pt>
                <c:pt idx="462">
                  <c:v>0.74149796797814771</c:v>
                </c:pt>
                <c:pt idx="463">
                  <c:v>0.73778357988623411</c:v>
                </c:pt>
                <c:pt idx="464">
                  <c:v>0.73145626362711025</c:v>
                </c:pt>
                <c:pt idx="465">
                  <c:v>0.72388621689282473</c:v>
                </c:pt>
                <c:pt idx="466">
                  <c:v>0.71245074329902025</c:v>
                </c:pt>
                <c:pt idx="467">
                  <c:v>0.70856340622159841</c:v>
                </c:pt>
                <c:pt idx="468">
                  <c:v>0.66167789017086021</c:v>
                </c:pt>
                <c:pt idx="469">
                  <c:v>0.64637577476717778</c:v>
                </c:pt>
                <c:pt idx="470">
                  <c:v>0.60733897257294212</c:v>
                </c:pt>
                <c:pt idx="471">
                  <c:v>0.57141009894830619</c:v>
                </c:pt>
                <c:pt idx="472">
                  <c:v>0.56752546506804824</c:v>
                </c:pt>
                <c:pt idx="473">
                  <c:v>0.54636634099481041</c:v>
                </c:pt>
                <c:pt idx="474">
                  <c:v>0.53883714763658264</c:v>
                </c:pt>
                <c:pt idx="475">
                  <c:v>0.5011245534655715</c:v>
                </c:pt>
                <c:pt idx="476">
                  <c:v>0.48991340333593764</c:v>
                </c:pt>
                <c:pt idx="477">
                  <c:v>0.46400407917830711</c:v>
                </c:pt>
                <c:pt idx="478">
                  <c:v>0.45247390569724916</c:v>
                </c:pt>
                <c:pt idx="479">
                  <c:v>0.45247390569724916</c:v>
                </c:pt>
                <c:pt idx="480">
                  <c:v>0.42341185794150438</c:v>
                </c:pt>
                <c:pt idx="481">
                  <c:v>0.4210390552014075</c:v>
                </c:pt>
                <c:pt idx="482">
                  <c:v>0.42084422971501489</c:v>
                </c:pt>
                <c:pt idx="483">
                  <c:v>0.4066318127020338</c:v>
                </c:pt>
                <c:pt idx="484">
                  <c:v>0.40062787592568433</c:v>
                </c:pt>
                <c:pt idx="485">
                  <c:v>0.38474047560890118</c:v>
                </c:pt>
                <c:pt idx="486">
                  <c:v>0.33463146752025424</c:v>
                </c:pt>
                <c:pt idx="487">
                  <c:v>0.31219651977468221</c:v>
                </c:pt>
                <c:pt idx="488">
                  <c:v>0.30136016427146045</c:v>
                </c:pt>
                <c:pt idx="489">
                  <c:v>0.27037578324205364</c:v>
                </c:pt>
                <c:pt idx="490">
                  <c:v>0.26947809849459375</c:v>
                </c:pt>
                <c:pt idx="491">
                  <c:v>0.26543342883671495</c:v>
                </c:pt>
                <c:pt idx="492">
                  <c:v>0.25520647552063375</c:v>
                </c:pt>
                <c:pt idx="493">
                  <c:v>0.23406941121447558</c:v>
                </c:pt>
                <c:pt idx="494">
                  <c:v>0.23162139899446887</c:v>
                </c:pt>
                <c:pt idx="495">
                  <c:v>0.19742754540363222</c:v>
                </c:pt>
                <c:pt idx="496">
                  <c:v>0.15357337079016892</c:v>
                </c:pt>
                <c:pt idx="497">
                  <c:v>0.15139696524333179</c:v>
                </c:pt>
                <c:pt idx="498">
                  <c:v>0.12275733772600698</c:v>
                </c:pt>
                <c:pt idx="499">
                  <c:v>0.10626719379779873</c:v>
                </c:pt>
                <c:pt idx="500">
                  <c:v>0.10329973939704885</c:v>
                </c:pt>
                <c:pt idx="501">
                  <c:v>9.7776262236321271E-2</c:v>
                </c:pt>
                <c:pt idx="502">
                  <c:v>8.367605318388939E-2</c:v>
                </c:pt>
                <c:pt idx="503">
                  <c:v>5.7386308815746107E-2</c:v>
                </c:pt>
                <c:pt idx="504">
                  <c:v>3.471310959087498E-2</c:v>
                </c:pt>
                <c:pt idx="505">
                  <c:v>2.0388299774277932E-2</c:v>
                </c:pt>
                <c:pt idx="506">
                  <c:v>1.6477054247313997E-2</c:v>
                </c:pt>
                <c:pt idx="507">
                  <c:v>1.6477054247313997E-2</c:v>
                </c:pt>
                <c:pt idx="508">
                  <c:v>1.6477054247313997E-2</c:v>
                </c:pt>
                <c:pt idx="509">
                  <c:v>1.6477054247313997E-2</c:v>
                </c:pt>
                <c:pt idx="510">
                  <c:v>1.6477054247313997E-2</c:v>
                </c:pt>
                <c:pt idx="511">
                  <c:v>1.6477054247313997E-2</c:v>
                </c:pt>
                <c:pt idx="512">
                  <c:v>1.6477054247313997E-2</c:v>
                </c:pt>
                <c:pt idx="513">
                  <c:v>1.6477054247313997E-2</c:v>
                </c:pt>
                <c:pt idx="514">
                  <c:v>1.6477054247313997E-2</c:v>
                </c:pt>
                <c:pt idx="515">
                  <c:v>1.6477054247313997E-2</c:v>
                </c:pt>
                <c:pt idx="516">
                  <c:v>1.6477054247313997E-2</c:v>
                </c:pt>
                <c:pt idx="517">
                  <c:v>1.6477054247313997E-2</c:v>
                </c:pt>
                <c:pt idx="518">
                  <c:v>1.6477054247313997E-2</c:v>
                </c:pt>
                <c:pt idx="519">
                  <c:v>1.6477054247313997E-2</c:v>
                </c:pt>
                <c:pt idx="520">
                  <c:v>1.6477054247313997E-2</c:v>
                </c:pt>
                <c:pt idx="521">
                  <c:v>1.6477054247313997E-2</c:v>
                </c:pt>
                <c:pt idx="522">
                  <c:v>1.6477054247313997E-2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01-4B41-82E1-D4CE74B9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490648"/>
        <c:axId val="920490976"/>
      </c:scatterChart>
      <c:valAx>
        <c:axId val="92049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0976"/>
        <c:crosses val="autoZero"/>
        <c:crossBetween val="midCat"/>
      </c:valAx>
      <c:valAx>
        <c:axId val="9204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 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'User moves'!$D$2:$D$524</c:f>
              <c:numCache>
                <c:formatCode>General</c:formatCode>
                <c:ptCount val="5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10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12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15</c:v>
                </c:pt>
                <c:pt idx="492">
                  <c:v>16</c:v>
                </c:pt>
                <c:pt idx="493">
                  <c:v>17</c:v>
                </c:pt>
                <c:pt idx="494">
                  <c:v>17</c:v>
                </c:pt>
                <c:pt idx="495">
                  <c:v>18</c:v>
                </c:pt>
                <c:pt idx="496">
                  <c:v>18</c:v>
                </c:pt>
                <c:pt idx="497">
                  <c:v>23</c:v>
                </c:pt>
                <c:pt idx="498">
                  <c:v>24</c:v>
                </c:pt>
                <c:pt idx="499">
                  <c:v>25</c:v>
                </c:pt>
                <c:pt idx="500">
                  <c:v>26</c:v>
                </c:pt>
                <c:pt idx="501">
                  <c:v>26</c:v>
                </c:pt>
                <c:pt idx="502">
                  <c:v>26</c:v>
                </c:pt>
                <c:pt idx="503">
                  <c:v>29</c:v>
                </c:pt>
                <c:pt idx="504">
                  <c:v>29</c:v>
                </c:pt>
                <c:pt idx="505">
                  <c:v>32</c:v>
                </c:pt>
                <c:pt idx="506">
                  <c:v>32</c:v>
                </c:pt>
                <c:pt idx="507">
                  <c:v>32</c:v>
                </c:pt>
                <c:pt idx="508">
                  <c:v>35</c:v>
                </c:pt>
                <c:pt idx="509">
                  <c:v>37</c:v>
                </c:pt>
                <c:pt idx="510">
                  <c:v>38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44</c:v>
                </c:pt>
                <c:pt idx="521">
                  <c:v>51</c:v>
                </c:pt>
                <c:pt idx="522">
                  <c:v>56</c:v>
                </c:pt>
              </c:numCache>
            </c:numRef>
          </c:xVal>
          <c:yVal>
            <c:numRef>
              <c:f>'User moves'!$E$2:$E$524</c:f>
              <c:numCache>
                <c:formatCode>General</c:formatCode>
                <c:ptCount val="523"/>
                <c:pt idx="0">
                  <c:v>4.1066209829843638E-2</c:v>
                </c:pt>
                <c:pt idx="1">
                  <c:v>4.1066209829843638E-2</c:v>
                </c:pt>
                <c:pt idx="2">
                  <c:v>4.1066209829843638E-2</c:v>
                </c:pt>
                <c:pt idx="3">
                  <c:v>4.1066209829843638E-2</c:v>
                </c:pt>
                <c:pt idx="4">
                  <c:v>4.1066209829843638E-2</c:v>
                </c:pt>
                <c:pt idx="5">
                  <c:v>4.1066209829843638E-2</c:v>
                </c:pt>
                <c:pt idx="6">
                  <c:v>4.1066209829843638E-2</c:v>
                </c:pt>
                <c:pt idx="7">
                  <c:v>4.1066209829843638E-2</c:v>
                </c:pt>
                <c:pt idx="8">
                  <c:v>4.1066209829843638E-2</c:v>
                </c:pt>
                <c:pt idx="9">
                  <c:v>4.1066209829843638E-2</c:v>
                </c:pt>
                <c:pt idx="10">
                  <c:v>4.1066209829843638E-2</c:v>
                </c:pt>
                <c:pt idx="11">
                  <c:v>4.1066209829843638E-2</c:v>
                </c:pt>
                <c:pt idx="12">
                  <c:v>4.1066209829843638E-2</c:v>
                </c:pt>
                <c:pt idx="13">
                  <c:v>4.1066209829843638E-2</c:v>
                </c:pt>
                <c:pt idx="14">
                  <c:v>4.1066209829843638E-2</c:v>
                </c:pt>
                <c:pt idx="15">
                  <c:v>4.1066209829843638E-2</c:v>
                </c:pt>
                <c:pt idx="16">
                  <c:v>4.1066209829843638E-2</c:v>
                </c:pt>
                <c:pt idx="17">
                  <c:v>4.1066209829843638E-2</c:v>
                </c:pt>
                <c:pt idx="18">
                  <c:v>4.1066209829843638E-2</c:v>
                </c:pt>
                <c:pt idx="19">
                  <c:v>4.1066209829843638E-2</c:v>
                </c:pt>
                <c:pt idx="20">
                  <c:v>4.1066209829843638E-2</c:v>
                </c:pt>
                <c:pt idx="21">
                  <c:v>4.1066209829843638E-2</c:v>
                </c:pt>
                <c:pt idx="22">
                  <c:v>4.1066209829843638E-2</c:v>
                </c:pt>
                <c:pt idx="23">
                  <c:v>4.1066209829843638E-2</c:v>
                </c:pt>
                <c:pt idx="24">
                  <c:v>4.1066209829843638E-2</c:v>
                </c:pt>
                <c:pt idx="25">
                  <c:v>4.1066209829843638E-2</c:v>
                </c:pt>
                <c:pt idx="26">
                  <c:v>4.1066209829843638E-2</c:v>
                </c:pt>
                <c:pt idx="27">
                  <c:v>4.1066209829843638E-2</c:v>
                </c:pt>
                <c:pt idx="28">
                  <c:v>4.1066209829843638E-2</c:v>
                </c:pt>
                <c:pt idx="29">
                  <c:v>4.1066209829843638E-2</c:v>
                </c:pt>
                <c:pt idx="30">
                  <c:v>4.1066209829843638E-2</c:v>
                </c:pt>
                <c:pt idx="31">
                  <c:v>4.1066209829843638E-2</c:v>
                </c:pt>
                <c:pt idx="32">
                  <c:v>4.1066209829843638E-2</c:v>
                </c:pt>
                <c:pt idx="33">
                  <c:v>4.1066209829843638E-2</c:v>
                </c:pt>
                <c:pt idx="34">
                  <c:v>4.1066209829843638E-2</c:v>
                </c:pt>
                <c:pt idx="35">
                  <c:v>4.1066209829843638E-2</c:v>
                </c:pt>
                <c:pt idx="36">
                  <c:v>4.1066209829843638E-2</c:v>
                </c:pt>
                <c:pt idx="37">
                  <c:v>4.1066209829843638E-2</c:v>
                </c:pt>
                <c:pt idx="38">
                  <c:v>4.1066209829843638E-2</c:v>
                </c:pt>
                <c:pt idx="39">
                  <c:v>4.1066209829843638E-2</c:v>
                </c:pt>
                <c:pt idx="40">
                  <c:v>4.1066209829843638E-2</c:v>
                </c:pt>
                <c:pt idx="41">
                  <c:v>4.1066209829843638E-2</c:v>
                </c:pt>
                <c:pt idx="42">
                  <c:v>4.1066209829843638E-2</c:v>
                </c:pt>
                <c:pt idx="43">
                  <c:v>4.1066209829843638E-2</c:v>
                </c:pt>
                <c:pt idx="44">
                  <c:v>4.1066209829843638E-2</c:v>
                </c:pt>
                <c:pt idx="45">
                  <c:v>4.1066209829843638E-2</c:v>
                </c:pt>
                <c:pt idx="46">
                  <c:v>4.1066209829843638E-2</c:v>
                </c:pt>
                <c:pt idx="47">
                  <c:v>4.1066209829843638E-2</c:v>
                </c:pt>
                <c:pt idx="48">
                  <c:v>4.1066209829843638E-2</c:v>
                </c:pt>
                <c:pt idx="49">
                  <c:v>4.1066209829843638E-2</c:v>
                </c:pt>
                <c:pt idx="50">
                  <c:v>4.1066209829843638E-2</c:v>
                </c:pt>
                <c:pt idx="51">
                  <c:v>4.1066209829843638E-2</c:v>
                </c:pt>
                <c:pt idx="52">
                  <c:v>4.1066209829843638E-2</c:v>
                </c:pt>
                <c:pt idx="53">
                  <c:v>4.1066209829843638E-2</c:v>
                </c:pt>
                <c:pt idx="54">
                  <c:v>4.1066209829843638E-2</c:v>
                </c:pt>
                <c:pt idx="55">
                  <c:v>4.1066209829843638E-2</c:v>
                </c:pt>
                <c:pt idx="56">
                  <c:v>4.1066209829843638E-2</c:v>
                </c:pt>
                <c:pt idx="57">
                  <c:v>4.1066209829843638E-2</c:v>
                </c:pt>
                <c:pt idx="58">
                  <c:v>4.1066209829843638E-2</c:v>
                </c:pt>
                <c:pt idx="59">
                  <c:v>4.1066209829843638E-2</c:v>
                </c:pt>
                <c:pt idx="60">
                  <c:v>4.1066209829843638E-2</c:v>
                </c:pt>
                <c:pt idx="61">
                  <c:v>4.1066209829843638E-2</c:v>
                </c:pt>
                <c:pt idx="62">
                  <c:v>4.1066209829843638E-2</c:v>
                </c:pt>
                <c:pt idx="63">
                  <c:v>4.1066209829843638E-2</c:v>
                </c:pt>
                <c:pt idx="64">
                  <c:v>4.1066209829843638E-2</c:v>
                </c:pt>
                <c:pt idx="65">
                  <c:v>4.1066209829843638E-2</c:v>
                </c:pt>
                <c:pt idx="66">
                  <c:v>4.1066209829843638E-2</c:v>
                </c:pt>
                <c:pt idx="67">
                  <c:v>4.1066209829843638E-2</c:v>
                </c:pt>
                <c:pt idx="68">
                  <c:v>4.4406592584313148E-2</c:v>
                </c:pt>
                <c:pt idx="69">
                  <c:v>4.4406592584313148E-2</c:v>
                </c:pt>
                <c:pt idx="70">
                  <c:v>4.4406592584313148E-2</c:v>
                </c:pt>
                <c:pt idx="71">
                  <c:v>4.4406592584313148E-2</c:v>
                </c:pt>
                <c:pt idx="72">
                  <c:v>4.4406592584313148E-2</c:v>
                </c:pt>
                <c:pt idx="73">
                  <c:v>4.4406592584313148E-2</c:v>
                </c:pt>
                <c:pt idx="74">
                  <c:v>4.4406592584313148E-2</c:v>
                </c:pt>
                <c:pt idx="75">
                  <c:v>4.4406592584313148E-2</c:v>
                </c:pt>
                <c:pt idx="76">
                  <c:v>4.4406592584313148E-2</c:v>
                </c:pt>
                <c:pt idx="77">
                  <c:v>4.4406592584313148E-2</c:v>
                </c:pt>
                <c:pt idx="78">
                  <c:v>4.4406592584313148E-2</c:v>
                </c:pt>
                <c:pt idx="79">
                  <c:v>4.4406592584313148E-2</c:v>
                </c:pt>
                <c:pt idx="80">
                  <c:v>4.4406592584313148E-2</c:v>
                </c:pt>
                <c:pt idx="81">
                  <c:v>4.4406592584313148E-2</c:v>
                </c:pt>
                <c:pt idx="82">
                  <c:v>4.4406592584313148E-2</c:v>
                </c:pt>
                <c:pt idx="83">
                  <c:v>4.4406592584313148E-2</c:v>
                </c:pt>
                <c:pt idx="84">
                  <c:v>4.4406592584313148E-2</c:v>
                </c:pt>
                <c:pt idx="85">
                  <c:v>4.4406592584313148E-2</c:v>
                </c:pt>
                <c:pt idx="86">
                  <c:v>4.4406592584313148E-2</c:v>
                </c:pt>
                <c:pt idx="87">
                  <c:v>4.4406592584313148E-2</c:v>
                </c:pt>
                <c:pt idx="88">
                  <c:v>4.4406592584313148E-2</c:v>
                </c:pt>
                <c:pt idx="89">
                  <c:v>4.4406592584313148E-2</c:v>
                </c:pt>
                <c:pt idx="90">
                  <c:v>4.4406592584313148E-2</c:v>
                </c:pt>
                <c:pt idx="91">
                  <c:v>4.4406592584313148E-2</c:v>
                </c:pt>
                <c:pt idx="92">
                  <c:v>4.4406592584313148E-2</c:v>
                </c:pt>
                <c:pt idx="93">
                  <c:v>4.4406592584313148E-2</c:v>
                </c:pt>
                <c:pt idx="94">
                  <c:v>4.4406592584313148E-2</c:v>
                </c:pt>
                <c:pt idx="95">
                  <c:v>4.4406592584313148E-2</c:v>
                </c:pt>
                <c:pt idx="96">
                  <c:v>4.4406592584313148E-2</c:v>
                </c:pt>
                <c:pt idx="97">
                  <c:v>4.4406592584313148E-2</c:v>
                </c:pt>
                <c:pt idx="98">
                  <c:v>4.4406592584313148E-2</c:v>
                </c:pt>
                <c:pt idx="99">
                  <c:v>4.4406592584313148E-2</c:v>
                </c:pt>
                <c:pt idx="100">
                  <c:v>4.4406592584313148E-2</c:v>
                </c:pt>
                <c:pt idx="101">
                  <c:v>4.4406592584313148E-2</c:v>
                </c:pt>
                <c:pt idx="102">
                  <c:v>4.4406592584313148E-2</c:v>
                </c:pt>
                <c:pt idx="103">
                  <c:v>4.4406592584313148E-2</c:v>
                </c:pt>
                <c:pt idx="104">
                  <c:v>4.4406592584313148E-2</c:v>
                </c:pt>
                <c:pt idx="105">
                  <c:v>4.4406592584313148E-2</c:v>
                </c:pt>
                <c:pt idx="106">
                  <c:v>4.4406592584313148E-2</c:v>
                </c:pt>
                <c:pt idx="107">
                  <c:v>4.4406592584313148E-2</c:v>
                </c:pt>
                <c:pt idx="108">
                  <c:v>4.4406592584313148E-2</c:v>
                </c:pt>
                <c:pt idx="109">
                  <c:v>4.4406592584313148E-2</c:v>
                </c:pt>
                <c:pt idx="110">
                  <c:v>4.4406592584313148E-2</c:v>
                </c:pt>
                <c:pt idx="111">
                  <c:v>4.4406592584313148E-2</c:v>
                </c:pt>
                <c:pt idx="112">
                  <c:v>4.4406592584313148E-2</c:v>
                </c:pt>
                <c:pt idx="113">
                  <c:v>4.4406592584313148E-2</c:v>
                </c:pt>
                <c:pt idx="114">
                  <c:v>4.4406592584313148E-2</c:v>
                </c:pt>
                <c:pt idx="115">
                  <c:v>4.7227090726384854E-2</c:v>
                </c:pt>
                <c:pt idx="116">
                  <c:v>4.7227090726384854E-2</c:v>
                </c:pt>
                <c:pt idx="117">
                  <c:v>4.7227090726384854E-2</c:v>
                </c:pt>
                <c:pt idx="118">
                  <c:v>4.7227090726384854E-2</c:v>
                </c:pt>
                <c:pt idx="119">
                  <c:v>4.7227090726384854E-2</c:v>
                </c:pt>
                <c:pt idx="120">
                  <c:v>4.7227090726384854E-2</c:v>
                </c:pt>
                <c:pt idx="121">
                  <c:v>4.7227090726384854E-2</c:v>
                </c:pt>
                <c:pt idx="122">
                  <c:v>4.7227090726384854E-2</c:v>
                </c:pt>
                <c:pt idx="123">
                  <c:v>4.7227090726384854E-2</c:v>
                </c:pt>
                <c:pt idx="124">
                  <c:v>4.7227090726384854E-2</c:v>
                </c:pt>
                <c:pt idx="125">
                  <c:v>4.7227090726384854E-2</c:v>
                </c:pt>
                <c:pt idx="126">
                  <c:v>4.7227090726384854E-2</c:v>
                </c:pt>
                <c:pt idx="127">
                  <c:v>4.7227090726384854E-2</c:v>
                </c:pt>
                <c:pt idx="128">
                  <c:v>4.7227090726384854E-2</c:v>
                </c:pt>
                <c:pt idx="129">
                  <c:v>4.7227090726384854E-2</c:v>
                </c:pt>
                <c:pt idx="130">
                  <c:v>4.7227090726384854E-2</c:v>
                </c:pt>
                <c:pt idx="131">
                  <c:v>4.7227090726384854E-2</c:v>
                </c:pt>
                <c:pt idx="132">
                  <c:v>4.7227090726384854E-2</c:v>
                </c:pt>
                <c:pt idx="133">
                  <c:v>4.7227090726384854E-2</c:v>
                </c:pt>
                <c:pt idx="134">
                  <c:v>4.7227090726384854E-2</c:v>
                </c:pt>
                <c:pt idx="135">
                  <c:v>4.7227090726384854E-2</c:v>
                </c:pt>
                <c:pt idx="136">
                  <c:v>4.7227090726384854E-2</c:v>
                </c:pt>
                <c:pt idx="137">
                  <c:v>4.7227090726384854E-2</c:v>
                </c:pt>
                <c:pt idx="138">
                  <c:v>4.7227090726384854E-2</c:v>
                </c:pt>
                <c:pt idx="139">
                  <c:v>4.7227090726384854E-2</c:v>
                </c:pt>
                <c:pt idx="140">
                  <c:v>4.7227090726384854E-2</c:v>
                </c:pt>
                <c:pt idx="141">
                  <c:v>4.7227090726384854E-2</c:v>
                </c:pt>
                <c:pt idx="142">
                  <c:v>4.7227090726384854E-2</c:v>
                </c:pt>
                <c:pt idx="143">
                  <c:v>4.7227090726384854E-2</c:v>
                </c:pt>
                <c:pt idx="144">
                  <c:v>4.7227090726384854E-2</c:v>
                </c:pt>
                <c:pt idx="145">
                  <c:v>4.7227090726384854E-2</c:v>
                </c:pt>
                <c:pt idx="146">
                  <c:v>4.7227090726384854E-2</c:v>
                </c:pt>
                <c:pt idx="147">
                  <c:v>4.7227090726384854E-2</c:v>
                </c:pt>
                <c:pt idx="148">
                  <c:v>4.7227090726384854E-2</c:v>
                </c:pt>
                <c:pt idx="149">
                  <c:v>4.7227090726384854E-2</c:v>
                </c:pt>
                <c:pt idx="150">
                  <c:v>4.7227090726384854E-2</c:v>
                </c:pt>
                <c:pt idx="151">
                  <c:v>4.7227090726384854E-2</c:v>
                </c:pt>
                <c:pt idx="152">
                  <c:v>4.7227090726384854E-2</c:v>
                </c:pt>
                <c:pt idx="153">
                  <c:v>4.7227090726384854E-2</c:v>
                </c:pt>
                <c:pt idx="154">
                  <c:v>4.7227090726384854E-2</c:v>
                </c:pt>
                <c:pt idx="155">
                  <c:v>4.7227090726384854E-2</c:v>
                </c:pt>
                <c:pt idx="156">
                  <c:v>4.7227090726384854E-2</c:v>
                </c:pt>
                <c:pt idx="157">
                  <c:v>4.7227090726384854E-2</c:v>
                </c:pt>
                <c:pt idx="158">
                  <c:v>4.7227090726384854E-2</c:v>
                </c:pt>
                <c:pt idx="159">
                  <c:v>4.7227090726384854E-2</c:v>
                </c:pt>
                <c:pt idx="160">
                  <c:v>4.7227090726384854E-2</c:v>
                </c:pt>
                <c:pt idx="161">
                  <c:v>4.7227090726384854E-2</c:v>
                </c:pt>
                <c:pt idx="162">
                  <c:v>4.7227090726384854E-2</c:v>
                </c:pt>
                <c:pt idx="163">
                  <c:v>4.7227090726384854E-2</c:v>
                </c:pt>
                <c:pt idx="164">
                  <c:v>4.7227090726384854E-2</c:v>
                </c:pt>
                <c:pt idx="165">
                  <c:v>4.7227090726384854E-2</c:v>
                </c:pt>
                <c:pt idx="166">
                  <c:v>4.7227090726384854E-2</c:v>
                </c:pt>
                <c:pt idx="167">
                  <c:v>4.7227090726384854E-2</c:v>
                </c:pt>
                <c:pt idx="168">
                  <c:v>4.7227090726384854E-2</c:v>
                </c:pt>
                <c:pt idx="169">
                  <c:v>4.7227090726384854E-2</c:v>
                </c:pt>
                <c:pt idx="170">
                  <c:v>4.7227090726384854E-2</c:v>
                </c:pt>
                <c:pt idx="171">
                  <c:v>4.7227090726384854E-2</c:v>
                </c:pt>
                <c:pt idx="172">
                  <c:v>4.7227090726384854E-2</c:v>
                </c:pt>
                <c:pt idx="173">
                  <c:v>4.7227090726384854E-2</c:v>
                </c:pt>
                <c:pt idx="174">
                  <c:v>4.7227090726384854E-2</c:v>
                </c:pt>
                <c:pt idx="175">
                  <c:v>4.7227090726384854E-2</c:v>
                </c:pt>
                <c:pt idx="176">
                  <c:v>4.7227090726384854E-2</c:v>
                </c:pt>
                <c:pt idx="177">
                  <c:v>4.7227090726384854E-2</c:v>
                </c:pt>
                <c:pt idx="178">
                  <c:v>4.7227090726384854E-2</c:v>
                </c:pt>
                <c:pt idx="179">
                  <c:v>4.7227090726384854E-2</c:v>
                </c:pt>
                <c:pt idx="180">
                  <c:v>4.7227090726384854E-2</c:v>
                </c:pt>
                <c:pt idx="181">
                  <c:v>4.7227090726384854E-2</c:v>
                </c:pt>
                <c:pt idx="182">
                  <c:v>4.7227090726384854E-2</c:v>
                </c:pt>
                <c:pt idx="183">
                  <c:v>4.7227090726384854E-2</c:v>
                </c:pt>
                <c:pt idx="184">
                  <c:v>4.7227090726384854E-2</c:v>
                </c:pt>
                <c:pt idx="185">
                  <c:v>4.7227090726384854E-2</c:v>
                </c:pt>
                <c:pt idx="186">
                  <c:v>4.7227090726384854E-2</c:v>
                </c:pt>
                <c:pt idx="187">
                  <c:v>4.7227090726384854E-2</c:v>
                </c:pt>
                <c:pt idx="188">
                  <c:v>4.7227090726384854E-2</c:v>
                </c:pt>
                <c:pt idx="189">
                  <c:v>4.7227090726384854E-2</c:v>
                </c:pt>
                <c:pt idx="190">
                  <c:v>4.7227090726384854E-2</c:v>
                </c:pt>
                <c:pt idx="191">
                  <c:v>4.7227090726384854E-2</c:v>
                </c:pt>
                <c:pt idx="192">
                  <c:v>4.7227090726384854E-2</c:v>
                </c:pt>
                <c:pt idx="193">
                  <c:v>4.7227090726384854E-2</c:v>
                </c:pt>
                <c:pt idx="194">
                  <c:v>4.7227090726384854E-2</c:v>
                </c:pt>
                <c:pt idx="195">
                  <c:v>4.7227090726384854E-2</c:v>
                </c:pt>
                <c:pt idx="196">
                  <c:v>4.7227090726384854E-2</c:v>
                </c:pt>
                <c:pt idx="197">
                  <c:v>4.9398737638462989E-2</c:v>
                </c:pt>
                <c:pt idx="198">
                  <c:v>4.9398737638462989E-2</c:v>
                </c:pt>
                <c:pt idx="199">
                  <c:v>4.9398737638462989E-2</c:v>
                </c:pt>
                <c:pt idx="200">
                  <c:v>4.9398737638462989E-2</c:v>
                </c:pt>
                <c:pt idx="201">
                  <c:v>4.9398737638462989E-2</c:v>
                </c:pt>
                <c:pt idx="202">
                  <c:v>4.9398737638462989E-2</c:v>
                </c:pt>
                <c:pt idx="203">
                  <c:v>4.9398737638462989E-2</c:v>
                </c:pt>
                <c:pt idx="204">
                  <c:v>4.9398737638462989E-2</c:v>
                </c:pt>
                <c:pt idx="205">
                  <c:v>4.9398737638462989E-2</c:v>
                </c:pt>
                <c:pt idx="206">
                  <c:v>4.9398737638462989E-2</c:v>
                </c:pt>
                <c:pt idx="207">
                  <c:v>4.9398737638462989E-2</c:v>
                </c:pt>
                <c:pt idx="208">
                  <c:v>4.9398737638462989E-2</c:v>
                </c:pt>
                <c:pt idx="209">
                  <c:v>4.9398737638462989E-2</c:v>
                </c:pt>
                <c:pt idx="210">
                  <c:v>4.9398737638462989E-2</c:v>
                </c:pt>
                <c:pt idx="211">
                  <c:v>4.9398737638462989E-2</c:v>
                </c:pt>
                <c:pt idx="212">
                  <c:v>4.9398737638462989E-2</c:v>
                </c:pt>
                <c:pt idx="213">
                  <c:v>4.9398737638462989E-2</c:v>
                </c:pt>
                <c:pt idx="214">
                  <c:v>4.9398737638462989E-2</c:v>
                </c:pt>
                <c:pt idx="215">
                  <c:v>4.9398737638462989E-2</c:v>
                </c:pt>
                <c:pt idx="216">
                  <c:v>4.9398737638462989E-2</c:v>
                </c:pt>
                <c:pt idx="217">
                  <c:v>4.9398737638462989E-2</c:v>
                </c:pt>
                <c:pt idx="218">
                  <c:v>4.9398737638462989E-2</c:v>
                </c:pt>
                <c:pt idx="219">
                  <c:v>4.9398737638462989E-2</c:v>
                </c:pt>
                <c:pt idx="220">
                  <c:v>4.9398737638462989E-2</c:v>
                </c:pt>
                <c:pt idx="221">
                  <c:v>4.9398737638462989E-2</c:v>
                </c:pt>
                <c:pt idx="222">
                  <c:v>4.9398737638462989E-2</c:v>
                </c:pt>
                <c:pt idx="223">
                  <c:v>4.9398737638462989E-2</c:v>
                </c:pt>
                <c:pt idx="224">
                  <c:v>4.9398737638462989E-2</c:v>
                </c:pt>
                <c:pt idx="225">
                  <c:v>4.9398737638462989E-2</c:v>
                </c:pt>
                <c:pt idx="226">
                  <c:v>4.9398737638462989E-2</c:v>
                </c:pt>
                <c:pt idx="227">
                  <c:v>4.9398737638462989E-2</c:v>
                </c:pt>
                <c:pt idx="228">
                  <c:v>4.9398737638462989E-2</c:v>
                </c:pt>
                <c:pt idx="229">
                  <c:v>4.9398737638462989E-2</c:v>
                </c:pt>
                <c:pt idx="230">
                  <c:v>4.9398737638462989E-2</c:v>
                </c:pt>
                <c:pt idx="231">
                  <c:v>4.9398737638462989E-2</c:v>
                </c:pt>
                <c:pt idx="232">
                  <c:v>4.9398737638462989E-2</c:v>
                </c:pt>
                <c:pt idx="233">
                  <c:v>4.9398737638462989E-2</c:v>
                </c:pt>
                <c:pt idx="234">
                  <c:v>4.9398737638462989E-2</c:v>
                </c:pt>
                <c:pt idx="235">
                  <c:v>4.9398737638462989E-2</c:v>
                </c:pt>
                <c:pt idx="236">
                  <c:v>4.9398737638462989E-2</c:v>
                </c:pt>
                <c:pt idx="237">
                  <c:v>4.9398737638462989E-2</c:v>
                </c:pt>
                <c:pt idx="238">
                  <c:v>4.9398737638462989E-2</c:v>
                </c:pt>
                <c:pt idx="239">
                  <c:v>4.9398737638462989E-2</c:v>
                </c:pt>
                <c:pt idx="240">
                  <c:v>4.9398737638462989E-2</c:v>
                </c:pt>
                <c:pt idx="241">
                  <c:v>4.9398737638462989E-2</c:v>
                </c:pt>
                <c:pt idx="242">
                  <c:v>4.9398737638462989E-2</c:v>
                </c:pt>
                <c:pt idx="243">
                  <c:v>4.9398737638462989E-2</c:v>
                </c:pt>
                <c:pt idx="244">
                  <c:v>4.9398737638462989E-2</c:v>
                </c:pt>
                <c:pt idx="245">
                  <c:v>4.9398737638462989E-2</c:v>
                </c:pt>
                <c:pt idx="246">
                  <c:v>4.9398737638462989E-2</c:v>
                </c:pt>
                <c:pt idx="247">
                  <c:v>4.9398737638462989E-2</c:v>
                </c:pt>
                <c:pt idx="248">
                  <c:v>4.9398737638462989E-2</c:v>
                </c:pt>
                <c:pt idx="249">
                  <c:v>4.9398737638462989E-2</c:v>
                </c:pt>
                <c:pt idx="250">
                  <c:v>4.9398737638462989E-2</c:v>
                </c:pt>
                <c:pt idx="251">
                  <c:v>4.9398737638462989E-2</c:v>
                </c:pt>
                <c:pt idx="252">
                  <c:v>4.9398737638462989E-2</c:v>
                </c:pt>
                <c:pt idx="253">
                  <c:v>4.9398737638462989E-2</c:v>
                </c:pt>
                <c:pt idx="254">
                  <c:v>4.9398737638462989E-2</c:v>
                </c:pt>
                <c:pt idx="255">
                  <c:v>4.9398737638462989E-2</c:v>
                </c:pt>
                <c:pt idx="256">
                  <c:v>4.9398737638462989E-2</c:v>
                </c:pt>
                <c:pt idx="257">
                  <c:v>4.9398737638462989E-2</c:v>
                </c:pt>
                <c:pt idx="258">
                  <c:v>4.9398737638462989E-2</c:v>
                </c:pt>
                <c:pt idx="259">
                  <c:v>4.9398737638462989E-2</c:v>
                </c:pt>
                <c:pt idx="260">
                  <c:v>4.9398737638462989E-2</c:v>
                </c:pt>
                <c:pt idx="261">
                  <c:v>4.9398737638462989E-2</c:v>
                </c:pt>
                <c:pt idx="262">
                  <c:v>4.9398737638462989E-2</c:v>
                </c:pt>
                <c:pt idx="263">
                  <c:v>4.9398737638462989E-2</c:v>
                </c:pt>
                <c:pt idx="264">
                  <c:v>4.9398737638462989E-2</c:v>
                </c:pt>
                <c:pt idx="265">
                  <c:v>4.9398737638462989E-2</c:v>
                </c:pt>
                <c:pt idx="266">
                  <c:v>4.9398737638462989E-2</c:v>
                </c:pt>
                <c:pt idx="267">
                  <c:v>4.9398737638462989E-2</c:v>
                </c:pt>
                <c:pt idx="268">
                  <c:v>4.9398737638462989E-2</c:v>
                </c:pt>
                <c:pt idx="269">
                  <c:v>4.9398737638462989E-2</c:v>
                </c:pt>
                <c:pt idx="270">
                  <c:v>5.081845103484639E-2</c:v>
                </c:pt>
                <c:pt idx="271">
                  <c:v>5.081845103484639E-2</c:v>
                </c:pt>
                <c:pt idx="272">
                  <c:v>5.081845103484639E-2</c:v>
                </c:pt>
                <c:pt idx="273">
                  <c:v>5.081845103484639E-2</c:v>
                </c:pt>
                <c:pt idx="274">
                  <c:v>5.081845103484639E-2</c:v>
                </c:pt>
                <c:pt idx="275">
                  <c:v>5.081845103484639E-2</c:v>
                </c:pt>
                <c:pt idx="276">
                  <c:v>5.081845103484639E-2</c:v>
                </c:pt>
                <c:pt idx="277">
                  <c:v>5.081845103484639E-2</c:v>
                </c:pt>
                <c:pt idx="278">
                  <c:v>5.081845103484639E-2</c:v>
                </c:pt>
                <c:pt idx="279">
                  <c:v>5.081845103484639E-2</c:v>
                </c:pt>
                <c:pt idx="280">
                  <c:v>5.081845103484639E-2</c:v>
                </c:pt>
                <c:pt idx="281">
                  <c:v>5.081845103484639E-2</c:v>
                </c:pt>
                <c:pt idx="282">
                  <c:v>5.081845103484639E-2</c:v>
                </c:pt>
                <c:pt idx="283">
                  <c:v>5.081845103484639E-2</c:v>
                </c:pt>
                <c:pt idx="284">
                  <c:v>5.081845103484639E-2</c:v>
                </c:pt>
                <c:pt idx="285">
                  <c:v>5.081845103484639E-2</c:v>
                </c:pt>
                <c:pt idx="286">
                  <c:v>5.081845103484639E-2</c:v>
                </c:pt>
                <c:pt idx="287">
                  <c:v>5.081845103484639E-2</c:v>
                </c:pt>
                <c:pt idx="288">
                  <c:v>5.081845103484639E-2</c:v>
                </c:pt>
                <c:pt idx="289">
                  <c:v>5.081845103484639E-2</c:v>
                </c:pt>
                <c:pt idx="290">
                  <c:v>5.081845103484639E-2</c:v>
                </c:pt>
                <c:pt idx="291">
                  <c:v>5.081845103484639E-2</c:v>
                </c:pt>
                <c:pt idx="292">
                  <c:v>5.081845103484639E-2</c:v>
                </c:pt>
                <c:pt idx="293">
                  <c:v>5.081845103484639E-2</c:v>
                </c:pt>
                <c:pt idx="294">
                  <c:v>5.081845103484639E-2</c:v>
                </c:pt>
                <c:pt idx="295">
                  <c:v>5.081845103484639E-2</c:v>
                </c:pt>
                <c:pt idx="296">
                  <c:v>5.081845103484639E-2</c:v>
                </c:pt>
                <c:pt idx="297">
                  <c:v>5.081845103484639E-2</c:v>
                </c:pt>
                <c:pt idx="298">
                  <c:v>5.081845103484639E-2</c:v>
                </c:pt>
                <c:pt idx="299">
                  <c:v>5.081845103484639E-2</c:v>
                </c:pt>
                <c:pt idx="300">
                  <c:v>5.081845103484639E-2</c:v>
                </c:pt>
                <c:pt idx="301">
                  <c:v>5.081845103484639E-2</c:v>
                </c:pt>
                <c:pt idx="302">
                  <c:v>5.081845103484639E-2</c:v>
                </c:pt>
                <c:pt idx="303">
                  <c:v>5.081845103484639E-2</c:v>
                </c:pt>
                <c:pt idx="304">
                  <c:v>5.081845103484639E-2</c:v>
                </c:pt>
                <c:pt idx="305">
                  <c:v>5.081845103484639E-2</c:v>
                </c:pt>
                <c:pt idx="306">
                  <c:v>5.081845103484639E-2</c:v>
                </c:pt>
                <c:pt idx="307">
                  <c:v>5.081845103484639E-2</c:v>
                </c:pt>
                <c:pt idx="308">
                  <c:v>5.081845103484639E-2</c:v>
                </c:pt>
                <c:pt idx="309">
                  <c:v>5.081845103484639E-2</c:v>
                </c:pt>
                <c:pt idx="310">
                  <c:v>5.081845103484639E-2</c:v>
                </c:pt>
                <c:pt idx="311">
                  <c:v>5.081845103484639E-2</c:v>
                </c:pt>
                <c:pt idx="312">
                  <c:v>5.081845103484639E-2</c:v>
                </c:pt>
                <c:pt idx="313">
                  <c:v>5.081845103484639E-2</c:v>
                </c:pt>
                <c:pt idx="314">
                  <c:v>5.081845103484639E-2</c:v>
                </c:pt>
                <c:pt idx="315">
                  <c:v>5.081845103484639E-2</c:v>
                </c:pt>
                <c:pt idx="316">
                  <c:v>5.081845103484639E-2</c:v>
                </c:pt>
                <c:pt idx="317">
                  <c:v>5.081845103484639E-2</c:v>
                </c:pt>
                <c:pt idx="318">
                  <c:v>5.081845103484639E-2</c:v>
                </c:pt>
                <c:pt idx="319">
                  <c:v>5.081845103484639E-2</c:v>
                </c:pt>
                <c:pt idx="320">
                  <c:v>5.081845103484639E-2</c:v>
                </c:pt>
                <c:pt idx="321">
                  <c:v>5.081845103484639E-2</c:v>
                </c:pt>
                <c:pt idx="322">
                  <c:v>5.081845103484639E-2</c:v>
                </c:pt>
                <c:pt idx="323">
                  <c:v>5.081845103484639E-2</c:v>
                </c:pt>
                <c:pt idx="324">
                  <c:v>5.081845103484639E-2</c:v>
                </c:pt>
                <c:pt idx="325">
                  <c:v>5.081845103484639E-2</c:v>
                </c:pt>
                <c:pt idx="326">
                  <c:v>5.081845103484639E-2</c:v>
                </c:pt>
                <c:pt idx="327">
                  <c:v>5.081845103484639E-2</c:v>
                </c:pt>
                <c:pt idx="328">
                  <c:v>5.081845103484639E-2</c:v>
                </c:pt>
                <c:pt idx="329">
                  <c:v>5.081845103484639E-2</c:v>
                </c:pt>
                <c:pt idx="330">
                  <c:v>5.081845103484639E-2</c:v>
                </c:pt>
                <c:pt idx="331">
                  <c:v>5.081845103484639E-2</c:v>
                </c:pt>
                <c:pt idx="332">
                  <c:v>5.081845103484639E-2</c:v>
                </c:pt>
                <c:pt idx="333">
                  <c:v>5.081845103484639E-2</c:v>
                </c:pt>
                <c:pt idx="334">
                  <c:v>5.081845103484639E-2</c:v>
                </c:pt>
                <c:pt idx="335">
                  <c:v>5.081845103484639E-2</c:v>
                </c:pt>
                <c:pt idx="336">
                  <c:v>5.081845103484639E-2</c:v>
                </c:pt>
                <c:pt idx="337">
                  <c:v>5.081845103484639E-2</c:v>
                </c:pt>
                <c:pt idx="338">
                  <c:v>5.081845103484639E-2</c:v>
                </c:pt>
                <c:pt idx="339">
                  <c:v>5.081845103484639E-2</c:v>
                </c:pt>
                <c:pt idx="340">
                  <c:v>5.081845103484639E-2</c:v>
                </c:pt>
                <c:pt idx="341">
                  <c:v>5.081845103484639E-2</c:v>
                </c:pt>
                <c:pt idx="342">
                  <c:v>5.081845103484639E-2</c:v>
                </c:pt>
                <c:pt idx="343">
                  <c:v>5.081845103484639E-2</c:v>
                </c:pt>
                <c:pt idx="344">
                  <c:v>5.1417139387671555E-2</c:v>
                </c:pt>
                <c:pt idx="345">
                  <c:v>5.1417139387671555E-2</c:v>
                </c:pt>
                <c:pt idx="346">
                  <c:v>5.1417139387671555E-2</c:v>
                </c:pt>
                <c:pt idx="347">
                  <c:v>5.1417139387671555E-2</c:v>
                </c:pt>
                <c:pt idx="348">
                  <c:v>5.1417139387671555E-2</c:v>
                </c:pt>
                <c:pt idx="349">
                  <c:v>5.1417139387671555E-2</c:v>
                </c:pt>
                <c:pt idx="350">
                  <c:v>5.1417139387671555E-2</c:v>
                </c:pt>
                <c:pt idx="351">
                  <c:v>5.1417139387671555E-2</c:v>
                </c:pt>
                <c:pt idx="352">
                  <c:v>5.1417139387671555E-2</c:v>
                </c:pt>
                <c:pt idx="353">
                  <c:v>5.1417139387671555E-2</c:v>
                </c:pt>
                <c:pt idx="354">
                  <c:v>5.1417139387671555E-2</c:v>
                </c:pt>
                <c:pt idx="355">
                  <c:v>5.1417139387671555E-2</c:v>
                </c:pt>
                <c:pt idx="356">
                  <c:v>5.1417139387671555E-2</c:v>
                </c:pt>
                <c:pt idx="357">
                  <c:v>5.1417139387671555E-2</c:v>
                </c:pt>
                <c:pt idx="358">
                  <c:v>5.1417139387671555E-2</c:v>
                </c:pt>
                <c:pt idx="359">
                  <c:v>5.1417139387671555E-2</c:v>
                </c:pt>
                <c:pt idx="360">
                  <c:v>5.1417139387671555E-2</c:v>
                </c:pt>
                <c:pt idx="361">
                  <c:v>5.1417139387671555E-2</c:v>
                </c:pt>
                <c:pt idx="362">
                  <c:v>5.1417139387671555E-2</c:v>
                </c:pt>
                <c:pt idx="363">
                  <c:v>5.1417139387671555E-2</c:v>
                </c:pt>
                <c:pt idx="364">
                  <c:v>5.1417139387671555E-2</c:v>
                </c:pt>
                <c:pt idx="365">
                  <c:v>5.1417139387671555E-2</c:v>
                </c:pt>
                <c:pt idx="366">
                  <c:v>5.1417139387671555E-2</c:v>
                </c:pt>
                <c:pt idx="367">
                  <c:v>5.1417139387671555E-2</c:v>
                </c:pt>
                <c:pt idx="368">
                  <c:v>5.1417139387671555E-2</c:v>
                </c:pt>
                <c:pt idx="369">
                  <c:v>5.1417139387671555E-2</c:v>
                </c:pt>
                <c:pt idx="370">
                  <c:v>5.1417139387671555E-2</c:v>
                </c:pt>
                <c:pt idx="371">
                  <c:v>5.1417139387671555E-2</c:v>
                </c:pt>
                <c:pt idx="372">
                  <c:v>5.1417139387671555E-2</c:v>
                </c:pt>
                <c:pt idx="373">
                  <c:v>5.1417139387671555E-2</c:v>
                </c:pt>
                <c:pt idx="374">
                  <c:v>5.1417139387671555E-2</c:v>
                </c:pt>
                <c:pt idx="375">
                  <c:v>5.1417139387671555E-2</c:v>
                </c:pt>
                <c:pt idx="376">
                  <c:v>5.1417139387671555E-2</c:v>
                </c:pt>
                <c:pt idx="377">
                  <c:v>5.1417139387671555E-2</c:v>
                </c:pt>
                <c:pt idx="378">
                  <c:v>5.1417139387671555E-2</c:v>
                </c:pt>
                <c:pt idx="379">
                  <c:v>5.1417139387671555E-2</c:v>
                </c:pt>
                <c:pt idx="380">
                  <c:v>5.1417139387671555E-2</c:v>
                </c:pt>
                <c:pt idx="381">
                  <c:v>5.1417139387671555E-2</c:v>
                </c:pt>
                <c:pt idx="382">
                  <c:v>5.1417139387671555E-2</c:v>
                </c:pt>
                <c:pt idx="383">
                  <c:v>5.1417139387671555E-2</c:v>
                </c:pt>
                <c:pt idx="384">
                  <c:v>5.1417139387671555E-2</c:v>
                </c:pt>
                <c:pt idx="385">
                  <c:v>5.1417139387671555E-2</c:v>
                </c:pt>
                <c:pt idx="386">
                  <c:v>5.1417139387671555E-2</c:v>
                </c:pt>
                <c:pt idx="387">
                  <c:v>5.1417139387671555E-2</c:v>
                </c:pt>
                <c:pt idx="388">
                  <c:v>5.1165275037767105E-2</c:v>
                </c:pt>
                <c:pt idx="389">
                  <c:v>5.1165275037767105E-2</c:v>
                </c:pt>
                <c:pt idx="390">
                  <c:v>5.1165275037767105E-2</c:v>
                </c:pt>
                <c:pt idx="391">
                  <c:v>5.1165275037767105E-2</c:v>
                </c:pt>
                <c:pt idx="392">
                  <c:v>5.1165275037767105E-2</c:v>
                </c:pt>
                <c:pt idx="393">
                  <c:v>5.1165275037767105E-2</c:v>
                </c:pt>
                <c:pt idx="394">
                  <c:v>5.1165275037767105E-2</c:v>
                </c:pt>
                <c:pt idx="395">
                  <c:v>5.1165275037767105E-2</c:v>
                </c:pt>
                <c:pt idx="396">
                  <c:v>5.1165275037767105E-2</c:v>
                </c:pt>
                <c:pt idx="397">
                  <c:v>5.1165275037767105E-2</c:v>
                </c:pt>
                <c:pt idx="398">
                  <c:v>5.1165275037767105E-2</c:v>
                </c:pt>
                <c:pt idx="399">
                  <c:v>5.1165275037767105E-2</c:v>
                </c:pt>
                <c:pt idx="400">
                  <c:v>5.1165275037767105E-2</c:v>
                </c:pt>
                <c:pt idx="401">
                  <c:v>5.1165275037767105E-2</c:v>
                </c:pt>
                <c:pt idx="402">
                  <c:v>5.1165275037767105E-2</c:v>
                </c:pt>
                <c:pt idx="403">
                  <c:v>5.1165275037767105E-2</c:v>
                </c:pt>
                <c:pt idx="404">
                  <c:v>5.1165275037767105E-2</c:v>
                </c:pt>
                <c:pt idx="405">
                  <c:v>5.1165275037767105E-2</c:v>
                </c:pt>
                <c:pt idx="406">
                  <c:v>5.1165275037767105E-2</c:v>
                </c:pt>
                <c:pt idx="407">
                  <c:v>5.1165275037767105E-2</c:v>
                </c:pt>
                <c:pt idx="408">
                  <c:v>5.1165275037767105E-2</c:v>
                </c:pt>
                <c:pt idx="409">
                  <c:v>5.1165275037767105E-2</c:v>
                </c:pt>
                <c:pt idx="410">
                  <c:v>5.1165275037767105E-2</c:v>
                </c:pt>
                <c:pt idx="411">
                  <c:v>5.1165275037767105E-2</c:v>
                </c:pt>
                <c:pt idx="412">
                  <c:v>5.1165275037767105E-2</c:v>
                </c:pt>
                <c:pt idx="413">
                  <c:v>5.1165275037767105E-2</c:v>
                </c:pt>
                <c:pt idx="414">
                  <c:v>5.1165275037767105E-2</c:v>
                </c:pt>
                <c:pt idx="415">
                  <c:v>5.1165275037767105E-2</c:v>
                </c:pt>
                <c:pt idx="416">
                  <c:v>5.1165275037767105E-2</c:v>
                </c:pt>
                <c:pt idx="417">
                  <c:v>5.1165275037767105E-2</c:v>
                </c:pt>
                <c:pt idx="418">
                  <c:v>5.1165275037767105E-2</c:v>
                </c:pt>
                <c:pt idx="419">
                  <c:v>5.1165275037767105E-2</c:v>
                </c:pt>
                <c:pt idx="420">
                  <c:v>5.1165275037767105E-2</c:v>
                </c:pt>
                <c:pt idx="421">
                  <c:v>5.1165275037767105E-2</c:v>
                </c:pt>
                <c:pt idx="422">
                  <c:v>5.1165275037767105E-2</c:v>
                </c:pt>
                <c:pt idx="423">
                  <c:v>5.1165275037767105E-2</c:v>
                </c:pt>
                <c:pt idx="424">
                  <c:v>5.1165275037767105E-2</c:v>
                </c:pt>
                <c:pt idx="425">
                  <c:v>5.1165275037767105E-2</c:v>
                </c:pt>
                <c:pt idx="426">
                  <c:v>5.1165275037767105E-2</c:v>
                </c:pt>
                <c:pt idx="427">
                  <c:v>5.1165275037767105E-2</c:v>
                </c:pt>
                <c:pt idx="428">
                  <c:v>5.1165275037767105E-2</c:v>
                </c:pt>
                <c:pt idx="429">
                  <c:v>5.1165275037767105E-2</c:v>
                </c:pt>
                <c:pt idx="430">
                  <c:v>5.1165275037767105E-2</c:v>
                </c:pt>
                <c:pt idx="431">
                  <c:v>5.1165275037767105E-2</c:v>
                </c:pt>
                <c:pt idx="432">
                  <c:v>5.1165275037767105E-2</c:v>
                </c:pt>
                <c:pt idx="433">
                  <c:v>5.1165275037767105E-2</c:v>
                </c:pt>
                <c:pt idx="434">
                  <c:v>5.1165275037767105E-2</c:v>
                </c:pt>
                <c:pt idx="435">
                  <c:v>5.1165275037767105E-2</c:v>
                </c:pt>
                <c:pt idx="436">
                  <c:v>5.1165275037767105E-2</c:v>
                </c:pt>
                <c:pt idx="437">
                  <c:v>5.1165275037767105E-2</c:v>
                </c:pt>
                <c:pt idx="438">
                  <c:v>5.1165275037767105E-2</c:v>
                </c:pt>
                <c:pt idx="439">
                  <c:v>5.1165275037767105E-2</c:v>
                </c:pt>
                <c:pt idx="440">
                  <c:v>5.1165275037767105E-2</c:v>
                </c:pt>
                <c:pt idx="441">
                  <c:v>5.1165275037767105E-2</c:v>
                </c:pt>
                <c:pt idx="442">
                  <c:v>5.1165275037767105E-2</c:v>
                </c:pt>
                <c:pt idx="443">
                  <c:v>5.0075308088604518E-2</c:v>
                </c:pt>
                <c:pt idx="444">
                  <c:v>5.0075308088604518E-2</c:v>
                </c:pt>
                <c:pt idx="445">
                  <c:v>5.0075308088604518E-2</c:v>
                </c:pt>
                <c:pt idx="446">
                  <c:v>5.0075308088604518E-2</c:v>
                </c:pt>
                <c:pt idx="447">
                  <c:v>5.0075308088604518E-2</c:v>
                </c:pt>
                <c:pt idx="448">
                  <c:v>5.0075308088604518E-2</c:v>
                </c:pt>
                <c:pt idx="449">
                  <c:v>5.0075308088604518E-2</c:v>
                </c:pt>
                <c:pt idx="450">
                  <c:v>5.0075308088604518E-2</c:v>
                </c:pt>
                <c:pt idx="451">
                  <c:v>5.0075308088604518E-2</c:v>
                </c:pt>
                <c:pt idx="452">
                  <c:v>5.0075308088604518E-2</c:v>
                </c:pt>
                <c:pt idx="453">
                  <c:v>5.0075308088604518E-2</c:v>
                </c:pt>
                <c:pt idx="454">
                  <c:v>5.0075308088604518E-2</c:v>
                </c:pt>
                <c:pt idx="455">
                  <c:v>5.0075308088604518E-2</c:v>
                </c:pt>
                <c:pt idx="456">
                  <c:v>5.0075308088604518E-2</c:v>
                </c:pt>
                <c:pt idx="457">
                  <c:v>5.0075308088604518E-2</c:v>
                </c:pt>
                <c:pt idx="458">
                  <c:v>5.0075308088604518E-2</c:v>
                </c:pt>
                <c:pt idx="459">
                  <c:v>5.0075308088604518E-2</c:v>
                </c:pt>
                <c:pt idx="460">
                  <c:v>5.0075308088604518E-2</c:v>
                </c:pt>
                <c:pt idx="461">
                  <c:v>5.0075308088604518E-2</c:v>
                </c:pt>
                <c:pt idx="462">
                  <c:v>5.0075308088604518E-2</c:v>
                </c:pt>
                <c:pt idx="463">
                  <c:v>5.0075308088604518E-2</c:v>
                </c:pt>
                <c:pt idx="464">
                  <c:v>4.8200646322077774E-2</c:v>
                </c:pt>
                <c:pt idx="465">
                  <c:v>4.8200646322077774E-2</c:v>
                </c:pt>
                <c:pt idx="466">
                  <c:v>4.8200646322077774E-2</c:v>
                </c:pt>
                <c:pt idx="467">
                  <c:v>4.8200646322077774E-2</c:v>
                </c:pt>
                <c:pt idx="468">
                  <c:v>4.8200646322077774E-2</c:v>
                </c:pt>
                <c:pt idx="469">
                  <c:v>4.8200646322077774E-2</c:v>
                </c:pt>
                <c:pt idx="470">
                  <c:v>4.8200646322077774E-2</c:v>
                </c:pt>
                <c:pt idx="471">
                  <c:v>4.8200646322077774E-2</c:v>
                </c:pt>
                <c:pt idx="472">
                  <c:v>4.8200646322077774E-2</c:v>
                </c:pt>
                <c:pt idx="473">
                  <c:v>4.8200646322077774E-2</c:v>
                </c:pt>
                <c:pt idx="474">
                  <c:v>4.8200646322077774E-2</c:v>
                </c:pt>
                <c:pt idx="475">
                  <c:v>4.8200646322077774E-2</c:v>
                </c:pt>
                <c:pt idx="476">
                  <c:v>4.5631317506672167E-2</c:v>
                </c:pt>
                <c:pt idx="477">
                  <c:v>4.5631317506672167E-2</c:v>
                </c:pt>
                <c:pt idx="478">
                  <c:v>4.5631317506672167E-2</c:v>
                </c:pt>
                <c:pt idx="479">
                  <c:v>4.2486804625066661E-2</c:v>
                </c:pt>
                <c:pt idx="480">
                  <c:v>3.8906847772795426E-2</c:v>
                </c:pt>
                <c:pt idx="481">
                  <c:v>3.8906847772795426E-2</c:v>
                </c:pt>
                <c:pt idx="482">
                  <c:v>3.8906847772795426E-2</c:v>
                </c:pt>
                <c:pt idx="483">
                  <c:v>3.8906847772795426E-2</c:v>
                </c:pt>
                <c:pt idx="484">
                  <c:v>3.5041197284041148E-2</c:v>
                </c:pt>
                <c:pt idx="485">
                  <c:v>2.7041293561749672E-2</c:v>
                </c:pt>
                <c:pt idx="486">
                  <c:v>2.7041293561749672E-2</c:v>
                </c:pt>
                <c:pt idx="487">
                  <c:v>2.7041293561749672E-2</c:v>
                </c:pt>
                <c:pt idx="488">
                  <c:v>2.7041293561749672E-2</c:v>
                </c:pt>
                <c:pt idx="489">
                  <c:v>2.7041293561749672E-2</c:v>
                </c:pt>
                <c:pt idx="490">
                  <c:v>2.7041293561749672E-2</c:v>
                </c:pt>
                <c:pt idx="491">
                  <c:v>2.3169843384866638E-2</c:v>
                </c:pt>
                <c:pt idx="492">
                  <c:v>1.9525386901372521E-2</c:v>
                </c:pt>
                <c:pt idx="493">
                  <c:v>1.6182928421040191E-2</c:v>
                </c:pt>
                <c:pt idx="494">
                  <c:v>1.6182928421040191E-2</c:v>
                </c:pt>
                <c:pt idx="495">
                  <c:v>1.3191539823529138E-2</c:v>
                </c:pt>
                <c:pt idx="496">
                  <c:v>1.3191539823529138E-2</c:v>
                </c:pt>
                <c:pt idx="497">
                  <c:v>3.6999947954754822E-3</c:v>
                </c:pt>
                <c:pt idx="498">
                  <c:v>2.7297632432261238E-3</c:v>
                </c:pt>
                <c:pt idx="499">
                  <c:v>1.9807504571934774E-3</c:v>
                </c:pt>
                <c:pt idx="500">
                  <c:v>1.4135639565049369E-3</c:v>
                </c:pt>
                <c:pt idx="501">
                  <c:v>1.4135639565049369E-3</c:v>
                </c:pt>
                <c:pt idx="502">
                  <c:v>1.4135639565049369E-3</c:v>
                </c:pt>
                <c:pt idx="503">
                  <c:v>4.6500545289751783E-4</c:v>
                </c:pt>
                <c:pt idx="504">
                  <c:v>4.6500545289751783E-4</c:v>
                </c:pt>
                <c:pt idx="505">
                  <c:v>1.3171306670242973E-4</c:v>
                </c:pt>
                <c:pt idx="506">
                  <c:v>1.3171306670242973E-4</c:v>
                </c:pt>
                <c:pt idx="507">
                  <c:v>1.3171306670242973E-4</c:v>
                </c:pt>
                <c:pt idx="508">
                  <c:v>3.2123873772703799E-5</c:v>
                </c:pt>
                <c:pt idx="509">
                  <c:v>1.1539806255556815E-5</c:v>
                </c:pt>
                <c:pt idx="510">
                  <c:v>6.7461375651782567E-6</c:v>
                </c:pt>
                <c:pt idx="511">
                  <c:v>2.1933669157635832E-6</c:v>
                </c:pt>
                <c:pt idx="512">
                  <c:v>2.1933669157635832E-6</c:v>
                </c:pt>
                <c:pt idx="513">
                  <c:v>2.1933669157635832E-6</c:v>
                </c:pt>
                <c:pt idx="514">
                  <c:v>2.1933669157635832E-6</c:v>
                </c:pt>
                <c:pt idx="515">
                  <c:v>2.1933669157635832E-6</c:v>
                </c:pt>
                <c:pt idx="516">
                  <c:v>2.1933669157635832E-6</c:v>
                </c:pt>
                <c:pt idx="517">
                  <c:v>2.1933669157635832E-6</c:v>
                </c:pt>
                <c:pt idx="518">
                  <c:v>2.1933669157635832E-6</c:v>
                </c:pt>
                <c:pt idx="519">
                  <c:v>2.1933669157635832E-6</c:v>
                </c:pt>
                <c:pt idx="520">
                  <c:v>1.8993038858570948E-7</c:v>
                </c:pt>
                <c:pt idx="521">
                  <c:v>1.3843796956665842E-9</c:v>
                </c:pt>
                <c:pt idx="522">
                  <c:v>2.5004131949216573E-11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1C-4628-9CEF-B9AD3EAD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491632"/>
        <c:axId val="920494912"/>
      </c:scatterChart>
      <c:valAx>
        <c:axId val="92049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4912"/>
        <c:crosses val="autoZero"/>
        <c:crossBetween val="midCat"/>
      </c:valAx>
      <c:valAx>
        <c:axId val="92049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Placement</a:t>
            </a:r>
            <a:r>
              <a:rPr lang="en-GB" baseline="0"/>
              <a:t>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'Rename moves'!$D$2:$D$5827</c:f>
              <c:numCache>
                <c:formatCode>General</c:formatCode>
                <c:ptCount val="58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2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2</c:v>
                </c:pt>
                <c:pt idx="2307">
                  <c:v>2</c:v>
                </c:pt>
                <c:pt idx="2308">
                  <c:v>2</c:v>
                </c:pt>
                <c:pt idx="2309">
                  <c:v>2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2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2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2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2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2</c:v>
                </c:pt>
                <c:pt idx="2460">
                  <c:v>2</c:v>
                </c:pt>
                <c:pt idx="2461">
                  <c:v>2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2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2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2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2</c:v>
                </c:pt>
                <c:pt idx="2529">
                  <c:v>2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2</c:v>
                </c:pt>
                <c:pt idx="2555">
                  <c:v>2</c:v>
                </c:pt>
                <c:pt idx="2556">
                  <c:v>2</c:v>
                </c:pt>
                <c:pt idx="2557">
                  <c:v>2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2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2</c:v>
                </c:pt>
                <c:pt idx="2611">
                  <c:v>2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2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2</c:v>
                </c:pt>
                <c:pt idx="2636">
                  <c:v>2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2</c:v>
                </c:pt>
                <c:pt idx="2651">
                  <c:v>2</c:v>
                </c:pt>
                <c:pt idx="2652">
                  <c:v>2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2</c:v>
                </c:pt>
                <c:pt idx="2669">
                  <c:v>2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2</c:v>
                </c:pt>
                <c:pt idx="2682">
                  <c:v>2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2</c:v>
                </c:pt>
                <c:pt idx="2708">
                  <c:v>2</c:v>
                </c:pt>
                <c:pt idx="2709">
                  <c:v>2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2</c:v>
                </c:pt>
                <c:pt idx="2739">
                  <c:v>2</c:v>
                </c:pt>
                <c:pt idx="2740">
                  <c:v>2</c:v>
                </c:pt>
                <c:pt idx="2741">
                  <c:v>2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2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2</c:v>
                </c:pt>
                <c:pt idx="2760">
                  <c:v>2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2</c:v>
                </c:pt>
                <c:pt idx="2769">
                  <c:v>2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2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2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2</c:v>
                </c:pt>
                <c:pt idx="2802">
                  <c:v>2</c:v>
                </c:pt>
                <c:pt idx="2803">
                  <c:v>2</c:v>
                </c:pt>
                <c:pt idx="2804">
                  <c:v>2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2</c:v>
                </c:pt>
                <c:pt idx="2809">
                  <c:v>2</c:v>
                </c:pt>
                <c:pt idx="2810">
                  <c:v>2</c:v>
                </c:pt>
                <c:pt idx="2811">
                  <c:v>2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2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2</c:v>
                </c:pt>
                <c:pt idx="2845">
                  <c:v>2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2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2</c:v>
                </c:pt>
                <c:pt idx="2860">
                  <c:v>2</c:v>
                </c:pt>
                <c:pt idx="2861">
                  <c:v>2</c:v>
                </c:pt>
                <c:pt idx="2862">
                  <c:v>2</c:v>
                </c:pt>
                <c:pt idx="2863">
                  <c:v>2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2</c:v>
                </c:pt>
                <c:pt idx="2880">
                  <c:v>2</c:v>
                </c:pt>
                <c:pt idx="2881">
                  <c:v>2</c:v>
                </c:pt>
                <c:pt idx="2882">
                  <c:v>2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2</c:v>
                </c:pt>
                <c:pt idx="2903">
                  <c:v>2</c:v>
                </c:pt>
                <c:pt idx="2904">
                  <c:v>2</c:v>
                </c:pt>
                <c:pt idx="2905">
                  <c:v>2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2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2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2</c:v>
                </c:pt>
                <c:pt idx="3000">
                  <c:v>2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2</c:v>
                </c:pt>
                <c:pt idx="3009">
                  <c:v>2</c:v>
                </c:pt>
                <c:pt idx="3010">
                  <c:v>2</c:v>
                </c:pt>
                <c:pt idx="3011">
                  <c:v>2</c:v>
                </c:pt>
                <c:pt idx="3012">
                  <c:v>2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2</c:v>
                </c:pt>
                <c:pt idx="3017">
                  <c:v>2</c:v>
                </c:pt>
                <c:pt idx="3018">
                  <c:v>2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2</c:v>
                </c:pt>
                <c:pt idx="3023">
                  <c:v>2</c:v>
                </c:pt>
                <c:pt idx="3024">
                  <c:v>2</c:v>
                </c:pt>
                <c:pt idx="3025">
                  <c:v>2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4</c:v>
                </c:pt>
                <c:pt idx="3860">
                  <c:v>4</c:v>
                </c:pt>
                <c:pt idx="3861">
                  <c:v>4</c:v>
                </c:pt>
                <c:pt idx="3862">
                  <c:v>4</c:v>
                </c:pt>
                <c:pt idx="3863">
                  <c:v>4</c:v>
                </c:pt>
                <c:pt idx="3864">
                  <c:v>4</c:v>
                </c:pt>
                <c:pt idx="3865">
                  <c:v>4</c:v>
                </c:pt>
                <c:pt idx="3866">
                  <c:v>4</c:v>
                </c:pt>
                <c:pt idx="3867">
                  <c:v>4</c:v>
                </c:pt>
                <c:pt idx="3868">
                  <c:v>4</c:v>
                </c:pt>
                <c:pt idx="3869">
                  <c:v>4</c:v>
                </c:pt>
                <c:pt idx="3870">
                  <c:v>4</c:v>
                </c:pt>
                <c:pt idx="3871">
                  <c:v>4</c:v>
                </c:pt>
                <c:pt idx="3872">
                  <c:v>4</c:v>
                </c:pt>
                <c:pt idx="3873">
                  <c:v>4</c:v>
                </c:pt>
                <c:pt idx="3874">
                  <c:v>4</c:v>
                </c:pt>
                <c:pt idx="3875">
                  <c:v>4</c:v>
                </c:pt>
                <c:pt idx="3876">
                  <c:v>4</c:v>
                </c:pt>
                <c:pt idx="3877">
                  <c:v>4</c:v>
                </c:pt>
                <c:pt idx="3878">
                  <c:v>4</c:v>
                </c:pt>
                <c:pt idx="3879">
                  <c:v>4</c:v>
                </c:pt>
                <c:pt idx="3880">
                  <c:v>4</c:v>
                </c:pt>
                <c:pt idx="3881">
                  <c:v>4</c:v>
                </c:pt>
                <c:pt idx="3882">
                  <c:v>4</c:v>
                </c:pt>
                <c:pt idx="3883">
                  <c:v>4</c:v>
                </c:pt>
                <c:pt idx="3884">
                  <c:v>4</c:v>
                </c:pt>
                <c:pt idx="3885">
                  <c:v>4</c:v>
                </c:pt>
                <c:pt idx="3886">
                  <c:v>4</c:v>
                </c:pt>
                <c:pt idx="3887">
                  <c:v>4</c:v>
                </c:pt>
                <c:pt idx="3888">
                  <c:v>4</c:v>
                </c:pt>
                <c:pt idx="3889">
                  <c:v>4</c:v>
                </c:pt>
                <c:pt idx="3890">
                  <c:v>4</c:v>
                </c:pt>
                <c:pt idx="3891">
                  <c:v>4</c:v>
                </c:pt>
                <c:pt idx="3892">
                  <c:v>4</c:v>
                </c:pt>
                <c:pt idx="3893">
                  <c:v>4</c:v>
                </c:pt>
                <c:pt idx="3894">
                  <c:v>4</c:v>
                </c:pt>
                <c:pt idx="3895">
                  <c:v>4</c:v>
                </c:pt>
                <c:pt idx="3896">
                  <c:v>4</c:v>
                </c:pt>
                <c:pt idx="3897">
                  <c:v>4</c:v>
                </c:pt>
                <c:pt idx="3898">
                  <c:v>4</c:v>
                </c:pt>
                <c:pt idx="3899">
                  <c:v>4</c:v>
                </c:pt>
                <c:pt idx="3900">
                  <c:v>4</c:v>
                </c:pt>
                <c:pt idx="3901">
                  <c:v>4</c:v>
                </c:pt>
                <c:pt idx="3902">
                  <c:v>4</c:v>
                </c:pt>
                <c:pt idx="3903">
                  <c:v>4</c:v>
                </c:pt>
                <c:pt idx="3904">
                  <c:v>4</c:v>
                </c:pt>
                <c:pt idx="3905">
                  <c:v>4</c:v>
                </c:pt>
                <c:pt idx="3906">
                  <c:v>4</c:v>
                </c:pt>
                <c:pt idx="3907">
                  <c:v>4</c:v>
                </c:pt>
                <c:pt idx="3908">
                  <c:v>4</c:v>
                </c:pt>
                <c:pt idx="3909">
                  <c:v>4</c:v>
                </c:pt>
                <c:pt idx="3910">
                  <c:v>4</c:v>
                </c:pt>
                <c:pt idx="3911">
                  <c:v>4</c:v>
                </c:pt>
                <c:pt idx="3912">
                  <c:v>4</c:v>
                </c:pt>
                <c:pt idx="3913">
                  <c:v>4</c:v>
                </c:pt>
                <c:pt idx="3914">
                  <c:v>4</c:v>
                </c:pt>
                <c:pt idx="3915">
                  <c:v>4</c:v>
                </c:pt>
                <c:pt idx="3916">
                  <c:v>4</c:v>
                </c:pt>
                <c:pt idx="3917">
                  <c:v>4</c:v>
                </c:pt>
                <c:pt idx="3918">
                  <c:v>4</c:v>
                </c:pt>
                <c:pt idx="3919">
                  <c:v>4</c:v>
                </c:pt>
                <c:pt idx="3920">
                  <c:v>4</c:v>
                </c:pt>
                <c:pt idx="3921">
                  <c:v>4</c:v>
                </c:pt>
                <c:pt idx="3922">
                  <c:v>4</c:v>
                </c:pt>
                <c:pt idx="3923">
                  <c:v>4</c:v>
                </c:pt>
                <c:pt idx="3924">
                  <c:v>4</c:v>
                </c:pt>
                <c:pt idx="3925">
                  <c:v>4</c:v>
                </c:pt>
                <c:pt idx="3926">
                  <c:v>4</c:v>
                </c:pt>
                <c:pt idx="3927">
                  <c:v>4</c:v>
                </c:pt>
                <c:pt idx="3928">
                  <c:v>4</c:v>
                </c:pt>
                <c:pt idx="3929">
                  <c:v>4</c:v>
                </c:pt>
                <c:pt idx="3930">
                  <c:v>4</c:v>
                </c:pt>
                <c:pt idx="3931">
                  <c:v>4</c:v>
                </c:pt>
                <c:pt idx="3932">
                  <c:v>4</c:v>
                </c:pt>
                <c:pt idx="3933">
                  <c:v>4</c:v>
                </c:pt>
                <c:pt idx="3934">
                  <c:v>4</c:v>
                </c:pt>
                <c:pt idx="3935">
                  <c:v>4</c:v>
                </c:pt>
                <c:pt idx="3936">
                  <c:v>4</c:v>
                </c:pt>
                <c:pt idx="3937">
                  <c:v>4</c:v>
                </c:pt>
                <c:pt idx="3938">
                  <c:v>4</c:v>
                </c:pt>
                <c:pt idx="3939">
                  <c:v>4</c:v>
                </c:pt>
                <c:pt idx="3940">
                  <c:v>4</c:v>
                </c:pt>
                <c:pt idx="3941">
                  <c:v>4</c:v>
                </c:pt>
                <c:pt idx="3942">
                  <c:v>4</c:v>
                </c:pt>
                <c:pt idx="3943">
                  <c:v>4</c:v>
                </c:pt>
                <c:pt idx="3944">
                  <c:v>4</c:v>
                </c:pt>
                <c:pt idx="3945">
                  <c:v>4</c:v>
                </c:pt>
                <c:pt idx="3946">
                  <c:v>4</c:v>
                </c:pt>
                <c:pt idx="3947">
                  <c:v>4</c:v>
                </c:pt>
                <c:pt idx="3948">
                  <c:v>4</c:v>
                </c:pt>
                <c:pt idx="3949">
                  <c:v>4</c:v>
                </c:pt>
                <c:pt idx="3950">
                  <c:v>4</c:v>
                </c:pt>
                <c:pt idx="3951">
                  <c:v>4</c:v>
                </c:pt>
                <c:pt idx="3952">
                  <c:v>4</c:v>
                </c:pt>
                <c:pt idx="3953">
                  <c:v>4</c:v>
                </c:pt>
                <c:pt idx="3954">
                  <c:v>4</c:v>
                </c:pt>
                <c:pt idx="3955">
                  <c:v>4</c:v>
                </c:pt>
                <c:pt idx="3956">
                  <c:v>4</c:v>
                </c:pt>
                <c:pt idx="3957">
                  <c:v>4</c:v>
                </c:pt>
                <c:pt idx="3958">
                  <c:v>4</c:v>
                </c:pt>
                <c:pt idx="3959">
                  <c:v>4</c:v>
                </c:pt>
                <c:pt idx="3960">
                  <c:v>4</c:v>
                </c:pt>
                <c:pt idx="3961">
                  <c:v>4</c:v>
                </c:pt>
                <c:pt idx="3962">
                  <c:v>4</c:v>
                </c:pt>
                <c:pt idx="3963">
                  <c:v>4</c:v>
                </c:pt>
                <c:pt idx="3964">
                  <c:v>4</c:v>
                </c:pt>
                <c:pt idx="3965">
                  <c:v>4</c:v>
                </c:pt>
                <c:pt idx="3966">
                  <c:v>4</c:v>
                </c:pt>
                <c:pt idx="3967">
                  <c:v>4</c:v>
                </c:pt>
                <c:pt idx="3968">
                  <c:v>4</c:v>
                </c:pt>
                <c:pt idx="3969">
                  <c:v>4</c:v>
                </c:pt>
                <c:pt idx="3970">
                  <c:v>4</c:v>
                </c:pt>
                <c:pt idx="3971">
                  <c:v>4</c:v>
                </c:pt>
                <c:pt idx="3972">
                  <c:v>4</c:v>
                </c:pt>
                <c:pt idx="3973">
                  <c:v>4</c:v>
                </c:pt>
                <c:pt idx="3974">
                  <c:v>4</c:v>
                </c:pt>
                <c:pt idx="3975">
                  <c:v>4</c:v>
                </c:pt>
                <c:pt idx="3976">
                  <c:v>4</c:v>
                </c:pt>
                <c:pt idx="3977">
                  <c:v>4</c:v>
                </c:pt>
                <c:pt idx="3978">
                  <c:v>4</c:v>
                </c:pt>
                <c:pt idx="3979">
                  <c:v>4</c:v>
                </c:pt>
                <c:pt idx="3980">
                  <c:v>4</c:v>
                </c:pt>
                <c:pt idx="3981">
                  <c:v>4</c:v>
                </c:pt>
                <c:pt idx="3982">
                  <c:v>4</c:v>
                </c:pt>
                <c:pt idx="3983">
                  <c:v>4</c:v>
                </c:pt>
                <c:pt idx="3984">
                  <c:v>4</c:v>
                </c:pt>
                <c:pt idx="3985">
                  <c:v>4</c:v>
                </c:pt>
                <c:pt idx="3986">
                  <c:v>4</c:v>
                </c:pt>
                <c:pt idx="3987">
                  <c:v>4</c:v>
                </c:pt>
                <c:pt idx="3988">
                  <c:v>4</c:v>
                </c:pt>
                <c:pt idx="3989">
                  <c:v>4</c:v>
                </c:pt>
                <c:pt idx="3990">
                  <c:v>4</c:v>
                </c:pt>
                <c:pt idx="3991">
                  <c:v>4</c:v>
                </c:pt>
                <c:pt idx="3992">
                  <c:v>4</c:v>
                </c:pt>
                <c:pt idx="3993">
                  <c:v>4</c:v>
                </c:pt>
                <c:pt idx="3994">
                  <c:v>4</c:v>
                </c:pt>
                <c:pt idx="3995">
                  <c:v>4</c:v>
                </c:pt>
                <c:pt idx="3996">
                  <c:v>4</c:v>
                </c:pt>
                <c:pt idx="3997">
                  <c:v>4</c:v>
                </c:pt>
                <c:pt idx="3998">
                  <c:v>4</c:v>
                </c:pt>
                <c:pt idx="3999">
                  <c:v>4</c:v>
                </c:pt>
                <c:pt idx="4000">
                  <c:v>4</c:v>
                </c:pt>
                <c:pt idx="4001">
                  <c:v>4</c:v>
                </c:pt>
                <c:pt idx="4002">
                  <c:v>4</c:v>
                </c:pt>
                <c:pt idx="4003">
                  <c:v>4</c:v>
                </c:pt>
                <c:pt idx="4004">
                  <c:v>4</c:v>
                </c:pt>
                <c:pt idx="4005">
                  <c:v>4</c:v>
                </c:pt>
                <c:pt idx="4006">
                  <c:v>4</c:v>
                </c:pt>
                <c:pt idx="4007">
                  <c:v>4</c:v>
                </c:pt>
                <c:pt idx="4008">
                  <c:v>4</c:v>
                </c:pt>
                <c:pt idx="4009">
                  <c:v>4</c:v>
                </c:pt>
                <c:pt idx="4010">
                  <c:v>4</c:v>
                </c:pt>
                <c:pt idx="4011">
                  <c:v>4</c:v>
                </c:pt>
                <c:pt idx="4012">
                  <c:v>4</c:v>
                </c:pt>
                <c:pt idx="4013">
                  <c:v>4</c:v>
                </c:pt>
                <c:pt idx="4014">
                  <c:v>4</c:v>
                </c:pt>
                <c:pt idx="4015">
                  <c:v>4</c:v>
                </c:pt>
                <c:pt idx="4016">
                  <c:v>4</c:v>
                </c:pt>
                <c:pt idx="4017">
                  <c:v>4</c:v>
                </c:pt>
                <c:pt idx="4018">
                  <c:v>4</c:v>
                </c:pt>
                <c:pt idx="4019">
                  <c:v>4</c:v>
                </c:pt>
                <c:pt idx="4020">
                  <c:v>4</c:v>
                </c:pt>
                <c:pt idx="4021">
                  <c:v>4</c:v>
                </c:pt>
                <c:pt idx="4022">
                  <c:v>4</c:v>
                </c:pt>
                <c:pt idx="4023">
                  <c:v>4</c:v>
                </c:pt>
                <c:pt idx="4024">
                  <c:v>4</c:v>
                </c:pt>
                <c:pt idx="4025">
                  <c:v>4</c:v>
                </c:pt>
                <c:pt idx="4026">
                  <c:v>4</c:v>
                </c:pt>
                <c:pt idx="4027">
                  <c:v>4</c:v>
                </c:pt>
                <c:pt idx="4028">
                  <c:v>4</c:v>
                </c:pt>
                <c:pt idx="4029">
                  <c:v>4</c:v>
                </c:pt>
                <c:pt idx="4030">
                  <c:v>4</c:v>
                </c:pt>
                <c:pt idx="4031">
                  <c:v>4</c:v>
                </c:pt>
                <c:pt idx="4032">
                  <c:v>4</c:v>
                </c:pt>
                <c:pt idx="4033">
                  <c:v>4</c:v>
                </c:pt>
                <c:pt idx="4034">
                  <c:v>4</c:v>
                </c:pt>
                <c:pt idx="4035">
                  <c:v>4</c:v>
                </c:pt>
                <c:pt idx="4036">
                  <c:v>4</c:v>
                </c:pt>
                <c:pt idx="4037">
                  <c:v>4</c:v>
                </c:pt>
                <c:pt idx="4038">
                  <c:v>4</c:v>
                </c:pt>
                <c:pt idx="4039">
                  <c:v>4</c:v>
                </c:pt>
                <c:pt idx="4040">
                  <c:v>4</c:v>
                </c:pt>
                <c:pt idx="4041">
                  <c:v>4</c:v>
                </c:pt>
                <c:pt idx="4042">
                  <c:v>4</c:v>
                </c:pt>
                <c:pt idx="4043">
                  <c:v>4</c:v>
                </c:pt>
                <c:pt idx="4044">
                  <c:v>4</c:v>
                </c:pt>
                <c:pt idx="4045">
                  <c:v>4</c:v>
                </c:pt>
                <c:pt idx="4046">
                  <c:v>4</c:v>
                </c:pt>
                <c:pt idx="4047">
                  <c:v>4</c:v>
                </c:pt>
                <c:pt idx="4048">
                  <c:v>4</c:v>
                </c:pt>
                <c:pt idx="4049">
                  <c:v>4</c:v>
                </c:pt>
                <c:pt idx="4050">
                  <c:v>4</c:v>
                </c:pt>
                <c:pt idx="4051">
                  <c:v>4</c:v>
                </c:pt>
                <c:pt idx="4052">
                  <c:v>4</c:v>
                </c:pt>
                <c:pt idx="4053">
                  <c:v>4</c:v>
                </c:pt>
                <c:pt idx="4054">
                  <c:v>4</c:v>
                </c:pt>
                <c:pt idx="4055">
                  <c:v>4</c:v>
                </c:pt>
                <c:pt idx="4056">
                  <c:v>4</c:v>
                </c:pt>
                <c:pt idx="4057">
                  <c:v>4</c:v>
                </c:pt>
                <c:pt idx="4058">
                  <c:v>4</c:v>
                </c:pt>
                <c:pt idx="4059">
                  <c:v>4</c:v>
                </c:pt>
                <c:pt idx="4060">
                  <c:v>4</c:v>
                </c:pt>
                <c:pt idx="4061">
                  <c:v>4</c:v>
                </c:pt>
                <c:pt idx="4062">
                  <c:v>4</c:v>
                </c:pt>
                <c:pt idx="4063">
                  <c:v>4</c:v>
                </c:pt>
                <c:pt idx="4064">
                  <c:v>4</c:v>
                </c:pt>
                <c:pt idx="4065">
                  <c:v>4</c:v>
                </c:pt>
                <c:pt idx="4066">
                  <c:v>4</c:v>
                </c:pt>
                <c:pt idx="4067">
                  <c:v>4</c:v>
                </c:pt>
                <c:pt idx="4068">
                  <c:v>4</c:v>
                </c:pt>
                <c:pt idx="4069">
                  <c:v>4</c:v>
                </c:pt>
                <c:pt idx="4070">
                  <c:v>4</c:v>
                </c:pt>
                <c:pt idx="4071">
                  <c:v>4</c:v>
                </c:pt>
                <c:pt idx="4072">
                  <c:v>4</c:v>
                </c:pt>
                <c:pt idx="4073">
                  <c:v>4</c:v>
                </c:pt>
                <c:pt idx="4074">
                  <c:v>4</c:v>
                </c:pt>
                <c:pt idx="4075">
                  <c:v>4</c:v>
                </c:pt>
                <c:pt idx="4076">
                  <c:v>4</c:v>
                </c:pt>
                <c:pt idx="4077">
                  <c:v>4</c:v>
                </c:pt>
                <c:pt idx="4078">
                  <c:v>4</c:v>
                </c:pt>
                <c:pt idx="4079">
                  <c:v>4</c:v>
                </c:pt>
                <c:pt idx="4080">
                  <c:v>4</c:v>
                </c:pt>
                <c:pt idx="4081">
                  <c:v>4</c:v>
                </c:pt>
                <c:pt idx="4082">
                  <c:v>4</c:v>
                </c:pt>
                <c:pt idx="4083">
                  <c:v>4</c:v>
                </c:pt>
                <c:pt idx="4084">
                  <c:v>4</c:v>
                </c:pt>
                <c:pt idx="4085">
                  <c:v>4</c:v>
                </c:pt>
                <c:pt idx="4086">
                  <c:v>4</c:v>
                </c:pt>
                <c:pt idx="4087">
                  <c:v>4</c:v>
                </c:pt>
                <c:pt idx="4088">
                  <c:v>4</c:v>
                </c:pt>
                <c:pt idx="4089">
                  <c:v>4</c:v>
                </c:pt>
                <c:pt idx="4090">
                  <c:v>4</c:v>
                </c:pt>
                <c:pt idx="4091">
                  <c:v>4</c:v>
                </c:pt>
                <c:pt idx="4092">
                  <c:v>4</c:v>
                </c:pt>
                <c:pt idx="4093">
                  <c:v>4</c:v>
                </c:pt>
                <c:pt idx="4094">
                  <c:v>4</c:v>
                </c:pt>
                <c:pt idx="4095">
                  <c:v>4</c:v>
                </c:pt>
                <c:pt idx="4096">
                  <c:v>4</c:v>
                </c:pt>
                <c:pt idx="4097">
                  <c:v>4</c:v>
                </c:pt>
                <c:pt idx="4098">
                  <c:v>4</c:v>
                </c:pt>
                <c:pt idx="4099">
                  <c:v>4</c:v>
                </c:pt>
                <c:pt idx="4100">
                  <c:v>4</c:v>
                </c:pt>
                <c:pt idx="4101">
                  <c:v>4</c:v>
                </c:pt>
                <c:pt idx="4102">
                  <c:v>4</c:v>
                </c:pt>
                <c:pt idx="4103">
                  <c:v>4</c:v>
                </c:pt>
                <c:pt idx="4104">
                  <c:v>4</c:v>
                </c:pt>
                <c:pt idx="4105">
                  <c:v>4</c:v>
                </c:pt>
                <c:pt idx="4106">
                  <c:v>4</c:v>
                </c:pt>
                <c:pt idx="4107">
                  <c:v>4</c:v>
                </c:pt>
                <c:pt idx="4108">
                  <c:v>4</c:v>
                </c:pt>
                <c:pt idx="4109">
                  <c:v>4</c:v>
                </c:pt>
                <c:pt idx="4110">
                  <c:v>4</c:v>
                </c:pt>
                <c:pt idx="4111">
                  <c:v>4</c:v>
                </c:pt>
                <c:pt idx="4112">
                  <c:v>4</c:v>
                </c:pt>
                <c:pt idx="4113">
                  <c:v>4</c:v>
                </c:pt>
                <c:pt idx="4114">
                  <c:v>4</c:v>
                </c:pt>
                <c:pt idx="4115">
                  <c:v>4</c:v>
                </c:pt>
                <c:pt idx="4116">
                  <c:v>4</c:v>
                </c:pt>
                <c:pt idx="4117">
                  <c:v>4</c:v>
                </c:pt>
                <c:pt idx="4118">
                  <c:v>4</c:v>
                </c:pt>
                <c:pt idx="4119">
                  <c:v>4</c:v>
                </c:pt>
                <c:pt idx="4120">
                  <c:v>4</c:v>
                </c:pt>
                <c:pt idx="4121">
                  <c:v>4</c:v>
                </c:pt>
                <c:pt idx="4122">
                  <c:v>4</c:v>
                </c:pt>
                <c:pt idx="4123">
                  <c:v>4</c:v>
                </c:pt>
                <c:pt idx="4124">
                  <c:v>4</c:v>
                </c:pt>
                <c:pt idx="4125">
                  <c:v>4</c:v>
                </c:pt>
                <c:pt idx="4126">
                  <c:v>4</c:v>
                </c:pt>
                <c:pt idx="4127">
                  <c:v>4</c:v>
                </c:pt>
                <c:pt idx="4128">
                  <c:v>4</c:v>
                </c:pt>
                <c:pt idx="4129">
                  <c:v>4</c:v>
                </c:pt>
                <c:pt idx="4130">
                  <c:v>4</c:v>
                </c:pt>
                <c:pt idx="4131">
                  <c:v>4</c:v>
                </c:pt>
                <c:pt idx="4132">
                  <c:v>4</c:v>
                </c:pt>
                <c:pt idx="4133">
                  <c:v>4</c:v>
                </c:pt>
                <c:pt idx="4134">
                  <c:v>4</c:v>
                </c:pt>
                <c:pt idx="4135">
                  <c:v>4</c:v>
                </c:pt>
                <c:pt idx="4136">
                  <c:v>4</c:v>
                </c:pt>
                <c:pt idx="4137">
                  <c:v>4</c:v>
                </c:pt>
                <c:pt idx="4138">
                  <c:v>4</c:v>
                </c:pt>
                <c:pt idx="4139">
                  <c:v>4</c:v>
                </c:pt>
                <c:pt idx="4140">
                  <c:v>4</c:v>
                </c:pt>
                <c:pt idx="4141">
                  <c:v>4</c:v>
                </c:pt>
                <c:pt idx="4142">
                  <c:v>4</c:v>
                </c:pt>
                <c:pt idx="4143">
                  <c:v>4</c:v>
                </c:pt>
                <c:pt idx="4144">
                  <c:v>4</c:v>
                </c:pt>
                <c:pt idx="4145">
                  <c:v>4</c:v>
                </c:pt>
                <c:pt idx="4146">
                  <c:v>4</c:v>
                </c:pt>
                <c:pt idx="4147">
                  <c:v>4</c:v>
                </c:pt>
                <c:pt idx="4148">
                  <c:v>4</c:v>
                </c:pt>
                <c:pt idx="4149">
                  <c:v>4</c:v>
                </c:pt>
                <c:pt idx="4150">
                  <c:v>4</c:v>
                </c:pt>
                <c:pt idx="4151">
                  <c:v>4</c:v>
                </c:pt>
                <c:pt idx="4152">
                  <c:v>4</c:v>
                </c:pt>
                <c:pt idx="4153">
                  <c:v>4</c:v>
                </c:pt>
                <c:pt idx="4154">
                  <c:v>4</c:v>
                </c:pt>
                <c:pt idx="4155">
                  <c:v>4</c:v>
                </c:pt>
                <c:pt idx="4156">
                  <c:v>4</c:v>
                </c:pt>
                <c:pt idx="4157">
                  <c:v>4</c:v>
                </c:pt>
                <c:pt idx="4158">
                  <c:v>4</c:v>
                </c:pt>
                <c:pt idx="4159">
                  <c:v>4</c:v>
                </c:pt>
                <c:pt idx="4160">
                  <c:v>4</c:v>
                </c:pt>
                <c:pt idx="4161">
                  <c:v>4</c:v>
                </c:pt>
                <c:pt idx="4162">
                  <c:v>4</c:v>
                </c:pt>
                <c:pt idx="4163">
                  <c:v>4</c:v>
                </c:pt>
                <c:pt idx="4164">
                  <c:v>4</c:v>
                </c:pt>
                <c:pt idx="4165">
                  <c:v>4</c:v>
                </c:pt>
                <c:pt idx="4166">
                  <c:v>4</c:v>
                </c:pt>
                <c:pt idx="4167">
                  <c:v>4</c:v>
                </c:pt>
                <c:pt idx="4168">
                  <c:v>4</c:v>
                </c:pt>
                <c:pt idx="4169">
                  <c:v>4</c:v>
                </c:pt>
                <c:pt idx="4170">
                  <c:v>4</c:v>
                </c:pt>
                <c:pt idx="4171">
                  <c:v>4</c:v>
                </c:pt>
                <c:pt idx="4172">
                  <c:v>4</c:v>
                </c:pt>
                <c:pt idx="4173">
                  <c:v>4</c:v>
                </c:pt>
                <c:pt idx="4174">
                  <c:v>4</c:v>
                </c:pt>
                <c:pt idx="4175">
                  <c:v>4</c:v>
                </c:pt>
                <c:pt idx="4176">
                  <c:v>4</c:v>
                </c:pt>
                <c:pt idx="4177">
                  <c:v>4</c:v>
                </c:pt>
                <c:pt idx="4178">
                  <c:v>4</c:v>
                </c:pt>
                <c:pt idx="4179">
                  <c:v>4</c:v>
                </c:pt>
                <c:pt idx="4180">
                  <c:v>4</c:v>
                </c:pt>
                <c:pt idx="4181">
                  <c:v>4</c:v>
                </c:pt>
                <c:pt idx="4182">
                  <c:v>4</c:v>
                </c:pt>
                <c:pt idx="4183">
                  <c:v>4</c:v>
                </c:pt>
                <c:pt idx="4184">
                  <c:v>4</c:v>
                </c:pt>
                <c:pt idx="4185">
                  <c:v>4</c:v>
                </c:pt>
                <c:pt idx="4186">
                  <c:v>4</c:v>
                </c:pt>
                <c:pt idx="4187">
                  <c:v>4</c:v>
                </c:pt>
                <c:pt idx="4188">
                  <c:v>4</c:v>
                </c:pt>
                <c:pt idx="4189">
                  <c:v>4</c:v>
                </c:pt>
                <c:pt idx="4190">
                  <c:v>4</c:v>
                </c:pt>
                <c:pt idx="4191">
                  <c:v>4</c:v>
                </c:pt>
                <c:pt idx="4192">
                  <c:v>4</c:v>
                </c:pt>
                <c:pt idx="4193">
                  <c:v>4</c:v>
                </c:pt>
                <c:pt idx="4194">
                  <c:v>4</c:v>
                </c:pt>
                <c:pt idx="4195">
                  <c:v>4</c:v>
                </c:pt>
                <c:pt idx="4196">
                  <c:v>4</c:v>
                </c:pt>
                <c:pt idx="4197">
                  <c:v>4</c:v>
                </c:pt>
                <c:pt idx="4198">
                  <c:v>4</c:v>
                </c:pt>
                <c:pt idx="4199">
                  <c:v>4</c:v>
                </c:pt>
                <c:pt idx="4200">
                  <c:v>4</c:v>
                </c:pt>
                <c:pt idx="4201">
                  <c:v>4</c:v>
                </c:pt>
                <c:pt idx="4202">
                  <c:v>4</c:v>
                </c:pt>
                <c:pt idx="4203">
                  <c:v>4</c:v>
                </c:pt>
                <c:pt idx="4204">
                  <c:v>4</c:v>
                </c:pt>
                <c:pt idx="4205">
                  <c:v>4</c:v>
                </c:pt>
                <c:pt idx="4206">
                  <c:v>4</c:v>
                </c:pt>
                <c:pt idx="4207">
                  <c:v>4</c:v>
                </c:pt>
                <c:pt idx="4208">
                  <c:v>4</c:v>
                </c:pt>
                <c:pt idx="4209">
                  <c:v>4</c:v>
                </c:pt>
                <c:pt idx="4210">
                  <c:v>4</c:v>
                </c:pt>
                <c:pt idx="4211">
                  <c:v>4</c:v>
                </c:pt>
                <c:pt idx="4212">
                  <c:v>4</c:v>
                </c:pt>
                <c:pt idx="4213">
                  <c:v>4</c:v>
                </c:pt>
                <c:pt idx="4214">
                  <c:v>4</c:v>
                </c:pt>
                <c:pt idx="4215">
                  <c:v>4</c:v>
                </c:pt>
                <c:pt idx="4216">
                  <c:v>4</c:v>
                </c:pt>
                <c:pt idx="4217">
                  <c:v>4</c:v>
                </c:pt>
                <c:pt idx="4218">
                  <c:v>4</c:v>
                </c:pt>
                <c:pt idx="4219">
                  <c:v>4</c:v>
                </c:pt>
                <c:pt idx="4220">
                  <c:v>4</c:v>
                </c:pt>
                <c:pt idx="4221">
                  <c:v>4</c:v>
                </c:pt>
                <c:pt idx="4222">
                  <c:v>4</c:v>
                </c:pt>
                <c:pt idx="4223">
                  <c:v>4</c:v>
                </c:pt>
                <c:pt idx="4224">
                  <c:v>4</c:v>
                </c:pt>
                <c:pt idx="4225">
                  <c:v>4</c:v>
                </c:pt>
                <c:pt idx="4226">
                  <c:v>4</c:v>
                </c:pt>
                <c:pt idx="4227">
                  <c:v>4</c:v>
                </c:pt>
                <c:pt idx="4228">
                  <c:v>4</c:v>
                </c:pt>
                <c:pt idx="4229">
                  <c:v>4</c:v>
                </c:pt>
                <c:pt idx="4230">
                  <c:v>4</c:v>
                </c:pt>
                <c:pt idx="4231">
                  <c:v>4</c:v>
                </c:pt>
                <c:pt idx="4232">
                  <c:v>4</c:v>
                </c:pt>
                <c:pt idx="4233">
                  <c:v>4</c:v>
                </c:pt>
                <c:pt idx="4234">
                  <c:v>4</c:v>
                </c:pt>
                <c:pt idx="4235">
                  <c:v>4</c:v>
                </c:pt>
                <c:pt idx="4236">
                  <c:v>4</c:v>
                </c:pt>
                <c:pt idx="4237">
                  <c:v>4</c:v>
                </c:pt>
                <c:pt idx="4238">
                  <c:v>4</c:v>
                </c:pt>
                <c:pt idx="4239">
                  <c:v>4</c:v>
                </c:pt>
                <c:pt idx="4240">
                  <c:v>4</c:v>
                </c:pt>
                <c:pt idx="4241">
                  <c:v>4</c:v>
                </c:pt>
                <c:pt idx="4242">
                  <c:v>4</c:v>
                </c:pt>
                <c:pt idx="4243">
                  <c:v>4</c:v>
                </c:pt>
                <c:pt idx="4244">
                  <c:v>4</c:v>
                </c:pt>
                <c:pt idx="4245">
                  <c:v>4</c:v>
                </c:pt>
                <c:pt idx="4246">
                  <c:v>4</c:v>
                </c:pt>
                <c:pt idx="4247">
                  <c:v>4</c:v>
                </c:pt>
                <c:pt idx="4248">
                  <c:v>4</c:v>
                </c:pt>
                <c:pt idx="4249">
                  <c:v>4</c:v>
                </c:pt>
                <c:pt idx="4250">
                  <c:v>4</c:v>
                </c:pt>
                <c:pt idx="4251">
                  <c:v>4</c:v>
                </c:pt>
                <c:pt idx="4252">
                  <c:v>4</c:v>
                </c:pt>
                <c:pt idx="4253">
                  <c:v>4</c:v>
                </c:pt>
                <c:pt idx="4254">
                  <c:v>4</c:v>
                </c:pt>
                <c:pt idx="4255">
                  <c:v>4</c:v>
                </c:pt>
                <c:pt idx="4256">
                  <c:v>4</c:v>
                </c:pt>
                <c:pt idx="4257">
                  <c:v>4</c:v>
                </c:pt>
                <c:pt idx="4258">
                  <c:v>4</c:v>
                </c:pt>
                <c:pt idx="4259">
                  <c:v>4</c:v>
                </c:pt>
                <c:pt idx="4260">
                  <c:v>4</c:v>
                </c:pt>
                <c:pt idx="4261">
                  <c:v>4</c:v>
                </c:pt>
                <c:pt idx="4262">
                  <c:v>4</c:v>
                </c:pt>
                <c:pt idx="4263">
                  <c:v>4</c:v>
                </c:pt>
                <c:pt idx="4264">
                  <c:v>4</c:v>
                </c:pt>
                <c:pt idx="4265">
                  <c:v>4</c:v>
                </c:pt>
                <c:pt idx="4266">
                  <c:v>4</c:v>
                </c:pt>
                <c:pt idx="4267">
                  <c:v>4</c:v>
                </c:pt>
                <c:pt idx="4268">
                  <c:v>4</c:v>
                </c:pt>
                <c:pt idx="4269">
                  <c:v>4</c:v>
                </c:pt>
                <c:pt idx="4270">
                  <c:v>4</c:v>
                </c:pt>
                <c:pt idx="4271">
                  <c:v>4</c:v>
                </c:pt>
                <c:pt idx="4272">
                  <c:v>4</c:v>
                </c:pt>
                <c:pt idx="4273">
                  <c:v>4</c:v>
                </c:pt>
                <c:pt idx="4274">
                  <c:v>4</c:v>
                </c:pt>
                <c:pt idx="4275">
                  <c:v>4</c:v>
                </c:pt>
                <c:pt idx="4276">
                  <c:v>4</c:v>
                </c:pt>
                <c:pt idx="4277">
                  <c:v>4</c:v>
                </c:pt>
                <c:pt idx="4278">
                  <c:v>4</c:v>
                </c:pt>
                <c:pt idx="4279">
                  <c:v>4</c:v>
                </c:pt>
                <c:pt idx="4280">
                  <c:v>4</c:v>
                </c:pt>
                <c:pt idx="4281">
                  <c:v>4</c:v>
                </c:pt>
                <c:pt idx="4282">
                  <c:v>4</c:v>
                </c:pt>
                <c:pt idx="4283">
                  <c:v>4</c:v>
                </c:pt>
                <c:pt idx="4284">
                  <c:v>4</c:v>
                </c:pt>
                <c:pt idx="4285">
                  <c:v>4</c:v>
                </c:pt>
                <c:pt idx="4286">
                  <c:v>4</c:v>
                </c:pt>
                <c:pt idx="4287">
                  <c:v>4</c:v>
                </c:pt>
                <c:pt idx="4288">
                  <c:v>4</c:v>
                </c:pt>
                <c:pt idx="4289">
                  <c:v>4</c:v>
                </c:pt>
                <c:pt idx="4290">
                  <c:v>4</c:v>
                </c:pt>
                <c:pt idx="4291">
                  <c:v>4</c:v>
                </c:pt>
                <c:pt idx="4292">
                  <c:v>4</c:v>
                </c:pt>
                <c:pt idx="4293">
                  <c:v>4</c:v>
                </c:pt>
                <c:pt idx="4294">
                  <c:v>4</c:v>
                </c:pt>
                <c:pt idx="4295">
                  <c:v>4</c:v>
                </c:pt>
                <c:pt idx="4296">
                  <c:v>4</c:v>
                </c:pt>
                <c:pt idx="4297">
                  <c:v>4</c:v>
                </c:pt>
                <c:pt idx="4298">
                  <c:v>4</c:v>
                </c:pt>
                <c:pt idx="4299">
                  <c:v>4</c:v>
                </c:pt>
                <c:pt idx="4300">
                  <c:v>4</c:v>
                </c:pt>
                <c:pt idx="4301">
                  <c:v>4</c:v>
                </c:pt>
                <c:pt idx="4302">
                  <c:v>4</c:v>
                </c:pt>
                <c:pt idx="4303">
                  <c:v>4</c:v>
                </c:pt>
                <c:pt idx="4304">
                  <c:v>4</c:v>
                </c:pt>
                <c:pt idx="4305">
                  <c:v>4</c:v>
                </c:pt>
                <c:pt idx="4306">
                  <c:v>4</c:v>
                </c:pt>
                <c:pt idx="4307">
                  <c:v>4</c:v>
                </c:pt>
                <c:pt idx="4308">
                  <c:v>4</c:v>
                </c:pt>
                <c:pt idx="4309">
                  <c:v>4</c:v>
                </c:pt>
                <c:pt idx="4310">
                  <c:v>4</c:v>
                </c:pt>
                <c:pt idx="4311">
                  <c:v>4</c:v>
                </c:pt>
                <c:pt idx="4312">
                  <c:v>4</c:v>
                </c:pt>
                <c:pt idx="4313">
                  <c:v>4</c:v>
                </c:pt>
                <c:pt idx="4314">
                  <c:v>4</c:v>
                </c:pt>
                <c:pt idx="4315">
                  <c:v>4</c:v>
                </c:pt>
                <c:pt idx="4316">
                  <c:v>4</c:v>
                </c:pt>
                <c:pt idx="4317">
                  <c:v>4</c:v>
                </c:pt>
                <c:pt idx="4318">
                  <c:v>4</c:v>
                </c:pt>
                <c:pt idx="4319">
                  <c:v>4</c:v>
                </c:pt>
                <c:pt idx="4320">
                  <c:v>4</c:v>
                </c:pt>
                <c:pt idx="4321">
                  <c:v>4</c:v>
                </c:pt>
                <c:pt idx="4322">
                  <c:v>4</c:v>
                </c:pt>
                <c:pt idx="4323">
                  <c:v>4</c:v>
                </c:pt>
                <c:pt idx="4324">
                  <c:v>4</c:v>
                </c:pt>
                <c:pt idx="4325">
                  <c:v>4</c:v>
                </c:pt>
                <c:pt idx="4326">
                  <c:v>4</c:v>
                </c:pt>
                <c:pt idx="4327">
                  <c:v>4</c:v>
                </c:pt>
                <c:pt idx="4328">
                  <c:v>4</c:v>
                </c:pt>
                <c:pt idx="4329">
                  <c:v>4</c:v>
                </c:pt>
                <c:pt idx="4330">
                  <c:v>4</c:v>
                </c:pt>
                <c:pt idx="4331">
                  <c:v>4</c:v>
                </c:pt>
                <c:pt idx="4332">
                  <c:v>4</c:v>
                </c:pt>
                <c:pt idx="4333">
                  <c:v>4</c:v>
                </c:pt>
                <c:pt idx="4334">
                  <c:v>4</c:v>
                </c:pt>
                <c:pt idx="4335">
                  <c:v>4</c:v>
                </c:pt>
                <c:pt idx="4336">
                  <c:v>4</c:v>
                </c:pt>
                <c:pt idx="4337">
                  <c:v>4</c:v>
                </c:pt>
                <c:pt idx="4338">
                  <c:v>4</c:v>
                </c:pt>
                <c:pt idx="4339">
                  <c:v>4</c:v>
                </c:pt>
                <c:pt idx="4340">
                  <c:v>4</c:v>
                </c:pt>
                <c:pt idx="4341">
                  <c:v>4</c:v>
                </c:pt>
                <c:pt idx="4342">
                  <c:v>4</c:v>
                </c:pt>
                <c:pt idx="4343">
                  <c:v>4</c:v>
                </c:pt>
                <c:pt idx="4344">
                  <c:v>4</c:v>
                </c:pt>
                <c:pt idx="4345">
                  <c:v>4</c:v>
                </c:pt>
                <c:pt idx="4346">
                  <c:v>4</c:v>
                </c:pt>
                <c:pt idx="4347">
                  <c:v>4</c:v>
                </c:pt>
                <c:pt idx="4348">
                  <c:v>4</c:v>
                </c:pt>
                <c:pt idx="4349">
                  <c:v>4</c:v>
                </c:pt>
                <c:pt idx="4350">
                  <c:v>4</c:v>
                </c:pt>
                <c:pt idx="4351">
                  <c:v>4</c:v>
                </c:pt>
                <c:pt idx="4352">
                  <c:v>4</c:v>
                </c:pt>
                <c:pt idx="4353">
                  <c:v>4</c:v>
                </c:pt>
                <c:pt idx="4354">
                  <c:v>4</c:v>
                </c:pt>
                <c:pt idx="4355">
                  <c:v>4</c:v>
                </c:pt>
                <c:pt idx="4356">
                  <c:v>4</c:v>
                </c:pt>
                <c:pt idx="4357">
                  <c:v>4</c:v>
                </c:pt>
                <c:pt idx="4358">
                  <c:v>4</c:v>
                </c:pt>
                <c:pt idx="4359">
                  <c:v>4</c:v>
                </c:pt>
                <c:pt idx="4360">
                  <c:v>4</c:v>
                </c:pt>
                <c:pt idx="4361">
                  <c:v>4</c:v>
                </c:pt>
                <c:pt idx="4362">
                  <c:v>4</c:v>
                </c:pt>
                <c:pt idx="4363">
                  <c:v>4</c:v>
                </c:pt>
                <c:pt idx="4364">
                  <c:v>4</c:v>
                </c:pt>
                <c:pt idx="4365">
                  <c:v>4</c:v>
                </c:pt>
                <c:pt idx="4366">
                  <c:v>4</c:v>
                </c:pt>
                <c:pt idx="4367">
                  <c:v>4</c:v>
                </c:pt>
                <c:pt idx="4368">
                  <c:v>4</c:v>
                </c:pt>
                <c:pt idx="4369">
                  <c:v>4</c:v>
                </c:pt>
                <c:pt idx="4370">
                  <c:v>4</c:v>
                </c:pt>
                <c:pt idx="4371">
                  <c:v>4</c:v>
                </c:pt>
                <c:pt idx="4372">
                  <c:v>4</c:v>
                </c:pt>
                <c:pt idx="4373">
                  <c:v>4</c:v>
                </c:pt>
                <c:pt idx="4374">
                  <c:v>4</c:v>
                </c:pt>
                <c:pt idx="4375">
                  <c:v>4</c:v>
                </c:pt>
                <c:pt idx="4376">
                  <c:v>4</c:v>
                </c:pt>
                <c:pt idx="4377">
                  <c:v>4</c:v>
                </c:pt>
                <c:pt idx="4378">
                  <c:v>4</c:v>
                </c:pt>
                <c:pt idx="4379">
                  <c:v>4</c:v>
                </c:pt>
                <c:pt idx="4380">
                  <c:v>4</c:v>
                </c:pt>
                <c:pt idx="4381">
                  <c:v>4</c:v>
                </c:pt>
                <c:pt idx="4382">
                  <c:v>4</c:v>
                </c:pt>
                <c:pt idx="4383">
                  <c:v>4</c:v>
                </c:pt>
                <c:pt idx="4384">
                  <c:v>4</c:v>
                </c:pt>
                <c:pt idx="4385">
                  <c:v>4</c:v>
                </c:pt>
                <c:pt idx="4386">
                  <c:v>4</c:v>
                </c:pt>
                <c:pt idx="4387">
                  <c:v>4</c:v>
                </c:pt>
                <c:pt idx="4388">
                  <c:v>4</c:v>
                </c:pt>
                <c:pt idx="4389">
                  <c:v>4</c:v>
                </c:pt>
                <c:pt idx="4390">
                  <c:v>4</c:v>
                </c:pt>
                <c:pt idx="4391">
                  <c:v>4</c:v>
                </c:pt>
                <c:pt idx="4392">
                  <c:v>4</c:v>
                </c:pt>
                <c:pt idx="4393">
                  <c:v>4</c:v>
                </c:pt>
                <c:pt idx="4394">
                  <c:v>4</c:v>
                </c:pt>
                <c:pt idx="4395">
                  <c:v>4</c:v>
                </c:pt>
                <c:pt idx="4396">
                  <c:v>4</c:v>
                </c:pt>
                <c:pt idx="4397">
                  <c:v>4</c:v>
                </c:pt>
                <c:pt idx="4398">
                  <c:v>4</c:v>
                </c:pt>
                <c:pt idx="4399">
                  <c:v>4</c:v>
                </c:pt>
                <c:pt idx="4400">
                  <c:v>4</c:v>
                </c:pt>
                <c:pt idx="4401">
                  <c:v>4</c:v>
                </c:pt>
                <c:pt idx="4402">
                  <c:v>4</c:v>
                </c:pt>
                <c:pt idx="4403">
                  <c:v>4</c:v>
                </c:pt>
                <c:pt idx="4404">
                  <c:v>4</c:v>
                </c:pt>
                <c:pt idx="4405">
                  <c:v>4</c:v>
                </c:pt>
                <c:pt idx="4406">
                  <c:v>4</c:v>
                </c:pt>
                <c:pt idx="4407">
                  <c:v>4</c:v>
                </c:pt>
                <c:pt idx="4408">
                  <c:v>4</c:v>
                </c:pt>
                <c:pt idx="4409">
                  <c:v>4</c:v>
                </c:pt>
                <c:pt idx="4410">
                  <c:v>4</c:v>
                </c:pt>
                <c:pt idx="4411">
                  <c:v>4</c:v>
                </c:pt>
                <c:pt idx="4412">
                  <c:v>4</c:v>
                </c:pt>
                <c:pt idx="4413">
                  <c:v>4</c:v>
                </c:pt>
                <c:pt idx="4414">
                  <c:v>4</c:v>
                </c:pt>
                <c:pt idx="4415">
                  <c:v>4</c:v>
                </c:pt>
                <c:pt idx="4416">
                  <c:v>4</c:v>
                </c:pt>
                <c:pt idx="4417">
                  <c:v>4</c:v>
                </c:pt>
                <c:pt idx="4418">
                  <c:v>4</c:v>
                </c:pt>
                <c:pt idx="4419">
                  <c:v>4</c:v>
                </c:pt>
                <c:pt idx="4420">
                  <c:v>4</c:v>
                </c:pt>
                <c:pt idx="4421">
                  <c:v>4</c:v>
                </c:pt>
                <c:pt idx="4422">
                  <c:v>4</c:v>
                </c:pt>
                <c:pt idx="4423">
                  <c:v>4</c:v>
                </c:pt>
                <c:pt idx="4424">
                  <c:v>4</c:v>
                </c:pt>
                <c:pt idx="4425">
                  <c:v>4</c:v>
                </c:pt>
                <c:pt idx="4426">
                  <c:v>4</c:v>
                </c:pt>
                <c:pt idx="4427">
                  <c:v>4</c:v>
                </c:pt>
                <c:pt idx="4428">
                  <c:v>4</c:v>
                </c:pt>
                <c:pt idx="4429">
                  <c:v>4</c:v>
                </c:pt>
                <c:pt idx="4430">
                  <c:v>4</c:v>
                </c:pt>
                <c:pt idx="4431">
                  <c:v>4</c:v>
                </c:pt>
                <c:pt idx="4432">
                  <c:v>4</c:v>
                </c:pt>
                <c:pt idx="4433">
                  <c:v>4</c:v>
                </c:pt>
                <c:pt idx="4434">
                  <c:v>4</c:v>
                </c:pt>
                <c:pt idx="4435">
                  <c:v>4</c:v>
                </c:pt>
                <c:pt idx="4436">
                  <c:v>4</c:v>
                </c:pt>
                <c:pt idx="4437">
                  <c:v>4</c:v>
                </c:pt>
                <c:pt idx="4438">
                  <c:v>4</c:v>
                </c:pt>
                <c:pt idx="4439">
                  <c:v>4</c:v>
                </c:pt>
                <c:pt idx="4440">
                  <c:v>4</c:v>
                </c:pt>
                <c:pt idx="4441">
                  <c:v>4</c:v>
                </c:pt>
                <c:pt idx="4442">
                  <c:v>4</c:v>
                </c:pt>
                <c:pt idx="4443">
                  <c:v>4</c:v>
                </c:pt>
                <c:pt idx="4444">
                  <c:v>4</c:v>
                </c:pt>
                <c:pt idx="4445">
                  <c:v>4</c:v>
                </c:pt>
                <c:pt idx="4446">
                  <c:v>4</c:v>
                </c:pt>
                <c:pt idx="4447">
                  <c:v>4</c:v>
                </c:pt>
                <c:pt idx="4448">
                  <c:v>4</c:v>
                </c:pt>
                <c:pt idx="4449">
                  <c:v>4</c:v>
                </c:pt>
                <c:pt idx="4450">
                  <c:v>4</c:v>
                </c:pt>
                <c:pt idx="4451">
                  <c:v>4</c:v>
                </c:pt>
                <c:pt idx="4452">
                  <c:v>4</c:v>
                </c:pt>
                <c:pt idx="4453">
                  <c:v>4</c:v>
                </c:pt>
                <c:pt idx="4454">
                  <c:v>4</c:v>
                </c:pt>
                <c:pt idx="4455">
                  <c:v>4</c:v>
                </c:pt>
                <c:pt idx="4456">
                  <c:v>4</c:v>
                </c:pt>
                <c:pt idx="4457">
                  <c:v>4</c:v>
                </c:pt>
                <c:pt idx="4458">
                  <c:v>4</c:v>
                </c:pt>
                <c:pt idx="4459">
                  <c:v>4</c:v>
                </c:pt>
                <c:pt idx="4460">
                  <c:v>4</c:v>
                </c:pt>
                <c:pt idx="4461">
                  <c:v>4</c:v>
                </c:pt>
                <c:pt idx="4462">
                  <c:v>4</c:v>
                </c:pt>
                <c:pt idx="4463">
                  <c:v>4</c:v>
                </c:pt>
                <c:pt idx="4464">
                  <c:v>4</c:v>
                </c:pt>
                <c:pt idx="4465">
                  <c:v>4</c:v>
                </c:pt>
                <c:pt idx="4466">
                  <c:v>4</c:v>
                </c:pt>
                <c:pt idx="4467">
                  <c:v>4</c:v>
                </c:pt>
                <c:pt idx="4468">
                  <c:v>4</c:v>
                </c:pt>
                <c:pt idx="4469">
                  <c:v>4</c:v>
                </c:pt>
                <c:pt idx="4470">
                  <c:v>4</c:v>
                </c:pt>
                <c:pt idx="4471">
                  <c:v>4</c:v>
                </c:pt>
                <c:pt idx="4472">
                  <c:v>4</c:v>
                </c:pt>
                <c:pt idx="4473">
                  <c:v>4</c:v>
                </c:pt>
                <c:pt idx="4474">
                  <c:v>4</c:v>
                </c:pt>
                <c:pt idx="4475">
                  <c:v>4</c:v>
                </c:pt>
                <c:pt idx="4476">
                  <c:v>4</c:v>
                </c:pt>
                <c:pt idx="4477">
                  <c:v>4</c:v>
                </c:pt>
                <c:pt idx="4478">
                  <c:v>4</c:v>
                </c:pt>
                <c:pt idx="4479">
                  <c:v>4</c:v>
                </c:pt>
                <c:pt idx="4480">
                  <c:v>4</c:v>
                </c:pt>
                <c:pt idx="4481">
                  <c:v>4</c:v>
                </c:pt>
                <c:pt idx="4482">
                  <c:v>4</c:v>
                </c:pt>
                <c:pt idx="4483">
                  <c:v>4</c:v>
                </c:pt>
                <c:pt idx="4484">
                  <c:v>4</c:v>
                </c:pt>
                <c:pt idx="4485">
                  <c:v>4</c:v>
                </c:pt>
                <c:pt idx="4486">
                  <c:v>4</c:v>
                </c:pt>
                <c:pt idx="4487">
                  <c:v>4</c:v>
                </c:pt>
                <c:pt idx="4488">
                  <c:v>4</c:v>
                </c:pt>
                <c:pt idx="4489">
                  <c:v>4</c:v>
                </c:pt>
                <c:pt idx="4490">
                  <c:v>4</c:v>
                </c:pt>
                <c:pt idx="4491">
                  <c:v>4</c:v>
                </c:pt>
                <c:pt idx="4492">
                  <c:v>4</c:v>
                </c:pt>
                <c:pt idx="4493">
                  <c:v>4</c:v>
                </c:pt>
                <c:pt idx="4494">
                  <c:v>4</c:v>
                </c:pt>
                <c:pt idx="4495">
                  <c:v>4</c:v>
                </c:pt>
                <c:pt idx="4496">
                  <c:v>4</c:v>
                </c:pt>
                <c:pt idx="4497">
                  <c:v>4</c:v>
                </c:pt>
                <c:pt idx="4498">
                  <c:v>4</c:v>
                </c:pt>
                <c:pt idx="4499">
                  <c:v>4</c:v>
                </c:pt>
                <c:pt idx="4500">
                  <c:v>4</c:v>
                </c:pt>
                <c:pt idx="4501">
                  <c:v>4</c:v>
                </c:pt>
                <c:pt idx="4502">
                  <c:v>4</c:v>
                </c:pt>
                <c:pt idx="4503">
                  <c:v>4</c:v>
                </c:pt>
                <c:pt idx="4504">
                  <c:v>4</c:v>
                </c:pt>
                <c:pt idx="4505">
                  <c:v>4</c:v>
                </c:pt>
                <c:pt idx="4506">
                  <c:v>4</c:v>
                </c:pt>
                <c:pt idx="4507">
                  <c:v>4</c:v>
                </c:pt>
                <c:pt idx="4508">
                  <c:v>4</c:v>
                </c:pt>
                <c:pt idx="4509">
                  <c:v>4</c:v>
                </c:pt>
                <c:pt idx="4510">
                  <c:v>4</c:v>
                </c:pt>
                <c:pt idx="4511">
                  <c:v>4</c:v>
                </c:pt>
                <c:pt idx="4512">
                  <c:v>4</c:v>
                </c:pt>
                <c:pt idx="4513">
                  <c:v>4</c:v>
                </c:pt>
                <c:pt idx="4514">
                  <c:v>4</c:v>
                </c:pt>
                <c:pt idx="4515">
                  <c:v>4</c:v>
                </c:pt>
                <c:pt idx="4516">
                  <c:v>4</c:v>
                </c:pt>
                <c:pt idx="4517">
                  <c:v>4</c:v>
                </c:pt>
                <c:pt idx="4518">
                  <c:v>4</c:v>
                </c:pt>
                <c:pt idx="4519">
                  <c:v>4</c:v>
                </c:pt>
                <c:pt idx="4520">
                  <c:v>4</c:v>
                </c:pt>
                <c:pt idx="4521">
                  <c:v>4</c:v>
                </c:pt>
                <c:pt idx="4522">
                  <c:v>4</c:v>
                </c:pt>
                <c:pt idx="4523">
                  <c:v>4</c:v>
                </c:pt>
                <c:pt idx="4524">
                  <c:v>4</c:v>
                </c:pt>
                <c:pt idx="4525">
                  <c:v>4</c:v>
                </c:pt>
                <c:pt idx="4526">
                  <c:v>4</c:v>
                </c:pt>
                <c:pt idx="4527">
                  <c:v>4</c:v>
                </c:pt>
                <c:pt idx="4528">
                  <c:v>4</c:v>
                </c:pt>
                <c:pt idx="4529">
                  <c:v>4</c:v>
                </c:pt>
                <c:pt idx="4530">
                  <c:v>4</c:v>
                </c:pt>
                <c:pt idx="4531">
                  <c:v>4</c:v>
                </c:pt>
                <c:pt idx="4532">
                  <c:v>4</c:v>
                </c:pt>
                <c:pt idx="4533">
                  <c:v>4</c:v>
                </c:pt>
                <c:pt idx="4534">
                  <c:v>4</c:v>
                </c:pt>
                <c:pt idx="4535">
                  <c:v>4</c:v>
                </c:pt>
                <c:pt idx="4536">
                  <c:v>4</c:v>
                </c:pt>
                <c:pt idx="4537">
                  <c:v>4</c:v>
                </c:pt>
                <c:pt idx="4538">
                  <c:v>4</c:v>
                </c:pt>
                <c:pt idx="4539">
                  <c:v>4</c:v>
                </c:pt>
                <c:pt idx="4540">
                  <c:v>4</c:v>
                </c:pt>
                <c:pt idx="4541">
                  <c:v>5</c:v>
                </c:pt>
                <c:pt idx="4542">
                  <c:v>5</c:v>
                </c:pt>
                <c:pt idx="4543">
                  <c:v>5</c:v>
                </c:pt>
                <c:pt idx="4544">
                  <c:v>5</c:v>
                </c:pt>
                <c:pt idx="4545">
                  <c:v>5</c:v>
                </c:pt>
                <c:pt idx="4546">
                  <c:v>5</c:v>
                </c:pt>
                <c:pt idx="4547">
                  <c:v>5</c:v>
                </c:pt>
                <c:pt idx="4548">
                  <c:v>5</c:v>
                </c:pt>
                <c:pt idx="4549">
                  <c:v>5</c:v>
                </c:pt>
                <c:pt idx="4550">
                  <c:v>5</c:v>
                </c:pt>
                <c:pt idx="4551">
                  <c:v>5</c:v>
                </c:pt>
                <c:pt idx="4552">
                  <c:v>5</c:v>
                </c:pt>
                <c:pt idx="4553">
                  <c:v>5</c:v>
                </c:pt>
                <c:pt idx="4554">
                  <c:v>5</c:v>
                </c:pt>
                <c:pt idx="4555">
                  <c:v>5</c:v>
                </c:pt>
                <c:pt idx="4556">
                  <c:v>5</c:v>
                </c:pt>
                <c:pt idx="4557">
                  <c:v>5</c:v>
                </c:pt>
                <c:pt idx="4558">
                  <c:v>5</c:v>
                </c:pt>
                <c:pt idx="4559">
                  <c:v>5</c:v>
                </c:pt>
                <c:pt idx="4560">
                  <c:v>5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5</c:v>
                </c:pt>
                <c:pt idx="4570">
                  <c:v>5</c:v>
                </c:pt>
                <c:pt idx="4571">
                  <c:v>5</c:v>
                </c:pt>
                <c:pt idx="4572">
                  <c:v>5</c:v>
                </c:pt>
                <c:pt idx="4573">
                  <c:v>5</c:v>
                </c:pt>
                <c:pt idx="4574">
                  <c:v>5</c:v>
                </c:pt>
                <c:pt idx="4575">
                  <c:v>5</c:v>
                </c:pt>
                <c:pt idx="4576">
                  <c:v>5</c:v>
                </c:pt>
                <c:pt idx="4577">
                  <c:v>5</c:v>
                </c:pt>
                <c:pt idx="4578">
                  <c:v>5</c:v>
                </c:pt>
                <c:pt idx="4579">
                  <c:v>5</c:v>
                </c:pt>
                <c:pt idx="4580">
                  <c:v>5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5</c:v>
                </c:pt>
                <c:pt idx="4588">
                  <c:v>5</c:v>
                </c:pt>
                <c:pt idx="4589">
                  <c:v>5</c:v>
                </c:pt>
                <c:pt idx="4590">
                  <c:v>5</c:v>
                </c:pt>
                <c:pt idx="4591">
                  <c:v>5</c:v>
                </c:pt>
                <c:pt idx="4592">
                  <c:v>5</c:v>
                </c:pt>
                <c:pt idx="4593">
                  <c:v>5</c:v>
                </c:pt>
                <c:pt idx="4594">
                  <c:v>5</c:v>
                </c:pt>
                <c:pt idx="4595">
                  <c:v>5</c:v>
                </c:pt>
                <c:pt idx="4596">
                  <c:v>5</c:v>
                </c:pt>
                <c:pt idx="4597">
                  <c:v>5</c:v>
                </c:pt>
                <c:pt idx="4598">
                  <c:v>5</c:v>
                </c:pt>
                <c:pt idx="4599">
                  <c:v>5</c:v>
                </c:pt>
                <c:pt idx="4600">
                  <c:v>5</c:v>
                </c:pt>
                <c:pt idx="4601">
                  <c:v>5</c:v>
                </c:pt>
                <c:pt idx="4602">
                  <c:v>5</c:v>
                </c:pt>
                <c:pt idx="4603">
                  <c:v>5</c:v>
                </c:pt>
                <c:pt idx="4604">
                  <c:v>5</c:v>
                </c:pt>
                <c:pt idx="4605">
                  <c:v>5</c:v>
                </c:pt>
                <c:pt idx="4606">
                  <c:v>5</c:v>
                </c:pt>
                <c:pt idx="4607">
                  <c:v>5</c:v>
                </c:pt>
                <c:pt idx="4608">
                  <c:v>5</c:v>
                </c:pt>
                <c:pt idx="4609">
                  <c:v>5</c:v>
                </c:pt>
                <c:pt idx="4610">
                  <c:v>5</c:v>
                </c:pt>
                <c:pt idx="4611">
                  <c:v>5</c:v>
                </c:pt>
                <c:pt idx="4612">
                  <c:v>5</c:v>
                </c:pt>
                <c:pt idx="4613">
                  <c:v>5</c:v>
                </c:pt>
                <c:pt idx="4614">
                  <c:v>5</c:v>
                </c:pt>
                <c:pt idx="4615">
                  <c:v>5</c:v>
                </c:pt>
                <c:pt idx="4616">
                  <c:v>5</c:v>
                </c:pt>
                <c:pt idx="4617">
                  <c:v>5</c:v>
                </c:pt>
                <c:pt idx="4618">
                  <c:v>5</c:v>
                </c:pt>
                <c:pt idx="4619">
                  <c:v>5</c:v>
                </c:pt>
                <c:pt idx="4620">
                  <c:v>5</c:v>
                </c:pt>
                <c:pt idx="4621">
                  <c:v>5</c:v>
                </c:pt>
                <c:pt idx="4622">
                  <c:v>5</c:v>
                </c:pt>
                <c:pt idx="4623">
                  <c:v>5</c:v>
                </c:pt>
                <c:pt idx="4624">
                  <c:v>5</c:v>
                </c:pt>
                <c:pt idx="4625">
                  <c:v>5</c:v>
                </c:pt>
                <c:pt idx="4626">
                  <c:v>5</c:v>
                </c:pt>
                <c:pt idx="4627">
                  <c:v>5</c:v>
                </c:pt>
                <c:pt idx="4628">
                  <c:v>5</c:v>
                </c:pt>
                <c:pt idx="4629">
                  <c:v>5</c:v>
                </c:pt>
                <c:pt idx="4630">
                  <c:v>5</c:v>
                </c:pt>
                <c:pt idx="4631">
                  <c:v>5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5</c:v>
                </c:pt>
                <c:pt idx="4643">
                  <c:v>5</c:v>
                </c:pt>
                <c:pt idx="4644">
                  <c:v>5</c:v>
                </c:pt>
                <c:pt idx="4645">
                  <c:v>5</c:v>
                </c:pt>
                <c:pt idx="4646">
                  <c:v>5</c:v>
                </c:pt>
                <c:pt idx="4647">
                  <c:v>5</c:v>
                </c:pt>
                <c:pt idx="4648">
                  <c:v>5</c:v>
                </c:pt>
                <c:pt idx="4649">
                  <c:v>5</c:v>
                </c:pt>
                <c:pt idx="4650">
                  <c:v>5</c:v>
                </c:pt>
                <c:pt idx="4651">
                  <c:v>5</c:v>
                </c:pt>
                <c:pt idx="4652">
                  <c:v>5</c:v>
                </c:pt>
                <c:pt idx="4653">
                  <c:v>5</c:v>
                </c:pt>
                <c:pt idx="4654">
                  <c:v>5</c:v>
                </c:pt>
                <c:pt idx="4655">
                  <c:v>5</c:v>
                </c:pt>
                <c:pt idx="4656">
                  <c:v>5</c:v>
                </c:pt>
                <c:pt idx="4657">
                  <c:v>5</c:v>
                </c:pt>
                <c:pt idx="4658">
                  <c:v>5</c:v>
                </c:pt>
                <c:pt idx="4659">
                  <c:v>5</c:v>
                </c:pt>
                <c:pt idx="4660">
                  <c:v>5</c:v>
                </c:pt>
                <c:pt idx="4661">
                  <c:v>5</c:v>
                </c:pt>
                <c:pt idx="4662">
                  <c:v>5</c:v>
                </c:pt>
                <c:pt idx="4663">
                  <c:v>5</c:v>
                </c:pt>
                <c:pt idx="4664">
                  <c:v>5</c:v>
                </c:pt>
                <c:pt idx="4665">
                  <c:v>5</c:v>
                </c:pt>
                <c:pt idx="4666">
                  <c:v>5</c:v>
                </c:pt>
                <c:pt idx="4667">
                  <c:v>5</c:v>
                </c:pt>
                <c:pt idx="4668">
                  <c:v>5</c:v>
                </c:pt>
                <c:pt idx="4669">
                  <c:v>5</c:v>
                </c:pt>
                <c:pt idx="4670">
                  <c:v>5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5</c:v>
                </c:pt>
                <c:pt idx="4682">
                  <c:v>5</c:v>
                </c:pt>
                <c:pt idx="4683">
                  <c:v>5</c:v>
                </c:pt>
                <c:pt idx="4684">
                  <c:v>5</c:v>
                </c:pt>
                <c:pt idx="4685">
                  <c:v>5</c:v>
                </c:pt>
                <c:pt idx="4686">
                  <c:v>5</c:v>
                </c:pt>
                <c:pt idx="4687">
                  <c:v>5</c:v>
                </c:pt>
                <c:pt idx="4688">
                  <c:v>5</c:v>
                </c:pt>
                <c:pt idx="4689">
                  <c:v>5</c:v>
                </c:pt>
                <c:pt idx="4690">
                  <c:v>5</c:v>
                </c:pt>
                <c:pt idx="4691">
                  <c:v>5</c:v>
                </c:pt>
                <c:pt idx="4692">
                  <c:v>5</c:v>
                </c:pt>
                <c:pt idx="4693">
                  <c:v>5</c:v>
                </c:pt>
                <c:pt idx="4694">
                  <c:v>5</c:v>
                </c:pt>
                <c:pt idx="4695">
                  <c:v>5</c:v>
                </c:pt>
                <c:pt idx="4696">
                  <c:v>5</c:v>
                </c:pt>
                <c:pt idx="4697">
                  <c:v>5</c:v>
                </c:pt>
                <c:pt idx="4698">
                  <c:v>5</c:v>
                </c:pt>
                <c:pt idx="4699">
                  <c:v>5</c:v>
                </c:pt>
                <c:pt idx="4700">
                  <c:v>5</c:v>
                </c:pt>
                <c:pt idx="4701">
                  <c:v>5</c:v>
                </c:pt>
                <c:pt idx="4702">
                  <c:v>5</c:v>
                </c:pt>
                <c:pt idx="4703">
                  <c:v>5</c:v>
                </c:pt>
                <c:pt idx="4704">
                  <c:v>5</c:v>
                </c:pt>
                <c:pt idx="4705">
                  <c:v>5</c:v>
                </c:pt>
                <c:pt idx="4706">
                  <c:v>5</c:v>
                </c:pt>
                <c:pt idx="4707">
                  <c:v>5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5</c:v>
                </c:pt>
                <c:pt idx="4716">
                  <c:v>5</c:v>
                </c:pt>
                <c:pt idx="4717">
                  <c:v>5</c:v>
                </c:pt>
                <c:pt idx="4718">
                  <c:v>5</c:v>
                </c:pt>
                <c:pt idx="4719">
                  <c:v>5</c:v>
                </c:pt>
                <c:pt idx="4720">
                  <c:v>5</c:v>
                </c:pt>
                <c:pt idx="4721">
                  <c:v>5</c:v>
                </c:pt>
                <c:pt idx="4722">
                  <c:v>5</c:v>
                </c:pt>
                <c:pt idx="4723">
                  <c:v>5</c:v>
                </c:pt>
                <c:pt idx="4724">
                  <c:v>5</c:v>
                </c:pt>
                <c:pt idx="4725">
                  <c:v>5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5</c:v>
                </c:pt>
                <c:pt idx="4736">
                  <c:v>5</c:v>
                </c:pt>
                <c:pt idx="4737">
                  <c:v>5</c:v>
                </c:pt>
                <c:pt idx="4738">
                  <c:v>5</c:v>
                </c:pt>
                <c:pt idx="4739">
                  <c:v>5</c:v>
                </c:pt>
                <c:pt idx="4740">
                  <c:v>5</c:v>
                </c:pt>
                <c:pt idx="4741">
                  <c:v>5</c:v>
                </c:pt>
                <c:pt idx="4742">
                  <c:v>5</c:v>
                </c:pt>
                <c:pt idx="4743">
                  <c:v>5</c:v>
                </c:pt>
                <c:pt idx="4744">
                  <c:v>5</c:v>
                </c:pt>
                <c:pt idx="4745">
                  <c:v>5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5</c:v>
                </c:pt>
                <c:pt idx="4753">
                  <c:v>5</c:v>
                </c:pt>
                <c:pt idx="4754">
                  <c:v>5</c:v>
                </c:pt>
                <c:pt idx="4755">
                  <c:v>5</c:v>
                </c:pt>
                <c:pt idx="4756">
                  <c:v>5</c:v>
                </c:pt>
                <c:pt idx="4757">
                  <c:v>5</c:v>
                </c:pt>
                <c:pt idx="4758">
                  <c:v>5</c:v>
                </c:pt>
                <c:pt idx="4759">
                  <c:v>5</c:v>
                </c:pt>
                <c:pt idx="4760">
                  <c:v>5</c:v>
                </c:pt>
                <c:pt idx="4761">
                  <c:v>5</c:v>
                </c:pt>
                <c:pt idx="4762">
                  <c:v>5</c:v>
                </c:pt>
                <c:pt idx="4763">
                  <c:v>5</c:v>
                </c:pt>
                <c:pt idx="4764">
                  <c:v>5</c:v>
                </c:pt>
                <c:pt idx="4765">
                  <c:v>5</c:v>
                </c:pt>
                <c:pt idx="4766">
                  <c:v>5</c:v>
                </c:pt>
                <c:pt idx="4767">
                  <c:v>5</c:v>
                </c:pt>
                <c:pt idx="4768">
                  <c:v>5</c:v>
                </c:pt>
                <c:pt idx="4769">
                  <c:v>5</c:v>
                </c:pt>
                <c:pt idx="4770">
                  <c:v>5</c:v>
                </c:pt>
                <c:pt idx="4771">
                  <c:v>5</c:v>
                </c:pt>
                <c:pt idx="4772">
                  <c:v>5</c:v>
                </c:pt>
                <c:pt idx="4773">
                  <c:v>5</c:v>
                </c:pt>
                <c:pt idx="4774">
                  <c:v>5</c:v>
                </c:pt>
                <c:pt idx="4775">
                  <c:v>5</c:v>
                </c:pt>
                <c:pt idx="4776">
                  <c:v>5</c:v>
                </c:pt>
                <c:pt idx="4777">
                  <c:v>5</c:v>
                </c:pt>
                <c:pt idx="4778">
                  <c:v>5</c:v>
                </c:pt>
                <c:pt idx="4779">
                  <c:v>5</c:v>
                </c:pt>
                <c:pt idx="4780">
                  <c:v>5</c:v>
                </c:pt>
                <c:pt idx="4781">
                  <c:v>5</c:v>
                </c:pt>
                <c:pt idx="4782">
                  <c:v>5</c:v>
                </c:pt>
                <c:pt idx="4783">
                  <c:v>5</c:v>
                </c:pt>
                <c:pt idx="4784">
                  <c:v>5</c:v>
                </c:pt>
                <c:pt idx="4785">
                  <c:v>5</c:v>
                </c:pt>
                <c:pt idx="4786">
                  <c:v>5</c:v>
                </c:pt>
                <c:pt idx="4787">
                  <c:v>5</c:v>
                </c:pt>
                <c:pt idx="4788">
                  <c:v>5</c:v>
                </c:pt>
                <c:pt idx="4789">
                  <c:v>5</c:v>
                </c:pt>
                <c:pt idx="4790">
                  <c:v>5</c:v>
                </c:pt>
                <c:pt idx="4791">
                  <c:v>5</c:v>
                </c:pt>
                <c:pt idx="4792">
                  <c:v>5</c:v>
                </c:pt>
                <c:pt idx="4793">
                  <c:v>5</c:v>
                </c:pt>
                <c:pt idx="4794">
                  <c:v>5</c:v>
                </c:pt>
                <c:pt idx="4795">
                  <c:v>5</c:v>
                </c:pt>
                <c:pt idx="4796">
                  <c:v>5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5</c:v>
                </c:pt>
                <c:pt idx="4807">
                  <c:v>5</c:v>
                </c:pt>
                <c:pt idx="4808">
                  <c:v>5</c:v>
                </c:pt>
                <c:pt idx="4809">
                  <c:v>5</c:v>
                </c:pt>
                <c:pt idx="4810">
                  <c:v>5</c:v>
                </c:pt>
                <c:pt idx="4811">
                  <c:v>5</c:v>
                </c:pt>
                <c:pt idx="4812">
                  <c:v>5</c:v>
                </c:pt>
                <c:pt idx="4813">
                  <c:v>5</c:v>
                </c:pt>
                <c:pt idx="4814">
                  <c:v>5</c:v>
                </c:pt>
                <c:pt idx="4815">
                  <c:v>5</c:v>
                </c:pt>
                <c:pt idx="4816">
                  <c:v>5</c:v>
                </c:pt>
                <c:pt idx="4817">
                  <c:v>5</c:v>
                </c:pt>
                <c:pt idx="4818">
                  <c:v>5</c:v>
                </c:pt>
                <c:pt idx="4819">
                  <c:v>5</c:v>
                </c:pt>
                <c:pt idx="4820">
                  <c:v>5</c:v>
                </c:pt>
                <c:pt idx="4821">
                  <c:v>5</c:v>
                </c:pt>
                <c:pt idx="4822">
                  <c:v>5</c:v>
                </c:pt>
                <c:pt idx="4823">
                  <c:v>5</c:v>
                </c:pt>
                <c:pt idx="4824">
                  <c:v>5</c:v>
                </c:pt>
                <c:pt idx="4825">
                  <c:v>5</c:v>
                </c:pt>
                <c:pt idx="4826">
                  <c:v>5</c:v>
                </c:pt>
                <c:pt idx="4827">
                  <c:v>5</c:v>
                </c:pt>
                <c:pt idx="4828">
                  <c:v>5</c:v>
                </c:pt>
                <c:pt idx="4829">
                  <c:v>5</c:v>
                </c:pt>
                <c:pt idx="4830">
                  <c:v>5</c:v>
                </c:pt>
                <c:pt idx="4831">
                  <c:v>5</c:v>
                </c:pt>
                <c:pt idx="4832">
                  <c:v>5</c:v>
                </c:pt>
                <c:pt idx="4833">
                  <c:v>5</c:v>
                </c:pt>
                <c:pt idx="4834">
                  <c:v>5</c:v>
                </c:pt>
                <c:pt idx="4835">
                  <c:v>5</c:v>
                </c:pt>
                <c:pt idx="4836">
                  <c:v>5</c:v>
                </c:pt>
                <c:pt idx="4837">
                  <c:v>5</c:v>
                </c:pt>
                <c:pt idx="4838">
                  <c:v>5</c:v>
                </c:pt>
                <c:pt idx="4839">
                  <c:v>5</c:v>
                </c:pt>
                <c:pt idx="4840">
                  <c:v>5</c:v>
                </c:pt>
                <c:pt idx="4841">
                  <c:v>5</c:v>
                </c:pt>
                <c:pt idx="4842">
                  <c:v>5</c:v>
                </c:pt>
                <c:pt idx="4843">
                  <c:v>5</c:v>
                </c:pt>
                <c:pt idx="4844">
                  <c:v>5</c:v>
                </c:pt>
                <c:pt idx="4845">
                  <c:v>5</c:v>
                </c:pt>
                <c:pt idx="4846">
                  <c:v>5</c:v>
                </c:pt>
                <c:pt idx="4847">
                  <c:v>5</c:v>
                </c:pt>
                <c:pt idx="4848">
                  <c:v>5</c:v>
                </c:pt>
                <c:pt idx="4849">
                  <c:v>5</c:v>
                </c:pt>
                <c:pt idx="4850">
                  <c:v>5</c:v>
                </c:pt>
                <c:pt idx="4851">
                  <c:v>5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5</c:v>
                </c:pt>
                <c:pt idx="4862">
                  <c:v>5</c:v>
                </c:pt>
                <c:pt idx="4863">
                  <c:v>5</c:v>
                </c:pt>
                <c:pt idx="4864">
                  <c:v>5</c:v>
                </c:pt>
                <c:pt idx="4865">
                  <c:v>5</c:v>
                </c:pt>
                <c:pt idx="4866">
                  <c:v>5</c:v>
                </c:pt>
                <c:pt idx="4867">
                  <c:v>5</c:v>
                </c:pt>
                <c:pt idx="4868">
                  <c:v>5</c:v>
                </c:pt>
                <c:pt idx="4869">
                  <c:v>5</c:v>
                </c:pt>
                <c:pt idx="4870">
                  <c:v>5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5</c:v>
                </c:pt>
                <c:pt idx="4879">
                  <c:v>5</c:v>
                </c:pt>
                <c:pt idx="4880">
                  <c:v>5</c:v>
                </c:pt>
                <c:pt idx="4881">
                  <c:v>5</c:v>
                </c:pt>
                <c:pt idx="4882">
                  <c:v>5</c:v>
                </c:pt>
                <c:pt idx="4883">
                  <c:v>5</c:v>
                </c:pt>
                <c:pt idx="4884">
                  <c:v>5</c:v>
                </c:pt>
                <c:pt idx="4885">
                  <c:v>5</c:v>
                </c:pt>
                <c:pt idx="4886">
                  <c:v>5</c:v>
                </c:pt>
                <c:pt idx="4887">
                  <c:v>5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5</c:v>
                </c:pt>
                <c:pt idx="4897">
                  <c:v>5</c:v>
                </c:pt>
                <c:pt idx="4898">
                  <c:v>5</c:v>
                </c:pt>
                <c:pt idx="4899">
                  <c:v>5</c:v>
                </c:pt>
                <c:pt idx="4900">
                  <c:v>5</c:v>
                </c:pt>
                <c:pt idx="4901">
                  <c:v>5</c:v>
                </c:pt>
                <c:pt idx="4902">
                  <c:v>5</c:v>
                </c:pt>
                <c:pt idx="4903">
                  <c:v>5</c:v>
                </c:pt>
                <c:pt idx="4904">
                  <c:v>5</c:v>
                </c:pt>
                <c:pt idx="4905">
                  <c:v>5</c:v>
                </c:pt>
                <c:pt idx="4906">
                  <c:v>5</c:v>
                </c:pt>
                <c:pt idx="4907">
                  <c:v>5</c:v>
                </c:pt>
                <c:pt idx="4908">
                  <c:v>5</c:v>
                </c:pt>
                <c:pt idx="4909">
                  <c:v>5</c:v>
                </c:pt>
                <c:pt idx="4910">
                  <c:v>5</c:v>
                </c:pt>
                <c:pt idx="4911">
                  <c:v>5</c:v>
                </c:pt>
                <c:pt idx="4912">
                  <c:v>5</c:v>
                </c:pt>
                <c:pt idx="4913">
                  <c:v>5</c:v>
                </c:pt>
                <c:pt idx="4914">
                  <c:v>5</c:v>
                </c:pt>
                <c:pt idx="4915">
                  <c:v>5</c:v>
                </c:pt>
                <c:pt idx="4916">
                  <c:v>5</c:v>
                </c:pt>
                <c:pt idx="4917">
                  <c:v>5</c:v>
                </c:pt>
                <c:pt idx="4918">
                  <c:v>5</c:v>
                </c:pt>
                <c:pt idx="4919">
                  <c:v>5</c:v>
                </c:pt>
                <c:pt idx="4920">
                  <c:v>5</c:v>
                </c:pt>
                <c:pt idx="4921">
                  <c:v>5</c:v>
                </c:pt>
                <c:pt idx="4922">
                  <c:v>5</c:v>
                </c:pt>
                <c:pt idx="4923">
                  <c:v>5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5</c:v>
                </c:pt>
                <c:pt idx="4934">
                  <c:v>5</c:v>
                </c:pt>
                <c:pt idx="4935">
                  <c:v>5</c:v>
                </c:pt>
                <c:pt idx="4936">
                  <c:v>5</c:v>
                </c:pt>
                <c:pt idx="4937">
                  <c:v>5</c:v>
                </c:pt>
                <c:pt idx="4938">
                  <c:v>5</c:v>
                </c:pt>
                <c:pt idx="4939">
                  <c:v>5</c:v>
                </c:pt>
                <c:pt idx="4940">
                  <c:v>5</c:v>
                </c:pt>
                <c:pt idx="4941">
                  <c:v>5</c:v>
                </c:pt>
                <c:pt idx="4942">
                  <c:v>5</c:v>
                </c:pt>
                <c:pt idx="4943">
                  <c:v>5</c:v>
                </c:pt>
                <c:pt idx="4944">
                  <c:v>5</c:v>
                </c:pt>
                <c:pt idx="4945">
                  <c:v>5</c:v>
                </c:pt>
                <c:pt idx="4946">
                  <c:v>5</c:v>
                </c:pt>
                <c:pt idx="4947">
                  <c:v>5</c:v>
                </c:pt>
                <c:pt idx="4948">
                  <c:v>5</c:v>
                </c:pt>
                <c:pt idx="4949">
                  <c:v>5</c:v>
                </c:pt>
                <c:pt idx="4950">
                  <c:v>5</c:v>
                </c:pt>
                <c:pt idx="4951">
                  <c:v>5</c:v>
                </c:pt>
                <c:pt idx="4952">
                  <c:v>5</c:v>
                </c:pt>
                <c:pt idx="4953">
                  <c:v>5</c:v>
                </c:pt>
                <c:pt idx="4954">
                  <c:v>5</c:v>
                </c:pt>
                <c:pt idx="4955">
                  <c:v>5</c:v>
                </c:pt>
                <c:pt idx="4956">
                  <c:v>5</c:v>
                </c:pt>
                <c:pt idx="4957">
                  <c:v>5</c:v>
                </c:pt>
                <c:pt idx="4958">
                  <c:v>5</c:v>
                </c:pt>
                <c:pt idx="4959">
                  <c:v>5</c:v>
                </c:pt>
                <c:pt idx="4960">
                  <c:v>5</c:v>
                </c:pt>
                <c:pt idx="4961">
                  <c:v>5</c:v>
                </c:pt>
                <c:pt idx="4962">
                  <c:v>5</c:v>
                </c:pt>
                <c:pt idx="4963">
                  <c:v>5</c:v>
                </c:pt>
                <c:pt idx="4964">
                  <c:v>5</c:v>
                </c:pt>
                <c:pt idx="4965">
                  <c:v>5</c:v>
                </c:pt>
                <c:pt idx="4966">
                  <c:v>5</c:v>
                </c:pt>
                <c:pt idx="4967">
                  <c:v>5</c:v>
                </c:pt>
                <c:pt idx="4968">
                  <c:v>5</c:v>
                </c:pt>
                <c:pt idx="4969">
                  <c:v>5</c:v>
                </c:pt>
                <c:pt idx="4970">
                  <c:v>5</c:v>
                </c:pt>
                <c:pt idx="4971">
                  <c:v>5</c:v>
                </c:pt>
                <c:pt idx="4972">
                  <c:v>5</c:v>
                </c:pt>
                <c:pt idx="4973">
                  <c:v>5</c:v>
                </c:pt>
                <c:pt idx="4974">
                  <c:v>5</c:v>
                </c:pt>
                <c:pt idx="4975">
                  <c:v>5</c:v>
                </c:pt>
                <c:pt idx="4976">
                  <c:v>5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</c:v>
                </c:pt>
                <c:pt idx="4989">
                  <c:v>5</c:v>
                </c:pt>
                <c:pt idx="4990">
                  <c:v>5</c:v>
                </c:pt>
                <c:pt idx="4991">
                  <c:v>5</c:v>
                </c:pt>
                <c:pt idx="4992">
                  <c:v>5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</c:v>
                </c:pt>
                <c:pt idx="5007">
                  <c:v>5</c:v>
                </c:pt>
                <c:pt idx="5008">
                  <c:v>5</c:v>
                </c:pt>
                <c:pt idx="5009">
                  <c:v>5</c:v>
                </c:pt>
                <c:pt idx="5010">
                  <c:v>5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5</c:v>
                </c:pt>
                <c:pt idx="5029">
                  <c:v>5</c:v>
                </c:pt>
                <c:pt idx="5030">
                  <c:v>5</c:v>
                </c:pt>
                <c:pt idx="5031">
                  <c:v>5</c:v>
                </c:pt>
                <c:pt idx="5032">
                  <c:v>5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5</c:v>
                </c:pt>
                <c:pt idx="5050">
                  <c:v>5</c:v>
                </c:pt>
                <c:pt idx="5051">
                  <c:v>5</c:v>
                </c:pt>
                <c:pt idx="5052">
                  <c:v>5</c:v>
                </c:pt>
                <c:pt idx="5053">
                  <c:v>5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5</c:v>
                </c:pt>
                <c:pt idx="5068">
                  <c:v>5</c:v>
                </c:pt>
                <c:pt idx="5069">
                  <c:v>5</c:v>
                </c:pt>
                <c:pt idx="5070">
                  <c:v>5</c:v>
                </c:pt>
                <c:pt idx="5071">
                  <c:v>5</c:v>
                </c:pt>
                <c:pt idx="5072">
                  <c:v>5</c:v>
                </c:pt>
                <c:pt idx="5073">
                  <c:v>5</c:v>
                </c:pt>
                <c:pt idx="5074">
                  <c:v>5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6</c:v>
                </c:pt>
                <c:pt idx="5079">
                  <c:v>6</c:v>
                </c:pt>
                <c:pt idx="5080">
                  <c:v>6</c:v>
                </c:pt>
                <c:pt idx="5081">
                  <c:v>6</c:v>
                </c:pt>
                <c:pt idx="5082">
                  <c:v>6</c:v>
                </c:pt>
                <c:pt idx="5083">
                  <c:v>6</c:v>
                </c:pt>
                <c:pt idx="5084">
                  <c:v>6</c:v>
                </c:pt>
                <c:pt idx="5085">
                  <c:v>6</c:v>
                </c:pt>
                <c:pt idx="5086">
                  <c:v>6</c:v>
                </c:pt>
                <c:pt idx="5087">
                  <c:v>6</c:v>
                </c:pt>
                <c:pt idx="5088">
                  <c:v>6</c:v>
                </c:pt>
                <c:pt idx="5089">
                  <c:v>6</c:v>
                </c:pt>
                <c:pt idx="5090">
                  <c:v>6</c:v>
                </c:pt>
                <c:pt idx="5091">
                  <c:v>6</c:v>
                </c:pt>
                <c:pt idx="5092">
                  <c:v>6</c:v>
                </c:pt>
                <c:pt idx="5093">
                  <c:v>6</c:v>
                </c:pt>
                <c:pt idx="5094">
                  <c:v>6</c:v>
                </c:pt>
                <c:pt idx="5095">
                  <c:v>6</c:v>
                </c:pt>
                <c:pt idx="5096">
                  <c:v>6</c:v>
                </c:pt>
                <c:pt idx="5097">
                  <c:v>6</c:v>
                </c:pt>
                <c:pt idx="5098">
                  <c:v>6</c:v>
                </c:pt>
                <c:pt idx="5099">
                  <c:v>6</c:v>
                </c:pt>
                <c:pt idx="5100">
                  <c:v>6</c:v>
                </c:pt>
                <c:pt idx="5101">
                  <c:v>6</c:v>
                </c:pt>
                <c:pt idx="5102">
                  <c:v>6</c:v>
                </c:pt>
                <c:pt idx="5103">
                  <c:v>6</c:v>
                </c:pt>
                <c:pt idx="5104">
                  <c:v>6</c:v>
                </c:pt>
                <c:pt idx="5105">
                  <c:v>6</c:v>
                </c:pt>
                <c:pt idx="5106">
                  <c:v>6</c:v>
                </c:pt>
                <c:pt idx="5107">
                  <c:v>6</c:v>
                </c:pt>
                <c:pt idx="5108">
                  <c:v>6</c:v>
                </c:pt>
                <c:pt idx="5109">
                  <c:v>6</c:v>
                </c:pt>
                <c:pt idx="5110">
                  <c:v>6</c:v>
                </c:pt>
                <c:pt idx="5111">
                  <c:v>6</c:v>
                </c:pt>
                <c:pt idx="5112">
                  <c:v>6</c:v>
                </c:pt>
                <c:pt idx="5113">
                  <c:v>6</c:v>
                </c:pt>
                <c:pt idx="5114">
                  <c:v>6</c:v>
                </c:pt>
                <c:pt idx="5115">
                  <c:v>6</c:v>
                </c:pt>
                <c:pt idx="5116">
                  <c:v>6</c:v>
                </c:pt>
                <c:pt idx="5117">
                  <c:v>6</c:v>
                </c:pt>
                <c:pt idx="5118">
                  <c:v>6</c:v>
                </c:pt>
                <c:pt idx="5119">
                  <c:v>6</c:v>
                </c:pt>
                <c:pt idx="5120">
                  <c:v>6</c:v>
                </c:pt>
                <c:pt idx="5121">
                  <c:v>6</c:v>
                </c:pt>
                <c:pt idx="5122">
                  <c:v>6</c:v>
                </c:pt>
                <c:pt idx="5123">
                  <c:v>6</c:v>
                </c:pt>
                <c:pt idx="5124">
                  <c:v>6</c:v>
                </c:pt>
                <c:pt idx="5125">
                  <c:v>6</c:v>
                </c:pt>
                <c:pt idx="5126">
                  <c:v>6</c:v>
                </c:pt>
                <c:pt idx="5127">
                  <c:v>6</c:v>
                </c:pt>
                <c:pt idx="5128">
                  <c:v>6</c:v>
                </c:pt>
                <c:pt idx="5129">
                  <c:v>6</c:v>
                </c:pt>
                <c:pt idx="5130">
                  <c:v>6</c:v>
                </c:pt>
                <c:pt idx="5131">
                  <c:v>6</c:v>
                </c:pt>
                <c:pt idx="5132">
                  <c:v>6</c:v>
                </c:pt>
                <c:pt idx="5133">
                  <c:v>6</c:v>
                </c:pt>
                <c:pt idx="5134">
                  <c:v>6</c:v>
                </c:pt>
                <c:pt idx="5135">
                  <c:v>6</c:v>
                </c:pt>
                <c:pt idx="5136">
                  <c:v>6</c:v>
                </c:pt>
                <c:pt idx="5137">
                  <c:v>6</c:v>
                </c:pt>
                <c:pt idx="5138">
                  <c:v>6</c:v>
                </c:pt>
                <c:pt idx="5139">
                  <c:v>6</c:v>
                </c:pt>
                <c:pt idx="5140">
                  <c:v>6</c:v>
                </c:pt>
                <c:pt idx="5141">
                  <c:v>6</c:v>
                </c:pt>
                <c:pt idx="5142">
                  <c:v>6</c:v>
                </c:pt>
                <c:pt idx="5143">
                  <c:v>6</c:v>
                </c:pt>
                <c:pt idx="5144">
                  <c:v>6</c:v>
                </c:pt>
                <c:pt idx="5145">
                  <c:v>6</c:v>
                </c:pt>
                <c:pt idx="5146">
                  <c:v>6</c:v>
                </c:pt>
                <c:pt idx="5147">
                  <c:v>6</c:v>
                </c:pt>
                <c:pt idx="5148">
                  <c:v>6</c:v>
                </c:pt>
                <c:pt idx="5149">
                  <c:v>6</c:v>
                </c:pt>
                <c:pt idx="5150">
                  <c:v>6</c:v>
                </c:pt>
                <c:pt idx="5151">
                  <c:v>6</c:v>
                </c:pt>
                <c:pt idx="5152">
                  <c:v>6</c:v>
                </c:pt>
                <c:pt idx="5153">
                  <c:v>6</c:v>
                </c:pt>
                <c:pt idx="5154">
                  <c:v>6</c:v>
                </c:pt>
                <c:pt idx="5155">
                  <c:v>6</c:v>
                </c:pt>
                <c:pt idx="5156">
                  <c:v>6</c:v>
                </c:pt>
                <c:pt idx="5157">
                  <c:v>6</c:v>
                </c:pt>
                <c:pt idx="5158">
                  <c:v>6</c:v>
                </c:pt>
                <c:pt idx="5159">
                  <c:v>6</c:v>
                </c:pt>
                <c:pt idx="5160">
                  <c:v>6</c:v>
                </c:pt>
                <c:pt idx="5161">
                  <c:v>6</c:v>
                </c:pt>
                <c:pt idx="5162">
                  <c:v>6</c:v>
                </c:pt>
                <c:pt idx="5163">
                  <c:v>6</c:v>
                </c:pt>
                <c:pt idx="5164">
                  <c:v>6</c:v>
                </c:pt>
                <c:pt idx="5165">
                  <c:v>6</c:v>
                </c:pt>
                <c:pt idx="5166">
                  <c:v>6</c:v>
                </c:pt>
                <c:pt idx="5167">
                  <c:v>6</c:v>
                </c:pt>
                <c:pt idx="5168">
                  <c:v>6</c:v>
                </c:pt>
                <c:pt idx="5169">
                  <c:v>6</c:v>
                </c:pt>
                <c:pt idx="5170">
                  <c:v>6</c:v>
                </c:pt>
                <c:pt idx="5171">
                  <c:v>6</c:v>
                </c:pt>
                <c:pt idx="5172">
                  <c:v>6</c:v>
                </c:pt>
                <c:pt idx="5173">
                  <c:v>6</c:v>
                </c:pt>
                <c:pt idx="5174">
                  <c:v>6</c:v>
                </c:pt>
                <c:pt idx="5175">
                  <c:v>6</c:v>
                </c:pt>
                <c:pt idx="5176">
                  <c:v>6</c:v>
                </c:pt>
                <c:pt idx="5177">
                  <c:v>6</c:v>
                </c:pt>
                <c:pt idx="5178">
                  <c:v>6</c:v>
                </c:pt>
                <c:pt idx="5179">
                  <c:v>6</c:v>
                </c:pt>
                <c:pt idx="5180">
                  <c:v>6</c:v>
                </c:pt>
                <c:pt idx="5181">
                  <c:v>6</c:v>
                </c:pt>
                <c:pt idx="5182">
                  <c:v>6</c:v>
                </c:pt>
                <c:pt idx="5183">
                  <c:v>6</c:v>
                </c:pt>
                <c:pt idx="5184">
                  <c:v>6</c:v>
                </c:pt>
                <c:pt idx="5185">
                  <c:v>6</c:v>
                </c:pt>
                <c:pt idx="5186">
                  <c:v>6</c:v>
                </c:pt>
                <c:pt idx="5187">
                  <c:v>6</c:v>
                </c:pt>
                <c:pt idx="5188">
                  <c:v>6</c:v>
                </c:pt>
                <c:pt idx="5189">
                  <c:v>6</c:v>
                </c:pt>
                <c:pt idx="5190">
                  <c:v>6</c:v>
                </c:pt>
                <c:pt idx="5191">
                  <c:v>6</c:v>
                </c:pt>
                <c:pt idx="5192">
                  <c:v>6</c:v>
                </c:pt>
                <c:pt idx="5193">
                  <c:v>6</c:v>
                </c:pt>
                <c:pt idx="5194">
                  <c:v>6</c:v>
                </c:pt>
                <c:pt idx="5195">
                  <c:v>6</c:v>
                </c:pt>
                <c:pt idx="5196">
                  <c:v>6</c:v>
                </c:pt>
                <c:pt idx="5197">
                  <c:v>6</c:v>
                </c:pt>
                <c:pt idx="5198">
                  <c:v>6</c:v>
                </c:pt>
                <c:pt idx="5199">
                  <c:v>6</c:v>
                </c:pt>
                <c:pt idx="5200">
                  <c:v>6</c:v>
                </c:pt>
                <c:pt idx="5201">
                  <c:v>6</c:v>
                </c:pt>
                <c:pt idx="5202">
                  <c:v>6</c:v>
                </c:pt>
                <c:pt idx="5203">
                  <c:v>6</c:v>
                </c:pt>
                <c:pt idx="5204">
                  <c:v>6</c:v>
                </c:pt>
                <c:pt idx="5205">
                  <c:v>6</c:v>
                </c:pt>
                <c:pt idx="5206">
                  <c:v>6</c:v>
                </c:pt>
                <c:pt idx="5207">
                  <c:v>6</c:v>
                </c:pt>
                <c:pt idx="5208">
                  <c:v>6</c:v>
                </c:pt>
                <c:pt idx="5209">
                  <c:v>6</c:v>
                </c:pt>
                <c:pt idx="5210">
                  <c:v>6</c:v>
                </c:pt>
                <c:pt idx="5211">
                  <c:v>6</c:v>
                </c:pt>
                <c:pt idx="5212">
                  <c:v>6</c:v>
                </c:pt>
                <c:pt idx="5213">
                  <c:v>6</c:v>
                </c:pt>
                <c:pt idx="5214">
                  <c:v>6</c:v>
                </c:pt>
                <c:pt idx="5215">
                  <c:v>6</c:v>
                </c:pt>
                <c:pt idx="5216">
                  <c:v>6</c:v>
                </c:pt>
                <c:pt idx="5217">
                  <c:v>6</c:v>
                </c:pt>
                <c:pt idx="5218">
                  <c:v>6</c:v>
                </c:pt>
                <c:pt idx="5219">
                  <c:v>6</c:v>
                </c:pt>
                <c:pt idx="5220">
                  <c:v>6</c:v>
                </c:pt>
                <c:pt idx="5221">
                  <c:v>6</c:v>
                </c:pt>
                <c:pt idx="5222">
                  <c:v>6</c:v>
                </c:pt>
                <c:pt idx="5223">
                  <c:v>6</c:v>
                </c:pt>
                <c:pt idx="5224">
                  <c:v>6</c:v>
                </c:pt>
                <c:pt idx="5225">
                  <c:v>6</c:v>
                </c:pt>
                <c:pt idx="5226">
                  <c:v>6</c:v>
                </c:pt>
                <c:pt idx="5227">
                  <c:v>6</c:v>
                </c:pt>
                <c:pt idx="5228">
                  <c:v>6</c:v>
                </c:pt>
                <c:pt idx="5229">
                  <c:v>6</c:v>
                </c:pt>
                <c:pt idx="5230">
                  <c:v>6</c:v>
                </c:pt>
                <c:pt idx="5231">
                  <c:v>6</c:v>
                </c:pt>
                <c:pt idx="5232">
                  <c:v>6</c:v>
                </c:pt>
                <c:pt idx="5233">
                  <c:v>6</c:v>
                </c:pt>
                <c:pt idx="5234">
                  <c:v>6</c:v>
                </c:pt>
                <c:pt idx="5235">
                  <c:v>6</c:v>
                </c:pt>
                <c:pt idx="5236">
                  <c:v>6</c:v>
                </c:pt>
                <c:pt idx="5237">
                  <c:v>6</c:v>
                </c:pt>
                <c:pt idx="5238">
                  <c:v>6</c:v>
                </c:pt>
                <c:pt idx="5239">
                  <c:v>6</c:v>
                </c:pt>
                <c:pt idx="5240">
                  <c:v>6</c:v>
                </c:pt>
                <c:pt idx="5241">
                  <c:v>6</c:v>
                </c:pt>
                <c:pt idx="5242">
                  <c:v>6</c:v>
                </c:pt>
                <c:pt idx="5243">
                  <c:v>6</c:v>
                </c:pt>
                <c:pt idx="5244">
                  <c:v>6</c:v>
                </c:pt>
                <c:pt idx="5245">
                  <c:v>6</c:v>
                </c:pt>
                <c:pt idx="5246">
                  <c:v>6</c:v>
                </c:pt>
                <c:pt idx="5247">
                  <c:v>6</c:v>
                </c:pt>
                <c:pt idx="5248">
                  <c:v>6</c:v>
                </c:pt>
                <c:pt idx="5249">
                  <c:v>6</c:v>
                </c:pt>
                <c:pt idx="5250">
                  <c:v>6</c:v>
                </c:pt>
                <c:pt idx="5251">
                  <c:v>6</c:v>
                </c:pt>
                <c:pt idx="5252">
                  <c:v>6</c:v>
                </c:pt>
                <c:pt idx="5253">
                  <c:v>6</c:v>
                </c:pt>
                <c:pt idx="5254">
                  <c:v>6</c:v>
                </c:pt>
                <c:pt idx="5255">
                  <c:v>6</c:v>
                </c:pt>
                <c:pt idx="5256">
                  <c:v>6</c:v>
                </c:pt>
                <c:pt idx="5257">
                  <c:v>6</c:v>
                </c:pt>
                <c:pt idx="5258">
                  <c:v>6</c:v>
                </c:pt>
                <c:pt idx="5259">
                  <c:v>6</c:v>
                </c:pt>
                <c:pt idx="5260">
                  <c:v>6</c:v>
                </c:pt>
                <c:pt idx="5261">
                  <c:v>6</c:v>
                </c:pt>
                <c:pt idx="5262">
                  <c:v>6</c:v>
                </c:pt>
                <c:pt idx="5263">
                  <c:v>6</c:v>
                </c:pt>
                <c:pt idx="5264">
                  <c:v>6</c:v>
                </c:pt>
                <c:pt idx="5265">
                  <c:v>6</c:v>
                </c:pt>
                <c:pt idx="5266">
                  <c:v>6</c:v>
                </c:pt>
                <c:pt idx="5267">
                  <c:v>6</c:v>
                </c:pt>
                <c:pt idx="5268">
                  <c:v>6</c:v>
                </c:pt>
                <c:pt idx="5269">
                  <c:v>6</c:v>
                </c:pt>
                <c:pt idx="5270">
                  <c:v>6</c:v>
                </c:pt>
                <c:pt idx="5271">
                  <c:v>6</c:v>
                </c:pt>
                <c:pt idx="5272">
                  <c:v>6</c:v>
                </c:pt>
                <c:pt idx="5273">
                  <c:v>6</c:v>
                </c:pt>
                <c:pt idx="5274">
                  <c:v>6</c:v>
                </c:pt>
                <c:pt idx="5275">
                  <c:v>6</c:v>
                </c:pt>
                <c:pt idx="5276">
                  <c:v>6</c:v>
                </c:pt>
                <c:pt idx="5277">
                  <c:v>6</c:v>
                </c:pt>
                <c:pt idx="5278">
                  <c:v>6</c:v>
                </c:pt>
                <c:pt idx="5279">
                  <c:v>6</c:v>
                </c:pt>
                <c:pt idx="5280">
                  <c:v>6</c:v>
                </c:pt>
                <c:pt idx="5281">
                  <c:v>6</c:v>
                </c:pt>
                <c:pt idx="5282">
                  <c:v>6</c:v>
                </c:pt>
                <c:pt idx="5283">
                  <c:v>6</c:v>
                </c:pt>
                <c:pt idx="5284">
                  <c:v>6</c:v>
                </c:pt>
                <c:pt idx="5285">
                  <c:v>6</c:v>
                </c:pt>
                <c:pt idx="5286">
                  <c:v>6</c:v>
                </c:pt>
                <c:pt idx="5287">
                  <c:v>6</c:v>
                </c:pt>
                <c:pt idx="5288">
                  <c:v>6</c:v>
                </c:pt>
                <c:pt idx="5289">
                  <c:v>6</c:v>
                </c:pt>
                <c:pt idx="5290">
                  <c:v>6</c:v>
                </c:pt>
                <c:pt idx="5291">
                  <c:v>6</c:v>
                </c:pt>
                <c:pt idx="5292">
                  <c:v>6</c:v>
                </c:pt>
                <c:pt idx="5293">
                  <c:v>6</c:v>
                </c:pt>
                <c:pt idx="5294">
                  <c:v>6</c:v>
                </c:pt>
                <c:pt idx="5295">
                  <c:v>6</c:v>
                </c:pt>
                <c:pt idx="5296">
                  <c:v>6</c:v>
                </c:pt>
                <c:pt idx="5297">
                  <c:v>6</c:v>
                </c:pt>
                <c:pt idx="5298">
                  <c:v>6</c:v>
                </c:pt>
                <c:pt idx="5299">
                  <c:v>6</c:v>
                </c:pt>
                <c:pt idx="5300">
                  <c:v>6</c:v>
                </c:pt>
                <c:pt idx="5301">
                  <c:v>6</c:v>
                </c:pt>
                <c:pt idx="5302">
                  <c:v>6</c:v>
                </c:pt>
                <c:pt idx="5303">
                  <c:v>6</c:v>
                </c:pt>
                <c:pt idx="5304">
                  <c:v>6</c:v>
                </c:pt>
                <c:pt idx="5305">
                  <c:v>6</c:v>
                </c:pt>
                <c:pt idx="5306">
                  <c:v>6</c:v>
                </c:pt>
                <c:pt idx="5307">
                  <c:v>6</c:v>
                </c:pt>
                <c:pt idx="5308">
                  <c:v>6</c:v>
                </c:pt>
                <c:pt idx="5309">
                  <c:v>6</c:v>
                </c:pt>
                <c:pt idx="5310">
                  <c:v>6</c:v>
                </c:pt>
                <c:pt idx="5311">
                  <c:v>6</c:v>
                </c:pt>
                <c:pt idx="5312">
                  <c:v>6</c:v>
                </c:pt>
                <c:pt idx="5313">
                  <c:v>6</c:v>
                </c:pt>
                <c:pt idx="5314">
                  <c:v>6</c:v>
                </c:pt>
                <c:pt idx="5315">
                  <c:v>6</c:v>
                </c:pt>
                <c:pt idx="5316">
                  <c:v>6</c:v>
                </c:pt>
                <c:pt idx="5317">
                  <c:v>6</c:v>
                </c:pt>
                <c:pt idx="5318">
                  <c:v>6</c:v>
                </c:pt>
                <c:pt idx="5319">
                  <c:v>6</c:v>
                </c:pt>
                <c:pt idx="5320">
                  <c:v>6</c:v>
                </c:pt>
                <c:pt idx="5321">
                  <c:v>6</c:v>
                </c:pt>
                <c:pt idx="5322">
                  <c:v>6</c:v>
                </c:pt>
                <c:pt idx="5323">
                  <c:v>6</c:v>
                </c:pt>
                <c:pt idx="5324">
                  <c:v>6</c:v>
                </c:pt>
                <c:pt idx="5325">
                  <c:v>6</c:v>
                </c:pt>
                <c:pt idx="5326">
                  <c:v>6</c:v>
                </c:pt>
                <c:pt idx="5327">
                  <c:v>6</c:v>
                </c:pt>
                <c:pt idx="5328">
                  <c:v>6</c:v>
                </c:pt>
                <c:pt idx="5329">
                  <c:v>6</c:v>
                </c:pt>
                <c:pt idx="5330">
                  <c:v>6</c:v>
                </c:pt>
                <c:pt idx="5331">
                  <c:v>6</c:v>
                </c:pt>
                <c:pt idx="5332">
                  <c:v>6</c:v>
                </c:pt>
                <c:pt idx="5333">
                  <c:v>6</c:v>
                </c:pt>
                <c:pt idx="5334">
                  <c:v>6</c:v>
                </c:pt>
                <c:pt idx="5335">
                  <c:v>6</c:v>
                </c:pt>
                <c:pt idx="5336">
                  <c:v>6</c:v>
                </c:pt>
                <c:pt idx="5337">
                  <c:v>6</c:v>
                </c:pt>
                <c:pt idx="5338">
                  <c:v>6</c:v>
                </c:pt>
                <c:pt idx="5339">
                  <c:v>6</c:v>
                </c:pt>
                <c:pt idx="5340">
                  <c:v>6</c:v>
                </c:pt>
                <c:pt idx="5341">
                  <c:v>6</c:v>
                </c:pt>
                <c:pt idx="5342">
                  <c:v>6</c:v>
                </c:pt>
                <c:pt idx="5343">
                  <c:v>6</c:v>
                </c:pt>
                <c:pt idx="5344">
                  <c:v>6</c:v>
                </c:pt>
                <c:pt idx="5345">
                  <c:v>6</c:v>
                </c:pt>
                <c:pt idx="5346">
                  <c:v>6</c:v>
                </c:pt>
                <c:pt idx="5347">
                  <c:v>6</c:v>
                </c:pt>
                <c:pt idx="5348">
                  <c:v>6</c:v>
                </c:pt>
                <c:pt idx="5349">
                  <c:v>6</c:v>
                </c:pt>
                <c:pt idx="5350">
                  <c:v>6</c:v>
                </c:pt>
                <c:pt idx="5351">
                  <c:v>6</c:v>
                </c:pt>
                <c:pt idx="5352">
                  <c:v>6</c:v>
                </c:pt>
                <c:pt idx="5353">
                  <c:v>6</c:v>
                </c:pt>
                <c:pt idx="5354">
                  <c:v>6</c:v>
                </c:pt>
                <c:pt idx="5355">
                  <c:v>6</c:v>
                </c:pt>
                <c:pt idx="5356">
                  <c:v>6</c:v>
                </c:pt>
                <c:pt idx="5357">
                  <c:v>6</c:v>
                </c:pt>
                <c:pt idx="5358">
                  <c:v>6</c:v>
                </c:pt>
                <c:pt idx="5359">
                  <c:v>6</c:v>
                </c:pt>
                <c:pt idx="5360">
                  <c:v>6</c:v>
                </c:pt>
                <c:pt idx="5361">
                  <c:v>6</c:v>
                </c:pt>
                <c:pt idx="5362">
                  <c:v>6</c:v>
                </c:pt>
                <c:pt idx="5363">
                  <c:v>6</c:v>
                </c:pt>
                <c:pt idx="5364">
                  <c:v>6</c:v>
                </c:pt>
                <c:pt idx="5365">
                  <c:v>6</c:v>
                </c:pt>
                <c:pt idx="5366">
                  <c:v>6</c:v>
                </c:pt>
                <c:pt idx="5367">
                  <c:v>6</c:v>
                </c:pt>
                <c:pt idx="5368">
                  <c:v>6</c:v>
                </c:pt>
                <c:pt idx="5369">
                  <c:v>6</c:v>
                </c:pt>
                <c:pt idx="5370">
                  <c:v>6</c:v>
                </c:pt>
                <c:pt idx="5371">
                  <c:v>6</c:v>
                </c:pt>
                <c:pt idx="5372">
                  <c:v>6</c:v>
                </c:pt>
                <c:pt idx="5373">
                  <c:v>6</c:v>
                </c:pt>
                <c:pt idx="5374">
                  <c:v>6</c:v>
                </c:pt>
                <c:pt idx="5375">
                  <c:v>6</c:v>
                </c:pt>
                <c:pt idx="5376">
                  <c:v>6</c:v>
                </c:pt>
                <c:pt idx="5377">
                  <c:v>6</c:v>
                </c:pt>
                <c:pt idx="5378">
                  <c:v>6</c:v>
                </c:pt>
                <c:pt idx="5379">
                  <c:v>6</c:v>
                </c:pt>
                <c:pt idx="5380">
                  <c:v>6</c:v>
                </c:pt>
                <c:pt idx="5381">
                  <c:v>6</c:v>
                </c:pt>
                <c:pt idx="5382">
                  <c:v>6</c:v>
                </c:pt>
                <c:pt idx="5383">
                  <c:v>6</c:v>
                </c:pt>
                <c:pt idx="5384">
                  <c:v>6</c:v>
                </c:pt>
                <c:pt idx="5385">
                  <c:v>6</c:v>
                </c:pt>
                <c:pt idx="5386">
                  <c:v>6</c:v>
                </c:pt>
                <c:pt idx="5387">
                  <c:v>6</c:v>
                </c:pt>
                <c:pt idx="5388">
                  <c:v>6</c:v>
                </c:pt>
                <c:pt idx="5389">
                  <c:v>6</c:v>
                </c:pt>
                <c:pt idx="5390">
                  <c:v>6</c:v>
                </c:pt>
                <c:pt idx="5391">
                  <c:v>6</c:v>
                </c:pt>
                <c:pt idx="5392">
                  <c:v>6</c:v>
                </c:pt>
                <c:pt idx="5393">
                  <c:v>6</c:v>
                </c:pt>
                <c:pt idx="5394">
                  <c:v>6</c:v>
                </c:pt>
                <c:pt idx="5395">
                  <c:v>6</c:v>
                </c:pt>
                <c:pt idx="5396">
                  <c:v>6</c:v>
                </c:pt>
                <c:pt idx="5397">
                  <c:v>6</c:v>
                </c:pt>
                <c:pt idx="5398">
                  <c:v>6</c:v>
                </c:pt>
                <c:pt idx="5399">
                  <c:v>6</c:v>
                </c:pt>
                <c:pt idx="5400">
                  <c:v>6</c:v>
                </c:pt>
                <c:pt idx="5401">
                  <c:v>6</c:v>
                </c:pt>
                <c:pt idx="5402">
                  <c:v>6</c:v>
                </c:pt>
                <c:pt idx="5403">
                  <c:v>6</c:v>
                </c:pt>
                <c:pt idx="5404">
                  <c:v>6</c:v>
                </c:pt>
                <c:pt idx="5405">
                  <c:v>6</c:v>
                </c:pt>
                <c:pt idx="5406">
                  <c:v>6</c:v>
                </c:pt>
                <c:pt idx="5407">
                  <c:v>6</c:v>
                </c:pt>
                <c:pt idx="5408">
                  <c:v>6</c:v>
                </c:pt>
                <c:pt idx="5409">
                  <c:v>6</c:v>
                </c:pt>
                <c:pt idx="5410">
                  <c:v>6</c:v>
                </c:pt>
                <c:pt idx="5411">
                  <c:v>6</c:v>
                </c:pt>
                <c:pt idx="5412">
                  <c:v>6</c:v>
                </c:pt>
                <c:pt idx="5413">
                  <c:v>6</c:v>
                </c:pt>
                <c:pt idx="5414">
                  <c:v>6</c:v>
                </c:pt>
                <c:pt idx="5415">
                  <c:v>6</c:v>
                </c:pt>
                <c:pt idx="5416">
                  <c:v>6</c:v>
                </c:pt>
                <c:pt idx="5417">
                  <c:v>6</c:v>
                </c:pt>
                <c:pt idx="5418">
                  <c:v>6</c:v>
                </c:pt>
                <c:pt idx="5419">
                  <c:v>6</c:v>
                </c:pt>
                <c:pt idx="5420">
                  <c:v>6</c:v>
                </c:pt>
                <c:pt idx="5421">
                  <c:v>6</c:v>
                </c:pt>
                <c:pt idx="5422">
                  <c:v>6</c:v>
                </c:pt>
                <c:pt idx="5423">
                  <c:v>6</c:v>
                </c:pt>
                <c:pt idx="5424">
                  <c:v>6</c:v>
                </c:pt>
                <c:pt idx="5425">
                  <c:v>6</c:v>
                </c:pt>
                <c:pt idx="5426">
                  <c:v>6</c:v>
                </c:pt>
                <c:pt idx="5427">
                  <c:v>6</c:v>
                </c:pt>
                <c:pt idx="5428">
                  <c:v>6</c:v>
                </c:pt>
                <c:pt idx="5429">
                  <c:v>6</c:v>
                </c:pt>
                <c:pt idx="5430">
                  <c:v>6</c:v>
                </c:pt>
                <c:pt idx="5431">
                  <c:v>6</c:v>
                </c:pt>
                <c:pt idx="5432">
                  <c:v>6</c:v>
                </c:pt>
                <c:pt idx="5433">
                  <c:v>7</c:v>
                </c:pt>
                <c:pt idx="5434">
                  <c:v>7</c:v>
                </c:pt>
                <c:pt idx="5435">
                  <c:v>7</c:v>
                </c:pt>
                <c:pt idx="5436">
                  <c:v>7</c:v>
                </c:pt>
                <c:pt idx="5437">
                  <c:v>7</c:v>
                </c:pt>
                <c:pt idx="5438">
                  <c:v>7</c:v>
                </c:pt>
                <c:pt idx="5439">
                  <c:v>7</c:v>
                </c:pt>
                <c:pt idx="5440">
                  <c:v>7</c:v>
                </c:pt>
                <c:pt idx="5441">
                  <c:v>7</c:v>
                </c:pt>
                <c:pt idx="5442">
                  <c:v>7</c:v>
                </c:pt>
                <c:pt idx="5443">
                  <c:v>7</c:v>
                </c:pt>
                <c:pt idx="5444">
                  <c:v>7</c:v>
                </c:pt>
                <c:pt idx="5445">
                  <c:v>7</c:v>
                </c:pt>
                <c:pt idx="5446">
                  <c:v>7</c:v>
                </c:pt>
                <c:pt idx="5447">
                  <c:v>7</c:v>
                </c:pt>
                <c:pt idx="5448">
                  <c:v>7</c:v>
                </c:pt>
                <c:pt idx="5449">
                  <c:v>7</c:v>
                </c:pt>
                <c:pt idx="5450">
                  <c:v>7</c:v>
                </c:pt>
                <c:pt idx="5451">
                  <c:v>7</c:v>
                </c:pt>
                <c:pt idx="5452">
                  <c:v>7</c:v>
                </c:pt>
                <c:pt idx="5453">
                  <c:v>7</c:v>
                </c:pt>
                <c:pt idx="5454">
                  <c:v>7</c:v>
                </c:pt>
                <c:pt idx="5455">
                  <c:v>7</c:v>
                </c:pt>
                <c:pt idx="5456">
                  <c:v>7</c:v>
                </c:pt>
                <c:pt idx="5457">
                  <c:v>7</c:v>
                </c:pt>
                <c:pt idx="5458">
                  <c:v>7</c:v>
                </c:pt>
                <c:pt idx="5459">
                  <c:v>7</c:v>
                </c:pt>
                <c:pt idx="5460">
                  <c:v>7</c:v>
                </c:pt>
                <c:pt idx="5461">
                  <c:v>7</c:v>
                </c:pt>
                <c:pt idx="5462">
                  <c:v>7</c:v>
                </c:pt>
                <c:pt idx="5463">
                  <c:v>7</c:v>
                </c:pt>
                <c:pt idx="5464">
                  <c:v>7</c:v>
                </c:pt>
                <c:pt idx="5465">
                  <c:v>7</c:v>
                </c:pt>
                <c:pt idx="5466">
                  <c:v>7</c:v>
                </c:pt>
                <c:pt idx="5467">
                  <c:v>7</c:v>
                </c:pt>
                <c:pt idx="5468">
                  <c:v>7</c:v>
                </c:pt>
                <c:pt idx="5469">
                  <c:v>7</c:v>
                </c:pt>
                <c:pt idx="5470">
                  <c:v>7</c:v>
                </c:pt>
                <c:pt idx="5471">
                  <c:v>7</c:v>
                </c:pt>
                <c:pt idx="5472">
                  <c:v>7</c:v>
                </c:pt>
                <c:pt idx="5473">
                  <c:v>7</c:v>
                </c:pt>
                <c:pt idx="5474">
                  <c:v>7</c:v>
                </c:pt>
                <c:pt idx="5475">
                  <c:v>7</c:v>
                </c:pt>
                <c:pt idx="5476">
                  <c:v>7</c:v>
                </c:pt>
                <c:pt idx="5477">
                  <c:v>7</c:v>
                </c:pt>
                <c:pt idx="5478">
                  <c:v>7</c:v>
                </c:pt>
                <c:pt idx="5479">
                  <c:v>7</c:v>
                </c:pt>
                <c:pt idx="5480">
                  <c:v>7</c:v>
                </c:pt>
                <c:pt idx="5481">
                  <c:v>7</c:v>
                </c:pt>
                <c:pt idx="5482">
                  <c:v>7</c:v>
                </c:pt>
                <c:pt idx="5483">
                  <c:v>7</c:v>
                </c:pt>
                <c:pt idx="5484">
                  <c:v>7</c:v>
                </c:pt>
                <c:pt idx="5485">
                  <c:v>7</c:v>
                </c:pt>
                <c:pt idx="5486">
                  <c:v>7</c:v>
                </c:pt>
                <c:pt idx="5487">
                  <c:v>7</c:v>
                </c:pt>
                <c:pt idx="5488">
                  <c:v>7</c:v>
                </c:pt>
                <c:pt idx="5489">
                  <c:v>7</c:v>
                </c:pt>
                <c:pt idx="5490">
                  <c:v>7</c:v>
                </c:pt>
                <c:pt idx="5491">
                  <c:v>7</c:v>
                </c:pt>
                <c:pt idx="5492">
                  <c:v>7</c:v>
                </c:pt>
                <c:pt idx="5493">
                  <c:v>7</c:v>
                </c:pt>
                <c:pt idx="5494">
                  <c:v>7</c:v>
                </c:pt>
                <c:pt idx="5495">
                  <c:v>7</c:v>
                </c:pt>
                <c:pt idx="5496">
                  <c:v>7</c:v>
                </c:pt>
                <c:pt idx="5497">
                  <c:v>7</c:v>
                </c:pt>
                <c:pt idx="5498">
                  <c:v>7</c:v>
                </c:pt>
                <c:pt idx="5499">
                  <c:v>7</c:v>
                </c:pt>
                <c:pt idx="5500">
                  <c:v>7</c:v>
                </c:pt>
                <c:pt idx="5501">
                  <c:v>7</c:v>
                </c:pt>
                <c:pt idx="5502">
                  <c:v>7</c:v>
                </c:pt>
                <c:pt idx="5503">
                  <c:v>7</c:v>
                </c:pt>
                <c:pt idx="5504">
                  <c:v>7</c:v>
                </c:pt>
                <c:pt idx="5505">
                  <c:v>7</c:v>
                </c:pt>
                <c:pt idx="5506">
                  <c:v>7</c:v>
                </c:pt>
                <c:pt idx="5507">
                  <c:v>7</c:v>
                </c:pt>
                <c:pt idx="5508">
                  <c:v>7</c:v>
                </c:pt>
                <c:pt idx="5509">
                  <c:v>7</c:v>
                </c:pt>
                <c:pt idx="5510">
                  <c:v>7</c:v>
                </c:pt>
                <c:pt idx="5511">
                  <c:v>7</c:v>
                </c:pt>
                <c:pt idx="5512">
                  <c:v>7</c:v>
                </c:pt>
                <c:pt idx="5513">
                  <c:v>7</c:v>
                </c:pt>
                <c:pt idx="5514">
                  <c:v>7</c:v>
                </c:pt>
                <c:pt idx="5515">
                  <c:v>7</c:v>
                </c:pt>
                <c:pt idx="5516">
                  <c:v>7</c:v>
                </c:pt>
                <c:pt idx="5517">
                  <c:v>7</c:v>
                </c:pt>
                <c:pt idx="5518">
                  <c:v>7</c:v>
                </c:pt>
                <c:pt idx="5519">
                  <c:v>7</c:v>
                </c:pt>
                <c:pt idx="5520">
                  <c:v>7</c:v>
                </c:pt>
                <c:pt idx="5521">
                  <c:v>7</c:v>
                </c:pt>
                <c:pt idx="5522">
                  <c:v>7</c:v>
                </c:pt>
                <c:pt idx="5523">
                  <c:v>7</c:v>
                </c:pt>
                <c:pt idx="5524">
                  <c:v>7</c:v>
                </c:pt>
                <c:pt idx="5525">
                  <c:v>7</c:v>
                </c:pt>
                <c:pt idx="5526">
                  <c:v>7</c:v>
                </c:pt>
                <c:pt idx="5527">
                  <c:v>7</c:v>
                </c:pt>
                <c:pt idx="5528">
                  <c:v>7</c:v>
                </c:pt>
                <c:pt idx="5529">
                  <c:v>7</c:v>
                </c:pt>
                <c:pt idx="5530">
                  <c:v>7</c:v>
                </c:pt>
                <c:pt idx="5531">
                  <c:v>7</c:v>
                </c:pt>
                <c:pt idx="5532">
                  <c:v>7</c:v>
                </c:pt>
                <c:pt idx="5533">
                  <c:v>7</c:v>
                </c:pt>
                <c:pt idx="5534">
                  <c:v>7</c:v>
                </c:pt>
                <c:pt idx="5535">
                  <c:v>7</c:v>
                </c:pt>
                <c:pt idx="5536">
                  <c:v>7</c:v>
                </c:pt>
                <c:pt idx="5537">
                  <c:v>7</c:v>
                </c:pt>
                <c:pt idx="5538">
                  <c:v>7</c:v>
                </c:pt>
                <c:pt idx="5539">
                  <c:v>7</c:v>
                </c:pt>
                <c:pt idx="5540">
                  <c:v>7</c:v>
                </c:pt>
                <c:pt idx="5541">
                  <c:v>7</c:v>
                </c:pt>
                <c:pt idx="5542">
                  <c:v>7</c:v>
                </c:pt>
                <c:pt idx="5543">
                  <c:v>7</c:v>
                </c:pt>
                <c:pt idx="5544">
                  <c:v>7</c:v>
                </c:pt>
                <c:pt idx="5545">
                  <c:v>7</c:v>
                </c:pt>
                <c:pt idx="5546">
                  <c:v>7</c:v>
                </c:pt>
                <c:pt idx="5547">
                  <c:v>7</c:v>
                </c:pt>
                <c:pt idx="5548">
                  <c:v>7</c:v>
                </c:pt>
                <c:pt idx="5549">
                  <c:v>7</c:v>
                </c:pt>
                <c:pt idx="5550">
                  <c:v>7</c:v>
                </c:pt>
                <c:pt idx="5551">
                  <c:v>7</c:v>
                </c:pt>
                <c:pt idx="5552">
                  <c:v>7</c:v>
                </c:pt>
                <c:pt idx="5553">
                  <c:v>7</c:v>
                </c:pt>
                <c:pt idx="5554">
                  <c:v>7</c:v>
                </c:pt>
                <c:pt idx="5555">
                  <c:v>7</c:v>
                </c:pt>
                <c:pt idx="5556">
                  <c:v>7</c:v>
                </c:pt>
                <c:pt idx="5557">
                  <c:v>7</c:v>
                </c:pt>
                <c:pt idx="5558">
                  <c:v>7</c:v>
                </c:pt>
                <c:pt idx="5559">
                  <c:v>7</c:v>
                </c:pt>
                <c:pt idx="5560">
                  <c:v>7</c:v>
                </c:pt>
                <c:pt idx="5561">
                  <c:v>7</c:v>
                </c:pt>
                <c:pt idx="5562">
                  <c:v>7</c:v>
                </c:pt>
                <c:pt idx="5563">
                  <c:v>7</c:v>
                </c:pt>
                <c:pt idx="5564">
                  <c:v>7</c:v>
                </c:pt>
                <c:pt idx="5565">
                  <c:v>7</c:v>
                </c:pt>
                <c:pt idx="5566">
                  <c:v>7</c:v>
                </c:pt>
                <c:pt idx="5567">
                  <c:v>7</c:v>
                </c:pt>
                <c:pt idx="5568">
                  <c:v>7</c:v>
                </c:pt>
                <c:pt idx="5569">
                  <c:v>7</c:v>
                </c:pt>
                <c:pt idx="5570">
                  <c:v>7</c:v>
                </c:pt>
                <c:pt idx="5571">
                  <c:v>7</c:v>
                </c:pt>
                <c:pt idx="5572">
                  <c:v>7</c:v>
                </c:pt>
                <c:pt idx="5573">
                  <c:v>7</c:v>
                </c:pt>
                <c:pt idx="5574">
                  <c:v>7</c:v>
                </c:pt>
                <c:pt idx="5575">
                  <c:v>7</c:v>
                </c:pt>
                <c:pt idx="5576">
                  <c:v>7</c:v>
                </c:pt>
                <c:pt idx="5577">
                  <c:v>7</c:v>
                </c:pt>
                <c:pt idx="5578">
                  <c:v>7</c:v>
                </c:pt>
                <c:pt idx="5579">
                  <c:v>7</c:v>
                </c:pt>
                <c:pt idx="5580">
                  <c:v>7</c:v>
                </c:pt>
                <c:pt idx="5581">
                  <c:v>7</c:v>
                </c:pt>
                <c:pt idx="5582">
                  <c:v>7</c:v>
                </c:pt>
                <c:pt idx="5583">
                  <c:v>7</c:v>
                </c:pt>
                <c:pt idx="5584">
                  <c:v>7</c:v>
                </c:pt>
                <c:pt idx="5585">
                  <c:v>7</c:v>
                </c:pt>
                <c:pt idx="5586">
                  <c:v>7</c:v>
                </c:pt>
                <c:pt idx="5587">
                  <c:v>7</c:v>
                </c:pt>
                <c:pt idx="5588">
                  <c:v>7</c:v>
                </c:pt>
                <c:pt idx="5589">
                  <c:v>7</c:v>
                </c:pt>
                <c:pt idx="5590">
                  <c:v>7</c:v>
                </c:pt>
                <c:pt idx="5591">
                  <c:v>7</c:v>
                </c:pt>
                <c:pt idx="5592">
                  <c:v>7</c:v>
                </c:pt>
                <c:pt idx="5593">
                  <c:v>7</c:v>
                </c:pt>
                <c:pt idx="5594">
                  <c:v>7</c:v>
                </c:pt>
                <c:pt idx="5595">
                  <c:v>7</c:v>
                </c:pt>
                <c:pt idx="5596">
                  <c:v>7</c:v>
                </c:pt>
                <c:pt idx="5597">
                  <c:v>7</c:v>
                </c:pt>
                <c:pt idx="5598">
                  <c:v>7</c:v>
                </c:pt>
                <c:pt idx="5599">
                  <c:v>7</c:v>
                </c:pt>
                <c:pt idx="5600">
                  <c:v>7</c:v>
                </c:pt>
                <c:pt idx="5601">
                  <c:v>7</c:v>
                </c:pt>
                <c:pt idx="5602">
                  <c:v>7</c:v>
                </c:pt>
                <c:pt idx="5603">
                  <c:v>7</c:v>
                </c:pt>
                <c:pt idx="5604">
                  <c:v>7</c:v>
                </c:pt>
                <c:pt idx="5605">
                  <c:v>7</c:v>
                </c:pt>
                <c:pt idx="5606">
                  <c:v>7</c:v>
                </c:pt>
                <c:pt idx="5607">
                  <c:v>7</c:v>
                </c:pt>
                <c:pt idx="5608">
                  <c:v>7</c:v>
                </c:pt>
                <c:pt idx="5609">
                  <c:v>7</c:v>
                </c:pt>
                <c:pt idx="5610">
                  <c:v>7</c:v>
                </c:pt>
                <c:pt idx="5611">
                  <c:v>7</c:v>
                </c:pt>
                <c:pt idx="5612">
                  <c:v>7</c:v>
                </c:pt>
                <c:pt idx="5613">
                  <c:v>7</c:v>
                </c:pt>
                <c:pt idx="5614">
                  <c:v>7</c:v>
                </c:pt>
                <c:pt idx="5615">
                  <c:v>7</c:v>
                </c:pt>
                <c:pt idx="5616">
                  <c:v>7</c:v>
                </c:pt>
                <c:pt idx="5617">
                  <c:v>7</c:v>
                </c:pt>
                <c:pt idx="5618">
                  <c:v>7</c:v>
                </c:pt>
                <c:pt idx="5619">
                  <c:v>7</c:v>
                </c:pt>
                <c:pt idx="5620">
                  <c:v>7</c:v>
                </c:pt>
                <c:pt idx="5621">
                  <c:v>7</c:v>
                </c:pt>
                <c:pt idx="5622">
                  <c:v>7</c:v>
                </c:pt>
                <c:pt idx="5623">
                  <c:v>7</c:v>
                </c:pt>
                <c:pt idx="5624">
                  <c:v>7</c:v>
                </c:pt>
                <c:pt idx="5625">
                  <c:v>7</c:v>
                </c:pt>
                <c:pt idx="5626">
                  <c:v>7</c:v>
                </c:pt>
                <c:pt idx="5627">
                  <c:v>7</c:v>
                </c:pt>
                <c:pt idx="5628">
                  <c:v>7</c:v>
                </c:pt>
                <c:pt idx="5629">
                  <c:v>7</c:v>
                </c:pt>
                <c:pt idx="5630">
                  <c:v>7</c:v>
                </c:pt>
                <c:pt idx="5631">
                  <c:v>7</c:v>
                </c:pt>
                <c:pt idx="5632">
                  <c:v>7</c:v>
                </c:pt>
                <c:pt idx="5633">
                  <c:v>7</c:v>
                </c:pt>
                <c:pt idx="5634">
                  <c:v>7</c:v>
                </c:pt>
                <c:pt idx="5635">
                  <c:v>7</c:v>
                </c:pt>
                <c:pt idx="5636">
                  <c:v>7</c:v>
                </c:pt>
                <c:pt idx="5637">
                  <c:v>7</c:v>
                </c:pt>
                <c:pt idx="5638">
                  <c:v>7</c:v>
                </c:pt>
                <c:pt idx="5639">
                  <c:v>7</c:v>
                </c:pt>
                <c:pt idx="5640">
                  <c:v>7</c:v>
                </c:pt>
                <c:pt idx="5641">
                  <c:v>7</c:v>
                </c:pt>
                <c:pt idx="5642">
                  <c:v>7</c:v>
                </c:pt>
                <c:pt idx="5643">
                  <c:v>7</c:v>
                </c:pt>
                <c:pt idx="5644">
                  <c:v>7</c:v>
                </c:pt>
                <c:pt idx="5645">
                  <c:v>7</c:v>
                </c:pt>
                <c:pt idx="5646">
                  <c:v>7</c:v>
                </c:pt>
                <c:pt idx="5647">
                  <c:v>7</c:v>
                </c:pt>
                <c:pt idx="5648">
                  <c:v>7</c:v>
                </c:pt>
                <c:pt idx="5649">
                  <c:v>7</c:v>
                </c:pt>
                <c:pt idx="5650">
                  <c:v>7</c:v>
                </c:pt>
                <c:pt idx="5651">
                  <c:v>7</c:v>
                </c:pt>
                <c:pt idx="5652">
                  <c:v>7</c:v>
                </c:pt>
                <c:pt idx="5653">
                  <c:v>7</c:v>
                </c:pt>
                <c:pt idx="5654">
                  <c:v>7</c:v>
                </c:pt>
                <c:pt idx="5655">
                  <c:v>7</c:v>
                </c:pt>
                <c:pt idx="5656">
                  <c:v>7</c:v>
                </c:pt>
                <c:pt idx="5657">
                  <c:v>7</c:v>
                </c:pt>
                <c:pt idx="5658">
                  <c:v>7</c:v>
                </c:pt>
                <c:pt idx="5659">
                  <c:v>7</c:v>
                </c:pt>
                <c:pt idx="5660">
                  <c:v>7</c:v>
                </c:pt>
                <c:pt idx="5661">
                  <c:v>7</c:v>
                </c:pt>
                <c:pt idx="5662">
                  <c:v>7</c:v>
                </c:pt>
                <c:pt idx="5663">
                  <c:v>7</c:v>
                </c:pt>
                <c:pt idx="5664">
                  <c:v>7</c:v>
                </c:pt>
                <c:pt idx="5665">
                  <c:v>7</c:v>
                </c:pt>
                <c:pt idx="5666">
                  <c:v>7</c:v>
                </c:pt>
                <c:pt idx="5667">
                  <c:v>7</c:v>
                </c:pt>
                <c:pt idx="5668">
                  <c:v>7</c:v>
                </c:pt>
                <c:pt idx="5669">
                  <c:v>7</c:v>
                </c:pt>
                <c:pt idx="5670">
                  <c:v>7</c:v>
                </c:pt>
                <c:pt idx="5671">
                  <c:v>7</c:v>
                </c:pt>
                <c:pt idx="5672">
                  <c:v>7</c:v>
                </c:pt>
                <c:pt idx="5673">
                  <c:v>7</c:v>
                </c:pt>
                <c:pt idx="5674">
                  <c:v>7</c:v>
                </c:pt>
                <c:pt idx="5675">
                  <c:v>7</c:v>
                </c:pt>
                <c:pt idx="5676">
                  <c:v>7</c:v>
                </c:pt>
                <c:pt idx="5677">
                  <c:v>7</c:v>
                </c:pt>
                <c:pt idx="5678">
                  <c:v>7</c:v>
                </c:pt>
                <c:pt idx="5679">
                  <c:v>7</c:v>
                </c:pt>
                <c:pt idx="5680">
                  <c:v>8</c:v>
                </c:pt>
                <c:pt idx="5681">
                  <c:v>8</c:v>
                </c:pt>
                <c:pt idx="5682">
                  <c:v>8</c:v>
                </c:pt>
                <c:pt idx="5683">
                  <c:v>8</c:v>
                </c:pt>
                <c:pt idx="5684">
                  <c:v>8</c:v>
                </c:pt>
                <c:pt idx="5685">
                  <c:v>8</c:v>
                </c:pt>
                <c:pt idx="5686">
                  <c:v>8</c:v>
                </c:pt>
                <c:pt idx="5687">
                  <c:v>8</c:v>
                </c:pt>
                <c:pt idx="5688">
                  <c:v>8</c:v>
                </c:pt>
                <c:pt idx="5689">
                  <c:v>8</c:v>
                </c:pt>
                <c:pt idx="5690">
                  <c:v>8</c:v>
                </c:pt>
                <c:pt idx="5691">
                  <c:v>8</c:v>
                </c:pt>
                <c:pt idx="5692">
                  <c:v>8</c:v>
                </c:pt>
                <c:pt idx="5693">
                  <c:v>8</c:v>
                </c:pt>
                <c:pt idx="5694">
                  <c:v>8</c:v>
                </c:pt>
                <c:pt idx="5695">
                  <c:v>8</c:v>
                </c:pt>
                <c:pt idx="5696">
                  <c:v>8</c:v>
                </c:pt>
                <c:pt idx="5697">
                  <c:v>8</c:v>
                </c:pt>
                <c:pt idx="5698">
                  <c:v>8</c:v>
                </c:pt>
                <c:pt idx="5699">
                  <c:v>8</c:v>
                </c:pt>
                <c:pt idx="5700">
                  <c:v>8</c:v>
                </c:pt>
                <c:pt idx="5701">
                  <c:v>8</c:v>
                </c:pt>
                <c:pt idx="5702">
                  <c:v>8</c:v>
                </c:pt>
                <c:pt idx="5703">
                  <c:v>8</c:v>
                </c:pt>
                <c:pt idx="5704">
                  <c:v>8</c:v>
                </c:pt>
                <c:pt idx="5705">
                  <c:v>8</c:v>
                </c:pt>
                <c:pt idx="5706">
                  <c:v>8</c:v>
                </c:pt>
                <c:pt idx="5707">
                  <c:v>8</c:v>
                </c:pt>
                <c:pt idx="5708">
                  <c:v>8</c:v>
                </c:pt>
                <c:pt idx="5709">
                  <c:v>8</c:v>
                </c:pt>
                <c:pt idx="5710">
                  <c:v>8</c:v>
                </c:pt>
                <c:pt idx="5711">
                  <c:v>8</c:v>
                </c:pt>
                <c:pt idx="5712">
                  <c:v>8</c:v>
                </c:pt>
                <c:pt idx="5713">
                  <c:v>8</c:v>
                </c:pt>
                <c:pt idx="5714">
                  <c:v>8</c:v>
                </c:pt>
                <c:pt idx="5715">
                  <c:v>8</c:v>
                </c:pt>
                <c:pt idx="5716">
                  <c:v>8</c:v>
                </c:pt>
                <c:pt idx="5717">
                  <c:v>8</c:v>
                </c:pt>
                <c:pt idx="5718">
                  <c:v>8</c:v>
                </c:pt>
                <c:pt idx="5719">
                  <c:v>8</c:v>
                </c:pt>
                <c:pt idx="5720">
                  <c:v>8</c:v>
                </c:pt>
                <c:pt idx="5721">
                  <c:v>8</c:v>
                </c:pt>
                <c:pt idx="5722">
                  <c:v>8</c:v>
                </c:pt>
                <c:pt idx="5723">
                  <c:v>8</c:v>
                </c:pt>
                <c:pt idx="5724">
                  <c:v>8</c:v>
                </c:pt>
                <c:pt idx="5725">
                  <c:v>8</c:v>
                </c:pt>
                <c:pt idx="5726">
                  <c:v>8</c:v>
                </c:pt>
                <c:pt idx="5727">
                  <c:v>8</c:v>
                </c:pt>
                <c:pt idx="5728">
                  <c:v>8</c:v>
                </c:pt>
                <c:pt idx="5729">
                  <c:v>8</c:v>
                </c:pt>
                <c:pt idx="5730">
                  <c:v>8</c:v>
                </c:pt>
                <c:pt idx="5731">
                  <c:v>8</c:v>
                </c:pt>
                <c:pt idx="5732">
                  <c:v>8</c:v>
                </c:pt>
                <c:pt idx="5733">
                  <c:v>8</c:v>
                </c:pt>
                <c:pt idx="5734">
                  <c:v>8</c:v>
                </c:pt>
                <c:pt idx="5735">
                  <c:v>8</c:v>
                </c:pt>
                <c:pt idx="5736">
                  <c:v>8</c:v>
                </c:pt>
                <c:pt idx="5737">
                  <c:v>8</c:v>
                </c:pt>
                <c:pt idx="5738">
                  <c:v>8</c:v>
                </c:pt>
                <c:pt idx="5739">
                  <c:v>8</c:v>
                </c:pt>
                <c:pt idx="5740">
                  <c:v>8</c:v>
                </c:pt>
                <c:pt idx="5741">
                  <c:v>8</c:v>
                </c:pt>
                <c:pt idx="5742">
                  <c:v>8</c:v>
                </c:pt>
                <c:pt idx="5743">
                  <c:v>8</c:v>
                </c:pt>
                <c:pt idx="5744">
                  <c:v>8</c:v>
                </c:pt>
                <c:pt idx="5745">
                  <c:v>8</c:v>
                </c:pt>
                <c:pt idx="5746">
                  <c:v>8</c:v>
                </c:pt>
                <c:pt idx="5747">
                  <c:v>8</c:v>
                </c:pt>
                <c:pt idx="5748">
                  <c:v>8</c:v>
                </c:pt>
                <c:pt idx="5749">
                  <c:v>8</c:v>
                </c:pt>
                <c:pt idx="5750">
                  <c:v>8</c:v>
                </c:pt>
                <c:pt idx="5751">
                  <c:v>8</c:v>
                </c:pt>
                <c:pt idx="5752">
                  <c:v>8</c:v>
                </c:pt>
                <c:pt idx="5753">
                  <c:v>8</c:v>
                </c:pt>
                <c:pt idx="5754">
                  <c:v>8</c:v>
                </c:pt>
                <c:pt idx="5755">
                  <c:v>8</c:v>
                </c:pt>
                <c:pt idx="5756">
                  <c:v>8</c:v>
                </c:pt>
                <c:pt idx="5757">
                  <c:v>8</c:v>
                </c:pt>
                <c:pt idx="5758">
                  <c:v>8</c:v>
                </c:pt>
                <c:pt idx="5759">
                  <c:v>8</c:v>
                </c:pt>
                <c:pt idx="5760">
                  <c:v>8</c:v>
                </c:pt>
                <c:pt idx="5761">
                  <c:v>8</c:v>
                </c:pt>
                <c:pt idx="5762">
                  <c:v>8</c:v>
                </c:pt>
                <c:pt idx="5763">
                  <c:v>8</c:v>
                </c:pt>
                <c:pt idx="5764">
                  <c:v>8</c:v>
                </c:pt>
                <c:pt idx="5765">
                  <c:v>8</c:v>
                </c:pt>
                <c:pt idx="5766">
                  <c:v>8</c:v>
                </c:pt>
                <c:pt idx="5767">
                  <c:v>8</c:v>
                </c:pt>
                <c:pt idx="5768">
                  <c:v>8</c:v>
                </c:pt>
                <c:pt idx="5769">
                  <c:v>8</c:v>
                </c:pt>
                <c:pt idx="5770">
                  <c:v>8</c:v>
                </c:pt>
                <c:pt idx="5771">
                  <c:v>8</c:v>
                </c:pt>
                <c:pt idx="5772">
                  <c:v>8</c:v>
                </c:pt>
                <c:pt idx="5773">
                  <c:v>8</c:v>
                </c:pt>
                <c:pt idx="5774">
                  <c:v>8</c:v>
                </c:pt>
                <c:pt idx="5775">
                  <c:v>8</c:v>
                </c:pt>
                <c:pt idx="5776">
                  <c:v>8</c:v>
                </c:pt>
                <c:pt idx="5777">
                  <c:v>8</c:v>
                </c:pt>
                <c:pt idx="5778">
                  <c:v>8</c:v>
                </c:pt>
                <c:pt idx="5779">
                  <c:v>8</c:v>
                </c:pt>
                <c:pt idx="5780">
                  <c:v>8</c:v>
                </c:pt>
                <c:pt idx="5781">
                  <c:v>8</c:v>
                </c:pt>
                <c:pt idx="5782">
                  <c:v>8</c:v>
                </c:pt>
                <c:pt idx="5783">
                  <c:v>8</c:v>
                </c:pt>
                <c:pt idx="5784">
                  <c:v>8</c:v>
                </c:pt>
                <c:pt idx="5785">
                  <c:v>8</c:v>
                </c:pt>
                <c:pt idx="5786">
                  <c:v>8</c:v>
                </c:pt>
                <c:pt idx="5787">
                  <c:v>8</c:v>
                </c:pt>
                <c:pt idx="5788">
                  <c:v>9</c:v>
                </c:pt>
                <c:pt idx="5789">
                  <c:v>9</c:v>
                </c:pt>
                <c:pt idx="5790">
                  <c:v>9</c:v>
                </c:pt>
                <c:pt idx="5791">
                  <c:v>9</c:v>
                </c:pt>
                <c:pt idx="5792">
                  <c:v>9</c:v>
                </c:pt>
                <c:pt idx="5793">
                  <c:v>9</c:v>
                </c:pt>
                <c:pt idx="5794">
                  <c:v>9</c:v>
                </c:pt>
                <c:pt idx="5795">
                  <c:v>9</c:v>
                </c:pt>
                <c:pt idx="5796">
                  <c:v>9</c:v>
                </c:pt>
                <c:pt idx="5797">
                  <c:v>9</c:v>
                </c:pt>
                <c:pt idx="5798">
                  <c:v>9</c:v>
                </c:pt>
                <c:pt idx="5799">
                  <c:v>9</c:v>
                </c:pt>
                <c:pt idx="5800">
                  <c:v>9</c:v>
                </c:pt>
                <c:pt idx="5801">
                  <c:v>9</c:v>
                </c:pt>
                <c:pt idx="5802">
                  <c:v>9</c:v>
                </c:pt>
                <c:pt idx="5803">
                  <c:v>9</c:v>
                </c:pt>
                <c:pt idx="5804">
                  <c:v>9</c:v>
                </c:pt>
                <c:pt idx="5805">
                  <c:v>9</c:v>
                </c:pt>
                <c:pt idx="5806">
                  <c:v>9</c:v>
                </c:pt>
                <c:pt idx="5807">
                  <c:v>9</c:v>
                </c:pt>
                <c:pt idx="5808">
                  <c:v>9</c:v>
                </c:pt>
                <c:pt idx="5809">
                  <c:v>9</c:v>
                </c:pt>
                <c:pt idx="5810">
                  <c:v>9</c:v>
                </c:pt>
                <c:pt idx="5811">
                  <c:v>9</c:v>
                </c:pt>
                <c:pt idx="5812">
                  <c:v>9</c:v>
                </c:pt>
                <c:pt idx="5813">
                  <c:v>9</c:v>
                </c:pt>
                <c:pt idx="5814">
                  <c:v>9</c:v>
                </c:pt>
                <c:pt idx="5815">
                  <c:v>9</c:v>
                </c:pt>
                <c:pt idx="5816">
                  <c:v>9</c:v>
                </c:pt>
                <c:pt idx="5817">
                  <c:v>9</c:v>
                </c:pt>
                <c:pt idx="5818">
                  <c:v>9</c:v>
                </c:pt>
                <c:pt idx="5819">
                  <c:v>9</c:v>
                </c:pt>
                <c:pt idx="5820">
                  <c:v>9</c:v>
                </c:pt>
                <c:pt idx="5821">
                  <c:v>9</c:v>
                </c:pt>
                <c:pt idx="5822">
                  <c:v>9</c:v>
                </c:pt>
                <c:pt idx="5823">
                  <c:v>9</c:v>
                </c:pt>
                <c:pt idx="5824">
                  <c:v>9</c:v>
                </c:pt>
                <c:pt idx="5825">
                  <c:v>9</c:v>
                </c:pt>
              </c:numCache>
            </c:numRef>
          </c:xVal>
          <c:yVal>
            <c:numRef>
              <c:f>'Rename moves'!$E$2:$E$5827</c:f>
              <c:numCache>
                <c:formatCode>General</c:formatCode>
                <c:ptCount val="5826"/>
                <c:pt idx="0">
                  <c:v>4.8300015424257686E-2</c:v>
                </c:pt>
                <c:pt idx="1">
                  <c:v>4.8300015424257686E-2</c:v>
                </c:pt>
                <c:pt idx="2">
                  <c:v>4.8300015424257686E-2</c:v>
                </c:pt>
                <c:pt idx="3">
                  <c:v>4.8300015424257686E-2</c:v>
                </c:pt>
                <c:pt idx="4">
                  <c:v>4.8300015424257686E-2</c:v>
                </c:pt>
                <c:pt idx="5">
                  <c:v>4.8300015424257686E-2</c:v>
                </c:pt>
                <c:pt idx="6">
                  <c:v>4.8300015424257686E-2</c:v>
                </c:pt>
                <c:pt idx="7">
                  <c:v>4.8300015424257686E-2</c:v>
                </c:pt>
                <c:pt idx="8">
                  <c:v>4.8300015424257686E-2</c:v>
                </c:pt>
                <c:pt idx="9">
                  <c:v>4.8300015424257686E-2</c:v>
                </c:pt>
                <c:pt idx="10">
                  <c:v>4.8300015424257686E-2</c:v>
                </c:pt>
                <c:pt idx="11">
                  <c:v>4.8300015424257686E-2</c:v>
                </c:pt>
                <c:pt idx="12">
                  <c:v>4.8300015424257686E-2</c:v>
                </c:pt>
                <c:pt idx="13">
                  <c:v>4.8300015424257686E-2</c:v>
                </c:pt>
                <c:pt idx="14">
                  <c:v>4.8300015424257686E-2</c:v>
                </c:pt>
                <c:pt idx="15">
                  <c:v>4.8300015424257686E-2</c:v>
                </c:pt>
                <c:pt idx="16">
                  <c:v>4.8300015424257686E-2</c:v>
                </c:pt>
                <c:pt idx="17">
                  <c:v>4.8300015424257686E-2</c:v>
                </c:pt>
                <c:pt idx="18">
                  <c:v>4.8300015424257686E-2</c:v>
                </c:pt>
                <c:pt idx="19">
                  <c:v>4.8300015424257686E-2</c:v>
                </c:pt>
                <c:pt idx="20">
                  <c:v>4.8300015424257686E-2</c:v>
                </c:pt>
                <c:pt idx="21">
                  <c:v>4.8300015424257686E-2</c:v>
                </c:pt>
                <c:pt idx="22">
                  <c:v>4.8300015424257686E-2</c:v>
                </c:pt>
                <c:pt idx="23">
                  <c:v>4.8300015424257686E-2</c:v>
                </c:pt>
                <c:pt idx="24">
                  <c:v>4.8300015424257686E-2</c:v>
                </c:pt>
                <c:pt idx="25">
                  <c:v>4.8300015424257686E-2</c:v>
                </c:pt>
                <c:pt idx="26">
                  <c:v>4.8300015424257686E-2</c:v>
                </c:pt>
                <c:pt idx="27">
                  <c:v>4.8300015424257686E-2</c:v>
                </c:pt>
                <c:pt idx="28">
                  <c:v>4.8300015424257686E-2</c:v>
                </c:pt>
                <c:pt idx="29">
                  <c:v>4.8300015424257686E-2</c:v>
                </c:pt>
                <c:pt idx="30">
                  <c:v>4.8300015424257686E-2</c:v>
                </c:pt>
                <c:pt idx="31">
                  <c:v>4.8300015424257686E-2</c:v>
                </c:pt>
                <c:pt idx="32">
                  <c:v>4.8300015424257686E-2</c:v>
                </c:pt>
                <c:pt idx="33">
                  <c:v>4.8300015424257686E-2</c:v>
                </c:pt>
                <c:pt idx="34">
                  <c:v>4.8300015424257686E-2</c:v>
                </c:pt>
                <c:pt idx="35">
                  <c:v>4.8300015424257686E-2</c:v>
                </c:pt>
                <c:pt idx="36">
                  <c:v>4.8300015424257686E-2</c:v>
                </c:pt>
                <c:pt idx="37">
                  <c:v>4.8300015424257686E-2</c:v>
                </c:pt>
                <c:pt idx="38">
                  <c:v>4.8300015424257686E-2</c:v>
                </c:pt>
                <c:pt idx="39">
                  <c:v>4.8300015424257686E-2</c:v>
                </c:pt>
                <c:pt idx="40">
                  <c:v>4.8300015424257686E-2</c:v>
                </c:pt>
                <c:pt idx="41">
                  <c:v>4.8300015424257686E-2</c:v>
                </c:pt>
                <c:pt idx="42">
                  <c:v>4.8300015424257686E-2</c:v>
                </c:pt>
                <c:pt idx="43">
                  <c:v>4.8300015424257686E-2</c:v>
                </c:pt>
                <c:pt idx="44">
                  <c:v>4.8300015424257686E-2</c:v>
                </c:pt>
                <c:pt idx="45">
                  <c:v>4.8300015424257686E-2</c:v>
                </c:pt>
                <c:pt idx="46">
                  <c:v>4.8300015424257686E-2</c:v>
                </c:pt>
                <c:pt idx="47">
                  <c:v>4.8300015424257686E-2</c:v>
                </c:pt>
                <c:pt idx="48">
                  <c:v>4.8300015424257686E-2</c:v>
                </c:pt>
                <c:pt idx="49">
                  <c:v>4.8300015424257686E-2</c:v>
                </c:pt>
                <c:pt idx="50">
                  <c:v>4.8300015424257686E-2</c:v>
                </c:pt>
                <c:pt idx="51">
                  <c:v>4.8300015424257686E-2</c:v>
                </c:pt>
                <c:pt idx="52">
                  <c:v>4.8300015424257686E-2</c:v>
                </c:pt>
                <c:pt idx="53">
                  <c:v>4.8300015424257686E-2</c:v>
                </c:pt>
                <c:pt idx="54">
                  <c:v>4.8300015424257686E-2</c:v>
                </c:pt>
                <c:pt idx="55">
                  <c:v>4.8300015424257686E-2</c:v>
                </c:pt>
                <c:pt idx="56">
                  <c:v>4.8300015424257686E-2</c:v>
                </c:pt>
                <c:pt idx="57">
                  <c:v>4.8300015424257686E-2</c:v>
                </c:pt>
                <c:pt idx="58">
                  <c:v>4.8300015424257686E-2</c:v>
                </c:pt>
                <c:pt idx="59">
                  <c:v>4.8300015424257686E-2</c:v>
                </c:pt>
                <c:pt idx="60">
                  <c:v>4.8300015424257686E-2</c:v>
                </c:pt>
                <c:pt idx="61">
                  <c:v>4.8300015424257686E-2</c:v>
                </c:pt>
                <c:pt idx="62">
                  <c:v>4.8300015424257686E-2</c:v>
                </c:pt>
                <c:pt idx="63">
                  <c:v>4.8300015424257686E-2</c:v>
                </c:pt>
                <c:pt idx="64">
                  <c:v>4.8300015424257686E-2</c:v>
                </c:pt>
                <c:pt idx="65">
                  <c:v>4.8300015424257686E-2</c:v>
                </c:pt>
                <c:pt idx="66">
                  <c:v>4.8300015424257686E-2</c:v>
                </c:pt>
                <c:pt idx="67">
                  <c:v>4.8300015424257686E-2</c:v>
                </c:pt>
                <c:pt idx="68">
                  <c:v>4.8300015424257686E-2</c:v>
                </c:pt>
                <c:pt idx="69">
                  <c:v>4.8300015424257686E-2</c:v>
                </c:pt>
                <c:pt idx="70">
                  <c:v>4.8300015424257686E-2</c:v>
                </c:pt>
                <c:pt idx="71">
                  <c:v>4.8300015424257686E-2</c:v>
                </c:pt>
                <c:pt idx="72">
                  <c:v>4.8300015424257686E-2</c:v>
                </c:pt>
                <c:pt idx="73">
                  <c:v>4.8300015424257686E-2</c:v>
                </c:pt>
                <c:pt idx="74">
                  <c:v>4.8300015424257686E-2</c:v>
                </c:pt>
                <c:pt idx="75">
                  <c:v>4.8300015424257686E-2</c:v>
                </c:pt>
                <c:pt idx="76">
                  <c:v>4.8300015424257686E-2</c:v>
                </c:pt>
                <c:pt idx="77">
                  <c:v>4.8300015424257686E-2</c:v>
                </c:pt>
                <c:pt idx="78">
                  <c:v>4.8300015424257686E-2</c:v>
                </c:pt>
                <c:pt idx="79">
                  <c:v>4.8300015424257686E-2</c:v>
                </c:pt>
                <c:pt idx="80">
                  <c:v>4.8300015424257686E-2</c:v>
                </c:pt>
                <c:pt idx="81">
                  <c:v>4.8300015424257686E-2</c:v>
                </c:pt>
                <c:pt idx="82">
                  <c:v>4.8300015424257686E-2</c:v>
                </c:pt>
                <c:pt idx="83">
                  <c:v>4.8300015424257686E-2</c:v>
                </c:pt>
                <c:pt idx="84">
                  <c:v>4.8300015424257686E-2</c:v>
                </c:pt>
                <c:pt idx="85">
                  <c:v>4.8300015424257686E-2</c:v>
                </c:pt>
                <c:pt idx="86">
                  <c:v>4.8300015424257686E-2</c:v>
                </c:pt>
                <c:pt idx="87">
                  <c:v>4.8300015424257686E-2</c:v>
                </c:pt>
                <c:pt idx="88">
                  <c:v>4.8300015424257686E-2</c:v>
                </c:pt>
                <c:pt idx="89">
                  <c:v>4.8300015424257686E-2</c:v>
                </c:pt>
                <c:pt idx="90">
                  <c:v>4.8300015424257686E-2</c:v>
                </c:pt>
                <c:pt idx="91">
                  <c:v>4.8300015424257686E-2</c:v>
                </c:pt>
                <c:pt idx="92">
                  <c:v>4.8300015424257686E-2</c:v>
                </c:pt>
                <c:pt idx="93">
                  <c:v>4.8300015424257686E-2</c:v>
                </c:pt>
                <c:pt idx="94">
                  <c:v>4.8300015424257686E-2</c:v>
                </c:pt>
                <c:pt idx="95">
                  <c:v>4.8300015424257686E-2</c:v>
                </c:pt>
                <c:pt idx="96">
                  <c:v>4.8300015424257686E-2</c:v>
                </c:pt>
                <c:pt idx="97">
                  <c:v>4.8300015424257686E-2</c:v>
                </c:pt>
                <c:pt idx="98">
                  <c:v>4.8300015424257686E-2</c:v>
                </c:pt>
                <c:pt idx="99">
                  <c:v>4.8300015424257686E-2</c:v>
                </c:pt>
                <c:pt idx="100">
                  <c:v>4.8300015424257686E-2</c:v>
                </c:pt>
                <c:pt idx="101">
                  <c:v>4.8300015424257686E-2</c:v>
                </c:pt>
                <c:pt idx="102">
                  <c:v>4.8300015424257686E-2</c:v>
                </c:pt>
                <c:pt idx="103">
                  <c:v>4.8300015424257686E-2</c:v>
                </c:pt>
                <c:pt idx="104">
                  <c:v>4.8300015424257686E-2</c:v>
                </c:pt>
                <c:pt idx="105">
                  <c:v>4.8300015424257686E-2</c:v>
                </c:pt>
                <c:pt idx="106">
                  <c:v>4.8300015424257686E-2</c:v>
                </c:pt>
                <c:pt idx="107">
                  <c:v>4.8300015424257686E-2</c:v>
                </c:pt>
                <c:pt idx="108">
                  <c:v>4.8300015424257686E-2</c:v>
                </c:pt>
                <c:pt idx="109">
                  <c:v>4.8300015424257686E-2</c:v>
                </c:pt>
                <c:pt idx="110">
                  <c:v>4.8300015424257686E-2</c:v>
                </c:pt>
                <c:pt idx="111">
                  <c:v>4.8300015424257686E-2</c:v>
                </c:pt>
                <c:pt idx="112">
                  <c:v>4.8300015424257686E-2</c:v>
                </c:pt>
                <c:pt idx="113">
                  <c:v>4.8300015424257686E-2</c:v>
                </c:pt>
                <c:pt idx="114">
                  <c:v>4.8300015424257686E-2</c:v>
                </c:pt>
                <c:pt idx="115">
                  <c:v>4.8300015424257686E-2</c:v>
                </c:pt>
                <c:pt idx="116">
                  <c:v>4.8300015424257686E-2</c:v>
                </c:pt>
                <c:pt idx="117">
                  <c:v>4.8300015424257686E-2</c:v>
                </c:pt>
                <c:pt idx="118">
                  <c:v>4.8300015424257686E-2</c:v>
                </c:pt>
                <c:pt idx="119">
                  <c:v>4.8300015424257686E-2</c:v>
                </c:pt>
                <c:pt idx="120">
                  <c:v>4.8300015424257686E-2</c:v>
                </c:pt>
                <c:pt idx="121">
                  <c:v>4.8300015424257686E-2</c:v>
                </c:pt>
                <c:pt idx="122">
                  <c:v>4.8300015424257686E-2</c:v>
                </c:pt>
                <c:pt idx="123">
                  <c:v>4.8300015424257686E-2</c:v>
                </c:pt>
                <c:pt idx="124">
                  <c:v>4.8300015424257686E-2</c:v>
                </c:pt>
                <c:pt idx="125">
                  <c:v>4.8300015424257686E-2</c:v>
                </c:pt>
                <c:pt idx="126">
                  <c:v>4.8300015424257686E-2</c:v>
                </c:pt>
                <c:pt idx="127">
                  <c:v>4.8300015424257686E-2</c:v>
                </c:pt>
                <c:pt idx="128">
                  <c:v>4.8300015424257686E-2</c:v>
                </c:pt>
                <c:pt idx="129">
                  <c:v>4.8300015424257686E-2</c:v>
                </c:pt>
                <c:pt idx="130">
                  <c:v>4.8300015424257686E-2</c:v>
                </c:pt>
                <c:pt idx="131">
                  <c:v>4.8300015424257686E-2</c:v>
                </c:pt>
                <c:pt idx="132">
                  <c:v>4.8300015424257686E-2</c:v>
                </c:pt>
                <c:pt idx="133">
                  <c:v>4.8300015424257686E-2</c:v>
                </c:pt>
                <c:pt idx="134">
                  <c:v>4.8300015424257686E-2</c:v>
                </c:pt>
                <c:pt idx="135">
                  <c:v>4.8300015424257686E-2</c:v>
                </c:pt>
                <c:pt idx="136">
                  <c:v>4.8300015424257686E-2</c:v>
                </c:pt>
                <c:pt idx="137">
                  <c:v>4.8300015424257686E-2</c:v>
                </c:pt>
                <c:pt idx="138">
                  <c:v>4.8300015424257686E-2</c:v>
                </c:pt>
                <c:pt idx="139">
                  <c:v>4.8300015424257686E-2</c:v>
                </c:pt>
                <c:pt idx="140">
                  <c:v>4.8300015424257686E-2</c:v>
                </c:pt>
                <c:pt idx="141">
                  <c:v>4.8300015424257686E-2</c:v>
                </c:pt>
                <c:pt idx="142">
                  <c:v>4.8300015424257686E-2</c:v>
                </c:pt>
                <c:pt idx="143">
                  <c:v>4.8300015424257686E-2</c:v>
                </c:pt>
                <c:pt idx="144">
                  <c:v>4.8300015424257686E-2</c:v>
                </c:pt>
                <c:pt idx="145">
                  <c:v>4.8300015424257686E-2</c:v>
                </c:pt>
                <c:pt idx="146">
                  <c:v>4.8300015424257686E-2</c:v>
                </c:pt>
                <c:pt idx="147">
                  <c:v>4.8300015424257686E-2</c:v>
                </c:pt>
                <c:pt idx="148">
                  <c:v>4.8300015424257686E-2</c:v>
                </c:pt>
                <c:pt idx="149">
                  <c:v>4.8300015424257686E-2</c:v>
                </c:pt>
                <c:pt idx="150">
                  <c:v>4.8300015424257686E-2</c:v>
                </c:pt>
                <c:pt idx="151">
                  <c:v>4.8300015424257686E-2</c:v>
                </c:pt>
                <c:pt idx="152">
                  <c:v>4.8300015424257686E-2</c:v>
                </c:pt>
                <c:pt idx="153">
                  <c:v>4.8300015424257686E-2</c:v>
                </c:pt>
                <c:pt idx="154">
                  <c:v>4.8300015424257686E-2</c:v>
                </c:pt>
                <c:pt idx="155">
                  <c:v>4.8300015424257686E-2</c:v>
                </c:pt>
                <c:pt idx="156">
                  <c:v>4.8300015424257686E-2</c:v>
                </c:pt>
                <c:pt idx="157">
                  <c:v>4.8300015424257686E-2</c:v>
                </c:pt>
                <c:pt idx="158">
                  <c:v>4.8300015424257686E-2</c:v>
                </c:pt>
                <c:pt idx="159">
                  <c:v>4.8300015424257686E-2</c:v>
                </c:pt>
                <c:pt idx="160">
                  <c:v>4.8300015424257686E-2</c:v>
                </c:pt>
                <c:pt idx="161">
                  <c:v>4.8300015424257686E-2</c:v>
                </c:pt>
                <c:pt idx="162">
                  <c:v>4.8300015424257686E-2</c:v>
                </c:pt>
                <c:pt idx="163">
                  <c:v>4.8300015424257686E-2</c:v>
                </c:pt>
                <c:pt idx="164">
                  <c:v>4.8300015424257686E-2</c:v>
                </c:pt>
                <c:pt idx="165">
                  <c:v>4.8300015424257686E-2</c:v>
                </c:pt>
                <c:pt idx="166">
                  <c:v>4.8300015424257686E-2</c:v>
                </c:pt>
                <c:pt idx="167">
                  <c:v>4.8300015424257686E-2</c:v>
                </c:pt>
                <c:pt idx="168">
                  <c:v>4.8300015424257686E-2</c:v>
                </c:pt>
                <c:pt idx="169">
                  <c:v>4.8300015424257686E-2</c:v>
                </c:pt>
                <c:pt idx="170">
                  <c:v>4.8300015424257686E-2</c:v>
                </c:pt>
                <c:pt idx="171">
                  <c:v>4.8300015424257686E-2</c:v>
                </c:pt>
                <c:pt idx="172">
                  <c:v>4.8300015424257686E-2</c:v>
                </c:pt>
                <c:pt idx="173">
                  <c:v>4.8300015424257686E-2</c:v>
                </c:pt>
                <c:pt idx="174">
                  <c:v>4.8300015424257686E-2</c:v>
                </c:pt>
                <c:pt idx="175">
                  <c:v>4.8300015424257686E-2</c:v>
                </c:pt>
                <c:pt idx="176">
                  <c:v>4.8300015424257686E-2</c:v>
                </c:pt>
                <c:pt idx="177">
                  <c:v>4.8300015424257686E-2</c:v>
                </c:pt>
                <c:pt idx="178">
                  <c:v>4.8300015424257686E-2</c:v>
                </c:pt>
                <c:pt idx="179">
                  <c:v>4.8300015424257686E-2</c:v>
                </c:pt>
                <c:pt idx="180">
                  <c:v>4.8300015424257686E-2</c:v>
                </c:pt>
                <c:pt idx="181">
                  <c:v>4.8300015424257686E-2</c:v>
                </c:pt>
                <c:pt idx="182">
                  <c:v>4.8300015424257686E-2</c:v>
                </c:pt>
                <c:pt idx="183">
                  <c:v>4.8300015424257686E-2</c:v>
                </c:pt>
                <c:pt idx="184">
                  <c:v>4.8300015424257686E-2</c:v>
                </c:pt>
                <c:pt idx="185">
                  <c:v>4.8300015424257686E-2</c:v>
                </c:pt>
                <c:pt idx="186">
                  <c:v>4.8300015424257686E-2</c:v>
                </c:pt>
                <c:pt idx="187">
                  <c:v>4.8300015424257686E-2</c:v>
                </c:pt>
                <c:pt idx="188">
                  <c:v>4.8300015424257686E-2</c:v>
                </c:pt>
                <c:pt idx="189">
                  <c:v>4.8300015424257686E-2</c:v>
                </c:pt>
                <c:pt idx="190">
                  <c:v>4.8300015424257686E-2</c:v>
                </c:pt>
                <c:pt idx="191">
                  <c:v>4.8300015424257686E-2</c:v>
                </c:pt>
                <c:pt idx="192">
                  <c:v>4.8300015424257686E-2</c:v>
                </c:pt>
                <c:pt idx="193">
                  <c:v>4.8300015424257686E-2</c:v>
                </c:pt>
                <c:pt idx="194">
                  <c:v>4.8300015424257686E-2</c:v>
                </c:pt>
                <c:pt idx="195">
                  <c:v>4.8300015424257686E-2</c:v>
                </c:pt>
                <c:pt idx="196">
                  <c:v>4.8300015424257686E-2</c:v>
                </c:pt>
                <c:pt idx="197">
                  <c:v>4.8300015424257686E-2</c:v>
                </c:pt>
                <c:pt idx="198">
                  <c:v>4.8300015424257686E-2</c:v>
                </c:pt>
                <c:pt idx="199">
                  <c:v>4.8300015424257686E-2</c:v>
                </c:pt>
                <c:pt idx="200">
                  <c:v>4.8300015424257686E-2</c:v>
                </c:pt>
                <c:pt idx="201">
                  <c:v>4.8300015424257686E-2</c:v>
                </c:pt>
                <c:pt idx="202">
                  <c:v>4.8300015424257686E-2</c:v>
                </c:pt>
                <c:pt idx="203">
                  <c:v>4.8300015424257686E-2</c:v>
                </c:pt>
                <c:pt idx="204">
                  <c:v>4.8300015424257686E-2</c:v>
                </c:pt>
                <c:pt idx="205">
                  <c:v>4.8300015424257686E-2</c:v>
                </c:pt>
                <c:pt idx="206">
                  <c:v>4.8300015424257686E-2</c:v>
                </c:pt>
                <c:pt idx="207">
                  <c:v>4.8300015424257686E-2</c:v>
                </c:pt>
                <c:pt idx="208">
                  <c:v>4.8300015424257686E-2</c:v>
                </c:pt>
                <c:pt idx="209">
                  <c:v>4.8300015424257686E-2</c:v>
                </c:pt>
                <c:pt idx="210">
                  <c:v>4.8300015424257686E-2</c:v>
                </c:pt>
                <c:pt idx="211">
                  <c:v>4.8300015424257686E-2</c:v>
                </c:pt>
                <c:pt idx="212">
                  <c:v>4.8300015424257686E-2</c:v>
                </c:pt>
                <c:pt idx="213">
                  <c:v>4.8300015424257686E-2</c:v>
                </c:pt>
                <c:pt idx="214">
                  <c:v>4.8300015424257686E-2</c:v>
                </c:pt>
                <c:pt idx="215">
                  <c:v>4.8300015424257686E-2</c:v>
                </c:pt>
                <c:pt idx="216">
                  <c:v>4.8300015424257686E-2</c:v>
                </c:pt>
                <c:pt idx="217">
                  <c:v>4.8300015424257686E-2</c:v>
                </c:pt>
                <c:pt idx="218">
                  <c:v>4.8300015424257686E-2</c:v>
                </c:pt>
                <c:pt idx="219">
                  <c:v>4.8300015424257686E-2</c:v>
                </c:pt>
                <c:pt idx="220">
                  <c:v>4.8300015424257686E-2</c:v>
                </c:pt>
                <c:pt idx="221">
                  <c:v>4.8300015424257686E-2</c:v>
                </c:pt>
                <c:pt idx="222">
                  <c:v>4.8300015424257686E-2</c:v>
                </c:pt>
                <c:pt idx="223">
                  <c:v>4.8300015424257686E-2</c:v>
                </c:pt>
                <c:pt idx="224">
                  <c:v>4.8300015424257686E-2</c:v>
                </c:pt>
                <c:pt idx="225">
                  <c:v>4.8300015424257686E-2</c:v>
                </c:pt>
                <c:pt idx="226">
                  <c:v>4.8300015424257686E-2</c:v>
                </c:pt>
                <c:pt idx="227">
                  <c:v>4.8300015424257686E-2</c:v>
                </c:pt>
                <c:pt idx="228">
                  <c:v>4.8300015424257686E-2</c:v>
                </c:pt>
                <c:pt idx="229">
                  <c:v>4.8300015424257686E-2</c:v>
                </c:pt>
                <c:pt idx="230">
                  <c:v>4.8300015424257686E-2</c:v>
                </c:pt>
                <c:pt idx="231">
                  <c:v>4.8300015424257686E-2</c:v>
                </c:pt>
                <c:pt idx="232">
                  <c:v>4.8300015424257686E-2</c:v>
                </c:pt>
                <c:pt idx="233">
                  <c:v>4.8300015424257686E-2</c:v>
                </c:pt>
                <c:pt idx="234">
                  <c:v>4.8300015424257686E-2</c:v>
                </c:pt>
                <c:pt idx="235">
                  <c:v>4.8300015424257686E-2</c:v>
                </c:pt>
                <c:pt idx="236">
                  <c:v>4.8300015424257686E-2</c:v>
                </c:pt>
                <c:pt idx="237">
                  <c:v>4.8300015424257686E-2</c:v>
                </c:pt>
                <c:pt idx="238">
                  <c:v>4.8300015424257686E-2</c:v>
                </c:pt>
                <c:pt idx="239">
                  <c:v>4.8300015424257686E-2</c:v>
                </c:pt>
                <c:pt idx="240">
                  <c:v>4.8300015424257686E-2</c:v>
                </c:pt>
                <c:pt idx="241">
                  <c:v>4.8300015424257686E-2</c:v>
                </c:pt>
                <c:pt idx="242">
                  <c:v>4.8300015424257686E-2</c:v>
                </c:pt>
                <c:pt idx="243">
                  <c:v>4.8300015424257686E-2</c:v>
                </c:pt>
                <c:pt idx="244">
                  <c:v>4.8300015424257686E-2</c:v>
                </c:pt>
                <c:pt idx="245">
                  <c:v>4.8300015424257686E-2</c:v>
                </c:pt>
                <c:pt idx="246">
                  <c:v>4.8300015424257686E-2</c:v>
                </c:pt>
                <c:pt idx="247">
                  <c:v>4.8300015424257686E-2</c:v>
                </c:pt>
                <c:pt idx="248">
                  <c:v>4.8300015424257686E-2</c:v>
                </c:pt>
                <c:pt idx="249">
                  <c:v>4.8300015424257686E-2</c:v>
                </c:pt>
                <c:pt idx="250">
                  <c:v>4.8300015424257686E-2</c:v>
                </c:pt>
                <c:pt idx="251">
                  <c:v>4.8300015424257686E-2</c:v>
                </c:pt>
                <c:pt idx="252">
                  <c:v>4.8300015424257686E-2</c:v>
                </c:pt>
                <c:pt idx="253">
                  <c:v>4.8300015424257686E-2</c:v>
                </c:pt>
                <c:pt idx="254">
                  <c:v>4.8300015424257686E-2</c:v>
                </c:pt>
                <c:pt idx="255">
                  <c:v>4.8300015424257686E-2</c:v>
                </c:pt>
                <c:pt idx="256">
                  <c:v>4.8300015424257686E-2</c:v>
                </c:pt>
                <c:pt idx="257">
                  <c:v>4.8300015424257686E-2</c:v>
                </c:pt>
                <c:pt idx="258">
                  <c:v>4.8300015424257686E-2</c:v>
                </c:pt>
                <c:pt idx="259">
                  <c:v>4.8300015424257686E-2</c:v>
                </c:pt>
                <c:pt idx="260">
                  <c:v>4.8300015424257686E-2</c:v>
                </c:pt>
                <c:pt idx="261">
                  <c:v>4.8300015424257686E-2</c:v>
                </c:pt>
                <c:pt idx="262">
                  <c:v>4.8300015424257686E-2</c:v>
                </c:pt>
                <c:pt idx="263">
                  <c:v>4.8300015424257686E-2</c:v>
                </c:pt>
                <c:pt idx="264">
                  <c:v>4.8300015424257686E-2</c:v>
                </c:pt>
                <c:pt idx="265">
                  <c:v>4.8300015424257686E-2</c:v>
                </c:pt>
                <c:pt idx="266">
                  <c:v>4.8300015424257686E-2</c:v>
                </c:pt>
                <c:pt idx="267">
                  <c:v>4.8300015424257686E-2</c:v>
                </c:pt>
                <c:pt idx="268">
                  <c:v>4.8300015424257686E-2</c:v>
                </c:pt>
                <c:pt idx="269">
                  <c:v>4.8300015424257686E-2</c:v>
                </c:pt>
                <c:pt idx="270">
                  <c:v>4.8300015424257686E-2</c:v>
                </c:pt>
                <c:pt idx="271">
                  <c:v>4.8300015424257686E-2</c:v>
                </c:pt>
                <c:pt idx="272">
                  <c:v>4.8300015424257686E-2</c:v>
                </c:pt>
                <c:pt idx="273">
                  <c:v>4.8300015424257686E-2</c:v>
                </c:pt>
                <c:pt idx="274">
                  <c:v>4.8300015424257686E-2</c:v>
                </c:pt>
                <c:pt idx="275">
                  <c:v>4.8300015424257686E-2</c:v>
                </c:pt>
                <c:pt idx="276">
                  <c:v>4.8300015424257686E-2</c:v>
                </c:pt>
                <c:pt idx="277">
                  <c:v>4.8300015424257686E-2</c:v>
                </c:pt>
                <c:pt idx="278">
                  <c:v>4.8300015424257686E-2</c:v>
                </c:pt>
                <c:pt idx="279">
                  <c:v>4.8300015424257686E-2</c:v>
                </c:pt>
                <c:pt idx="280">
                  <c:v>4.8300015424257686E-2</c:v>
                </c:pt>
                <c:pt idx="281">
                  <c:v>4.8300015424257686E-2</c:v>
                </c:pt>
                <c:pt idx="282">
                  <c:v>4.8300015424257686E-2</c:v>
                </c:pt>
                <c:pt idx="283">
                  <c:v>4.8300015424257686E-2</c:v>
                </c:pt>
                <c:pt idx="284">
                  <c:v>4.8300015424257686E-2</c:v>
                </c:pt>
                <c:pt idx="285">
                  <c:v>4.8300015424257686E-2</c:v>
                </c:pt>
                <c:pt idx="286">
                  <c:v>4.8300015424257686E-2</c:v>
                </c:pt>
                <c:pt idx="287">
                  <c:v>4.8300015424257686E-2</c:v>
                </c:pt>
                <c:pt idx="288">
                  <c:v>4.8300015424257686E-2</c:v>
                </c:pt>
                <c:pt idx="289">
                  <c:v>4.8300015424257686E-2</c:v>
                </c:pt>
                <c:pt idx="290">
                  <c:v>4.8300015424257686E-2</c:v>
                </c:pt>
                <c:pt idx="291">
                  <c:v>4.8300015424257686E-2</c:v>
                </c:pt>
                <c:pt idx="292">
                  <c:v>4.8300015424257686E-2</c:v>
                </c:pt>
                <c:pt idx="293">
                  <c:v>4.8300015424257686E-2</c:v>
                </c:pt>
                <c:pt idx="294">
                  <c:v>4.8300015424257686E-2</c:v>
                </c:pt>
                <c:pt idx="295">
                  <c:v>4.8300015424257686E-2</c:v>
                </c:pt>
                <c:pt idx="296">
                  <c:v>4.8300015424257686E-2</c:v>
                </c:pt>
                <c:pt idx="297">
                  <c:v>4.8300015424257686E-2</c:v>
                </c:pt>
                <c:pt idx="298">
                  <c:v>4.8300015424257686E-2</c:v>
                </c:pt>
                <c:pt idx="299">
                  <c:v>4.8300015424257686E-2</c:v>
                </c:pt>
                <c:pt idx="300">
                  <c:v>4.8300015424257686E-2</c:v>
                </c:pt>
                <c:pt idx="301">
                  <c:v>4.8300015424257686E-2</c:v>
                </c:pt>
                <c:pt idx="302">
                  <c:v>4.8300015424257686E-2</c:v>
                </c:pt>
                <c:pt idx="303">
                  <c:v>4.8300015424257686E-2</c:v>
                </c:pt>
                <c:pt idx="304">
                  <c:v>4.8300015424257686E-2</c:v>
                </c:pt>
                <c:pt idx="305">
                  <c:v>4.8300015424257686E-2</c:v>
                </c:pt>
                <c:pt idx="306">
                  <c:v>4.8300015424257686E-2</c:v>
                </c:pt>
                <c:pt idx="307">
                  <c:v>4.8300015424257686E-2</c:v>
                </c:pt>
                <c:pt idx="308">
                  <c:v>4.8300015424257686E-2</c:v>
                </c:pt>
                <c:pt idx="309">
                  <c:v>4.8300015424257686E-2</c:v>
                </c:pt>
                <c:pt idx="310">
                  <c:v>4.8300015424257686E-2</c:v>
                </c:pt>
                <c:pt idx="311">
                  <c:v>4.8300015424257686E-2</c:v>
                </c:pt>
                <c:pt idx="312">
                  <c:v>4.8300015424257686E-2</c:v>
                </c:pt>
                <c:pt idx="313">
                  <c:v>4.8300015424257686E-2</c:v>
                </c:pt>
                <c:pt idx="314">
                  <c:v>4.8300015424257686E-2</c:v>
                </c:pt>
                <c:pt idx="315">
                  <c:v>4.8300015424257686E-2</c:v>
                </c:pt>
                <c:pt idx="316">
                  <c:v>4.8300015424257686E-2</c:v>
                </c:pt>
                <c:pt idx="317">
                  <c:v>4.8300015424257686E-2</c:v>
                </c:pt>
                <c:pt idx="318">
                  <c:v>4.8300015424257686E-2</c:v>
                </c:pt>
                <c:pt idx="319">
                  <c:v>4.8300015424257686E-2</c:v>
                </c:pt>
                <c:pt idx="320">
                  <c:v>4.8300015424257686E-2</c:v>
                </c:pt>
                <c:pt idx="321">
                  <c:v>4.8300015424257686E-2</c:v>
                </c:pt>
                <c:pt idx="322">
                  <c:v>4.8300015424257686E-2</c:v>
                </c:pt>
                <c:pt idx="323">
                  <c:v>4.8300015424257686E-2</c:v>
                </c:pt>
                <c:pt idx="324">
                  <c:v>4.8300015424257686E-2</c:v>
                </c:pt>
                <c:pt idx="325">
                  <c:v>4.8300015424257686E-2</c:v>
                </c:pt>
                <c:pt idx="326">
                  <c:v>4.8300015424257686E-2</c:v>
                </c:pt>
                <c:pt idx="327">
                  <c:v>4.8300015424257686E-2</c:v>
                </c:pt>
                <c:pt idx="328">
                  <c:v>4.8300015424257686E-2</c:v>
                </c:pt>
                <c:pt idx="329">
                  <c:v>4.8300015424257686E-2</c:v>
                </c:pt>
                <c:pt idx="330">
                  <c:v>4.8300015424257686E-2</c:v>
                </c:pt>
                <c:pt idx="331">
                  <c:v>4.8300015424257686E-2</c:v>
                </c:pt>
                <c:pt idx="332">
                  <c:v>4.8300015424257686E-2</c:v>
                </c:pt>
                <c:pt idx="333">
                  <c:v>4.8300015424257686E-2</c:v>
                </c:pt>
                <c:pt idx="334">
                  <c:v>4.8300015424257686E-2</c:v>
                </c:pt>
                <c:pt idx="335">
                  <c:v>4.8300015424257686E-2</c:v>
                </c:pt>
                <c:pt idx="336">
                  <c:v>4.8300015424257686E-2</c:v>
                </c:pt>
                <c:pt idx="337">
                  <c:v>4.8300015424257686E-2</c:v>
                </c:pt>
                <c:pt idx="338">
                  <c:v>4.8300015424257686E-2</c:v>
                </c:pt>
                <c:pt idx="339">
                  <c:v>4.8300015424257686E-2</c:v>
                </c:pt>
                <c:pt idx="340">
                  <c:v>4.8300015424257686E-2</c:v>
                </c:pt>
                <c:pt idx="341">
                  <c:v>4.8300015424257686E-2</c:v>
                </c:pt>
                <c:pt idx="342">
                  <c:v>4.8300015424257686E-2</c:v>
                </c:pt>
                <c:pt idx="343">
                  <c:v>4.8300015424257686E-2</c:v>
                </c:pt>
                <c:pt idx="344">
                  <c:v>4.8300015424257686E-2</c:v>
                </c:pt>
                <c:pt idx="345">
                  <c:v>4.8300015424257686E-2</c:v>
                </c:pt>
                <c:pt idx="346">
                  <c:v>4.8300015424257686E-2</c:v>
                </c:pt>
                <c:pt idx="347">
                  <c:v>4.8300015424257686E-2</c:v>
                </c:pt>
                <c:pt idx="348">
                  <c:v>4.8300015424257686E-2</c:v>
                </c:pt>
                <c:pt idx="349">
                  <c:v>4.8300015424257686E-2</c:v>
                </c:pt>
                <c:pt idx="350">
                  <c:v>4.8300015424257686E-2</c:v>
                </c:pt>
                <c:pt idx="351">
                  <c:v>4.8300015424257686E-2</c:v>
                </c:pt>
                <c:pt idx="352">
                  <c:v>4.8300015424257686E-2</c:v>
                </c:pt>
                <c:pt idx="353">
                  <c:v>4.8300015424257686E-2</c:v>
                </c:pt>
                <c:pt idx="354">
                  <c:v>4.8300015424257686E-2</c:v>
                </c:pt>
                <c:pt idx="355">
                  <c:v>4.8300015424257686E-2</c:v>
                </c:pt>
                <c:pt idx="356">
                  <c:v>4.8300015424257686E-2</c:v>
                </c:pt>
                <c:pt idx="357">
                  <c:v>4.8300015424257686E-2</c:v>
                </c:pt>
                <c:pt idx="358">
                  <c:v>4.8300015424257686E-2</c:v>
                </c:pt>
                <c:pt idx="359">
                  <c:v>4.8300015424257686E-2</c:v>
                </c:pt>
                <c:pt idx="360">
                  <c:v>4.8300015424257686E-2</c:v>
                </c:pt>
                <c:pt idx="361">
                  <c:v>4.8300015424257686E-2</c:v>
                </c:pt>
                <c:pt idx="362">
                  <c:v>4.8300015424257686E-2</c:v>
                </c:pt>
                <c:pt idx="363">
                  <c:v>4.8300015424257686E-2</c:v>
                </c:pt>
                <c:pt idx="364">
                  <c:v>4.8300015424257686E-2</c:v>
                </c:pt>
                <c:pt idx="365">
                  <c:v>4.8300015424257686E-2</c:v>
                </c:pt>
                <c:pt idx="366">
                  <c:v>4.8300015424257686E-2</c:v>
                </c:pt>
                <c:pt idx="367">
                  <c:v>4.8300015424257686E-2</c:v>
                </c:pt>
                <c:pt idx="368">
                  <c:v>4.8300015424257686E-2</c:v>
                </c:pt>
                <c:pt idx="369">
                  <c:v>4.8300015424257686E-2</c:v>
                </c:pt>
                <c:pt idx="370">
                  <c:v>4.8300015424257686E-2</c:v>
                </c:pt>
                <c:pt idx="371">
                  <c:v>4.8300015424257686E-2</c:v>
                </c:pt>
                <c:pt idx="372">
                  <c:v>4.8300015424257686E-2</c:v>
                </c:pt>
                <c:pt idx="373">
                  <c:v>4.8300015424257686E-2</c:v>
                </c:pt>
                <c:pt idx="374">
                  <c:v>4.8300015424257686E-2</c:v>
                </c:pt>
                <c:pt idx="375">
                  <c:v>4.8300015424257686E-2</c:v>
                </c:pt>
                <c:pt idx="376">
                  <c:v>4.8300015424257686E-2</c:v>
                </c:pt>
                <c:pt idx="377">
                  <c:v>4.8300015424257686E-2</c:v>
                </c:pt>
                <c:pt idx="378">
                  <c:v>4.8300015424257686E-2</c:v>
                </c:pt>
                <c:pt idx="379">
                  <c:v>4.8300015424257686E-2</c:v>
                </c:pt>
                <c:pt idx="380">
                  <c:v>4.8300015424257686E-2</c:v>
                </c:pt>
                <c:pt idx="381">
                  <c:v>4.8300015424257686E-2</c:v>
                </c:pt>
                <c:pt idx="382">
                  <c:v>4.8300015424257686E-2</c:v>
                </c:pt>
                <c:pt idx="383">
                  <c:v>4.8300015424257686E-2</c:v>
                </c:pt>
                <c:pt idx="384">
                  <c:v>4.8300015424257686E-2</c:v>
                </c:pt>
                <c:pt idx="385">
                  <c:v>4.8300015424257686E-2</c:v>
                </c:pt>
                <c:pt idx="386">
                  <c:v>4.8300015424257686E-2</c:v>
                </c:pt>
                <c:pt idx="387">
                  <c:v>4.8300015424257686E-2</c:v>
                </c:pt>
                <c:pt idx="388">
                  <c:v>4.8300015424257686E-2</c:v>
                </c:pt>
                <c:pt idx="389">
                  <c:v>4.8300015424257686E-2</c:v>
                </c:pt>
                <c:pt idx="390">
                  <c:v>4.8300015424257686E-2</c:v>
                </c:pt>
                <c:pt idx="391">
                  <c:v>4.8300015424257686E-2</c:v>
                </c:pt>
                <c:pt idx="392">
                  <c:v>4.8300015424257686E-2</c:v>
                </c:pt>
                <c:pt idx="393">
                  <c:v>4.8300015424257686E-2</c:v>
                </c:pt>
                <c:pt idx="394">
                  <c:v>4.8300015424257686E-2</c:v>
                </c:pt>
                <c:pt idx="395">
                  <c:v>4.8300015424257686E-2</c:v>
                </c:pt>
                <c:pt idx="396">
                  <c:v>4.8300015424257686E-2</c:v>
                </c:pt>
                <c:pt idx="397">
                  <c:v>4.8300015424257686E-2</c:v>
                </c:pt>
                <c:pt idx="398">
                  <c:v>4.8300015424257686E-2</c:v>
                </c:pt>
                <c:pt idx="399">
                  <c:v>4.8300015424257686E-2</c:v>
                </c:pt>
                <c:pt idx="400">
                  <c:v>4.8300015424257686E-2</c:v>
                </c:pt>
                <c:pt idx="401">
                  <c:v>4.8300015424257686E-2</c:v>
                </c:pt>
                <c:pt idx="402">
                  <c:v>4.8300015424257686E-2</c:v>
                </c:pt>
                <c:pt idx="403">
                  <c:v>4.8300015424257686E-2</c:v>
                </c:pt>
                <c:pt idx="404">
                  <c:v>4.8300015424257686E-2</c:v>
                </c:pt>
                <c:pt idx="405">
                  <c:v>4.8300015424257686E-2</c:v>
                </c:pt>
                <c:pt idx="406">
                  <c:v>4.8300015424257686E-2</c:v>
                </c:pt>
                <c:pt idx="407">
                  <c:v>4.8300015424257686E-2</c:v>
                </c:pt>
                <c:pt idx="408">
                  <c:v>4.8300015424257686E-2</c:v>
                </c:pt>
                <c:pt idx="409">
                  <c:v>4.8300015424257686E-2</c:v>
                </c:pt>
                <c:pt idx="410">
                  <c:v>4.8300015424257686E-2</c:v>
                </c:pt>
                <c:pt idx="411">
                  <c:v>4.8300015424257686E-2</c:v>
                </c:pt>
                <c:pt idx="412">
                  <c:v>4.8300015424257686E-2</c:v>
                </c:pt>
                <c:pt idx="413">
                  <c:v>4.8300015424257686E-2</c:v>
                </c:pt>
                <c:pt idx="414">
                  <c:v>4.8300015424257686E-2</c:v>
                </c:pt>
                <c:pt idx="415">
                  <c:v>4.8300015424257686E-2</c:v>
                </c:pt>
                <c:pt idx="416">
                  <c:v>4.8300015424257686E-2</c:v>
                </c:pt>
                <c:pt idx="417">
                  <c:v>4.8300015424257686E-2</c:v>
                </c:pt>
                <c:pt idx="418">
                  <c:v>4.8300015424257686E-2</c:v>
                </c:pt>
                <c:pt idx="419">
                  <c:v>4.8300015424257686E-2</c:v>
                </c:pt>
                <c:pt idx="420">
                  <c:v>4.8300015424257686E-2</c:v>
                </c:pt>
                <c:pt idx="421">
                  <c:v>4.8300015424257686E-2</c:v>
                </c:pt>
                <c:pt idx="422">
                  <c:v>4.8300015424257686E-2</c:v>
                </c:pt>
                <c:pt idx="423">
                  <c:v>4.8300015424257686E-2</c:v>
                </c:pt>
                <c:pt idx="424">
                  <c:v>4.8300015424257686E-2</c:v>
                </c:pt>
                <c:pt idx="425">
                  <c:v>4.8300015424257686E-2</c:v>
                </c:pt>
                <c:pt idx="426">
                  <c:v>4.8300015424257686E-2</c:v>
                </c:pt>
                <c:pt idx="427">
                  <c:v>4.8300015424257686E-2</c:v>
                </c:pt>
                <c:pt idx="428">
                  <c:v>4.8300015424257686E-2</c:v>
                </c:pt>
                <c:pt idx="429">
                  <c:v>4.8300015424257686E-2</c:v>
                </c:pt>
                <c:pt idx="430">
                  <c:v>4.8300015424257686E-2</c:v>
                </c:pt>
                <c:pt idx="431">
                  <c:v>4.8300015424257686E-2</c:v>
                </c:pt>
                <c:pt idx="432">
                  <c:v>4.8300015424257686E-2</c:v>
                </c:pt>
                <c:pt idx="433">
                  <c:v>4.8300015424257686E-2</c:v>
                </c:pt>
                <c:pt idx="434">
                  <c:v>4.8300015424257686E-2</c:v>
                </c:pt>
                <c:pt idx="435">
                  <c:v>4.8300015424257686E-2</c:v>
                </c:pt>
                <c:pt idx="436">
                  <c:v>4.8300015424257686E-2</c:v>
                </c:pt>
                <c:pt idx="437">
                  <c:v>4.8300015424257686E-2</c:v>
                </c:pt>
                <c:pt idx="438">
                  <c:v>4.8300015424257686E-2</c:v>
                </c:pt>
                <c:pt idx="439">
                  <c:v>4.8300015424257686E-2</c:v>
                </c:pt>
                <c:pt idx="440">
                  <c:v>4.8300015424257686E-2</c:v>
                </c:pt>
                <c:pt idx="441">
                  <c:v>4.8300015424257686E-2</c:v>
                </c:pt>
                <c:pt idx="442">
                  <c:v>4.8300015424257686E-2</c:v>
                </c:pt>
                <c:pt idx="443">
                  <c:v>4.8300015424257686E-2</c:v>
                </c:pt>
                <c:pt idx="444">
                  <c:v>4.8300015424257686E-2</c:v>
                </c:pt>
                <c:pt idx="445">
                  <c:v>4.8300015424257686E-2</c:v>
                </c:pt>
                <c:pt idx="446">
                  <c:v>4.8300015424257686E-2</c:v>
                </c:pt>
                <c:pt idx="447">
                  <c:v>4.8300015424257686E-2</c:v>
                </c:pt>
                <c:pt idx="448">
                  <c:v>4.8300015424257686E-2</c:v>
                </c:pt>
                <c:pt idx="449">
                  <c:v>4.8300015424257686E-2</c:v>
                </c:pt>
                <c:pt idx="450">
                  <c:v>4.8300015424257686E-2</c:v>
                </c:pt>
                <c:pt idx="451">
                  <c:v>4.8300015424257686E-2</c:v>
                </c:pt>
                <c:pt idx="452">
                  <c:v>4.8300015424257686E-2</c:v>
                </c:pt>
                <c:pt idx="453">
                  <c:v>4.8300015424257686E-2</c:v>
                </c:pt>
                <c:pt idx="454">
                  <c:v>4.8300015424257686E-2</c:v>
                </c:pt>
                <c:pt idx="455">
                  <c:v>4.8300015424257686E-2</c:v>
                </c:pt>
                <c:pt idx="456">
                  <c:v>4.8300015424257686E-2</c:v>
                </c:pt>
                <c:pt idx="457">
                  <c:v>4.8300015424257686E-2</c:v>
                </c:pt>
                <c:pt idx="458">
                  <c:v>4.8300015424257686E-2</c:v>
                </c:pt>
                <c:pt idx="459">
                  <c:v>4.8300015424257686E-2</c:v>
                </c:pt>
                <c:pt idx="460">
                  <c:v>4.8300015424257686E-2</c:v>
                </c:pt>
                <c:pt idx="461">
                  <c:v>4.8300015424257686E-2</c:v>
                </c:pt>
                <c:pt idx="462">
                  <c:v>4.8300015424257686E-2</c:v>
                </c:pt>
                <c:pt idx="463">
                  <c:v>4.8300015424257686E-2</c:v>
                </c:pt>
                <c:pt idx="464">
                  <c:v>4.8300015424257686E-2</c:v>
                </c:pt>
                <c:pt idx="465">
                  <c:v>4.8300015424257686E-2</c:v>
                </c:pt>
                <c:pt idx="466">
                  <c:v>4.8300015424257686E-2</c:v>
                </c:pt>
                <c:pt idx="467">
                  <c:v>4.8300015424257686E-2</c:v>
                </c:pt>
                <c:pt idx="468">
                  <c:v>4.8300015424257686E-2</c:v>
                </c:pt>
                <c:pt idx="469">
                  <c:v>4.8300015424257686E-2</c:v>
                </c:pt>
                <c:pt idx="470">
                  <c:v>4.8300015424257686E-2</c:v>
                </c:pt>
                <c:pt idx="471">
                  <c:v>4.8300015424257686E-2</c:v>
                </c:pt>
                <c:pt idx="472">
                  <c:v>4.8300015424257686E-2</c:v>
                </c:pt>
                <c:pt idx="473">
                  <c:v>4.8300015424257686E-2</c:v>
                </c:pt>
                <c:pt idx="474">
                  <c:v>4.8300015424257686E-2</c:v>
                </c:pt>
                <c:pt idx="475">
                  <c:v>4.8300015424257686E-2</c:v>
                </c:pt>
                <c:pt idx="476">
                  <c:v>4.8300015424257686E-2</c:v>
                </c:pt>
                <c:pt idx="477">
                  <c:v>4.8300015424257686E-2</c:v>
                </c:pt>
                <c:pt idx="478">
                  <c:v>4.8300015424257686E-2</c:v>
                </c:pt>
                <c:pt idx="479">
                  <c:v>4.8300015424257686E-2</c:v>
                </c:pt>
                <c:pt idx="480">
                  <c:v>4.8300015424257686E-2</c:v>
                </c:pt>
                <c:pt idx="481">
                  <c:v>4.8300015424257686E-2</c:v>
                </c:pt>
                <c:pt idx="482">
                  <c:v>4.8300015424257686E-2</c:v>
                </c:pt>
                <c:pt idx="483">
                  <c:v>4.8300015424257686E-2</c:v>
                </c:pt>
                <c:pt idx="484">
                  <c:v>4.8300015424257686E-2</c:v>
                </c:pt>
                <c:pt idx="485">
                  <c:v>4.8300015424257686E-2</c:v>
                </c:pt>
                <c:pt idx="486">
                  <c:v>4.8300015424257686E-2</c:v>
                </c:pt>
                <c:pt idx="487">
                  <c:v>4.8300015424257686E-2</c:v>
                </c:pt>
                <c:pt idx="488">
                  <c:v>4.8300015424257686E-2</c:v>
                </c:pt>
                <c:pt idx="489">
                  <c:v>4.8300015424257686E-2</c:v>
                </c:pt>
                <c:pt idx="490">
                  <c:v>4.8300015424257686E-2</c:v>
                </c:pt>
                <c:pt idx="491">
                  <c:v>4.8300015424257686E-2</c:v>
                </c:pt>
                <c:pt idx="492">
                  <c:v>4.8300015424257686E-2</c:v>
                </c:pt>
                <c:pt idx="493">
                  <c:v>4.8300015424257686E-2</c:v>
                </c:pt>
                <c:pt idx="494">
                  <c:v>4.8300015424257686E-2</c:v>
                </c:pt>
                <c:pt idx="495">
                  <c:v>4.8300015424257686E-2</c:v>
                </c:pt>
                <c:pt idx="496">
                  <c:v>4.8300015424257686E-2</c:v>
                </c:pt>
                <c:pt idx="497">
                  <c:v>4.8300015424257686E-2</c:v>
                </c:pt>
                <c:pt idx="498">
                  <c:v>4.8300015424257686E-2</c:v>
                </c:pt>
                <c:pt idx="499">
                  <c:v>4.8300015424257686E-2</c:v>
                </c:pt>
                <c:pt idx="500">
                  <c:v>4.8300015424257686E-2</c:v>
                </c:pt>
                <c:pt idx="501">
                  <c:v>4.8300015424257686E-2</c:v>
                </c:pt>
                <c:pt idx="502">
                  <c:v>4.8300015424257686E-2</c:v>
                </c:pt>
                <c:pt idx="503">
                  <c:v>4.8300015424257686E-2</c:v>
                </c:pt>
                <c:pt idx="504">
                  <c:v>4.8300015424257686E-2</c:v>
                </c:pt>
                <c:pt idx="505">
                  <c:v>4.8300015424257686E-2</c:v>
                </c:pt>
                <c:pt idx="506">
                  <c:v>4.8300015424257686E-2</c:v>
                </c:pt>
                <c:pt idx="507">
                  <c:v>4.8300015424257686E-2</c:v>
                </c:pt>
                <c:pt idx="508">
                  <c:v>4.8300015424257686E-2</c:v>
                </c:pt>
                <c:pt idx="509">
                  <c:v>4.8300015424257686E-2</c:v>
                </c:pt>
                <c:pt idx="510">
                  <c:v>4.8300015424257686E-2</c:v>
                </c:pt>
                <c:pt idx="511">
                  <c:v>4.8300015424257686E-2</c:v>
                </c:pt>
                <c:pt idx="512">
                  <c:v>4.8300015424257686E-2</c:v>
                </c:pt>
                <c:pt idx="513">
                  <c:v>4.8300015424257686E-2</c:v>
                </c:pt>
                <c:pt idx="514">
                  <c:v>4.8300015424257686E-2</c:v>
                </c:pt>
                <c:pt idx="515">
                  <c:v>4.8300015424257686E-2</c:v>
                </c:pt>
                <c:pt idx="516">
                  <c:v>4.8300015424257686E-2</c:v>
                </c:pt>
                <c:pt idx="517">
                  <c:v>4.8300015424257686E-2</c:v>
                </c:pt>
                <c:pt idx="518">
                  <c:v>4.8300015424257686E-2</c:v>
                </c:pt>
                <c:pt idx="519">
                  <c:v>4.8300015424257686E-2</c:v>
                </c:pt>
                <c:pt idx="520">
                  <c:v>4.8300015424257686E-2</c:v>
                </c:pt>
                <c:pt idx="521">
                  <c:v>4.8300015424257686E-2</c:v>
                </c:pt>
                <c:pt idx="522">
                  <c:v>4.8300015424257686E-2</c:v>
                </c:pt>
                <c:pt idx="523">
                  <c:v>4.8300015424257686E-2</c:v>
                </c:pt>
                <c:pt idx="524">
                  <c:v>4.8300015424257686E-2</c:v>
                </c:pt>
                <c:pt idx="525">
                  <c:v>4.8300015424257686E-2</c:v>
                </c:pt>
                <c:pt idx="526">
                  <c:v>4.8300015424257686E-2</c:v>
                </c:pt>
                <c:pt idx="527">
                  <c:v>4.8300015424257686E-2</c:v>
                </c:pt>
                <c:pt idx="528">
                  <c:v>4.8300015424257686E-2</c:v>
                </c:pt>
                <c:pt idx="529">
                  <c:v>4.8300015424257686E-2</c:v>
                </c:pt>
                <c:pt idx="530">
                  <c:v>4.8300015424257686E-2</c:v>
                </c:pt>
                <c:pt idx="531">
                  <c:v>4.8300015424257686E-2</c:v>
                </c:pt>
                <c:pt idx="532">
                  <c:v>4.8300015424257686E-2</c:v>
                </c:pt>
                <c:pt idx="533">
                  <c:v>4.8300015424257686E-2</c:v>
                </c:pt>
                <c:pt idx="534">
                  <c:v>4.8300015424257686E-2</c:v>
                </c:pt>
                <c:pt idx="535">
                  <c:v>4.8300015424257686E-2</c:v>
                </c:pt>
                <c:pt idx="536">
                  <c:v>4.8300015424257686E-2</c:v>
                </c:pt>
                <c:pt idx="537">
                  <c:v>4.8300015424257686E-2</c:v>
                </c:pt>
                <c:pt idx="538">
                  <c:v>4.8300015424257686E-2</c:v>
                </c:pt>
                <c:pt idx="539">
                  <c:v>4.8300015424257686E-2</c:v>
                </c:pt>
                <c:pt idx="540">
                  <c:v>4.8300015424257686E-2</c:v>
                </c:pt>
                <c:pt idx="541">
                  <c:v>4.8300015424257686E-2</c:v>
                </c:pt>
                <c:pt idx="542">
                  <c:v>4.8300015424257686E-2</c:v>
                </c:pt>
                <c:pt idx="543">
                  <c:v>4.8300015424257686E-2</c:v>
                </c:pt>
                <c:pt idx="544">
                  <c:v>4.8300015424257686E-2</c:v>
                </c:pt>
                <c:pt idx="545">
                  <c:v>4.8300015424257686E-2</c:v>
                </c:pt>
                <c:pt idx="546">
                  <c:v>4.8300015424257686E-2</c:v>
                </c:pt>
                <c:pt idx="547">
                  <c:v>4.8300015424257686E-2</c:v>
                </c:pt>
                <c:pt idx="548">
                  <c:v>4.8300015424257686E-2</c:v>
                </c:pt>
                <c:pt idx="549">
                  <c:v>4.8300015424257686E-2</c:v>
                </c:pt>
                <c:pt idx="550">
                  <c:v>4.8300015424257686E-2</c:v>
                </c:pt>
                <c:pt idx="551">
                  <c:v>4.8300015424257686E-2</c:v>
                </c:pt>
                <c:pt idx="552">
                  <c:v>4.8300015424257686E-2</c:v>
                </c:pt>
                <c:pt idx="553">
                  <c:v>4.8300015424257686E-2</c:v>
                </c:pt>
                <c:pt idx="554">
                  <c:v>4.8300015424257686E-2</c:v>
                </c:pt>
                <c:pt idx="555">
                  <c:v>4.8300015424257686E-2</c:v>
                </c:pt>
                <c:pt idx="556">
                  <c:v>4.8300015424257686E-2</c:v>
                </c:pt>
                <c:pt idx="557">
                  <c:v>4.8300015424257686E-2</c:v>
                </c:pt>
                <c:pt idx="558">
                  <c:v>4.8300015424257686E-2</c:v>
                </c:pt>
                <c:pt idx="559">
                  <c:v>4.8300015424257686E-2</c:v>
                </c:pt>
                <c:pt idx="560">
                  <c:v>4.8300015424257686E-2</c:v>
                </c:pt>
                <c:pt idx="561">
                  <c:v>4.8300015424257686E-2</c:v>
                </c:pt>
                <c:pt idx="562">
                  <c:v>4.8300015424257686E-2</c:v>
                </c:pt>
                <c:pt idx="563">
                  <c:v>4.8300015424257686E-2</c:v>
                </c:pt>
                <c:pt idx="564">
                  <c:v>4.8300015424257686E-2</c:v>
                </c:pt>
                <c:pt idx="565">
                  <c:v>4.8300015424257686E-2</c:v>
                </c:pt>
                <c:pt idx="566">
                  <c:v>4.8300015424257686E-2</c:v>
                </c:pt>
                <c:pt idx="567">
                  <c:v>4.8300015424257686E-2</c:v>
                </c:pt>
                <c:pt idx="568">
                  <c:v>4.8300015424257686E-2</c:v>
                </c:pt>
                <c:pt idx="569">
                  <c:v>4.8300015424257686E-2</c:v>
                </c:pt>
                <c:pt idx="570">
                  <c:v>4.8300015424257686E-2</c:v>
                </c:pt>
                <c:pt idx="571">
                  <c:v>4.8300015424257686E-2</c:v>
                </c:pt>
                <c:pt idx="572">
                  <c:v>4.8300015424257686E-2</c:v>
                </c:pt>
                <c:pt idx="573">
                  <c:v>4.8300015424257686E-2</c:v>
                </c:pt>
                <c:pt idx="574">
                  <c:v>4.8300015424257686E-2</c:v>
                </c:pt>
                <c:pt idx="575">
                  <c:v>4.8300015424257686E-2</c:v>
                </c:pt>
                <c:pt idx="576">
                  <c:v>4.8300015424257686E-2</c:v>
                </c:pt>
                <c:pt idx="577">
                  <c:v>4.8300015424257686E-2</c:v>
                </c:pt>
                <c:pt idx="578">
                  <c:v>4.8300015424257686E-2</c:v>
                </c:pt>
                <c:pt idx="579">
                  <c:v>4.8300015424257686E-2</c:v>
                </c:pt>
                <c:pt idx="580">
                  <c:v>4.8300015424257686E-2</c:v>
                </c:pt>
                <c:pt idx="581">
                  <c:v>4.8300015424257686E-2</c:v>
                </c:pt>
                <c:pt idx="582">
                  <c:v>4.8300015424257686E-2</c:v>
                </c:pt>
                <c:pt idx="583">
                  <c:v>4.8300015424257686E-2</c:v>
                </c:pt>
                <c:pt idx="584">
                  <c:v>4.8300015424257686E-2</c:v>
                </c:pt>
                <c:pt idx="585">
                  <c:v>4.8300015424257686E-2</c:v>
                </c:pt>
                <c:pt idx="586">
                  <c:v>4.8300015424257686E-2</c:v>
                </c:pt>
                <c:pt idx="587">
                  <c:v>4.8300015424257686E-2</c:v>
                </c:pt>
                <c:pt idx="588">
                  <c:v>4.8300015424257686E-2</c:v>
                </c:pt>
                <c:pt idx="589">
                  <c:v>4.8300015424257686E-2</c:v>
                </c:pt>
                <c:pt idx="590">
                  <c:v>4.8300015424257686E-2</c:v>
                </c:pt>
                <c:pt idx="591">
                  <c:v>4.8300015424257686E-2</c:v>
                </c:pt>
                <c:pt idx="592">
                  <c:v>4.8300015424257686E-2</c:v>
                </c:pt>
                <c:pt idx="593">
                  <c:v>4.8300015424257686E-2</c:v>
                </c:pt>
                <c:pt idx="594">
                  <c:v>4.8300015424257686E-2</c:v>
                </c:pt>
                <c:pt idx="595">
                  <c:v>4.8300015424257686E-2</c:v>
                </c:pt>
                <c:pt idx="596">
                  <c:v>4.8300015424257686E-2</c:v>
                </c:pt>
                <c:pt idx="597">
                  <c:v>4.8300015424257686E-2</c:v>
                </c:pt>
                <c:pt idx="598">
                  <c:v>4.8300015424257686E-2</c:v>
                </c:pt>
                <c:pt idx="599">
                  <c:v>4.8300015424257686E-2</c:v>
                </c:pt>
                <c:pt idx="600">
                  <c:v>4.8300015424257686E-2</c:v>
                </c:pt>
                <c:pt idx="601">
                  <c:v>4.8300015424257686E-2</c:v>
                </c:pt>
                <c:pt idx="602">
                  <c:v>4.8300015424257686E-2</c:v>
                </c:pt>
                <c:pt idx="603">
                  <c:v>4.8300015424257686E-2</c:v>
                </c:pt>
                <c:pt idx="604">
                  <c:v>4.8300015424257686E-2</c:v>
                </c:pt>
                <c:pt idx="605">
                  <c:v>4.8300015424257686E-2</c:v>
                </c:pt>
                <c:pt idx="606">
                  <c:v>4.8300015424257686E-2</c:v>
                </c:pt>
                <c:pt idx="607">
                  <c:v>4.8300015424257686E-2</c:v>
                </c:pt>
                <c:pt idx="608">
                  <c:v>4.8300015424257686E-2</c:v>
                </c:pt>
                <c:pt idx="609">
                  <c:v>4.8300015424257686E-2</c:v>
                </c:pt>
                <c:pt idx="610">
                  <c:v>4.8300015424257686E-2</c:v>
                </c:pt>
                <c:pt idx="611">
                  <c:v>4.8300015424257686E-2</c:v>
                </c:pt>
                <c:pt idx="612">
                  <c:v>4.8300015424257686E-2</c:v>
                </c:pt>
                <c:pt idx="613">
                  <c:v>4.8300015424257686E-2</c:v>
                </c:pt>
                <c:pt idx="614">
                  <c:v>4.8300015424257686E-2</c:v>
                </c:pt>
                <c:pt idx="615">
                  <c:v>4.8300015424257686E-2</c:v>
                </c:pt>
                <c:pt idx="616">
                  <c:v>4.8300015424257686E-2</c:v>
                </c:pt>
                <c:pt idx="617">
                  <c:v>4.8300015424257686E-2</c:v>
                </c:pt>
                <c:pt idx="618">
                  <c:v>4.8300015424257686E-2</c:v>
                </c:pt>
                <c:pt idx="619">
                  <c:v>4.8300015424257686E-2</c:v>
                </c:pt>
                <c:pt idx="620">
                  <c:v>4.8300015424257686E-2</c:v>
                </c:pt>
                <c:pt idx="621">
                  <c:v>4.8300015424257686E-2</c:v>
                </c:pt>
                <c:pt idx="622">
                  <c:v>4.8300015424257686E-2</c:v>
                </c:pt>
                <c:pt idx="623">
                  <c:v>4.8300015424257686E-2</c:v>
                </c:pt>
                <c:pt idx="624">
                  <c:v>4.8300015424257686E-2</c:v>
                </c:pt>
                <c:pt idx="625">
                  <c:v>4.8300015424257686E-2</c:v>
                </c:pt>
                <c:pt idx="626">
                  <c:v>4.8300015424257686E-2</c:v>
                </c:pt>
                <c:pt idx="627">
                  <c:v>4.8300015424257686E-2</c:v>
                </c:pt>
                <c:pt idx="628">
                  <c:v>4.8300015424257686E-2</c:v>
                </c:pt>
                <c:pt idx="629">
                  <c:v>4.8300015424257686E-2</c:v>
                </c:pt>
                <c:pt idx="630">
                  <c:v>4.8300015424257686E-2</c:v>
                </c:pt>
                <c:pt idx="631">
                  <c:v>4.8300015424257686E-2</c:v>
                </c:pt>
                <c:pt idx="632">
                  <c:v>4.8300015424257686E-2</c:v>
                </c:pt>
                <c:pt idx="633">
                  <c:v>4.8300015424257686E-2</c:v>
                </c:pt>
                <c:pt idx="634">
                  <c:v>4.8300015424257686E-2</c:v>
                </c:pt>
                <c:pt idx="635">
                  <c:v>4.8300015424257686E-2</c:v>
                </c:pt>
                <c:pt idx="636">
                  <c:v>4.8300015424257686E-2</c:v>
                </c:pt>
                <c:pt idx="637">
                  <c:v>4.8300015424257686E-2</c:v>
                </c:pt>
                <c:pt idx="638">
                  <c:v>4.8300015424257686E-2</c:v>
                </c:pt>
                <c:pt idx="639">
                  <c:v>4.8300015424257686E-2</c:v>
                </c:pt>
                <c:pt idx="640">
                  <c:v>4.8300015424257686E-2</c:v>
                </c:pt>
                <c:pt idx="641">
                  <c:v>4.8300015424257686E-2</c:v>
                </c:pt>
                <c:pt idx="642">
                  <c:v>4.8300015424257686E-2</c:v>
                </c:pt>
                <c:pt idx="643">
                  <c:v>4.8300015424257686E-2</c:v>
                </c:pt>
                <c:pt idx="644">
                  <c:v>4.8300015424257686E-2</c:v>
                </c:pt>
                <c:pt idx="645">
                  <c:v>4.8300015424257686E-2</c:v>
                </c:pt>
                <c:pt idx="646">
                  <c:v>4.8300015424257686E-2</c:v>
                </c:pt>
                <c:pt idx="647">
                  <c:v>4.8300015424257686E-2</c:v>
                </c:pt>
                <c:pt idx="648">
                  <c:v>4.8300015424257686E-2</c:v>
                </c:pt>
                <c:pt idx="649">
                  <c:v>4.8300015424257686E-2</c:v>
                </c:pt>
                <c:pt idx="650">
                  <c:v>4.8300015424257686E-2</c:v>
                </c:pt>
                <c:pt idx="651">
                  <c:v>4.8300015424257686E-2</c:v>
                </c:pt>
                <c:pt idx="652">
                  <c:v>4.8300015424257686E-2</c:v>
                </c:pt>
                <c:pt idx="653">
                  <c:v>4.8300015424257686E-2</c:v>
                </c:pt>
                <c:pt idx="654">
                  <c:v>4.8300015424257686E-2</c:v>
                </c:pt>
                <c:pt idx="655">
                  <c:v>4.8300015424257686E-2</c:v>
                </c:pt>
                <c:pt idx="656">
                  <c:v>4.8300015424257686E-2</c:v>
                </c:pt>
                <c:pt idx="657">
                  <c:v>4.8300015424257686E-2</c:v>
                </c:pt>
                <c:pt idx="658">
                  <c:v>4.8300015424257686E-2</c:v>
                </c:pt>
                <c:pt idx="659">
                  <c:v>4.8300015424257686E-2</c:v>
                </c:pt>
                <c:pt idx="660">
                  <c:v>4.8300015424257686E-2</c:v>
                </c:pt>
                <c:pt idx="661">
                  <c:v>4.8300015424257686E-2</c:v>
                </c:pt>
                <c:pt idx="662">
                  <c:v>4.8300015424257686E-2</c:v>
                </c:pt>
                <c:pt idx="663">
                  <c:v>4.8300015424257686E-2</c:v>
                </c:pt>
                <c:pt idx="664">
                  <c:v>4.8300015424257686E-2</c:v>
                </c:pt>
                <c:pt idx="665">
                  <c:v>4.8300015424257686E-2</c:v>
                </c:pt>
                <c:pt idx="666">
                  <c:v>4.8300015424257686E-2</c:v>
                </c:pt>
                <c:pt idx="667">
                  <c:v>4.8300015424257686E-2</c:v>
                </c:pt>
                <c:pt idx="668">
                  <c:v>4.8300015424257686E-2</c:v>
                </c:pt>
                <c:pt idx="669">
                  <c:v>4.8300015424257686E-2</c:v>
                </c:pt>
                <c:pt idx="670">
                  <c:v>4.8300015424257686E-2</c:v>
                </c:pt>
                <c:pt idx="671">
                  <c:v>4.8300015424257686E-2</c:v>
                </c:pt>
                <c:pt idx="672">
                  <c:v>4.8300015424257686E-2</c:v>
                </c:pt>
                <c:pt idx="673">
                  <c:v>4.8300015424257686E-2</c:v>
                </c:pt>
                <c:pt idx="674">
                  <c:v>4.8300015424257686E-2</c:v>
                </c:pt>
                <c:pt idx="675">
                  <c:v>4.8300015424257686E-2</c:v>
                </c:pt>
                <c:pt idx="676">
                  <c:v>4.8300015424257686E-2</c:v>
                </c:pt>
                <c:pt idx="677">
                  <c:v>4.8300015424257686E-2</c:v>
                </c:pt>
                <c:pt idx="678">
                  <c:v>4.8300015424257686E-2</c:v>
                </c:pt>
                <c:pt idx="679">
                  <c:v>4.8300015424257686E-2</c:v>
                </c:pt>
                <c:pt idx="680">
                  <c:v>4.8300015424257686E-2</c:v>
                </c:pt>
                <c:pt idx="681">
                  <c:v>4.8300015424257686E-2</c:v>
                </c:pt>
                <c:pt idx="682">
                  <c:v>4.8300015424257686E-2</c:v>
                </c:pt>
                <c:pt idx="683">
                  <c:v>4.8300015424257686E-2</c:v>
                </c:pt>
                <c:pt idx="684">
                  <c:v>4.8300015424257686E-2</c:v>
                </c:pt>
                <c:pt idx="685">
                  <c:v>4.8300015424257686E-2</c:v>
                </c:pt>
                <c:pt idx="686">
                  <c:v>4.8300015424257686E-2</c:v>
                </c:pt>
                <c:pt idx="687">
                  <c:v>4.8300015424257686E-2</c:v>
                </c:pt>
                <c:pt idx="688">
                  <c:v>4.8300015424257686E-2</c:v>
                </c:pt>
                <c:pt idx="689">
                  <c:v>4.8300015424257686E-2</c:v>
                </c:pt>
                <c:pt idx="690">
                  <c:v>4.8300015424257686E-2</c:v>
                </c:pt>
                <c:pt idx="691">
                  <c:v>4.8300015424257686E-2</c:v>
                </c:pt>
                <c:pt idx="692">
                  <c:v>4.8300015424257686E-2</c:v>
                </c:pt>
                <c:pt idx="693">
                  <c:v>4.8300015424257686E-2</c:v>
                </c:pt>
                <c:pt idx="694">
                  <c:v>4.8300015424257686E-2</c:v>
                </c:pt>
                <c:pt idx="695">
                  <c:v>4.8300015424257686E-2</c:v>
                </c:pt>
                <c:pt idx="696">
                  <c:v>4.8300015424257686E-2</c:v>
                </c:pt>
                <c:pt idx="697">
                  <c:v>4.8300015424257686E-2</c:v>
                </c:pt>
                <c:pt idx="698">
                  <c:v>4.8300015424257686E-2</c:v>
                </c:pt>
                <c:pt idx="699">
                  <c:v>4.8300015424257686E-2</c:v>
                </c:pt>
                <c:pt idx="700">
                  <c:v>4.8300015424257686E-2</c:v>
                </c:pt>
                <c:pt idx="701">
                  <c:v>4.8300015424257686E-2</c:v>
                </c:pt>
                <c:pt idx="702">
                  <c:v>4.8300015424257686E-2</c:v>
                </c:pt>
                <c:pt idx="703">
                  <c:v>4.8300015424257686E-2</c:v>
                </c:pt>
                <c:pt idx="704">
                  <c:v>4.8300015424257686E-2</c:v>
                </c:pt>
                <c:pt idx="705">
                  <c:v>4.8300015424257686E-2</c:v>
                </c:pt>
                <c:pt idx="706">
                  <c:v>4.8300015424257686E-2</c:v>
                </c:pt>
                <c:pt idx="707">
                  <c:v>4.8300015424257686E-2</c:v>
                </c:pt>
                <c:pt idx="708">
                  <c:v>4.8300015424257686E-2</c:v>
                </c:pt>
                <c:pt idx="709">
                  <c:v>4.8300015424257686E-2</c:v>
                </c:pt>
                <c:pt idx="710">
                  <c:v>4.8300015424257686E-2</c:v>
                </c:pt>
                <c:pt idx="711">
                  <c:v>4.8300015424257686E-2</c:v>
                </c:pt>
                <c:pt idx="712">
                  <c:v>4.8300015424257686E-2</c:v>
                </c:pt>
                <c:pt idx="713">
                  <c:v>4.8300015424257686E-2</c:v>
                </c:pt>
                <c:pt idx="714">
                  <c:v>4.8300015424257686E-2</c:v>
                </c:pt>
                <c:pt idx="715">
                  <c:v>4.8300015424257686E-2</c:v>
                </c:pt>
                <c:pt idx="716">
                  <c:v>4.8300015424257686E-2</c:v>
                </c:pt>
                <c:pt idx="717">
                  <c:v>4.8300015424257686E-2</c:v>
                </c:pt>
                <c:pt idx="718">
                  <c:v>4.8300015424257686E-2</c:v>
                </c:pt>
                <c:pt idx="719">
                  <c:v>4.8300015424257686E-2</c:v>
                </c:pt>
                <c:pt idx="720">
                  <c:v>4.8300015424257686E-2</c:v>
                </c:pt>
                <c:pt idx="721">
                  <c:v>4.8300015424257686E-2</c:v>
                </c:pt>
                <c:pt idx="722">
                  <c:v>4.8300015424257686E-2</c:v>
                </c:pt>
                <c:pt idx="723">
                  <c:v>4.8300015424257686E-2</c:v>
                </c:pt>
                <c:pt idx="724">
                  <c:v>4.8300015424257686E-2</c:v>
                </c:pt>
                <c:pt idx="725">
                  <c:v>4.8300015424257686E-2</c:v>
                </c:pt>
                <c:pt idx="726">
                  <c:v>4.8300015424257686E-2</c:v>
                </c:pt>
                <c:pt idx="727">
                  <c:v>4.8300015424257686E-2</c:v>
                </c:pt>
                <c:pt idx="728">
                  <c:v>4.8300015424257686E-2</c:v>
                </c:pt>
                <c:pt idx="729">
                  <c:v>4.8300015424257686E-2</c:v>
                </c:pt>
                <c:pt idx="730">
                  <c:v>4.8300015424257686E-2</c:v>
                </c:pt>
                <c:pt idx="731">
                  <c:v>4.8300015424257686E-2</c:v>
                </c:pt>
                <c:pt idx="732">
                  <c:v>4.8300015424257686E-2</c:v>
                </c:pt>
                <c:pt idx="733">
                  <c:v>4.8300015424257686E-2</c:v>
                </c:pt>
                <c:pt idx="734">
                  <c:v>4.8300015424257686E-2</c:v>
                </c:pt>
                <c:pt idx="735">
                  <c:v>4.8300015424257686E-2</c:v>
                </c:pt>
                <c:pt idx="736">
                  <c:v>4.8300015424257686E-2</c:v>
                </c:pt>
                <c:pt idx="737">
                  <c:v>4.8300015424257686E-2</c:v>
                </c:pt>
                <c:pt idx="738">
                  <c:v>4.8300015424257686E-2</c:v>
                </c:pt>
                <c:pt idx="739">
                  <c:v>4.8300015424257686E-2</c:v>
                </c:pt>
                <c:pt idx="740">
                  <c:v>4.8300015424257686E-2</c:v>
                </c:pt>
                <c:pt idx="741">
                  <c:v>4.8300015424257686E-2</c:v>
                </c:pt>
                <c:pt idx="742">
                  <c:v>4.8300015424257686E-2</c:v>
                </c:pt>
                <c:pt idx="743">
                  <c:v>4.8300015424257686E-2</c:v>
                </c:pt>
                <c:pt idx="744">
                  <c:v>4.8300015424257686E-2</c:v>
                </c:pt>
                <c:pt idx="745">
                  <c:v>4.8300015424257686E-2</c:v>
                </c:pt>
                <c:pt idx="746">
                  <c:v>4.8300015424257686E-2</c:v>
                </c:pt>
                <c:pt idx="747">
                  <c:v>4.8300015424257686E-2</c:v>
                </c:pt>
                <c:pt idx="748">
                  <c:v>4.8300015424257686E-2</c:v>
                </c:pt>
                <c:pt idx="749">
                  <c:v>4.8300015424257686E-2</c:v>
                </c:pt>
                <c:pt idx="750">
                  <c:v>4.8300015424257686E-2</c:v>
                </c:pt>
                <c:pt idx="751">
                  <c:v>4.8300015424257686E-2</c:v>
                </c:pt>
                <c:pt idx="752">
                  <c:v>4.8300015424257686E-2</c:v>
                </c:pt>
                <c:pt idx="753">
                  <c:v>4.8300015424257686E-2</c:v>
                </c:pt>
                <c:pt idx="754">
                  <c:v>4.8300015424257686E-2</c:v>
                </c:pt>
                <c:pt idx="755">
                  <c:v>4.8300015424257686E-2</c:v>
                </c:pt>
                <c:pt idx="756">
                  <c:v>4.8300015424257686E-2</c:v>
                </c:pt>
                <c:pt idx="757">
                  <c:v>4.8300015424257686E-2</c:v>
                </c:pt>
                <c:pt idx="758">
                  <c:v>4.8300015424257686E-2</c:v>
                </c:pt>
                <c:pt idx="759">
                  <c:v>4.8300015424257686E-2</c:v>
                </c:pt>
                <c:pt idx="760">
                  <c:v>4.8300015424257686E-2</c:v>
                </c:pt>
                <c:pt idx="761">
                  <c:v>4.8300015424257686E-2</c:v>
                </c:pt>
                <c:pt idx="762">
                  <c:v>4.8300015424257686E-2</c:v>
                </c:pt>
                <c:pt idx="763">
                  <c:v>4.8300015424257686E-2</c:v>
                </c:pt>
                <c:pt idx="764">
                  <c:v>4.8300015424257686E-2</c:v>
                </c:pt>
                <c:pt idx="765">
                  <c:v>4.8300015424257686E-2</c:v>
                </c:pt>
                <c:pt idx="766">
                  <c:v>4.8300015424257686E-2</c:v>
                </c:pt>
                <c:pt idx="767">
                  <c:v>4.8300015424257686E-2</c:v>
                </c:pt>
                <c:pt idx="768">
                  <c:v>4.8300015424257686E-2</c:v>
                </c:pt>
                <c:pt idx="769">
                  <c:v>4.8300015424257686E-2</c:v>
                </c:pt>
                <c:pt idx="770">
                  <c:v>4.8300015424257686E-2</c:v>
                </c:pt>
                <c:pt idx="771">
                  <c:v>4.8300015424257686E-2</c:v>
                </c:pt>
                <c:pt idx="772">
                  <c:v>4.8300015424257686E-2</c:v>
                </c:pt>
                <c:pt idx="773">
                  <c:v>4.8300015424257686E-2</c:v>
                </c:pt>
                <c:pt idx="774">
                  <c:v>4.8300015424257686E-2</c:v>
                </c:pt>
                <c:pt idx="775">
                  <c:v>4.8300015424257686E-2</c:v>
                </c:pt>
                <c:pt idx="776">
                  <c:v>4.8300015424257686E-2</c:v>
                </c:pt>
                <c:pt idx="777">
                  <c:v>4.8300015424257686E-2</c:v>
                </c:pt>
                <c:pt idx="778">
                  <c:v>4.8300015424257686E-2</c:v>
                </c:pt>
                <c:pt idx="779">
                  <c:v>4.8300015424257686E-2</c:v>
                </c:pt>
                <c:pt idx="780">
                  <c:v>4.8300015424257686E-2</c:v>
                </c:pt>
                <c:pt idx="781">
                  <c:v>4.8300015424257686E-2</c:v>
                </c:pt>
                <c:pt idx="782">
                  <c:v>4.8300015424257686E-2</c:v>
                </c:pt>
                <c:pt idx="783">
                  <c:v>4.8300015424257686E-2</c:v>
                </c:pt>
                <c:pt idx="784">
                  <c:v>4.8300015424257686E-2</c:v>
                </c:pt>
                <c:pt idx="785">
                  <c:v>4.8300015424257686E-2</c:v>
                </c:pt>
                <c:pt idx="786">
                  <c:v>4.8300015424257686E-2</c:v>
                </c:pt>
                <c:pt idx="787">
                  <c:v>4.8300015424257686E-2</c:v>
                </c:pt>
                <c:pt idx="788">
                  <c:v>4.8300015424257686E-2</c:v>
                </c:pt>
                <c:pt idx="789">
                  <c:v>4.8300015424257686E-2</c:v>
                </c:pt>
                <c:pt idx="790">
                  <c:v>4.8300015424257686E-2</c:v>
                </c:pt>
                <c:pt idx="791">
                  <c:v>4.8300015424257686E-2</c:v>
                </c:pt>
                <c:pt idx="792">
                  <c:v>4.8300015424257686E-2</c:v>
                </c:pt>
                <c:pt idx="793">
                  <c:v>4.8300015424257686E-2</c:v>
                </c:pt>
                <c:pt idx="794">
                  <c:v>4.8300015424257686E-2</c:v>
                </c:pt>
                <c:pt idx="795">
                  <c:v>4.8300015424257686E-2</c:v>
                </c:pt>
                <c:pt idx="796">
                  <c:v>4.8300015424257686E-2</c:v>
                </c:pt>
                <c:pt idx="797">
                  <c:v>4.8300015424257686E-2</c:v>
                </c:pt>
                <c:pt idx="798">
                  <c:v>4.8300015424257686E-2</c:v>
                </c:pt>
                <c:pt idx="799">
                  <c:v>4.8300015424257686E-2</c:v>
                </c:pt>
                <c:pt idx="800">
                  <c:v>4.8300015424257686E-2</c:v>
                </c:pt>
                <c:pt idx="801">
                  <c:v>4.8300015424257686E-2</c:v>
                </c:pt>
                <c:pt idx="802">
                  <c:v>4.8300015424257686E-2</c:v>
                </c:pt>
                <c:pt idx="803">
                  <c:v>4.8300015424257686E-2</c:v>
                </c:pt>
                <c:pt idx="804">
                  <c:v>4.8300015424257686E-2</c:v>
                </c:pt>
                <c:pt idx="805">
                  <c:v>4.8300015424257686E-2</c:v>
                </c:pt>
                <c:pt idx="806">
                  <c:v>4.8300015424257686E-2</c:v>
                </c:pt>
                <c:pt idx="807">
                  <c:v>4.8300015424257686E-2</c:v>
                </c:pt>
                <c:pt idx="808">
                  <c:v>4.8300015424257686E-2</c:v>
                </c:pt>
                <c:pt idx="809">
                  <c:v>4.8300015424257686E-2</c:v>
                </c:pt>
                <c:pt idx="810">
                  <c:v>4.8300015424257686E-2</c:v>
                </c:pt>
                <c:pt idx="811">
                  <c:v>4.8300015424257686E-2</c:v>
                </c:pt>
                <c:pt idx="812">
                  <c:v>4.8300015424257686E-2</c:v>
                </c:pt>
                <c:pt idx="813">
                  <c:v>4.8300015424257686E-2</c:v>
                </c:pt>
                <c:pt idx="814">
                  <c:v>4.8300015424257686E-2</c:v>
                </c:pt>
                <c:pt idx="815">
                  <c:v>4.8300015424257686E-2</c:v>
                </c:pt>
                <c:pt idx="816">
                  <c:v>4.8300015424257686E-2</c:v>
                </c:pt>
                <c:pt idx="817">
                  <c:v>4.8300015424257686E-2</c:v>
                </c:pt>
                <c:pt idx="818">
                  <c:v>4.8300015424257686E-2</c:v>
                </c:pt>
                <c:pt idx="819">
                  <c:v>4.8300015424257686E-2</c:v>
                </c:pt>
                <c:pt idx="820">
                  <c:v>4.8300015424257686E-2</c:v>
                </c:pt>
                <c:pt idx="821">
                  <c:v>4.8300015424257686E-2</c:v>
                </c:pt>
                <c:pt idx="822">
                  <c:v>4.8300015424257686E-2</c:v>
                </c:pt>
                <c:pt idx="823">
                  <c:v>4.8300015424257686E-2</c:v>
                </c:pt>
                <c:pt idx="824">
                  <c:v>4.8300015424257686E-2</c:v>
                </c:pt>
                <c:pt idx="825">
                  <c:v>4.8300015424257686E-2</c:v>
                </c:pt>
                <c:pt idx="826">
                  <c:v>4.8300015424257686E-2</c:v>
                </c:pt>
                <c:pt idx="827">
                  <c:v>4.8300015424257686E-2</c:v>
                </c:pt>
                <c:pt idx="828">
                  <c:v>4.8300015424257686E-2</c:v>
                </c:pt>
                <c:pt idx="829">
                  <c:v>4.8300015424257686E-2</c:v>
                </c:pt>
                <c:pt idx="830">
                  <c:v>4.8300015424257686E-2</c:v>
                </c:pt>
                <c:pt idx="831">
                  <c:v>4.8300015424257686E-2</c:v>
                </c:pt>
                <c:pt idx="832">
                  <c:v>4.8300015424257686E-2</c:v>
                </c:pt>
                <c:pt idx="833">
                  <c:v>4.8300015424257686E-2</c:v>
                </c:pt>
                <c:pt idx="834">
                  <c:v>4.8300015424257686E-2</c:v>
                </c:pt>
                <c:pt idx="835">
                  <c:v>4.8300015424257686E-2</c:v>
                </c:pt>
                <c:pt idx="836">
                  <c:v>4.8300015424257686E-2</c:v>
                </c:pt>
                <c:pt idx="837">
                  <c:v>4.8300015424257686E-2</c:v>
                </c:pt>
                <c:pt idx="838">
                  <c:v>4.8300015424257686E-2</c:v>
                </c:pt>
                <c:pt idx="839">
                  <c:v>4.8300015424257686E-2</c:v>
                </c:pt>
                <c:pt idx="840">
                  <c:v>4.8300015424257686E-2</c:v>
                </c:pt>
                <c:pt idx="841">
                  <c:v>4.8300015424257686E-2</c:v>
                </c:pt>
                <c:pt idx="842">
                  <c:v>4.8300015424257686E-2</c:v>
                </c:pt>
                <c:pt idx="843">
                  <c:v>4.8300015424257686E-2</c:v>
                </c:pt>
                <c:pt idx="844">
                  <c:v>4.8300015424257686E-2</c:v>
                </c:pt>
                <c:pt idx="845">
                  <c:v>4.8300015424257686E-2</c:v>
                </c:pt>
                <c:pt idx="846">
                  <c:v>4.8300015424257686E-2</c:v>
                </c:pt>
                <c:pt idx="847">
                  <c:v>4.8300015424257686E-2</c:v>
                </c:pt>
                <c:pt idx="848">
                  <c:v>4.8300015424257686E-2</c:v>
                </c:pt>
                <c:pt idx="849">
                  <c:v>4.8300015424257686E-2</c:v>
                </c:pt>
                <c:pt idx="850">
                  <c:v>4.8300015424257686E-2</c:v>
                </c:pt>
                <c:pt idx="851">
                  <c:v>4.8300015424257686E-2</c:v>
                </c:pt>
                <c:pt idx="852">
                  <c:v>4.8300015424257686E-2</c:v>
                </c:pt>
                <c:pt idx="853">
                  <c:v>4.8300015424257686E-2</c:v>
                </c:pt>
                <c:pt idx="854">
                  <c:v>4.8300015424257686E-2</c:v>
                </c:pt>
                <c:pt idx="855">
                  <c:v>4.8300015424257686E-2</c:v>
                </c:pt>
                <c:pt idx="856">
                  <c:v>4.8300015424257686E-2</c:v>
                </c:pt>
                <c:pt idx="857">
                  <c:v>4.8300015424257686E-2</c:v>
                </c:pt>
                <c:pt idx="858">
                  <c:v>4.8300015424257686E-2</c:v>
                </c:pt>
                <c:pt idx="859">
                  <c:v>4.8300015424257686E-2</c:v>
                </c:pt>
                <c:pt idx="860">
                  <c:v>4.8300015424257686E-2</c:v>
                </c:pt>
                <c:pt idx="861">
                  <c:v>4.8300015424257686E-2</c:v>
                </c:pt>
                <c:pt idx="862">
                  <c:v>4.8300015424257686E-2</c:v>
                </c:pt>
                <c:pt idx="863">
                  <c:v>4.8300015424257686E-2</c:v>
                </c:pt>
                <c:pt idx="864">
                  <c:v>4.8300015424257686E-2</c:v>
                </c:pt>
                <c:pt idx="865">
                  <c:v>4.8300015424257686E-2</c:v>
                </c:pt>
                <c:pt idx="866">
                  <c:v>4.8300015424257686E-2</c:v>
                </c:pt>
                <c:pt idx="867">
                  <c:v>4.8300015424257686E-2</c:v>
                </c:pt>
                <c:pt idx="868">
                  <c:v>4.8300015424257686E-2</c:v>
                </c:pt>
                <c:pt idx="869">
                  <c:v>4.8300015424257686E-2</c:v>
                </c:pt>
                <c:pt idx="870">
                  <c:v>4.8300015424257686E-2</c:v>
                </c:pt>
                <c:pt idx="871">
                  <c:v>4.8300015424257686E-2</c:v>
                </c:pt>
                <c:pt idx="872">
                  <c:v>4.8300015424257686E-2</c:v>
                </c:pt>
                <c:pt idx="873">
                  <c:v>4.8300015424257686E-2</c:v>
                </c:pt>
                <c:pt idx="874">
                  <c:v>4.8300015424257686E-2</c:v>
                </c:pt>
                <c:pt idx="875">
                  <c:v>4.8300015424257686E-2</c:v>
                </c:pt>
                <c:pt idx="876">
                  <c:v>4.8300015424257686E-2</c:v>
                </c:pt>
                <c:pt idx="877">
                  <c:v>4.8300015424257686E-2</c:v>
                </c:pt>
                <c:pt idx="878">
                  <c:v>4.8300015424257686E-2</c:v>
                </c:pt>
                <c:pt idx="879">
                  <c:v>4.8300015424257686E-2</c:v>
                </c:pt>
                <c:pt idx="880">
                  <c:v>4.8300015424257686E-2</c:v>
                </c:pt>
                <c:pt idx="881">
                  <c:v>4.8300015424257686E-2</c:v>
                </c:pt>
                <c:pt idx="882">
                  <c:v>4.8300015424257686E-2</c:v>
                </c:pt>
                <c:pt idx="883">
                  <c:v>4.8300015424257686E-2</c:v>
                </c:pt>
                <c:pt idx="884">
                  <c:v>4.8300015424257686E-2</c:v>
                </c:pt>
                <c:pt idx="885">
                  <c:v>4.8300015424257686E-2</c:v>
                </c:pt>
                <c:pt idx="886">
                  <c:v>4.8300015424257686E-2</c:v>
                </c:pt>
                <c:pt idx="887">
                  <c:v>4.8300015424257686E-2</c:v>
                </c:pt>
                <c:pt idx="888">
                  <c:v>4.8300015424257686E-2</c:v>
                </c:pt>
                <c:pt idx="889">
                  <c:v>4.8300015424257686E-2</c:v>
                </c:pt>
                <c:pt idx="890">
                  <c:v>4.8300015424257686E-2</c:v>
                </c:pt>
                <c:pt idx="891">
                  <c:v>4.8300015424257686E-2</c:v>
                </c:pt>
                <c:pt idx="892">
                  <c:v>4.8300015424257686E-2</c:v>
                </c:pt>
                <c:pt idx="893">
                  <c:v>4.8300015424257686E-2</c:v>
                </c:pt>
                <c:pt idx="894">
                  <c:v>4.8300015424257686E-2</c:v>
                </c:pt>
                <c:pt idx="895">
                  <c:v>4.8300015424257686E-2</c:v>
                </c:pt>
                <c:pt idx="896">
                  <c:v>4.8300015424257686E-2</c:v>
                </c:pt>
                <c:pt idx="897">
                  <c:v>4.8300015424257686E-2</c:v>
                </c:pt>
                <c:pt idx="898">
                  <c:v>4.8300015424257686E-2</c:v>
                </c:pt>
                <c:pt idx="899">
                  <c:v>4.8300015424257686E-2</c:v>
                </c:pt>
                <c:pt idx="900">
                  <c:v>4.8300015424257686E-2</c:v>
                </c:pt>
                <c:pt idx="901">
                  <c:v>4.8300015424257686E-2</c:v>
                </c:pt>
                <c:pt idx="902">
                  <c:v>4.8300015424257686E-2</c:v>
                </c:pt>
                <c:pt idx="903">
                  <c:v>4.8300015424257686E-2</c:v>
                </c:pt>
                <c:pt idx="904">
                  <c:v>4.8300015424257686E-2</c:v>
                </c:pt>
                <c:pt idx="905">
                  <c:v>4.8300015424257686E-2</c:v>
                </c:pt>
                <c:pt idx="906">
                  <c:v>4.8300015424257686E-2</c:v>
                </c:pt>
                <c:pt idx="907">
                  <c:v>4.8300015424257686E-2</c:v>
                </c:pt>
                <c:pt idx="908">
                  <c:v>4.8300015424257686E-2</c:v>
                </c:pt>
                <c:pt idx="909">
                  <c:v>4.8300015424257686E-2</c:v>
                </c:pt>
                <c:pt idx="910">
                  <c:v>4.8300015424257686E-2</c:v>
                </c:pt>
                <c:pt idx="911">
                  <c:v>4.8300015424257686E-2</c:v>
                </c:pt>
                <c:pt idx="912">
                  <c:v>4.8300015424257686E-2</c:v>
                </c:pt>
                <c:pt idx="913">
                  <c:v>4.8300015424257686E-2</c:v>
                </c:pt>
                <c:pt idx="914">
                  <c:v>4.8300015424257686E-2</c:v>
                </c:pt>
                <c:pt idx="915">
                  <c:v>4.8300015424257686E-2</c:v>
                </c:pt>
                <c:pt idx="916">
                  <c:v>4.8300015424257686E-2</c:v>
                </c:pt>
                <c:pt idx="917">
                  <c:v>4.8300015424257686E-2</c:v>
                </c:pt>
                <c:pt idx="918">
                  <c:v>4.8300015424257686E-2</c:v>
                </c:pt>
                <c:pt idx="919">
                  <c:v>4.8300015424257686E-2</c:v>
                </c:pt>
                <c:pt idx="920">
                  <c:v>4.8300015424257686E-2</c:v>
                </c:pt>
                <c:pt idx="921">
                  <c:v>4.8300015424257686E-2</c:v>
                </c:pt>
                <c:pt idx="922">
                  <c:v>4.8300015424257686E-2</c:v>
                </c:pt>
                <c:pt idx="923">
                  <c:v>4.8300015424257686E-2</c:v>
                </c:pt>
                <c:pt idx="924">
                  <c:v>4.8300015424257686E-2</c:v>
                </c:pt>
                <c:pt idx="925">
                  <c:v>4.8300015424257686E-2</c:v>
                </c:pt>
                <c:pt idx="926">
                  <c:v>4.8300015424257686E-2</c:v>
                </c:pt>
                <c:pt idx="927">
                  <c:v>4.8300015424257686E-2</c:v>
                </c:pt>
                <c:pt idx="928">
                  <c:v>4.8300015424257686E-2</c:v>
                </c:pt>
                <c:pt idx="929">
                  <c:v>4.8300015424257686E-2</c:v>
                </c:pt>
                <c:pt idx="930">
                  <c:v>4.8300015424257686E-2</c:v>
                </c:pt>
                <c:pt idx="931">
                  <c:v>4.8300015424257686E-2</c:v>
                </c:pt>
                <c:pt idx="932">
                  <c:v>4.8300015424257686E-2</c:v>
                </c:pt>
                <c:pt idx="933">
                  <c:v>4.8300015424257686E-2</c:v>
                </c:pt>
                <c:pt idx="934">
                  <c:v>4.8300015424257686E-2</c:v>
                </c:pt>
                <c:pt idx="935">
                  <c:v>4.8300015424257686E-2</c:v>
                </c:pt>
                <c:pt idx="936">
                  <c:v>4.8300015424257686E-2</c:v>
                </c:pt>
                <c:pt idx="937">
                  <c:v>4.8300015424257686E-2</c:v>
                </c:pt>
                <c:pt idx="938">
                  <c:v>4.8300015424257686E-2</c:v>
                </c:pt>
                <c:pt idx="939">
                  <c:v>4.8300015424257686E-2</c:v>
                </c:pt>
                <c:pt idx="940">
                  <c:v>4.8300015424257686E-2</c:v>
                </c:pt>
                <c:pt idx="941">
                  <c:v>4.8300015424257686E-2</c:v>
                </c:pt>
                <c:pt idx="942">
                  <c:v>4.8300015424257686E-2</c:v>
                </c:pt>
                <c:pt idx="943">
                  <c:v>4.8300015424257686E-2</c:v>
                </c:pt>
                <c:pt idx="944">
                  <c:v>4.8300015424257686E-2</c:v>
                </c:pt>
                <c:pt idx="945">
                  <c:v>4.8300015424257686E-2</c:v>
                </c:pt>
                <c:pt idx="946">
                  <c:v>4.8300015424257686E-2</c:v>
                </c:pt>
                <c:pt idx="947">
                  <c:v>4.8300015424257686E-2</c:v>
                </c:pt>
                <c:pt idx="948">
                  <c:v>4.8300015424257686E-2</c:v>
                </c:pt>
                <c:pt idx="949">
                  <c:v>4.8300015424257686E-2</c:v>
                </c:pt>
                <c:pt idx="950">
                  <c:v>4.8300015424257686E-2</c:v>
                </c:pt>
                <c:pt idx="951">
                  <c:v>4.8300015424257686E-2</c:v>
                </c:pt>
                <c:pt idx="952">
                  <c:v>4.8300015424257686E-2</c:v>
                </c:pt>
                <c:pt idx="953">
                  <c:v>4.8300015424257686E-2</c:v>
                </c:pt>
                <c:pt idx="954">
                  <c:v>4.8300015424257686E-2</c:v>
                </c:pt>
                <c:pt idx="955">
                  <c:v>4.8300015424257686E-2</c:v>
                </c:pt>
                <c:pt idx="956">
                  <c:v>4.8300015424257686E-2</c:v>
                </c:pt>
                <c:pt idx="957">
                  <c:v>4.8300015424257686E-2</c:v>
                </c:pt>
                <c:pt idx="958">
                  <c:v>4.8300015424257686E-2</c:v>
                </c:pt>
                <c:pt idx="959">
                  <c:v>4.8300015424257686E-2</c:v>
                </c:pt>
                <c:pt idx="960">
                  <c:v>4.8300015424257686E-2</c:v>
                </c:pt>
                <c:pt idx="961">
                  <c:v>4.8300015424257686E-2</c:v>
                </c:pt>
                <c:pt idx="962">
                  <c:v>4.8300015424257686E-2</c:v>
                </c:pt>
                <c:pt idx="963">
                  <c:v>4.8300015424257686E-2</c:v>
                </c:pt>
                <c:pt idx="964">
                  <c:v>4.8300015424257686E-2</c:v>
                </c:pt>
                <c:pt idx="965">
                  <c:v>4.8300015424257686E-2</c:v>
                </c:pt>
                <c:pt idx="966">
                  <c:v>4.8300015424257686E-2</c:v>
                </c:pt>
                <c:pt idx="967">
                  <c:v>4.8300015424257686E-2</c:v>
                </c:pt>
                <c:pt idx="968">
                  <c:v>4.8300015424257686E-2</c:v>
                </c:pt>
                <c:pt idx="969">
                  <c:v>4.8300015424257686E-2</c:v>
                </c:pt>
                <c:pt idx="970">
                  <c:v>4.8300015424257686E-2</c:v>
                </c:pt>
                <c:pt idx="971">
                  <c:v>4.8300015424257686E-2</c:v>
                </c:pt>
                <c:pt idx="972">
                  <c:v>4.8300015424257686E-2</c:v>
                </c:pt>
                <c:pt idx="973">
                  <c:v>4.8300015424257686E-2</c:v>
                </c:pt>
                <c:pt idx="974">
                  <c:v>4.8300015424257686E-2</c:v>
                </c:pt>
                <c:pt idx="975">
                  <c:v>4.8300015424257686E-2</c:v>
                </c:pt>
                <c:pt idx="976">
                  <c:v>4.8300015424257686E-2</c:v>
                </c:pt>
                <c:pt idx="977">
                  <c:v>4.8300015424257686E-2</c:v>
                </c:pt>
                <c:pt idx="978">
                  <c:v>4.8300015424257686E-2</c:v>
                </c:pt>
                <c:pt idx="979">
                  <c:v>4.8300015424257686E-2</c:v>
                </c:pt>
                <c:pt idx="980">
                  <c:v>4.8300015424257686E-2</c:v>
                </c:pt>
                <c:pt idx="981">
                  <c:v>4.8300015424257686E-2</c:v>
                </c:pt>
                <c:pt idx="982">
                  <c:v>4.8300015424257686E-2</c:v>
                </c:pt>
                <c:pt idx="983">
                  <c:v>4.8300015424257686E-2</c:v>
                </c:pt>
                <c:pt idx="984">
                  <c:v>4.8300015424257686E-2</c:v>
                </c:pt>
                <c:pt idx="985">
                  <c:v>4.8300015424257686E-2</c:v>
                </c:pt>
                <c:pt idx="986">
                  <c:v>4.8300015424257686E-2</c:v>
                </c:pt>
                <c:pt idx="987">
                  <c:v>4.8300015424257686E-2</c:v>
                </c:pt>
                <c:pt idx="988">
                  <c:v>4.8300015424257686E-2</c:v>
                </c:pt>
                <c:pt idx="989">
                  <c:v>4.8300015424257686E-2</c:v>
                </c:pt>
                <c:pt idx="990">
                  <c:v>4.8300015424257686E-2</c:v>
                </c:pt>
                <c:pt idx="991">
                  <c:v>4.8300015424257686E-2</c:v>
                </c:pt>
                <c:pt idx="992">
                  <c:v>4.8300015424257686E-2</c:v>
                </c:pt>
                <c:pt idx="993">
                  <c:v>4.8300015424257686E-2</c:v>
                </c:pt>
                <c:pt idx="994">
                  <c:v>4.8300015424257686E-2</c:v>
                </c:pt>
                <c:pt idx="995">
                  <c:v>4.8300015424257686E-2</c:v>
                </c:pt>
                <c:pt idx="996">
                  <c:v>4.8300015424257686E-2</c:v>
                </c:pt>
                <c:pt idx="997">
                  <c:v>4.8300015424257686E-2</c:v>
                </c:pt>
                <c:pt idx="998">
                  <c:v>4.8300015424257686E-2</c:v>
                </c:pt>
                <c:pt idx="999">
                  <c:v>4.8300015424257686E-2</c:v>
                </c:pt>
                <c:pt idx="1000">
                  <c:v>4.8300015424257686E-2</c:v>
                </c:pt>
                <c:pt idx="1001">
                  <c:v>4.8300015424257686E-2</c:v>
                </c:pt>
                <c:pt idx="1002">
                  <c:v>4.8300015424257686E-2</c:v>
                </c:pt>
                <c:pt idx="1003">
                  <c:v>4.8300015424257686E-2</c:v>
                </c:pt>
                <c:pt idx="1004">
                  <c:v>4.8300015424257686E-2</c:v>
                </c:pt>
                <c:pt idx="1005">
                  <c:v>4.8300015424257686E-2</c:v>
                </c:pt>
                <c:pt idx="1006">
                  <c:v>4.8300015424257686E-2</c:v>
                </c:pt>
                <c:pt idx="1007">
                  <c:v>4.8300015424257686E-2</c:v>
                </c:pt>
                <c:pt idx="1008">
                  <c:v>4.8300015424257686E-2</c:v>
                </c:pt>
                <c:pt idx="1009">
                  <c:v>4.8300015424257686E-2</c:v>
                </c:pt>
                <c:pt idx="1010">
                  <c:v>4.8300015424257686E-2</c:v>
                </c:pt>
                <c:pt idx="1011">
                  <c:v>4.8300015424257686E-2</c:v>
                </c:pt>
                <c:pt idx="1012">
                  <c:v>4.8300015424257686E-2</c:v>
                </c:pt>
                <c:pt idx="1013">
                  <c:v>4.8300015424257686E-2</c:v>
                </c:pt>
                <c:pt idx="1014">
                  <c:v>4.8300015424257686E-2</c:v>
                </c:pt>
                <c:pt idx="1015">
                  <c:v>4.8300015424257686E-2</c:v>
                </c:pt>
                <c:pt idx="1016">
                  <c:v>4.8300015424257686E-2</c:v>
                </c:pt>
                <c:pt idx="1017">
                  <c:v>4.8300015424257686E-2</c:v>
                </c:pt>
                <c:pt idx="1018">
                  <c:v>4.8300015424257686E-2</c:v>
                </c:pt>
                <c:pt idx="1019">
                  <c:v>4.8300015424257686E-2</c:v>
                </c:pt>
                <c:pt idx="1020">
                  <c:v>4.8300015424257686E-2</c:v>
                </c:pt>
                <c:pt idx="1021">
                  <c:v>4.8300015424257686E-2</c:v>
                </c:pt>
                <c:pt idx="1022">
                  <c:v>4.8300015424257686E-2</c:v>
                </c:pt>
                <c:pt idx="1023">
                  <c:v>4.8300015424257686E-2</c:v>
                </c:pt>
                <c:pt idx="1024">
                  <c:v>4.8300015424257686E-2</c:v>
                </c:pt>
                <c:pt idx="1025">
                  <c:v>4.8300015424257686E-2</c:v>
                </c:pt>
                <c:pt idx="1026">
                  <c:v>4.8300015424257686E-2</c:v>
                </c:pt>
                <c:pt idx="1027">
                  <c:v>4.8300015424257686E-2</c:v>
                </c:pt>
                <c:pt idx="1028">
                  <c:v>4.8300015424257686E-2</c:v>
                </c:pt>
                <c:pt idx="1029">
                  <c:v>4.8300015424257686E-2</c:v>
                </c:pt>
                <c:pt idx="1030">
                  <c:v>4.8300015424257686E-2</c:v>
                </c:pt>
                <c:pt idx="1031">
                  <c:v>4.8300015424257686E-2</c:v>
                </c:pt>
                <c:pt idx="1032">
                  <c:v>4.8300015424257686E-2</c:v>
                </c:pt>
                <c:pt idx="1033">
                  <c:v>4.8300015424257686E-2</c:v>
                </c:pt>
                <c:pt idx="1034">
                  <c:v>4.8300015424257686E-2</c:v>
                </c:pt>
                <c:pt idx="1035">
                  <c:v>4.8300015424257686E-2</c:v>
                </c:pt>
                <c:pt idx="1036">
                  <c:v>4.8300015424257686E-2</c:v>
                </c:pt>
                <c:pt idx="1037">
                  <c:v>4.8300015424257686E-2</c:v>
                </c:pt>
                <c:pt idx="1038">
                  <c:v>4.8300015424257686E-2</c:v>
                </c:pt>
                <c:pt idx="1039">
                  <c:v>4.8300015424257686E-2</c:v>
                </c:pt>
                <c:pt idx="1040">
                  <c:v>4.8300015424257686E-2</c:v>
                </c:pt>
                <c:pt idx="1041">
                  <c:v>4.8300015424257686E-2</c:v>
                </c:pt>
                <c:pt idx="1042">
                  <c:v>4.8300015424257686E-2</c:v>
                </c:pt>
                <c:pt idx="1043">
                  <c:v>4.8300015424257686E-2</c:v>
                </c:pt>
                <c:pt idx="1044">
                  <c:v>4.8300015424257686E-2</c:v>
                </c:pt>
                <c:pt idx="1045">
                  <c:v>4.8300015424257686E-2</c:v>
                </c:pt>
                <c:pt idx="1046">
                  <c:v>4.8300015424257686E-2</c:v>
                </c:pt>
                <c:pt idx="1047">
                  <c:v>4.8300015424257686E-2</c:v>
                </c:pt>
                <c:pt idx="1048">
                  <c:v>4.8300015424257686E-2</c:v>
                </c:pt>
                <c:pt idx="1049">
                  <c:v>4.8300015424257686E-2</c:v>
                </c:pt>
                <c:pt idx="1050">
                  <c:v>4.8300015424257686E-2</c:v>
                </c:pt>
                <c:pt idx="1051">
                  <c:v>4.8300015424257686E-2</c:v>
                </c:pt>
                <c:pt idx="1052">
                  <c:v>4.8300015424257686E-2</c:v>
                </c:pt>
                <c:pt idx="1053">
                  <c:v>4.8300015424257686E-2</c:v>
                </c:pt>
                <c:pt idx="1054">
                  <c:v>4.8300015424257686E-2</c:v>
                </c:pt>
                <c:pt idx="1055">
                  <c:v>4.8300015424257686E-2</c:v>
                </c:pt>
                <c:pt idx="1056">
                  <c:v>4.8300015424257686E-2</c:v>
                </c:pt>
                <c:pt idx="1057">
                  <c:v>4.8300015424257686E-2</c:v>
                </c:pt>
                <c:pt idx="1058">
                  <c:v>4.8300015424257686E-2</c:v>
                </c:pt>
                <c:pt idx="1059">
                  <c:v>4.8300015424257686E-2</c:v>
                </c:pt>
                <c:pt idx="1060">
                  <c:v>4.8300015424257686E-2</c:v>
                </c:pt>
                <c:pt idx="1061">
                  <c:v>4.8300015424257686E-2</c:v>
                </c:pt>
                <c:pt idx="1062">
                  <c:v>4.8300015424257686E-2</c:v>
                </c:pt>
                <c:pt idx="1063">
                  <c:v>4.8300015424257686E-2</c:v>
                </c:pt>
                <c:pt idx="1064">
                  <c:v>4.8300015424257686E-2</c:v>
                </c:pt>
                <c:pt idx="1065">
                  <c:v>4.8300015424257686E-2</c:v>
                </c:pt>
                <c:pt idx="1066">
                  <c:v>4.8300015424257686E-2</c:v>
                </c:pt>
                <c:pt idx="1067">
                  <c:v>4.8300015424257686E-2</c:v>
                </c:pt>
                <c:pt idx="1068">
                  <c:v>4.8300015424257686E-2</c:v>
                </c:pt>
                <c:pt idx="1069">
                  <c:v>4.8300015424257686E-2</c:v>
                </c:pt>
                <c:pt idx="1070">
                  <c:v>4.8300015424257686E-2</c:v>
                </c:pt>
                <c:pt idx="1071">
                  <c:v>4.8300015424257686E-2</c:v>
                </c:pt>
                <c:pt idx="1072">
                  <c:v>4.8300015424257686E-2</c:v>
                </c:pt>
                <c:pt idx="1073">
                  <c:v>4.8300015424257686E-2</c:v>
                </c:pt>
                <c:pt idx="1074">
                  <c:v>4.8300015424257686E-2</c:v>
                </c:pt>
                <c:pt idx="1075">
                  <c:v>4.8300015424257686E-2</c:v>
                </c:pt>
                <c:pt idx="1076">
                  <c:v>4.8300015424257686E-2</c:v>
                </c:pt>
                <c:pt idx="1077">
                  <c:v>4.8300015424257686E-2</c:v>
                </c:pt>
                <c:pt idx="1078">
                  <c:v>4.8300015424257686E-2</c:v>
                </c:pt>
                <c:pt idx="1079">
                  <c:v>4.8300015424257686E-2</c:v>
                </c:pt>
                <c:pt idx="1080">
                  <c:v>4.8300015424257686E-2</c:v>
                </c:pt>
                <c:pt idx="1081">
                  <c:v>4.8300015424257686E-2</c:v>
                </c:pt>
                <c:pt idx="1082">
                  <c:v>4.8300015424257686E-2</c:v>
                </c:pt>
                <c:pt idx="1083">
                  <c:v>4.8300015424257686E-2</c:v>
                </c:pt>
                <c:pt idx="1084">
                  <c:v>4.8300015424257686E-2</c:v>
                </c:pt>
                <c:pt idx="1085">
                  <c:v>4.8300015424257686E-2</c:v>
                </c:pt>
                <c:pt idx="1086">
                  <c:v>4.8300015424257686E-2</c:v>
                </c:pt>
                <c:pt idx="1087">
                  <c:v>4.8300015424257686E-2</c:v>
                </c:pt>
                <c:pt idx="1088">
                  <c:v>4.8300015424257686E-2</c:v>
                </c:pt>
                <c:pt idx="1089">
                  <c:v>4.8300015424257686E-2</c:v>
                </c:pt>
                <c:pt idx="1090">
                  <c:v>4.8300015424257686E-2</c:v>
                </c:pt>
                <c:pt idx="1091">
                  <c:v>4.8300015424257686E-2</c:v>
                </c:pt>
                <c:pt idx="1092">
                  <c:v>4.8300015424257686E-2</c:v>
                </c:pt>
                <c:pt idx="1093">
                  <c:v>4.8300015424257686E-2</c:v>
                </c:pt>
                <c:pt idx="1094">
                  <c:v>4.8300015424257686E-2</c:v>
                </c:pt>
                <c:pt idx="1095">
                  <c:v>4.8300015424257686E-2</c:v>
                </c:pt>
                <c:pt idx="1096">
                  <c:v>4.8300015424257686E-2</c:v>
                </c:pt>
                <c:pt idx="1097">
                  <c:v>4.8300015424257686E-2</c:v>
                </c:pt>
                <c:pt idx="1098">
                  <c:v>4.8300015424257686E-2</c:v>
                </c:pt>
                <c:pt idx="1099">
                  <c:v>4.8300015424257686E-2</c:v>
                </c:pt>
                <c:pt idx="1100">
                  <c:v>4.8300015424257686E-2</c:v>
                </c:pt>
                <c:pt idx="1101">
                  <c:v>4.8300015424257686E-2</c:v>
                </c:pt>
                <c:pt idx="1102">
                  <c:v>4.8300015424257686E-2</c:v>
                </c:pt>
                <c:pt idx="1103">
                  <c:v>4.8300015424257686E-2</c:v>
                </c:pt>
                <c:pt idx="1104">
                  <c:v>4.8300015424257686E-2</c:v>
                </c:pt>
                <c:pt idx="1105">
                  <c:v>4.8300015424257686E-2</c:v>
                </c:pt>
                <c:pt idx="1106">
                  <c:v>4.8300015424257686E-2</c:v>
                </c:pt>
                <c:pt idx="1107">
                  <c:v>4.8300015424257686E-2</c:v>
                </c:pt>
                <c:pt idx="1108">
                  <c:v>4.8300015424257686E-2</c:v>
                </c:pt>
                <c:pt idx="1109">
                  <c:v>4.8300015424257686E-2</c:v>
                </c:pt>
                <c:pt idx="1110">
                  <c:v>4.8300015424257686E-2</c:v>
                </c:pt>
                <c:pt idx="1111">
                  <c:v>4.8300015424257686E-2</c:v>
                </c:pt>
                <c:pt idx="1112">
                  <c:v>4.8300015424257686E-2</c:v>
                </c:pt>
                <c:pt idx="1113">
                  <c:v>4.8300015424257686E-2</c:v>
                </c:pt>
                <c:pt idx="1114">
                  <c:v>4.8300015424257686E-2</c:v>
                </c:pt>
                <c:pt idx="1115">
                  <c:v>4.8300015424257686E-2</c:v>
                </c:pt>
                <c:pt idx="1116">
                  <c:v>4.8300015424257686E-2</c:v>
                </c:pt>
                <c:pt idx="1117">
                  <c:v>4.8300015424257686E-2</c:v>
                </c:pt>
                <c:pt idx="1118">
                  <c:v>4.8300015424257686E-2</c:v>
                </c:pt>
                <c:pt idx="1119">
                  <c:v>4.8300015424257686E-2</c:v>
                </c:pt>
                <c:pt idx="1120">
                  <c:v>4.8300015424257686E-2</c:v>
                </c:pt>
                <c:pt idx="1121">
                  <c:v>4.8300015424257686E-2</c:v>
                </c:pt>
                <c:pt idx="1122">
                  <c:v>4.8300015424257686E-2</c:v>
                </c:pt>
                <c:pt idx="1123">
                  <c:v>4.8300015424257686E-2</c:v>
                </c:pt>
                <c:pt idx="1124">
                  <c:v>4.8300015424257686E-2</c:v>
                </c:pt>
                <c:pt idx="1125">
                  <c:v>4.8300015424257686E-2</c:v>
                </c:pt>
                <c:pt idx="1126">
                  <c:v>4.8300015424257686E-2</c:v>
                </c:pt>
                <c:pt idx="1127">
                  <c:v>4.8300015424257686E-2</c:v>
                </c:pt>
                <c:pt idx="1128">
                  <c:v>4.8300015424257686E-2</c:v>
                </c:pt>
                <c:pt idx="1129">
                  <c:v>4.8300015424257686E-2</c:v>
                </c:pt>
                <c:pt idx="1130">
                  <c:v>4.8300015424257686E-2</c:v>
                </c:pt>
                <c:pt idx="1131">
                  <c:v>4.8300015424257686E-2</c:v>
                </c:pt>
                <c:pt idx="1132">
                  <c:v>4.8300015424257686E-2</c:v>
                </c:pt>
                <c:pt idx="1133">
                  <c:v>4.8300015424257686E-2</c:v>
                </c:pt>
                <c:pt idx="1134">
                  <c:v>4.8300015424257686E-2</c:v>
                </c:pt>
                <c:pt idx="1135">
                  <c:v>4.8300015424257686E-2</c:v>
                </c:pt>
                <c:pt idx="1136">
                  <c:v>4.8300015424257686E-2</c:v>
                </c:pt>
                <c:pt idx="1137">
                  <c:v>4.8300015424257686E-2</c:v>
                </c:pt>
                <c:pt idx="1138">
                  <c:v>4.8300015424257686E-2</c:v>
                </c:pt>
                <c:pt idx="1139">
                  <c:v>4.8300015424257686E-2</c:v>
                </c:pt>
                <c:pt idx="1140">
                  <c:v>4.8300015424257686E-2</c:v>
                </c:pt>
                <c:pt idx="1141">
                  <c:v>4.8300015424257686E-2</c:v>
                </c:pt>
                <c:pt idx="1142">
                  <c:v>4.8300015424257686E-2</c:v>
                </c:pt>
                <c:pt idx="1143">
                  <c:v>4.8300015424257686E-2</c:v>
                </c:pt>
                <c:pt idx="1144">
                  <c:v>4.8300015424257686E-2</c:v>
                </c:pt>
                <c:pt idx="1145">
                  <c:v>4.8300015424257686E-2</c:v>
                </c:pt>
                <c:pt idx="1146">
                  <c:v>4.8300015424257686E-2</c:v>
                </c:pt>
                <c:pt idx="1147">
                  <c:v>4.8300015424257686E-2</c:v>
                </c:pt>
                <c:pt idx="1148">
                  <c:v>4.8300015424257686E-2</c:v>
                </c:pt>
                <c:pt idx="1149">
                  <c:v>4.8300015424257686E-2</c:v>
                </c:pt>
                <c:pt idx="1150">
                  <c:v>4.8300015424257686E-2</c:v>
                </c:pt>
                <c:pt idx="1151">
                  <c:v>4.8300015424257686E-2</c:v>
                </c:pt>
                <c:pt idx="1152">
                  <c:v>4.8300015424257686E-2</c:v>
                </c:pt>
                <c:pt idx="1153">
                  <c:v>4.8300015424257686E-2</c:v>
                </c:pt>
                <c:pt idx="1154">
                  <c:v>4.8300015424257686E-2</c:v>
                </c:pt>
                <c:pt idx="1155">
                  <c:v>4.8300015424257686E-2</c:v>
                </c:pt>
                <c:pt idx="1156">
                  <c:v>4.8300015424257686E-2</c:v>
                </c:pt>
                <c:pt idx="1157">
                  <c:v>4.8300015424257686E-2</c:v>
                </c:pt>
                <c:pt idx="1158">
                  <c:v>4.8300015424257686E-2</c:v>
                </c:pt>
                <c:pt idx="1159">
                  <c:v>4.8300015424257686E-2</c:v>
                </c:pt>
                <c:pt idx="1160">
                  <c:v>4.8300015424257686E-2</c:v>
                </c:pt>
                <c:pt idx="1161">
                  <c:v>4.8300015424257686E-2</c:v>
                </c:pt>
                <c:pt idx="1162">
                  <c:v>4.8300015424257686E-2</c:v>
                </c:pt>
                <c:pt idx="1163">
                  <c:v>4.8300015424257686E-2</c:v>
                </c:pt>
                <c:pt idx="1164">
                  <c:v>4.8300015424257686E-2</c:v>
                </c:pt>
                <c:pt idx="1165">
                  <c:v>4.8300015424257686E-2</c:v>
                </c:pt>
                <c:pt idx="1166">
                  <c:v>4.8300015424257686E-2</c:v>
                </c:pt>
                <c:pt idx="1167">
                  <c:v>4.8300015424257686E-2</c:v>
                </c:pt>
                <c:pt idx="1168">
                  <c:v>4.8300015424257686E-2</c:v>
                </c:pt>
                <c:pt idx="1169">
                  <c:v>4.8300015424257686E-2</c:v>
                </c:pt>
                <c:pt idx="1170">
                  <c:v>4.8300015424257686E-2</c:v>
                </c:pt>
                <c:pt idx="1171">
                  <c:v>4.8300015424257686E-2</c:v>
                </c:pt>
                <c:pt idx="1172">
                  <c:v>4.8300015424257686E-2</c:v>
                </c:pt>
                <c:pt idx="1173">
                  <c:v>4.8300015424257686E-2</c:v>
                </c:pt>
                <c:pt idx="1174">
                  <c:v>4.8300015424257686E-2</c:v>
                </c:pt>
                <c:pt idx="1175">
                  <c:v>4.8300015424257686E-2</c:v>
                </c:pt>
                <c:pt idx="1176">
                  <c:v>4.8300015424257686E-2</c:v>
                </c:pt>
                <c:pt idx="1177">
                  <c:v>4.8300015424257686E-2</c:v>
                </c:pt>
                <c:pt idx="1178">
                  <c:v>4.8300015424257686E-2</c:v>
                </c:pt>
                <c:pt idx="1179">
                  <c:v>4.8300015424257686E-2</c:v>
                </c:pt>
                <c:pt idx="1180">
                  <c:v>4.8300015424257686E-2</c:v>
                </c:pt>
                <c:pt idx="1181">
                  <c:v>4.8300015424257686E-2</c:v>
                </c:pt>
                <c:pt idx="1182">
                  <c:v>4.8300015424257686E-2</c:v>
                </c:pt>
                <c:pt idx="1183">
                  <c:v>4.8300015424257686E-2</c:v>
                </c:pt>
                <c:pt idx="1184">
                  <c:v>4.8300015424257686E-2</c:v>
                </c:pt>
                <c:pt idx="1185">
                  <c:v>4.8300015424257686E-2</c:v>
                </c:pt>
                <c:pt idx="1186">
                  <c:v>4.8300015424257686E-2</c:v>
                </c:pt>
                <c:pt idx="1187">
                  <c:v>4.8300015424257686E-2</c:v>
                </c:pt>
                <c:pt idx="1188">
                  <c:v>4.8300015424257686E-2</c:v>
                </c:pt>
                <c:pt idx="1189">
                  <c:v>4.8300015424257686E-2</c:v>
                </c:pt>
                <c:pt idx="1190">
                  <c:v>4.8300015424257686E-2</c:v>
                </c:pt>
                <c:pt idx="1191">
                  <c:v>4.8300015424257686E-2</c:v>
                </c:pt>
                <c:pt idx="1192">
                  <c:v>4.8300015424257686E-2</c:v>
                </c:pt>
                <c:pt idx="1193">
                  <c:v>4.8300015424257686E-2</c:v>
                </c:pt>
                <c:pt idx="1194">
                  <c:v>4.8300015424257686E-2</c:v>
                </c:pt>
                <c:pt idx="1195">
                  <c:v>5.1821752370718156E-2</c:v>
                </c:pt>
                <c:pt idx="1196">
                  <c:v>5.1821752370718156E-2</c:v>
                </c:pt>
                <c:pt idx="1197">
                  <c:v>5.1821752370718156E-2</c:v>
                </c:pt>
                <c:pt idx="1198">
                  <c:v>5.1821752370718156E-2</c:v>
                </c:pt>
                <c:pt idx="1199">
                  <c:v>5.1821752370718156E-2</c:v>
                </c:pt>
                <c:pt idx="1200">
                  <c:v>5.1821752370718156E-2</c:v>
                </c:pt>
                <c:pt idx="1201">
                  <c:v>5.1821752370718156E-2</c:v>
                </c:pt>
                <c:pt idx="1202">
                  <c:v>5.1821752370718156E-2</c:v>
                </c:pt>
                <c:pt idx="1203">
                  <c:v>5.1821752370718156E-2</c:v>
                </c:pt>
                <c:pt idx="1204">
                  <c:v>5.1821752370718156E-2</c:v>
                </c:pt>
                <c:pt idx="1205">
                  <c:v>5.1821752370718156E-2</c:v>
                </c:pt>
                <c:pt idx="1206">
                  <c:v>5.1821752370718156E-2</c:v>
                </c:pt>
                <c:pt idx="1207">
                  <c:v>5.1821752370718156E-2</c:v>
                </c:pt>
                <c:pt idx="1208">
                  <c:v>5.1821752370718156E-2</c:v>
                </c:pt>
                <c:pt idx="1209">
                  <c:v>5.1821752370718156E-2</c:v>
                </c:pt>
                <c:pt idx="1210">
                  <c:v>5.1821752370718156E-2</c:v>
                </c:pt>
                <c:pt idx="1211">
                  <c:v>5.1821752370718156E-2</c:v>
                </c:pt>
                <c:pt idx="1212">
                  <c:v>5.1821752370718156E-2</c:v>
                </c:pt>
                <c:pt idx="1213">
                  <c:v>5.1821752370718156E-2</c:v>
                </c:pt>
                <c:pt idx="1214">
                  <c:v>5.1821752370718156E-2</c:v>
                </c:pt>
                <c:pt idx="1215">
                  <c:v>5.1821752370718156E-2</c:v>
                </c:pt>
                <c:pt idx="1216">
                  <c:v>5.1821752370718156E-2</c:v>
                </c:pt>
                <c:pt idx="1217">
                  <c:v>5.1821752370718156E-2</c:v>
                </c:pt>
                <c:pt idx="1218">
                  <c:v>5.1821752370718156E-2</c:v>
                </c:pt>
                <c:pt idx="1219">
                  <c:v>5.1821752370718156E-2</c:v>
                </c:pt>
                <c:pt idx="1220">
                  <c:v>5.1821752370718156E-2</c:v>
                </c:pt>
                <c:pt idx="1221">
                  <c:v>5.1821752370718156E-2</c:v>
                </c:pt>
                <c:pt idx="1222">
                  <c:v>5.1821752370718156E-2</c:v>
                </c:pt>
                <c:pt idx="1223">
                  <c:v>5.1821752370718156E-2</c:v>
                </c:pt>
                <c:pt idx="1224">
                  <c:v>5.1821752370718156E-2</c:v>
                </c:pt>
                <c:pt idx="1225">
                  <c:v>5.1821752370718156E-2</c:v>
                </c:pt>
                <c:pt idx="1226">
                  <c:v>5.1821752370718156E-2</c:v>
                </c:pt>
                <c:pt idx="1227">
                  <c:v>5.1821752370718156E-2</c:v>
                </c:pt>
                <c:pt idx="1228">
                  <c:v>5.1821752370718156E-2</c:v>
                </c:pt>
                <c:pt idx="1229">
                  <c:v>5.1821752370718156E-2</c:v>
                </c:pt>
                <c:pt idx="1230">
                  <c:v>5.1821752370718156E-2</c:v>
                </c:pt>
                <c:pt idx="1231">
                  <c:v>5.1821752370718156E-2</c:v>
                </c:pt>
                <c:pt idx="1232">
                  <c:v>5.1821752370718156E-2</c:v>
                </c:pt>
                <c:pt idx="1233">
                  <c:v>5.1821752370718156E-2</c:v>
                </c:pt>
                <c:pt idx="1234">
                  <c:v>5.1821752370718156E-2</c:v>
                </c:pt>
                <c:pt idx="1235">
                  <c:v>5.1821752370718156E-2</c:v>
                </c:pt>
                <c:pt idx="1236">
                  <c:v>5.1821752370718156E-2</c:v>
                </c:pt>
                <c:pt idx="1237">
                  <c:v>5.1821752370718156E-2</c:v>
                </c:pt>
                <c:pt idx="1238">
                  <c:v>5.1821752370718156E-2</c:v>
                </c:pt>
                <c:pt idx="1239">
                  <c:v>5.1821752370718156E-2</c:v>
                </c:pt>
                <c:pt idx="1240">
                  <c:v>5.1821752370718156E-2</c:v>
                </c:pt>
                <c:pt idx="1241">
                  <c:v>5.1821752370718156E-2</c:v>
                </c:pt>
                <c:pt idx="1242">
                  <c:v>5.1821752370718156E-2</c:v>
                </c:pt>
                <c:pt idx="1243">
                  <c:v>5.1821752370718156E-2</c:v>
                </c:pt>
                <c:pt idx="1244">
                  <c:v>5.1821752370718156E-2</c:v>
                </c:pt>
                <c:pt idx="1245">
                  <c:v>5.1821752370718156E-2</c:v>
                </c:pt>
                <c:pt idx="1246">
                  <c:v>5.1821752370718156E-2</c:v>
                </c:pt>
                <c:pt idx="1247">
                  <c:v>5.1821752370718156E-2</c:v>
                </c:pt>
                <c:pt idx="1248">
                  <c:v>5.1821752370718156E-2</c:v>
                </c:pt>
                <c:pt idx="1249">
                  <c:v>5.1821752370718156E-2</c:v>
                </c:pt>
                <c:pt idx="1250">
                  <c:v>5.1821752370718156E-2</c:v>
                </c:pt>
                <c:pt idx="1251">
                  <c:v>5.1821752370718156E-2</c:v>
                </c:pt>
                <c:pt idx="1252">
                  <c:v>5.1821752370718156E-2</c:v>
                </c:pt>
                <c:pt idx="1253">
                  <c:v>5.1821752370718156E-2</c:v>
                </c:pt>
                <c:pt idx="1254">
                  <c:v>5.1821752370718156E-2</c:v>
                </c:pt>
                <c:pt idx="1255">
                  <c:v>5.1821752370718156E-2</c:v>
                </c:pt>
                <c:pt idx="1256">
                  <c:v>5.1821752370718156E-2</c:v>
                </c:pt>
                <c:pt idx="1257">
                  <c:v>5.1821752370718156E-2</c:v>
                </c:pt>
                <c:pt idx="1258">
                  <c:v>5.1821752370718156E-2</c:v>
                </c:pt>
                <c:pt idx="1259">
                  <c:v>5.1821752370718156E-2</c:v>
                </c:pt>
                <c:pt idx="1260">
                  <c:v>5.1821752370718156E-2</c:v>
                </c:pt>
                <c:pt idx="1261">
                  <c:v>5.1821752370718156E-2</c:v>
                </c:pt>
                <c:pt idx="1262">
                  <c:v>5.1821752370718156E-2</c:v>
                </c:pt>
                <c:pt idx="1263">
                  <c:v>5.1821752370718156E-2</c:v>
                </c:pt>
                <c:pt idx="1264">
                  <c:v>5.1821752370718156E-2</c:v>
                </c:pt>
                <c:pt idx="1265">
                  <c:v>5.1821752370718156E-2</c:v>
                </c:pt>
                <c:pt idx="1266">
                  <c:v>5.1821752370718156E-2</c:v>
                </c:pt>
                <c:pt idx="1267">
                  <c:v>5.1821752370718156E-2</c:v>
                </c:pt>
                <c:pt idx="1268">
                  <c:v>5.1821752370718156E-2</c:v>
                </c:pt>
                <c:pt idx="1269">
                  <c:v>5.1821752370718156E-2</c:v>
                </c:pt>
                <c:pt idx="1270">
                  <c:v>5.1821752370718156E-2</c:v>
                </c:pt>
                <c:pt idx="1271">
                  <c:v>5.1821752370718156E-2</c:v>
                </c:pt>
                <c:pt idx="1272">
                  <c:v>5.1821752370718156E-2</c:v>
                </c:pt>
                <c:pt idx="1273">
                  <c:v>5.1821752370718156E-2</c:v>
                </c:pt>
                <c:pt idx="1274">
                  <c:v>5.1821752370718156E-2</c:v>
                </c:pt>
                <c:pt idx="1275">
                  <c:v>5.1821752370718156E-2</c:v>
                </c:pt>
                <c:pt idx="1276">
                  <c:v>5.1821752370718156E-2</c:v>
                </c:pt>
                <c:pt idx="1277">
                  <c:v>5.1821752370718156E-2</c:v>
                </c:pt>
                <c:pt idx="1278">
                  <c:v>5.1821752370718156E-2</c:v>
                </c:pt>
                <c:pt idx="1279">
                  <c:v>5.1821752370718156E-2</c:v>
                </c:pt>
                <c:pt idx="1280">
                  <c:v>5.1821752370718156E-2</c:v>
                </c:pt>
                <c:pt idx="1281">
                  <c:v>5.1821752370718156E-2</c:v>
                </c:pt>
                <c:pt idx="1282">
                  <c:v>5.1821752370718156E-2</c:v>
                </c:pt>
                <c:pt idx="1283">
                  <c:v>5.1821752370718156E-2</c:v>
                </c:pt>
                <c:pt idx="1284">
                  <c:v>5.1821752370718156E-2</c:v>
                </c:pt>
                <c:pt idx="1285">
                  <c:v>5.1821752370718156E-2</c:v>
                </c:pt>
                <c:pt idx="1286">
                  <c:v>5.1821752370718156E-2</c:v>
                </c:pt>
                <c:pt idx="1287">
                  <c:v>5.1821752370718156E-2</c:v>
                </c:pt>
                <c:pt idx="1288">
                  <c:v>5.1821752370718156E-2</c:v>
                </c:pt>
                <c:pt idx="1289">
                  <c:v>5.1821752370718156E-2</c:v>
                </c:pt>
                <c:pt idx="1290">
                  <c:v>5.1821752370718156E-2</c:v>
                </c:pt>
                <c:pt idx="1291">
                  <c:v>5.1821752370718156E-2</c:v>
                </c:pt>
                <c:pt idx="1292">
                  <c:v>5.1821752370718156E-2</c:v>
                </c:pt>
                <c:pt idx="1293">
                  <c:v>5.1821752370718156E-2</c:v>
                </c:pt>
                <c:pt idx="1294">
                  <c:v>5.1821752370718156E-2</c:v>
                </c:pt>
                <c:pt idx="1295">
                  <c:v>5.1821752370718156E-2</c:v>
                </c:pt>
                <c:pt idx="1296">
                  <c:v>5.1821752370718156E-2</c:v>
                </c:pt>
                <c:pt idx="1297">
                  <c:v>5.1821752370718156E-2</c:v>
                </c:pt>
                <c:pt idx="1298">
                  <c:v>5.1821752370718156E-2</c:v>
                </c:pt>
                <c:pt idx="1299">
                  <c:v>5.1821752370718156E-2</c:v>
                </c:pt>
                <c:pt idx="1300">
                  <c:v>5.1821752370718156E-2</c:v>
                </c:pt>
                <c:pt idx="1301">
                  <c:v>5.1821752370718156E-2</c:v>
                </c:pt>
                <c:pt idx="1302">
                  <c:v>5.1821752370718156E-2</c:v>
                </c:pt>
                <c:pt idx="1303">
                  <c:v>5.1821752370718156E-2</c:v>
                </c:pt>
                <c:pt idx="1304">
                  <c:v>5.1821752370718156E-2</c:v>
                </c:pt>
                <c:pt idx="1305">
                  <c:v>5.1821752370718156E-2</c:v>
                </c:pt>
                <c:pt idx="1306">
                  <c:v>5.1821752370718156E-2</c:v>
                </c:pt>
                <c:pt idx="1307">
                  <c:v>5.1821752370718156E-2</c:v>
                </c:pt>
                <c:pt idx="1308">
                  <c:v>5.1821752370718156E-2</c:v>
                </c:pt>
                <c:pt idx="1309">
                  <c:v>5.1821752370718156E-2</c:v>
                </c:pt>
                <c:pt idx="1310">
                  <c:v>5.1821752370718156E-2</c:v>
                </c:pt>
                <c:pt idx="1311">
                  <c:v>5.1821752370718156E-2</c:v>
                </c:pt>
                <c:pt idx="1312">
                  <c:v>5.1821752370718156E-2</c:v>
                </c:pt>
                <c:pt idx="1313">
                  <c:v>5.1821752370718156E-2</c:v>
                </c:pt>
                <c:pt idx="1314">
                  <c:v>5.1821752370718156E-2</c:v>
                </c:pt>
                <c:pt idx="1315">
                  <c:v>5.1821752370718156E-2</c:v>
                </c:pt>
                <c:pt idx="1316">
                  <c:v>5.1821752370718156E-2</c:v>
                </c:pt>
                <c:pt idx="1317">
                  <c:v>5.1821752370718156E-2</c:v>
                </c:pt>
                <c:pt idx="1318">
                  <c:v>5.1821752370718156E-2</c:v>
                </c:pt>
                <c:pt idx="1319">
                  <c:v>5.1821752370718156E-2</c:v>
                </c:pt>
                <c:pt idx="1320">
                  <c:v>5.1821752370718156E-2</c:v>
                </c:pt>
                <c:pt idx="1321">
                  <c:v>5.1821752370718156E-2</c:v>
                </c:pt>
                <c:pt idx="1322">
                  <c:v>5.1821752370718156E-2</c:v>
                </c:pt>
                <c:pt idx="1323">
                  <c:v>5.1821752370718156E-2</c:v>
                </c:pt>
                <c:pt idx="1324">
                  <c:v>5.1821752370718156E-2</c:v>
                </c:pt>
                <c:pt idx="1325">
                  <c:v>5.1821752370718156E-2</c:v>
                </c:pt>
                <c:pt idx="1326">
                  <c:v>5.1821752370718156E-2</c:v>
                </c:pt>
                <c:pt idx="1327">
                  <c:v>5.1821752370718156E-2</c:v>
                </c:pt>
                <c:pt idx="1328">
                  <c:v>5.1821752370718156E-2</c:v>
                </c:pt>
                <c:pt idx="1329">
                  <c:v>5.1821752370718156E-2</c:v>
                </c:pt>
                <c:pt idx="1330">
                  <c:v>5.1821752370718156E-2</c:v>
                </c:pt>
                <c:pt idx="1331">
                  <c:v>5.1821752370718156E-2</c:v>
                </c:pt>
                <c:pt idx="1332">
                  <c:v>5.1821752370718156E-2</c:v>
                </c:pt>
                <c:pt idx="1333">
                  <c:v>5.1821752370718156E-2</c:v>
                </c:pt>
                <c:pt idx="1334">
                  <c:v>5.1821752370718156E-2</c:v>
                </c:pt>
                <c:pt idx="1335">
                  <c:v>5.1821752370718156E-2</c:v>
                </c:pt>
                <c:pt idx="1336">
                  <c:v>5.1821752370718156E-2</c:v>
                </c:pt>
                <c:pt idx="1337">
                  <c:v>5.1821752370718156E-2</c:v>
                </c:pt>
                <c:pt idx="1338">
                  <c:v>5.1821752370718156E-2</c:v>
                </c:pt>
                <c:pt idx="1339">
                  <c:v>5.1821752370718156E-2</c:v>
                </c:pt>
                <c:pt idx="1340">
                  <c:v>5.1821752370718156E-2</c:v>
                </c:pt>
                <c:pt idx="1341">
                  <c:v>5.1821752370718156E-2</c:v>
                </c:pt>
                <c:pt idx="1342">
                  <c:v>5.1821752370718156E-2</c:v>
                </c:pt>
                <c:pt idx="1343">
                  <c:v>5.1821752370718156E-2</c:v>
                </c:pt>
                <c:pt idx="1344">
                  <c:v>5.1821752370718156E-2</c:v>
                </c:pt>
                <c:pt idx="1345">
                  <c:v>5.1821752370718156E-2</c:v>
                </c:pt>
                <c:pt idx="1346">
                  <c:v>5.1821752370718156E-2</c:v>
                </c:pt>
                <c:pt idx="1347">
                  <c:v>5.1821752370718156E-2</c:v>
                </c:pt>
                <c:pt idx="1348">
                  <c:v>5.1821752370718156E-2</c:v>
                </c:pt>
                <c:pt idx="1349">
                  <c:v>5.1821752370718156E-2</c:v>
                </c:pt>
                <c:pt idx="1350">
                  <c:v>5.1821752370718156E-2</c:v>
                </c:pt>
                <c:pt idx="1351">
                  <c:v>5.1821752370718156E-2</c:v>
                </c:pt>
                <c:pt idx="1352">
                  <c:v>5.1821752370718156E-2</c:v>
                </c:pt>
                <c:pt idx="1353">
                  <c:v>5.1821752370718156E-2</c:v>
                </c:pt>
                <c:pt idx="1354">
                  <c:v>5.1821752370718156E-2</c:v>
                </c:pt>
                <c:pt idx="1355">
                  <c:v>5.1821752370718156E-2</c:v>
                </c:pt>
                <c:pt idx="1356">
                  <c:v>5.1821752370718156E-2</c:v>
                </c:pt>
                <c:pt idx="1357">
                  <c:v>5.1821752370718156E-2</c:v>
                </c:pt>
                <c:pt idx="1358">
                  <c:v>5.1821752370718156E-2</c:v>
                </c:pt>
                <c:pt idx="1359">
                  <c:v>5.1821752370718156E-2</c:v>
                </c:pt>
                <c:pt idx="1360">
                  <c:v>5.1821752370718156E-2</c:v>
                </c:pt>
                <c:pt idx="1361">
                  <c:v>5.1821752370718156E-2</c:v>
                </c:pt>
                <c:pt idx="1362">
                  <c:v>5.1821752370718156E-2</c:v>
                </c:pt>
                <c:pt idx="1363">
                  <c:v>5.1821752370718156E-2</c:v>
                </c:pt>
                <c:pt idx="1364">
                  <c:v>5.1821752370718156E-2</c:v>
                </c:pt>
                <c:pt idx="1365">
                  <c:v>5.1821752370718156E-2</c:v>
                </c:pt>
                <c:pt idx="1366">
                  <c:v>5.1821752370718156E-2</c:v>
                </c:pt>
                <c:pt idx="1367">
                  <c:v>5.1821752370718156E-2</c:v>
                </c:pt>
                <c:pt idx="1368">
                  <c:v>5.1821752370718156E-2</c:v>
                </c:pt>
                <c:pt idx="1369">
                  <c:v>5.1821752370718156E-2</c:v>
                </c:pt>
                <c:pt idx="1370">
                  <c:v>5.1821752370718156E-2</c:v>
                </c:pt>
                <c:pt idx="1371">
                  <c:v>5.1821752370718156E-2</c:v>
                </c:pt>
                <c:pt idx="1372">
                  <c:v>5.1821752370718156E-2</c:v>
                </c:pt>
                <c:pt idx="1373">
                  <c:v>5.1821752370718156E-2</c:v>
                </c:pt>
                <c:pt idx="1374">
                  <c:v>5.1821752370718156E-2</c:v>
                </c:pt>
                <c:pt idx="1375">
                  <c:v>5.1821752370718156E-2</c:v>
                </c:pt>
                <c:pt idx="1376">
                  <c:v>5.1821752370718156E-2</c:v>
                </c:pt>
                <c:pt idx="1377">
                  <c:v>5.1821752370718156E-2</c:v>
                </c:pt>
                <c:pt idx="1378">
                  <c:v>5.1821752370718156E-2</c:v>
                </c:pt>
                <c:pt idx="1379">
                  <c:v>5.1821752370718156E-2</c:v>
                </c:pt>
                <c:pt idx="1380">
                  <c:v>5.1821752370718156E-2</c:v>
                </c:pt>
                <c:pt idx="1381">
                  <c:v>5.1821752370718156E-2</c:v>
                </c:pt>
                <c:pt idx="1382">
                  <c:v>5.1821752370718156E-2</c:v>
                </c:pt>
                <c:pt idx="1383">
                  <c:v>5.1821752370718156E-2</c:v>
                </c:pt>
                <c:pt idx="1384">
                  <c:v>5.1821752370718156E-2</c:v>
                </c:pt>
                <c:pt idx="1385">
                  <c:v>5.1821752370718156E-2</c:v>
                </c:pt>
                <c:pt idx="1386">
                  <c:v>5.1821752370718156E-2</c:v>
                </c:pt>
                <c:pt idx="1387">
                  <c:v>5.1821752370718156E-2</c:v>
                </c:pt>
                <c:pt idx="1388">
                  <c:v>5.1821752370718156E-2</c:v>
                </c:pt>
                <c:pt idx="1389">
                  <c:v>5.1821752370718156E-2</c:v>
                </c:pt>
                <c:pt idx="1390">
                  <c:v>5.1821752370718156E-2</c:v>
                </c:pt>
                <c:pt idx="1391">
                  <c:v>5.1821752370718156E-2</c:v>
                </c:pt>
                <c:pt idx="1392">
                  <c:v>5.1821752370718156E-2</c:v>
                </c:pt>
                <c:pt idx="1393">
                  <c:v>5.1821752370718156E-2</c:v>
                </c:pt>
                <c:pt idx="1394">
                  <c:v>5.1821752370718156E-2</c:v>
                </c:pt>
                <c:pt idx="1395">
                  <c:v>5.1821752370718156E-2</c:v>
                </c:pt>
                <c:pt idx="1396">
                  <c:v>5.1821752370718156E-2</c:v>
                </c:pt>
                <c:pt idx="1397">
                  <c:v>5.1821752370718156E-2</c:v>
                </c:pt>
                <c:pt idx="1398">
                  <c:v>5.1821752370718156E-2</c:v>
                </c:pt>
                <c:pt idx="1399">
                  <c:v>5.1821752370718156E-2</c:v>
                </c:pt>
                <c:pt idx="1400">
                  <c:v>5.1821752370718156E-2</c:v>
                </c:pt>
                <c:pt idx="1401">
                  <c:v>5.1821752370718156E-2</c:v>
                </c:pt>
                <c:pt idx="1402">
                  <c:v>5.1821752370718156E-2</c:v>
                </c:pt>
                <c:pt idx="1403">
                  <c:v>5.1821752370718156E-2</c:v>
                </c:pt>
                <c:pt idx="1404">
                  <c:v>5.1821752370718156E-2</c:v>
                </c:pt>
                <c:pt idx="1405">
                  <c:v>5.1821752370718156E-2</c:v>
                </c:pt>
                <c:pt idx="1406">
                  <c:v>5.1821752370718156E-2</c:v>
                </c:pt>
                <c:pt idx="1407">
                  <c:v>5.1821752370718156E-2</c:v>
                </c:pt>
                <c:pt idx="1408">
                  <c:v>5.1821752370718156E-2</c:v>
                </c:pt>
                <c:pt idx="1409">
                  <c:v>5.1821752370718156E-2</c:v>
                </c:pt>
                <c:pt idx="1410">
                  <c:v>5.1821752370718156E-2</c:v>
                </c:pt>
                <c:pt idx="1411">
                  <c:v>5.1821752370718156E-2</c:v>
                </c:pt>
                <c:pt idx="1412">
                  <c:v>5.1821752370718156E-2</c:v>
                </c:pt>
                <c:pt idx="1413">
                  <c:v>5.1821752370718156E-2</c:v>
                </c:pt>
                <c:pt idx="1414">
                  <c:v>5.1821752370718156E-2</c:v>
                </c:pt>
                <c:pt idx="1415">
                  <c:v>5.1821752370718156E-2</c:v>
                </c:pt>
                <c:pt idx="1416">
                  <c:v>5.1821752370718156E-2</c:v>
                </c:pt>
                <c:pt idx="1417">
                  <c:v>5.1821752370718156E-2</c:v>
                </c:pt>
                <c:pt idx="1418">
                  <c:v>5.1821752370718156E-2</c:v>
                </c:pt>
                <c:pt idx="1419">
                  <c:v>5.1821752370718156E-2</c:v>
                </c:pt>
                <c:pt idx="1420">
                  <c:v>5.1821752370718156E-2</c:v>
                </c:pt>
                <c:pt idx="1421">
                  <c:v>5.1821752370718156E-2</c:v>
                </c:pt>
                <c:pt idx="1422">
                  <c:v>5.1821752370718156E-2</c:v>
                </c:pt>
                <c:pt idx="1423">
                  <c:v>5.1821752370718156E-2</c:v>
                </c:pt>
                <c:pt idx="1424">
                  <c:v>5.1821752370718156E-2</c:v>
                </c:pt>
                <c:pt idx="1425">
                  <c:v>5.1821752370718156E-2</c:v>
                </c:pt>
                <c:pt idx="1426">
                  <c:v>5.1821752370718156E-2</c:v>
                </c:pt>
                <c:pt idx="1427">
                  <c:v>5.1821752370718156E-2</c:v>
                </c:pt>
                <c:pt idx="1428">
                  <c:v>5.1821752370718156E-2</c:v>
                </c:pt>
                <c:pt idx="1429">
                  <c:v>5.1821752370718156E-2</c:v>
                </c:pt>
                <c:pt idx="1430">
                  <c:v>5.1821752370718156E-2</c:v>
                </c:pt>
                <c:pt idx="1431">
                  <c:v>5.1821752370718156E-2</c:v>
                </c:pt>
                <c:pt idx="1432">
                  <c:v>5.1821752370718156E-2</c:v>
                </c:pt>
                <c:pt idx="1433">
                  <c:v>5.1821752370718156E-2</c:v>
                </c:pt>
                <c:pt idx="1434">
                  <c:v>5.1821752370718156E-2</c:v>
                </c:pt>
                <c:pt idx="1435">
                  <c:v>5.1821752370718156E-2</c:v>
                </c:pt>
                <c:pt idx="1436">
                  <c:v>5.1821752370718156E-2</c:v>
                </c:pt>
                <c:pt idx="1437">
                  <c:v>5.1821752370718156E-2</c:v>
                </c:pt>
                <c:pt idx="1438">
                  <c:v>5.1821752370718156E-2</c:v>
                </c:pt>
                <c:pt idx="1439">
                  <c:v>5.1821752370718156E-2</c:v>
                </c:pt>
                <c:pt idx="1440">
                  <c:v>5.1821752370718156E-2</c:v>
                </c:pt>
                <c:pt idx="1441">
                  <c:v>5.1821752370718156E-2</c:v>
                </c:pt>
                <c:pt idx="1442">
                  <c:v>5.1821752370718156E-2</c:v>
                </c:pt>
                <c:pt idx="1443">
                  <c:v>5.1821752370718156E-2</c:v>
                </c:pt>
                <c:pt idx="1444">
                  <c:v>5.1821752370718156E-2</c:v>
                </c:pt>
                <c:pt idx="1445">
                  <c:v>5.1821752370718156E-2</c:v>
                </c:pt>
                <c:pt idx="1446">
                  <c:v>5.1821752370718156E-2</c:v>
                </c:pt>
                <c:pt idx="1447">
                  <c:v>5.1821752370718156E-2</c:v>
                </c:pt>
                <c:pt idx="1448">
                  <c:v>5.1821752370718156E-2</c:v>
                </c:pt>
                <c:pt idx="1449">
                  <c:v>5.1821752370718156E-2</c:v>
                </c:pt>
                <c:pt idx="1450">
                  <c:v>5.1821752370718156E-2</c:v>
                </c:pt>
                <c:pt idx="1451">
                  <c:v>5.1821752370718156E-2</c:v>
                </c:pt>
                <c:pt idx="1452">
                  <c:v>5.1821752370718156E-2</c:v>
                </c:pt>
                <c:pt idx="1453">
                  <c:v>5.1821752370718156E-2</c:v>
                </c:pt>
                <c:pt idx="1454">
                  <c:v>5.1821752370718156E-2</c:v>
                </c:pt>
                <c:pt idx="1455">
                  <c:v>5.1821752370718156E-2</c:v>
                </c:pt>
                <c:pt idx="1456">
                  <c:v>5.1821752370718156E-2</c:v>
                </c:pt>
                <c:pt idx="1457">
                  <c:v>5.1821752370718156E-2</c:v>
                </c:pt>
                <c:pt idx="1458">
                  <c:v>5.1821752370718156E-2</c:v>
                </c:pt>
                <c:pt idx="1459">
                  <c:v>5.1821752370718156E-2</c:v>
                </c:pt>
                <c:pt idx="1460">
                  <c:v>5.1821752370718156E-2</c:v>
                </c:pt>
                <c:pt idx="1461">
                  <c:v>5.1821752370718156E-2</c:v>
                </c:pt>
                <c:pt idx="1462">
                  <c:v>5.1821752370718156E-2</c:v>
                </c:pt>
                <c:pt idx="1463">
                  <c:v>5.1821752370718156E-2</c:v>
                </c:pt>
                <c:pt idx="1464">
                  <c:v>5.1821752370718156E-2</c:v>
                </c:pt>
                <c:pt idx="1465">
                  <c:v>5.1821752370718156E-2</c:v>
                </c:pt>
                <c:pt idx="1466">
                  <c:v>5.1821752370718156E-2</c:v>
                </c:pt>
                <c:pt idx="1467">
                  <c:v>5.1821752370718156E-2</c:v>
                </c:pt>
                <c:pt idx="1468">
                  <c:v>5.1821752370718156E-2</c:v>
                </c:pt>
                <c:pt idx="1469">
                  <c:v>5.1821752370718156E-2</c:v>
                </c:pt>
                <c:pt idx="1470">
                  <c:v>5.1821752370718156E-2</c:v>
                </c:pt>
                <c:pt idx="1471">
                  <c:v>5.1821752370718156E-2</c:v>
                </c:pt>
                <c:pt idx="1472">
                  <c:v>5.1821752370718156E-2</c:v>
                </c:pt>
                <c:pt idx="1473">
                  <c:v>5.1821752370718156E-2</c:v>
                </c:pt>
                <c:pt idx="1474">
                  <c:v>5.1821752370718156E-2</c:v>
                </c:pt>
                <c:pt idx="1475">
                  <c:v>5.1821752370718156E-2</c:v>
                </c:pt>
                <c:pt idx="1476">
                  <c:v>5.1821752370718156E-2</c:v>
                </c:pt>
                <c:pt idx="1477">
                  <c:v>5.1821752370718156E-2</c:v>
                </c:pt>
                <c:pt idx="1478">
                  <c:v>5.1821752370718156E-2</c:v>
                </c:pt>
                <c:pt idx="1479">
                  <c:v>5.1821752370718156E-2</c:v>
                </c:pt>
                <c:pt idx="1480">
                  <c:v>5.1821752370718156E-2</c:v>
                </c:pt>
                <c:pt idx="1481">
                  <c:v>5.1821752370718156E-2</c:v>
                </c:pt>
                <c:pt idx="1482">
                  <c:v>5.1821752370718156E-2</c:v>
                </c:pt>
                <c:pt idx="1483">
                  <c:v>5.1821752370718156E-2</c:v>
                </c:pt>
                <c:pt idx="1484">
                  <c:v>5.1821752370718156E-2</c:v>
                </c:pt>
                <c:pt idx="1485">
                  <c:v>5.1821752370718156E-2</c:v>
                </c:pt>
                <c:pt idx="1486">
                  <c:v>5.1821752370718156E-2</c:v>
                </c:pt>
                <c:pt idx="1487">
                  <c:v>5.1821752370718156E-2</c:v>
                </c:pt>
                <c:pt idx="1488">
                  <c:v>5.1821752370718156E-2</c:v>
                </c:pt>
                <c:pt idx="1489">
                  <c:v>5.1821752370718156E-2</c:v>
                </c:pt>
                <c:pt idx="1490">
                  <c:v>5.1821752370718156E-2</c:v>
                </c:pt>
                <c:pt idx="1491">
                  <c:v>5.1821752370718156E-2</c:v>
                </c:pt>
                <c:pt idx="1492">
                  <c:v>5.1821752370718156E-2</c:v>
                </c:pt>
                <c:pt idx="1493">
                  <c:v>5.1821752370718156E-2</c:v>
                </c:pt>
                <c:pt idx="1494">
                  <c:v>5.1821752370718156E-2</c:v>
                </c:pt>
                <c:pt idx="1495">
                  <c:v>5.1821752370718156E-2</c:v>
                </c:pt>
                <c:pt idx="1496">
                  <c:v>5.1821752370718156E-2</c:v>
                </c:pt>
                <c:pt idx="1497">
                  <c:v>5.1821752370718156E-2</c:v>
                </c:pt>
                <c:pt idx="1498">
                  <c:v>5.1821752370718156E-2</c:v>
                </c:pt>
                <c:pt idx="1499">
                  <c:v>5.1821752370718156E-2</c:v>
                </c:pt>
                <c:pt idx="1500">
                  <c:v>5.1821752370718156E-2</c:v>
                </c:pt>
                <c:pt idx="1501">
                  <c:v>5.1821752370718156E-2</c:v>
                </c:pt>
                <c:pt idx="1502">
                  <c:v>5.1821752370718156E-2</c:v>
                </c:pt>
                <c:pt idx="1503">
                  <c:v>5.1821752370718156E-2</c:v>
                </c:pt>
                <c:pt idx="1504">
                  <c:v>5.1821752370718156E-2</c:v>
                </c:pt>
                <c:pt idx="1505">
                  <c:v>5.1821752370718156E-2</c:v>
                </c:pt>
                <c:pt idx="1506">
                  <c:v>5.1821752370718156E-2</c:v>
                </c:pt>
                <c:pt idx="1507">
                  <c:v>5.1821752370718156E-2</c:v>
                </c:pt>
                <c:pt idx="1508">
                  <c:v>5.1821752370718156E-2</c:v>
                </c:pt>
                <c:pt idx="1509">
                  <c:v>5.1821752370718156E-2</c:v>
                </c:pt>
                <c:pt idx="1510">
                  <c:v>5.1821752370718156E-2</c:v>
                </c:pt>
                <c:pt idx="1511">
                  <c:v>5.1821752370718156E-2</c:v>
                </c:pt>
                <c:pt idx="1512">
                  <c:v>5.1821752370718156E-2</c:v>
                </c:pt>
                <c:pt idx="1513">
                  <c:v>5.1821752370718156E-2</c:v>
                </c:pt>
                <c:pt idx="1514">
                  <c:v>5.1821752370718156E-2</c:v>
                </c:pt>
                <c:pt idx="1515">
                  <c:v>5.1821752370718156E-2</c:v>
                </c:pt>
                <c:pt idx="1516">
                  <c:v>5.1821752370718156E-2</c:v>
                </c:pt>
                <c:pt idx="1517">
                  <c:v>5.1821752370718156E-2</c:v>
                </c:pt>
                <c:pt idx="1518">
                  <c:v>5.1821752370718156E-2</c:v>
                </c:pt>
                <c:pt idx="1519">
                  <c:v>5.1821752370718156E-2</c:v>
                </c:pt>
                <c:pt idx="1520">
                  <c:v>5.1821752370718156E-2</c:v>
                </c:pt>
                <c:pt idx="1521">
                  <c:v>5.1821752370718156E-2</c:v>
                </c:pt>
                <c:pt idx="1522">
                  <c:v>5.1821752370718156E-2</c:v>
                </c:pt>
                <c:pt idx="1523">
                  <c:v>5.1821752370718156E-2</c:v>
                </c:pt>
                <c:pt idx="1524">
                  <c:v>5.1821752370718156E-2</c:v>
                </c:pt>
                <c:pt idx="1525">
                  <c:v>5.1821752370718156E-2</c:v>
                </c:pt>
                <c:pt idx="1526">
                  <c:v>5.1821752370718156E-2</c:v>
                </c:pt>
                <c:pt idx="1527">
                  <c:v>5.1821752370718156E-2</c:v>
                </c:pt>
                <c:pt idx="1528">
                  <c:v>5.1821752370718156E-2</c:v>
                </c:pt>
                <c:pt idx="1529">
                  <c:v>5.1821752370718156E-2</c:v>
                </c:pt>
                <c:pt idx="1530">
                  <c:v>5.1821752370718156E-2</c:v>
                </c:pt>
                <c:pt idx="1531">
                  <c:v>5.1821752370718156E-2</c:v>
                </c:pt>
                <c:pt idx="1532">
                  <c:v>5.1821752370718156E-2</c:v>
                </c:pt>
                <c:pt idx="1533">
                  <c:v>5.1821752370718156E-2</c:v>
                </c:pt>
                <c:pt idx="1534">
                  <c:v>5.1821752370718156E-2</c:v>
                </c:pt>
                <c:pt idx="1535">
                  <c:v>5.1821752370718156E-2</c:v>
                </c:pt>
                <c:pt idx="1536">
                  <c:v>5.1821752370718156E-2</c:v>
                </c:pt>
                <c:pt idx="1537">
                  <c:v>5.1821752370718156E-2</c:v>
                </c:pt>
                <c:pt idx="1538">
                  <c:v>5.1821752370718156E-2</c:v>
                </c:pt>
                <c:pt idx="1539">
                  <c:v>5.1821752370718156E-2</c:v>
                </c:pt>
                <c:pt idx="1540">
                  <c:v>5.1821752370718156E-2</c:v>
                </c:pt>
                <c:pt idx="1541">
                  <c:v>5.1821752370718156E-2</c:v>
                </c:pt>
                <c:pt idx="1542">
                  <c:v>5.1821752370718156E-2</c:v>
                </c:pt>
                <c:pt idx="1543">
                  <c:v>5.1821752370718156E-2</c:v>
                </c:pt>
                <c:pt idx="1544">
                  <c:v>5.1821752370718156E-2</c:v>
                </c:pt>
                <c:pt idx="1545">
                  <c:v>5.1821752370718156E-2</c:v>
                </c:pt>
                <c:pt idx="1546">
                  <c:v>5.1821752370718156E-2</c:v>
                </c:pt>
                <c:pt idx="1547">
                  <c:v>5.1821752370718156E-2</c:v>
                </c:pt>
                <c:pt idx="1548">
                  <c:v>5.1821752370718156E-2</c:v>
                </c:pt>
                <c:pt idx="1549">
                  <c:v>5.1821752370718156E-2</c:v>
                </c:pt>
                <c:pt idx="1550">
                  <c:v>5.1821752370718156E-2</c:v>
                </c:pt>
                <c:pt idx="1551">
                  <c:v>5.1821752370718156E-2</c:v>
                </c:pt>
                <c:pt idx="1552">
                  <c:v>5.1821752370718156E-2</c:v>
                </c:pt>
                <c:pt idx="1553">
                  <c:v>5.1821752370718156E-2</c:v>
                </c:pt>
                <c:pt idx="1554">
                  <c:v>5.1821752370718156E-2</c:v>
                </c:pt>
                <c:pt idx="1555">
                  <c:v>5.1821752370718156E-2</c:v>
                </c:pt>
                <c:pt idx="1556">
                  <c:v>5.1821752370718156E-2</c:v>
                </c:pt>
                <c:pt idx="1557">
                  <c:v>5.1821752370718156E-2</c:v>
                </c:pt>
                <c:pt idx="1558">
                  <c:v>5.1821752370718156E-2</c:v>
                </c:pt>
                <c:pt idx="1559">
                  <c:v>5.1821752370718156E-2</c:v>
                </c:pt>
                <c:pt idx="1560">
                  <c:v>5.1821752370718156E-2</c:v>
                </c:pt>
                <c:pt idx="1561">
                  <c:v>5.1821752370718156E-2</c:v>
                </c:pt>
                <c:pt idx="1562">
                  <c:v>5.1821752370718156E-2</c:v>
                </c:pt>
                <c:pt idx="1563">
                  <c:v>5.1821752370718156E-2</c:v>
                </c:pt>
                <c:pt idx="1564">
                  <c:v>5.1821752370718156E-2</c:v>
                </c:pt>
                <c:pt idx="1565">
                  <c:v>5.1821752370718156E-2</c:v>
                </c:pt>
                <c:pt idx="1566">
                  <c:v>5.1821752370718156E-2</c:v>
                </c:pt>
                <c:pt idx="1567">
                  <c:v>5.1821752370718156E-2</c:v>
                </c:pt>
                <c:pt idx="1568">
                  <c:v>5.1821752370718156E-2</c:v>
                </c:pt>
                <c:pt idx="1569">
                  <c:v>5.1821752370718156E-2</c:v>
                </c:pt>
                <c:pt idx="1570">
                  <c:v>5.1821752370718156E-2</c:v>
                </c:pt>
                <c:pt idx="1571">
                  <c:v>5.1821752370718156E-2</c:v>
                </c:pt>
                <c:pt idx="1572">
                  <c:v>5.1821752370718156E-2</c:v>
                </c:pt>
                <c:pt idx="1573">
                  <c:v>5.1821752370718156E-2</c:v>
                </c:pt>
                <c:pt idx="1574">
                  <c:v>5.1821752370718156E-2</c:v>
                </c:pt>
                <c:pt idx="1575">
                  <c:v>5.1821752370718156E-2</c:v>
                </c:pt>
                <c:pt idx="1576">
                  <c:v>5.1821752370718156E-2</c:v>
                </c:pt>
                <c:pt idx="1577">
                  <c:v>5.1821752370718156E-2</c:v>
                </c:pt>
                <c:pt idx="1578">
                  <c:v>5.1821752370718156E-2</c:v>
                </c:pt>
                <c:pt idx="1579">
                  <c:v>5.1821752370718156E-2</c:v>
                </c:pt>
                <c:pt idx="1580">
                  <c:v>5.1821752370718156E-2</c:v>
                </c:pt>
                <c:pt idx="1581">
                  <c:v>5.1821752370718156E-2</c:v>
                </c:pt>
                <c:pt idx="1582">
                  <c:v>5.1821752370718156E-2</c:v>
                </c:pt>
                <c:pt idx="1583">
                  <c:v>5.1821752370718156E-2</c:v>
                </c:pt>
                <c:pt idx="1584">
                  <c:v>5.1821752370718156E-2</c:v>
                </c:pt>
                <c:pt idx="1585">
                  <c:v>5.1821752370718156E-2</c:v>
                </c:pt>
                <c:pt idx="1586">
                  <c:v>5.1821752370718156E-2</c:v>
                </c:pt>
                <c:pt idx="1587">
                  <c:v>5.1821752370718156E-2</c:v>
                </c:pt>
                <c:pt idx="1588">
                  <c:v>5.1821752370718156E-2</c:v>
                </c:pt>
                <c:pt idx="1589">
                  <c:v>5.1821752370718156E-2</c:v>
                </c:pt>
                <c:pt idx="1590">
                  <c:v>5.1821752370718156E-2</c:v>
                </c:pt>
                <c:pt idx="1591">
                  <c:v>5.1821752370718156E-2</c:v>
                </c:pt>
                <c:pt idx="1592">
                  <c:v>5.1821752370718156E-2</c:v>
                </c:pt>
                <c:pt idx="1593">
                  <c:v>5.1821752370718156E-2</c:v>
                </c:pt>
                <c:pt idx="1594">
                  <c:v>5.1821752370718156E-2</c:v>
                </c:pt>
                <c:pt idx="1595">
                  <c:v>5.1821752370718156E-2</c:v>
                </c:pt>
                <c:pt idx="1596">
                  <c:v>5.1821752370718156E-2</c:v>
                </c:pt>
                <c:pt idx="1597">
                  <c:v>5.1821752370718156E-2</c:v>
                </c:pt>
                <c:pt idx="1598">
                  <c:v>5.1821752370718156E-2</c:v>
                </c:pt>
                <c:pt idx="1599">
                  <c:v>5.1821752370718156E-2</c:v>
                </c:pt>
                <c:pt idx="1600">
                  <c:v>5.1821752370718156E-2</c:v>
                </c:pt>
                <c:pt idx="1601">
                  <c:v>5.1821752370718156E-2</c:v>
                </c:pt>
                <c:pt idx="1602">
                  <c:v>5.1821752370718156E-2</c:v>
                </c:pt>
                <c:pt idx="1603">
                  <c:v>5.1821752370718156E-2</c:v>
                </c:pt>
                <c:pt idx="1604">
                  <c:v>5.1821752370718156E-2</c:v>
                </c:pt>
                <c:pt idx="1605">
                  <c:v>5.1821752370718156E-2</c:v>
                </c:pt>
                <c:pt idx="1606">
                  <c:v>5.1821752370718156E-2</c:v>
                </c:pt>
                <c:pt idx="1607">
                  <c:v>5.1821752370718156E-2</c:v>
                </c:pt>
                <c:pt idx="1608">
                  <c:v>5.1821752370718156E-2</c:v>
                </c:pt>
                <c:pt idx="1609">
                  <c:v>5.1821752370718156E-2</c:v>
                </c:pt>
                <c:pt idx="1610">
                  <c:v>5.1821752370718156E-2</c:v>
                </c:pt>
                <c:pt idx="1611">
                  <c:v>5.1821752370718156E-2</c:v>
                </c:pt>
                <c:pt idx="1612">
                  <c:v>5.1821752370718156E-2</c:v>
                </c:pt>
                <c:pt idx="1613">
                  <c:v>5.1821752370718156E-2</c:v>
                </c:pt>
                <c:pt idx="1614">
                  <c:v>5.1821752370718156E-2</c:v>
                </c:pt>
                <c:pt idx="1615">
                  <c:v>5.1821752370718156E-2</c:v>
                </c:pt>
                <c:pt idx="1616">
                  <c:v>5.1821752370718156E-2</c:v>
                </c:pt>
                <c:pt idx="1617">
                  <c:v>5.1821752370718156E-2</c:v>
                </c:pt>
                <c:pt idx="1618">
                  <c:v>5.1821752370718156E-2</c:v>
                </c:pt>
                <c:pt idx="1619">
                  <c:v>5.1821752370718156E-2</c:v>
                </c:pt>
                <c:pt idx="1620">
                  <c:v>5.1821752370718156E-2</c:v>
                </c:pt>
                <c:pt idx="1621">
                  <c:v>5.1821752370718156E-2</c:v>
                </c:pt>
                <c:pt idx="1622">
                  <c:v>5.1821752370718156E-2</c:v>
                </c:pt>
                <c:pt idx="1623">
                  <c:v>5.1821752370718156E-2</c:v>
                </c:pt>
                <c:pt idx="1624">
                  <c:v>5.1821752370718156E-2</c:v>
                </c:pt>
                <c:pt idx="1625">
                  <c:v>5.1821752370718156E-2</c:v>
                </c:pt>
                <c:pt idx="1626">
                  <c:v>5.1821752370718156E-2</c:v>
                </c:pt>
                <c:pt idx="1627">
                  <c:v>5.1821752370718156E-2</c:v>
                </c:pt>
                <c:pt idx="1628">
                  <c:v>5.1821752370718156E-2</c:v>
                </c:pt>
                <c:pt idx="1629">
                  <c:v>5.1821752370718156E-2</c:v>
                </c:pt>
                <c:pt idx="1630">
                  <c:v>5.1821752370718156E-2</c:v>
                </c:pt>
                <c:pt idx="1631">
                  <c:v>5.1821752370718156E-2</c:v>
                </c:pt>
                <c:pt idx="1632">
                  <c:v>5.1821752370718156E-2</c:v>
                </c:pt>
                <c:pt idx="1633">
                  <c:v>5.1821752370718156E-2</c:v>
                </c:pt>
                <c:pt idx="1634">
                  <c:v>5.1821752370718156E-2</c:v>
                </c:pt>
                <c:pt idx="1635">
                  <c:v>5.1821752370718156E-2</c:v>
                </c:pt>
                <c:pt idx="1636">
                  <c:v>5.1821752370718156E-2</c:v>
                </c:pt>
                <c:pt idx="1637">
                  <c:v>5.1821752370718156E-2</c:v>
                </c:pt>
                <c:pt idx="1638">
                  <c:v>5.1821752370718156E-2</c:v>
                </c:pt>
                <c:pt idx="1639">
                  <c:v>5.1821752370718156E-2</c:v>
                </c:pt>
                <c:pt idx="1640">
                  <c:v>5.1821752370718156E-2</c:v>
                </c:pt>
                <c:pt idx="1641">
                  <c:v>5.1821752370718156E-2</c:v>
                </c:pt>
                <c:pt idx="1642">
                  <c:v>5.1821752370718156E-2</c:v>
                </c:pt>
                <c:pt idx="1643">
                  <c:v>5.1821752370718156E-2</c:v>
                </c:pt>
                <c:pt idx="1644">
                  <c:v>5.1821752370718156E-2</c:v>
                </c:pt>
                <c:pt idx="1645">
                  <c:v>5.1821752370718156E-2</c:v>
                </c:pt>
                <c:pt idx="1646">
                  <c:v>5.1821752370718156E-2</c:v>
                </c:pt>
                <c:pt idx="1647">
                  <c:v>5.1821752370718156E-2</c:v>
                </c:pt>
                <c:pt idx="1648">
                  <c:v>5.1821752370718156E-2</c:v>
                </c:pt>
                <c:pt idx="1649">
                  <c:v>5.1821752370718156E-2</c:v>
                </c:pt>
                <c:pt idx="1650">
                  <c:v>5.1821752370718156E-2</c:v>
                </c:pt>
                <c:pt idx="1651">
                  <c:v>5.1821752370718156E-2</c:v>
                </c:pt>
                <c:pt idx="1652">
                  <c:v>5.1821752370718156E-2</c:v>
                </c:pt>
                <c:pt idx="1653">
                  <c:v>5.1821752370718156E-2</c:v>
                </c:pt>
                <c:pt idx="1654">
                  <c:v>5.1821752370718156E-2</c:v>
                </c:pt>
                <c:pt idx="1655">
                  <c:v>5.1821752370718156E-2</c:v>
                </c:pt>
                <c:pt idx="1656">
                  <c:v>5.1821752370718156E-2</c:v>
                </c:pt>
                <c:pt idx="1657">
                  <c:v>5.1821752370718156E-2</c:v>
                </c:pt>
                <c:pt idx="1658">
                  <c:v>5.1821752370718156E-2</c:v>
                </c:pt>
                <c:pt idx="1659">
                  <c:v>5.1821752370718156E-2</c:v>
                </c:pt>
                <c:pt idx="1660">
                  <c:v>5.1821752370718156E-2</c:v>
                </c:pt>
                <c:pt idx="1661">
                  <c:v>5.1821752370718156E-2</c:v>
                </c:pt>
                <c:pt idx="1662">
                  <c:v>5.1821752370718156E-2</c:v>
                </c:pt>
                <c:pt idx="1663">
                  <c:v>5.1821752370718156E-2</c:v>
                </c:pt>
                <c:pt idx="1664">
                  <c:v>5.1821752370718156E-2</c:v>
                </c:pt>
                <c:pt idx="1665">
                  <c:v>5.1821752370718156E-2</c:v>
                </c:pt>
                <c:pt idx="1666">
                  <c:v>5.1821752370718156E-2</c:v>
                </c:pt>
                <c:pt idx="1667">
                  <c:v>5.1821752370718156E-2</c:v>
                </c:pt>
                <c:pt idx="1668">
                  <c:v>5.1821752370718156E-2</c:v>
                </c:pt>
                <c:pt idx="1669">
                  <c:v>5.1821752370718156E-2</c:v>
                </c:pt>
                <c:pt idx="1670">
                  <c:v>5.1821752370718156E-2</c:v>
                </c:pt>
                <c:pt idx="1671">
                  <c:v>5.1821752370718156E-2</c:v>
                </c:pt>
                <c:pt idx="1672">
                  <c:v>5.1821752370718156E-2</c:v>
                </c:pt>
                <c:pt idx="1673">
                  <c:v>5.1821752370718156E-2</c:v>
                </c:pt>
                <c:pt idx="1674">
                  <c:v>5.1821752370718156E-2</c:v>
                </c:pt>
                <c:pt idx="1675">
                  <c:v>5.1821752370718156E-2</c:v>
                </c:pt>
                <c:pt idx="1676">
                  <c:v>5.1821752370718156E-2</c:v>
                </c:pt>
                <c:pt idx="1677">
                  <c:v>5.1821752370718156E-2</c:v>
                </c:pt>
                <c:pt idx="1678">
                  <c:v>5.1821752370718156E-2</c:v>
                </c:pt>
                <c:pt idx="1679">
                  <c:v>5.1821752370718156E-2</c:v>
                </c:pt>
                <c:pt idx="1680">
                  <c:v>5.1821752370718156E-2</c:v>
                </c:pt>
                <c:pt idx="1681">
                  <c:v>5.1821752370718156E-2</c:v>
                </c:pt>
                <c:pt idx="1682">
                  <c:v>5.1821752370718156E-2</c:v>
                </c:pt>
                <c:pt idx="1683">
                  <c:v>5.1821752370718156E-2</c:v>
                </c:pt>
                <c:pt idx="1684">
                  <c:v>5.1821752370718156E-2</c:v>
                </c:pt>
                <c:pt idx="1685">
                  <c:v>5.1821752370718156E-2</c:v>
                </c:pt>
                <c:pt idx="1686">
                  <c:v>5.1821752370718156E-2</c:v>
                </c:pt>
                <c:pt idx="1687">
                  <c:v>5.1821752370718156E-2</c:v>
                </c:pt>
                <c:pt idx="1688">
                  <c:v>5.1821752370718156E-2</c:v>
                </c:pt>
                <c:pt idx="1689">
                  <c:v>5.1821752370718156E-2</c:v>
                </c:pt>
                <c:pt idx="1690">
                  <c:v>5.1821752370718156E-2</c:v>
                </c:pt>
                <c:pt idx="1691">
                  <c:v>5.1821752370718156E-2</c:v>
                </c:pt>
                <c:pt idx="1692">
                  <c:v>5.1821752370718156E-2</c:v>
                </c:pt>
                <c:pt idx="1693">
                  <c:v>5.1821752370718156E-2</c:v>
                </c:pt>
                <c:pt idx="1694">
                  <c:v>5.1821752370718156E-2</c:v>
                </c:pt>
                <c:pt idx="1695">
                  <c:v>5.1821752370718156E-2</c:v>
                </c:pt>
                <c:pt idx="1696">
                  <c:v>5.1821752370718156E-2</c:v>
                </c:pt>
                <c:pt idx="1697">
                  <c:v>5.1821752370718156E-2</c:v>
                </c:pt>
                <c:pt idx="1698">
                  <c:v>5.1821752370718156E-2</c:v>
                </c:pt>
                <c:pt idx="1699">
                  <c:v>5.1821752370718156E-2</c:v>
                </c:pt>
                <c:pt idx="1700">
                  <c:v>5.1821752370718156E-2</c:v>
                </c:pt>
                <c:pt idx="1701">
                  <c:v>5.1821752370718156E-2</c:v>
                </c:pt>
                <c:pt idx="1702">
                  <c:v>5.1821752370718156E-2</c:v>
                </c:pt>
                <c:pt idx="1703">
                  <c:v>5.1821752370718156E-2</c:v>
                </c:pt>
                <c:pt idx="1704">
                  <c:v>5.1821752370718156E-2</c:v>
                </c:pt>
                <c:pt idx="1705">
                  <c:v>5.1821752370718156E-2</c:v>
                </c:pt>
                <c:pt idx="1706">
                  <c:v>5.1821752370718156E-2</c:v>
                </c:pt>
                <c:pt idx="1707">
                  <c:v>5.1821752370718156E-2</c:v>
                </c:pt>
                <c:pt idx="1708">
                  <c:v>5.1821752370718156E-2</c:v>
                </c:pt>
                <c:pt idx="1709">
                  <c:v>5.1821752370718156E-2</c:v>
                </c:pt>
                <c:pt idx="1710">
                  <c:v>5.1821752370718156E-2</c:v>
                </c:pt>
                <c:pt idx="1711">
                  <c:v>5.1821752370718156E-2</c:v>
                </c:pt>
                <c:pt idx="1712">
                  <c:v>5.1821752370718156E-2</c:v>
                </c:pt>
                <c:pt idx="1713">
                  <c:v>5.1821752370718156E-2</c:v>
                </c:pt>
                <c:pt idx="1714">
                  <c:v>5.1821752370718156E-2</c:v>
                </c:pt>
                <c:pt idx="1715">
                  <c:v>5.1821752370718156E-2</c:v>
                </c:pt>
                <c:pt idx="1716">
                  <c:v>5.1821752370718156E-2</c:v>
                </c:pt>
                <c:pt idx="1717">
                  <c:v>5.1821752370718156E-2</c:v>
                </c:pt>
                <c:pt idx="1718">
                  <c:v>5.1821752370718156E-2</c:v>
                </c:pt>
                <c:pt idx="1719">
                  <c:v>5.1821752370718156E-2</c:v>
                </c:pt>
                <c:pt idx="1720">
                  <c:v>5.1821752370718156E-2</c:v>
                </c:pt>
                <c:pt idx="1721">
                  <c:v>5.1821752370718156E-2</c:v>
                </c:pt>
                <c:pt idx="1722">
                  <c:v>5.1821752370718156E-2</c:v>
                </c:pt>
                <c:pt idx="1723">
                  <c:v>5.1821752370718156E-2</c:v>
                </c:pt>
                <c:pt idx="1724">
                  <c:v>5.1821752370718156E-2</c:v>
                </c:pt>
                <c:pt idx="1725">
                  <c:v>5.1821752370718156E-2</c:v>
                </c:pt>
                <c:pt idx="1726">
                  <c:v>5.1821752370718156E-2</c:v>
                </c:pt>
                <c:pt idx="1727">
                  <c:v>5.1821752370718156E-2</c:v>
                </c:pt>
                <c:pt idx="1728">
                  <c:v>5.1821752370718156E-2</c:v>
                </c:pt>
                <c:pt idx="1729">
                  <c:v>5.1821752370718156E-2</c:v>
                </c:pt>
                <c:pt idx="1730">
                  <c:v>5.1821752370718156E-2</c:v>
                </c:pt>
                <c:pt idx="1731">
                  <c:v>5.1821752370718156E-2</c:v>
                </c:pt>
                <c:pt idx="1732">
                  <c:v>5.1821752370718156E-2</c:v>
                </c:pt>
                <c:pt idx="1733">
                  <c:v>5.1821752370718156E-2</c:v>
                </c:pt>
                <c:pt idx="1734">
                  <c:v>5.1821752370718156E-2</c:v>
                </c:pt>
                <c:pt idx="1735">
                  <c:v>5.1821752370718156E-2</c:v>
                </c:pt>
                <c:pt idx="1736">
                  <c:v>5.1821752370718156E-2</c:v>
                </c:pt>
                <c:pt idx="1737">
                  <c:v>5.1821752370718156E-2</c:v>
                </c:pt>
                <c:pt idx="1738">
                  <c:v>5.1821752370718156E-2</c:v>
                </c:pt>
                <c:pt idx="1739">
                  <c:v>5.1821752370718156E-2</c:v>
                </c:pt>
                <c:pt idx="1740">
                  <c:v>5.1821752370718156E-2</c:v>
                </c:pt>
                <c:pt idx="1741">
                  <c:v>5.1821752370718156E-2</c:v>
                </c:pt>
                <c:pt idx="1742">
                  <c:v>5.1821752370718156E-2</c:v>
                </c:pt>
                <c:pt idx="1743">
                  <c:v>5.1821752370718156E-2</c:v>
                </c:pt>
                <c:pt idx="1744">
                  <c:v>5.1821752370718156E-2</c:v>
                </c:pt>
                <c:pt idx="1745">
                  <c:v>5.1821752370718156E-2</c:v>
                </c:pt>
                <c:pt idx="1746">
                  <c:v>5.1821752370718156E-2</c:v>
                </c:pt>
                <c:pt idx="1747">
                  <c:v>5.1821752370718156E-2</c:v>
                </c:pt>
                <c:pt idx="1748">
                  <c:v>5.1821752370718156E-2</c:v>
                </c:pt>
                <c:pt idx="1749">
                  <c:v>5.1821752370718156E-2</c:v>
                </c:pt>
                <c:pt idx="1750">
                  <c:v>5.1821752370718156E-2</c:v>
                </c:pt>
                <c:pt idx="1751">
                  <c:v>5.1821752370718156E-2</c:v>
                </c:pt>
                <c:pt idx="1752">
                  <c:v>5.1821752370718156E-2</c:v>
                </c:pt>
                <c:pt idx="1753">
                  <c:v>5.1821752370718156E-2</c:v>
                </c:pt>
                <c:pt idx="1754">
                  <c:v>5.1821752370718156E-2</c:v>
                </c:pt>
                <c:pt idx="1755">
                  <c:v>5.1821752370718156E-2</c:v>
                </c:pt>
                <c:pt idx="1756">
                  <c:v>5.1821752370718156E-2</c:v>
                </c:pt>
                <c:pt idx="1757">
                  <c:v>5.1821752370718156E-2</c:v>
                </c:pt>
                <c:pt idx="1758">
                  <c:v>5.1821752370718156E-2</c:v>
                </c:pt>
                <c:pt idx="1759">
                  <c:v>5.1821752370718156E-2</c:v>
                </c:pt>
                <c:pt idx="1760">
                  <c:v>5.1821752370718156E-2</c:v>
                </c:pt>
                <c:pt idx="1761">
                  <c:v>5.1821752370718156E-2</c:v>
                </c:pt>
                <c:pt idx="1762">
                  <c:v>5.1821752370718156E-2</c:v>
                </c:pt>
                <c:pt idx="1763">
                  <c:v>5.1821752370718156E-2</c:v>
                </c:pt>
                <c:pt idx="1764">
                  <c:v>5.1821752370718156E-2</c:v>
                </c:pt>
                <c:pt idx="1765">
                  <c:v>5.1821752370718156E-2</c:v>
                </c:pt>
                <c:pt idx="1766">
                  <c:v>5.1821752370718156E-2</c:v>
                </c:pt>
                <c:pt idx="1767">
                  <c:v>5.1821752370718156E-2</c:v>
                </c:pt>
                <c:pt idx="1768">
                  <c:v>5.1821752370718156E-2</c:v>
                </c:pt>
                <c:pt idx="1769">
                  <c:v>5.1821752370718156E-2</c:v>
                </c:pt>
                <c:pt idx="1770">
                  <c:v>5.1821752370718156E-2</c:v>
                </c:pt>
                <c:pt idx="1771">
                  <c:v>5.1821752370718156E-2</c:v>
                </c:pt>
                <c:pt idx="1772">
                  <c:v>5.1821752370718156E-2</c:v>
                </c:pt>
                <c:pt idx="1773">
                  <c:v>5.1821752370718156E-2</c:v>
                </c:pt>
                <c:pt idx="1774">
                  <c:v>5.1821752370718156E-2</c:v>
                </c:pt>
                <c:pt idx="1775">
                  <c:v>5.1821752370718156E-2</c:v>
                </c:pt>
                <c:pt idx="1776">
                  <c:v>5.1821752370718156E-2</c:v>
                </c:pt>
                <c:pt idx="1777">
                  <c:v>5.1821752370718156E-2</c:v>
                </c:pt>
                <c:pt idx="1778">
                  <c:v>5.1821752370718156E-2</c:v>
                </c:pt>
                <c:pt idx="1779">
                  <c:v>5.1821752370718156E-2</c:v>
                </c:pt>
                <c:pt idx="1780">
                  <c:v>5.1821752370718156E-2</c:v>
                </c:pt>
                <c:pt idx="1781">
                  <c:v>5.1821752370718156E-2</c:v>
                </c:pt>
                <c:pt idx="1782">
                  <c:v>5.1821752370718156E-2</c:v>
                </c:pt>
                <c:pt idx="1783">
                  <c:v>5.1821752370718156E-2</c:v>
                </c:pt>
                <c:pt idx="1784">
                  <c:v>5.1821752370718156E-2</c:v>
                </c:pt>
                <c:pt idx="1785">
                  <c:v>5.1821752370718156E-2</c:v>
                </c:pt>
                <c:pt idx="1786">
                  <c:v>5.1821752370718156E-2</c:v>
                </c:pt>
                <c:pt idx="1787">
                  <c:v>5.1821752370718156E-2</c:v>
                </c:pt>
                <c:pt idx="1788">
                  <c:v>5.1821752370718156E-2</c:v>
                </c:pt>
                <c:pt idx="1789">
                  <c:v>5.1821752370718156E-2</c:v>
                </c:pt>
                <c:pt idx="1790">
                  <c:v>5.1821752370718156E-2</c:v>
                </c:pt>
                <c:pt idx="1791">
                  <c:v>5.1821752370718156E-2</c:v>
                </c:pt>
                <c:pt idx="1792">
                  <c:v>5.1821752370718156E-2</c:v>
                </c:pt>
                <c:pt idx="1793">
                  <c:v>5.1821752370718156E-2</c:v>
                </c:pt>
                <c:pt idx="1794">
                  <c:v>5.1821752370718156E-2</c:v>
                </c:pt>
                <c:pt idx="1795">
                  <c:v>5.1821752370718156E-2</c:v>
                </c:pt>
                <c:pt idx="1796">
                  <c:v>5.1821752370718156E-2</c:v>
                </c:pt>
                <c:pt idx="1797">
                  <c:v>5.1821752370718156E-2</c:v>
                </c:pt>
                <c:pt idx="1798">
                  <c:v>5.1821752370718156E-2</c:v>
                </c:pt>
                <c:pt idx="1799">
                  <c:v>5.1821752370718156E-2</c:v>
                </c:pt>
                <c:pt idx="1800">
                  <c:v>5.1821752370718156E-2</c:v>
                </c:pt>
                <c:pt idx="1801">
                  <c:v>5.1821752370718156E-2</c:v>
                </c:pt>
                <c:pt idx="1802">
                  <c:v>5.1821752370718156E-2</c:v>
                </c:pt>
                <c:pt idx="1803">
                  <c:v>5.1821752370718156E-2</c:v>
                </c:pt>
                <c:pt idx="1804">
                  <c:v>5.1821752370718156E-2</c:v>
                </c:pt>
                <c:pt idx="1805">
                  <c:v>5.1821752370718156E-2</c:v>
                </c:pt>
                <c:pt idx="1806">
                  <c:v>5.1821752370718156E-2</c:v>
                </c:pt>
                <c:pt idx="1807">
                  <c:v>5.1821752370718156E-2</c:v>
                </c:pt>
                <c:pt idx="1808">
                  <c:v>5.1821752370718156E-2</c:v>
                </c:pt>
                <c:pt idx="1809">
                  <c:v>5.1821752370718156E-2</c:v>
                </c:pt>
                <c:pt idx="1810">
                  <c:v>5.1821752370718156E-2</c:v>
                </c:pt>
                <c:pt idx="1811">
                  <c:v>5.1821752370718156E-2</c:v>
                </c:pt>
                <c:pt idx="1812">
                  <c:v>5.1821752370718156E-2</c:v>
                </c:pt>
                <c:pt idx="1813">
                  <c:v>5.1821752370718156E-2</c:v>
                </c:pt>
                <c:pt idx="1814">
                  <c:v>5.1821752370718156E-2</c:v>
                </c:pt>
                <c:pt idx="1815">
                  <c:v>5.1821752370718156E-2</c:v>
                </c:pt>
                <c:pt idx="1816">
                  <c:v>5.1821752370718156E-2</c:v>
                </c:pt>
                <c:pt idx="1817">
                  <c:v>5.1821752370718156E-2</c:v>
                </c:pt>
                <c:pt idx="1818">
                  <c:v>5.1821752370718156E-2</c:v>
                </c:pt>
                <c:pt idx="1819">
                  <c:v>5.1821752370718156E-2</c:v>
                </c:pt>
                <c:pt idx="1820">
                  <c:v>5.1821752370718156E-2</c:v>
                </c:pt>
                <c:pt idx="1821">
                  <c:v>5.1821752370718156E-2</c:v>
                </c:pt>
                <c:pt idx="1822">
                  <c:v>5.1821752370718156E-2</c:v>
                </c:pt>
                <c:pt idx="1823">
                  <c:v>5.1821752370718156E-2</c:v>
                </c:pt>
                <c:pt idx="1824">
                  <c:v>5.1821752370718156E-2</c:v>
                </c:pt>
                <c:pt idx="1825">
                  <c:v>5.1821752370718156E-2</c:v>
                </c:pt>
                <c:pt idx="1826">
                  <c:v>5.1821752370718156E-2</c:v>
                </c:pt>
                <c:pt idx="1827">
                  <c:v>5.1821752370718156E-2</c:v>
                </c:pt>
                <c:pt idx="1828">
                  <c:v>5.1821752370718156E-2</c:v>
                </c:pt>
                <c:pt idx="1829">
                  <c:v>5.1821752370718156E-2</c:v>
                </c:pt>
                <c:pt idx="1830">
                  <c:v>5.1821752370718156E-2</c:v>
                </c:pt>
                <c:pt idx="1831">
                  <c:v>5.1821752370718156E-2</c:v>
                </c:pt>
                <c:pt idx="1832">
                  <c:v>5.1821752370718156E-2</c:v>
                </c:pt>
                <c:pt idx="1833">
                  <c:v>5.1821752370718156E-2</c:v>
                </c:pt>
                <c:pt idx="1834">
                  <c:v>5.1821752370718156E-2</c:v>
                </c:pt>
                <c:pt idx="1835">
                  <c:v>5.1821752370718156E-2</c:v>
                </c:pt>
                <c:pt idx="1836">
                  <c:v>5.1821752370718156E-2</c:v>
                </c:pt>
                <c:pt idx="1837">
                  <c:v>5.1821752370718156E-2</c:v>
                </c:pt>
                <c:pt idx="1838">
                  <c:v>5.1821752370718156E-2</c:v>
                </c:pt>
                <c:pt idx="1839">
                  <c:v>5.1821752370718156E-2</c:v>
                </c:pt>
                <c:pt idx="1840">
                  <c:v>5.1821752370718156E-2</c:v>
                </c:pt>
                <c:pt idx="1841">
                  <c:v>5.1821752370718156E-2</c:v>
                </c:pt>
                <c:pt idx="1842">
                  <c:v>5.1821752370718156E-2</c:v>
                </c:pt>
                <c:pt idx="1843">
                  <c:v>5.1821752370718156E-2</c:v>
                </c:pt>
                <c:pt idx="1844">
                  <c:v>5.1821752370718156E-2</c:v>
                </c:pt>
                <c:pt idx="1845">
                  <c:v>5.1821752370718156E-2</c:v>
                </c:pt>
                <c:pt idx="1846">
                  <c:v>5.1821752370718156E-2</c:v>
                </c:pt>
                <c:pt idx="1847">
                  <c:v>5.1821752370718156E-2</c:v>
                </c:pt>
                <c:pt idx="1848">
                  <c:v>5.1821752370718156E-2</c:v>
                </c:pt>
                <c:pt idx="1849">
                  <c:v>5.1821752370718156E-2</c:v>
                </c:pt>
                <c:pt idx="1850">
                  <c:v>5.1821752370718156E-2</c:v>
                </c:pt>
                <c:pt idx="1851">
                  <c:v>5.1821752370718156E-2</c:v>
                </c:pt>
                <c:pt idx="1852">
                  <c:v>5.1821752370718156E-2</c:v>
                </c:pt>
                <c:pt idx="1853">
                  <c:v>5.1821752370718156E-2</c:v>
                </c:pt>
                <c:pt idx="1854">
                  <c:v>5.1821752370718156E-2</c:v>
                </c:pt>
                <c:pt idx="1855">
                  <c:v>5.1821752370718156E-2</c:v>
                </c:pt>
                <c:pt idx="1856">
                  <c:v>5.1821752370718156E-2</c:v>
                </c:pt>
                <c:pt idx="1857">
                  <c:v>5.1821752370718156E-2</c:v>
                </c:pt>
                <c:pt idx="1858">
                  <c:v>5.1821752370718156E-2</c:v>
                </c:pt>
                <c:pt idx="1859">
                  <c:v>5.1821752370718156E-2</c:v>
                </c:pt>
                <c:pt idx="1860">
                  <c:v>5.1821752370718156E-2</c:v>
                </c:pt>
                <c:pt idx="1861">
                  <c:v>5.1821752370718156E-2</c:v>
                </c:pt>
                <c:pt idx="1862">
                  <c:v>5.1821752370718156E-2</c:v>
                </c:pt>
                <c:pt idx="1863">
                  <c:v>5.1821752370718156E-2</c:v>
                </c:pt>
                <c:pt idx="1864">
                  <c:v>5.1821752370718156E-2</c:v>
                </c:pt>
                <c:pt idx="1865">
                  <c:v>5.1821752370718156E-2</c:v>
                </c:pt>
                <c:pt idx="1866">
                  <c:v>5.1821752370718156E-2</c:v>
                </c:pt>
                <c:pt idx="1867">
                  <c:v>5.1821752370718156E-2</c:v>
                </c:pt>
                <c:pt idx="1868">
                  <c:v>5.1821752370718156E-2</c:v>
                </c:pt>
                <c:pt idx="1869">
                  <c:v>5.1821752370718156E-2</c:v>
                </c:pt>
                <c:pt idx="1870">
                  <c:v>5.1821752370718156E-2</c:v>
                </c:pt>
                <c:pt idx="1871">
                  <c:v>5.1821752370718156E-2</c:v>
                </c:pt>
                <c:pt idx="1872">
                  <c:v>5.1821752370718156E-2</c:v>
                </c:pt>
                <c:pt idx="1873">
                  <c:v>5.1821752370718156E-2</c:v>
                </c:pt>
                <c:pt idx="1874">
                  <c:v>5.1821752370718156E-2</c:v>
                </c:pt>
                <c:pt idx="1875">
                  <c:v>5.1821752370718156E-2</c:v>
                </c:pt>
                <c:pt idx="1876">
                  <c:v>5.1821752370718156E-2</c:v>
                </c:pt>
                <c:pt idx="1877">
                  <c:v>5.1821752370718156E-2</c:v>
                </c:pt>
                <c:pt idx="1878">
                  <c:v>5.1821752370718156E-2</c:v>
                </c:pt>
                <c:pt idx="1879">
                  <c:v>5.1821752370718156E-2</c:v>
                </c:pt>
                <c:pt idx="1880">
                  <c:v>5.1821752370718156E-2</c:v>
                </c:pt>
                <c:pt idx="1881">
                  <c:v>5.1821752370718156E-2</c:v>
                </c:pt>
                <c:pt idx="1882">
                  <c:v>5.1821752370718156E-2</c:v>
                </c:pt>
                <c:pt idx="1883">
                  <c:v>5.1821752370718156E-2</c:v>
                </c:pt>
                <c:pt idx="1884">
                  <c:v>5.1821752370718156E-2</c:v>
                </c:pt>
                <c:pt idx="1885">
                  <c:v>5.1821752370718156E-2</c:v>
                </c:pt>
                <c:pt idx="1886">
                  <c:v>5.1821752370718156E-2</c:v>
                </c:pt>
                <c:pt idx="1887">
                  <c:v>5.1821752370718156E-2</c:v>
                </c:pt>
                <c:pt idx="1888">
                  <c:v>5.1821752370718156E-2</c:v>
                </c:pt>
                <c:pt idx="1889">
                  <c:v>5.1821752370718156E-2</c:v>
                </c:pt>
                <c:pt idx="1890">
                  <c:v>5.1821752370718156E-2</c:v>
                </c:pt>
                <c:pt idx="1891">
                  <c:v>5.1821752370718156E-2</c:v>
                </c:pt>
                <c:pt idx="1892">
                  <c:v>5.1821752370718156E-2</c:v>
                </c:pt>
                <c:pt idx="1893">
                  <c:v>5.1821752370718156E-2</c:v>
                </c:pt>
                <c:pt idx="1894">
                  <c:v>5.1821752370718156E-2</c:v>
                </c:pt>
                <c:pt idx="1895">
                  <c:v>5.1821752370718156E-2</c:v>
                </c:pt>
                <c:pt idx="1896">
                  <c:v>5.1821752370718156E-2</c:v>
                </c:pt>
                <c:pt idx="1897">
                  <c:v>5.1821752370718156E-2</c:v>
                </c:pt>
                <c:pt idx="1898">
                  <c:v>5.1821752370718156E-2</c:v>
                </c:pt>
                <c:pt idx="1899">
                  <c:v>5.1821752370718156E-2</c:v>
                </c:pt>
                <c:pt idx="1900">
                  <c:v>5.1821752370718156E-2</c:v>
                </c:pt>
                <c:pt idx="1901">
                  <c:v>5.1821752370718156E-2</c:v>
                </c:pt>
                <c:pt idx="1902">
                  <c:v>5.1821752370718156E-2</c:v>
                </c:pt>
                <c:pt idx="1903">
                  <c:v>5.1821752370718156E-2</c:v>
                </c:pt>
                <c:pt idx="1904">
                  <c:v>5.1821752370718156E-2</c:v>
                </c:pt>
                <c:pt idx="1905">
                  <c:v>5.1821752370718156E-2</c:v>
                </c:pt>
                <c:pt idx="1906">
                  <c:v>5.1821752370718156E-2</c:v>
                </c:pt>
                <c:pt idx="1907">
                  <c:v>5.1821752370718156E-2</c:v>
                </c:pt>
                <c:pt idx="1908">
                  <c:v>5.1821752370718156E-2</c:v>
                </c:pt>
                <c:pt idx="1909">
                  <c:v>5.1821752370718156E-2</c:v>
                </c:pt>
                <c:pt idx="1910">
                  <c:v>5.1821752370718156E-2</c:v>
                </c:pt>
                <c:pt idx="1911">
                  <c:v>5.1821752370718156E-2</c:v>
                </c:pt>
                <c:pt idx="1912">
                  <c:v>5.1821752370718156E-2</c:v>
                </c:pt>
                <c:pt idx="1913">
                  <c:v>5.1821752370718156E-2</c:v>
                </c:pt>
                <c:pt idx="1914">
                  <c:v>5.1821752370718156E-2</c:v>
                </c:pt>
                <c:pt idx="1915">
                  <c:v>5.1821752370718156E-2</c:v>
                </c:pt>
                <c:pt idx="1916">
                  <c:v>5.1821752370718156E-2</c:v>
                </c:pt>
                <c:pt idx="1917">
                  <c:v>5.1821752370718156E-2</c:v>
                </c:pt>
                <c:pt idx="1918">
                  <c:v>5.1821752370718156E-2</c:v>
                </c:pt>
                <c:pt idx="1919">
                  <c:v>5.1821752370718156E-2</c:v>
                </c:pt>
                <c:pt idx="1920">
                  <c:v>5.1821752370718156E-2</c:v>
                </c:pt>
                <c:pt idx="1921">
                  <c:v>5.1821752370718156E-2</c:v>
                </c:pt>
                <c:pt idx="1922">
                  <c:v>5.1821752370718156E-2</c:v>
                </c:pt>
                <c:pt idx="1923">
                  <c:v>5.1821752370718156E-2</c:v>
                </c:pt>
                <c:pt idx="1924">
                  <c:v>5.1821752370718156E-2</c:v>
                </c:pt>
                <c:pt idx="1925">
                  <c:v>5.1821752370718156E-2</c:v>
                </c:pt>
                <c:pt idx="1926">
                  <c:v>5.1821752370718156E-2</c:v>
                </c:pt>
                <c:pt idx="1927">
                  <c:v>5.1821752370718156E-2</c:v>
                </c:pt>
                <c:pt idx="1928">
                  <c:v>5.1821752370718156E-2</c:v>
                </c:pt>
                <c:pt idx="1929">
                  <c:v>5.1821752370718156E-2</c:v>
                </c:pt>
                <c:pt idx="1930">
                  <c:v>5.1821752370718156E-2</c:v>
                </c:pt>
                <c:pt idx="1931">
                  <c:v>5.1821752370718156E-2</c:v>
                </c:pt>
                <c:pt idx="1932">
                  <c:v>5.1821752370718156E-2</c:v>
                </c:pt>
                <c:pt idx="1933">
                  <c:v>5.1821752370718156E-2</c:v>
                </c:pt>
                <c:pt idx="1934">
                  <c:v>5.1821752370718156E-2</c:v>
                </c:pt>
                <c:pt idx="1935">
                  <c:v>5.1821752370718156E-2</c:v>
                </c:pt>
                <c:pt idx="1936">
                  <c:v>5.1821752370718156E-2</c:v>
                </c:pt>
                <c:pt idx="1937">
                  <c:v>5.1821752370718156E-2</c:v>
                </c:pt>
                <c:pt idx="1938">
                  <c:v>5.1821752370718156E-2</c:v>
                </c:pt>
                <c:pt idx="1939">
                  <c:v>5.1821752370718156E-2</c:v>
                </c:pt>
                <c:pt idx="1940">
                  <c:v>5.1821752370718156E-2</c:v>
                </c:pt>
                <c:pt idx="1941">
                  <c:v>5.1821752370718156E-2</c:v>
                </c:pt>
                <c:pt idx="1942">
                  <c:v>5.1821752370718156E-2</c:v>
                </c:pt>
                <c:pt idx="1943">
                  <c:v>5.1821752370718156E-2</c:v>
                </c:pt>
                <c:pt idx="1944">
                  <c:v>5.1821752370718156E-2</c:v>
                </c:pt>
                <c:pt idx="1945">
                  <c:v>5.1821752370718156E-2</c:v>
                </c:pt>
                <c:pt idx="1946">
                  <c:v>5.1821752370718156E-2</c:v>
                </c:pt>
                <c:pt idx="1947">
                  <c:v>5.1821752370718156E-2</c:v>
                </c:pt>
                <c:pt idx="1948">
                  <c:v>5.1821752370718156E-2</c:v>
                </c:pt>
                <c:pt idx="1949">
                  <c:v>5.1821752370718156E-2</c:v>
                </c:pt>
                <c:pt idx="1950">
                  <c:v>5.1821752370718156E-2</c:v>
                </c:pt>
                <c:pt idx="1951">
                  <c:v>5.1821752370718156E-2</c:v>
                </c:pt>
                <c:pt idx="1952">
                  <c:v>5.1821752370718156E-2</c:v>
                </c:pt>
                <c:pt idx="1953">
                  <c:v>5.1821752370718156E-2</c:v>
                </c:pt>
                <c:pt idx="1954">
                  <c:v>5.1821752370718156E-2</c:v>
                </c:pt>
                <c:pt idx="1955">
                  <c:v>5.1821752370718156E-2</c:v>
                </c:pt>
                <c:pt idx="1956">
                  <c:v>5.1821752370718156E-2</c:v>
                </c:pt>
                <c:pt idx="1957">
                  <c:v>5.1821752370718156E-2</c:v>
                </c:pt>
                <c:pt idx="1958">
                  <c:v>5.1821752370718156E-2</c:v>
                </c:pt>
                <c:pt idx="1959">
                  <c:v>5.1821752370718156E-2</c:v>
                </c:pt>
                <c:pt idx="1960">
                  <c:v>5.1821752370718156E-2</c:v>
                </c:pt>
                <c:pt idx="1961">
                  <c:v>5.1821752370718156E-2</c:v>
                </c:pt>
                <c:pt idx="1962">
                  <c:v>5.1821752370718156E-2</c:v>
                </c:pt>
                <c:pt idx="1963">
                  <c:v>5.1821752370718156E-2</c:v>
                </c:pt>
                <c:pt idx="1964">
                  <c:v>5.1821752370718156E-2</c:v>
                </c:pt>
                <c:pt idx="1965">
                  <c:v>5.1821752370718156E-2</c:v>
                </c:pt>
                <c:pt idx="1966">
                  <c:v>5.1821752370718156E-2</c:v>
                </c:pt>
                <c:pt idx="1967">
                  <c:v>5.1821752370718156E-2</c:v>
                </c:pt>
                <c:pt idx="1968">
                  <c:v>5.1821752370718156E-2</c:v>
                </c:pt>
                <c:pt idx="1969">
                  <c:v>5.1821752370718156E-2</c:v>
                </c:pt>
                <c:pt idx="1970">
                  <c:v>5.1821752370718156E-2</c:v>
                </c:pt>
                <c:pt idx="1971">
                  <c:v>5.1821752370718156E-2</c:v>
                </c:pt>
                <c:pt idx="1972">
                  <c:v>5.1821752370718156E-2</c:v>
                </c:pt>
                <c:pt idx="1973">
                  <c:v>5.1821752370718156E-2</c:v>
                </c:pt>
                <c:pt idx="1974">
                  <c:v>5.1821752370718156E-2</c:v>
                </c:pt>
                <c:pt idx="1975">
                  <c:v>5.1821752370718156E-2</c:v>
                </c:pt>
                <c:pt idx="1976">
                  <c:v>5.1821752370718156E-2</c:v>
                </c:pt>
                <c:pt idx="1977">
                  <c:v>5.1821752370718156E-2</c:v>
                </c:pt>
                <c:pt idx="1978">
                  <c:v>5.1821752370718156E-2</c:v>
                </c:pt>
                <c:pt idx="1979">
                  <c:v>5.1821752370718156E-2</c:v>
                </c:pt>
                <c:pt idx="1980">
                  <c:v>5.1821752370718156E-2</c:v>
                </c:pt>
                <c:pt idx="1981">
                  <c:v>5.1821752370718156E-2</c:v>
                </c:pt>
                <c:pt idx="1982">
                  <c:v>5.1821752370718156E-2</c:v>
                </c:pt>
                <c:pt idx="1983">
                  <c:v>5.1821752370718156E-2</c:v>
                </c:pt>
                <c:pt idx="1984">
                  <c:v>5.1821752370718156E-2</c:v>
                </c:pt>
                <c:pt idx="1985">
                  <c:v>5.1821752370718156E-2</c:v>
                </c:pt>
                <c:pt idx="1986">
                  <c:v>5.1821752370718156E-2</c:v>
                </c:pt>
                <c:pt idx="1987">
                  <c:v>5.1821752370718156E-2</c:v>
                </c:pt>
                <c:pt idx="1988">
                  <c:v>5.1821752370718156E-2</c:v>
                </c:pt>
                <c:pt idx="1989">
                  <c:v>5.1821752370718156E-2</c:v>
                </c:pt>
                <c:pt idx="1990">
                  <c:v>5.1821752370718156E-2</c:v>
                </c:pt>
                <c:pt idx="1991">
                  <c:v>5.1821752370718156E-2</c:v>
                </c:pt>
                <c:pt idx="1992">
                  <c:v>5.1821752370718156E-2</c:v>
                </c:pt>
                <c:pt idx="1993">
                  <c:v>5.1821752370718156E-2</c:v>
                </c:pt>
                <c:pt idx="1994">
                  <c:v>5.1821752370718156E-2</c:v>
                </c:pt>
                <c:pt idx="1995">
                  <c:v>5.1821752370718156E-2</c:v>
                </c:pt>
                <c:pt idx="1996">
                  <c:v>5.1821752370718156E-2</c:v>
                </c:pt>
                <c:pt idx="1997">
                  <c:v>5.1821752370718156E-2</c:v>
                </c:pt>
                <c:pt idx="1998">
                  <c:v>5.1821752370718156E-2</c:v>
                </c:pt>
                <c:pt idx="1999">
                  <c:v>5.1821752370718156E-2</c:v>
                </c:pt>
                <c:pt idx="2000">
                  <c:v>5.1821752370718156E-2</c:v>
                </c:pt>
                <c:pt idx="2001">
                  <c:v>5.1821752370718156E-2</c:v>
                </c:pt>
                <c:pt idx="2002">
                  <c:v>5.1821752370718156E-2</c:v>
                </c:pt>
                <c:pt idx="2003">
                  <c:v>5.1821752370718156E-2</c:v>
                </c:pt>
                <c:pt idx="2004">
                  <c:v>5.1821752370718156E-2</c:v>
                </c:pt>
                <c:pt idx="2005">
                  <c:v>5.1821752370718156E-2</c:v>
                </c:pt>
                <c:pt idx="2006">
                  <c:v>5.1821752370718156E-2</c:v>
                </c:pt>
                <c:pt idx="2007">
                  <c:v>5.1821752370718156E-2</c:v>
                </c:pt>
                <c:pt idx="2008">
                  <c:v>5.1821752370718156E-2</c:v>
                </c:pt>
                <c:pt idx="2009">
                  <c:v>5.1821752370718156E-2</c:v>
                </c:pt>
                <c:pt idx="2010">
                  <c:v>5.1821752370718156E-2</c:v>
                </c:pt>
                <c:pt idx="2011">
                  <c:v>5.1821752370718156E-2</c:v>
                </c:pt>
                <c:pt idx="2012">
                  <c:v>5.1821752370718156E-2</c:v>
                </c:pt>
                <c:pt idx="2013">
                  <c:v>5.1821752370718156E-2</c:v>
                </c:pt>
                <c:pt idx="2014">
                  <c:v>5.1821752370718156E-2</c:v>
                </c:pt>
                <c:pt idx="2015">
                  <c:v>5.1821752370718156E-2</c:v>
                </c:pt>
                <c:pt idx="2016">
                  <c:v>5.1821752370718156E-2</c:v>
                </c:pt>
                <c:pt idx="2017">
                  <c:v>5.1821752370718156E-2</c:v>
                </c:pt>
                <c:pt idx="2018">
                  <c:v>5.1821752370718156E-2</c:v>
                </c:pt>
                <c:pt idx="2019">
                  <c:v>5.1821752370718156E-2</c:v>
                </c:pt>
                <c:pt idx="2020">
                  <c:v>5.1821752370718156E-2</c:v>
                </c:pt>
                <c:pt idx="2021">
                  <c:v>5.1821752370718156E-2</c:v>
                </c:pt>
                <c:pt idx="2022">
                  <c:v>5.1821752370718156E-2</c:v>
                </c:pt>
                <c:pt idx="2023">
                  <c:v>5.1821752370718156E-2</c:v>
                </c:pt>
                <c:pt idx="2024">
                  <c:v>5.1821752370718156E-2</c:v>
                </c:pt>
                <c:pt idx="2025">
                  <c:v>5.1821752370718156E-2</c:v>
                </c:pt>
                <c:pt idx="2026">
                  <c:v>5.1821752370718156E-2</c:v>
                </c:pt>
                <c:pt idx="2027">
                  <c:v>5.1821752370718156E-2</c:v>
                </c:pt>
                <c:pt idx="2028">
                  <c:v>5.1821752370718156E-2</c:v>
                </c:pt>
                <c:pt idx="2029">
                  <c:v>5.1821752370718156E-2</c:v>
                </c:pt>
                <c:pt idx="2030">
                  <c:v>5.1821752370718156E-2</c:v>
                </c:pt>
                <c:pt idx="2031">
                  <c:v>5.1821752370718156E-2</c:v>
                </c:pt>
                <c:pt idx="2032">
                  <c:v>5.1821752370718156E-2</c:v>
                </c:pt>
                <c:pt idx="2033">
                  <c:v>5.1821752370718156E-2</c:v>
                </c:pt>
                <c:pt idx="2034">
                  <c:v>5.1821752370718156E-2</c:v>
                </c:pt>
                <c:pt idx="2035">
                  <c:v>5.1821752370718156E-2</c:v>
                </c:pt>
                <c:pt idx="2036">
                  <c:v>5.1821752370718156E-2</c:v>
                </c:pt>
                <c:pt idx="2037">
                  <c:v>5.1821752370718156E-2</c:v>
                </c:pt>
                <c:pt idx="2038">
                  <c:v>5.1821752370718156E-2</c:v>
                </c:pt>
                <c:pt idx="2039">
                  <c:v>5.1821752370718156E-2</c:v>
                </c:pt>
                <c:pt idx="2040">
                  <c:v>5.1821752370718156E-2</c:v>
                </c:pt>
                <c:pt idx="2041">
                  <c:v>5.1821752370718156E-2</c:v>
                </c:pt>
                <c:pt idx="2042">
                  <c:v>5.1821752370718156E-2</c:v>
                </c:pt>
                <c:pt idx="2043">
                  <c:v>5.1821752370718156E-2</c:v>
                </c:pt>
                <c:pt idx="2044">
                  <c:v>5.1821752370718156E-2</c:v>
                </c:pt>
                <c:pt idx="2045">
                  <c:v>5.1821752370718156E-2</c:v>
                </c:pt>
                <c:pt idx="2046">
                  <c:v>5.1821752370718156E-2</c:v>
                </c:pt>
                <c:pt idx="2047">
                  <c:v>5.1821752370718156E-2</c:v>
                </c:pt>
                <c:pt idx="2048">
                  <c:v>5.1821752370718156E-2</c:v>
                </c:pt>
                <c:pt idx="2049">
                  <c:v>5.1821752370718156E-2</c:v>
                </c:pt>
                <c:pt idx="2050">
                  <c:v>5.1821752370718156E-2</c:v>
                </c:pt>
                <c:pt idx="2051">
                  <c:v>5.1821752370718156E-2</c:v>
                </c:pt>
                <c:pt idx="2052">
                  <c:v>5.1821752370718156E-2</c:v>
                </c:pt>
                <c:pt idx="2053">
                  <c:v>5.1821752370718156E-2</c:v>
                </c:pt>
                <c:pt idx="2054">
                  <c:v>5.1821752370718156E-2</c:v>
                </c:pt>
                <c:pt idx="2055">
                  <c:v>5.1821752370718156E-2</c:v>
                </c:pt>
                <c:pt idx="2056">
                  <c:v>5.1821752370718156E-2</c:v>
                </c:pt>
                <c:pt idx="2057">
                  <c:v>5.1821752370718156E-2</c:v>
                </c:pt>
                <c:pt idx="2058">
                  <c:v>5.1821752370718156E-2</c:v>
                </c:pt>
                <c:pt idx="2059">
                  <c:v>5.1821752370718156E-2</c:v>
                </c:pt>
                <c:pt idx="2060">
                  <c:v>5.1821752370718156E-2</c:v>
                </c:pt>
                <c:pt idx="2061">
                  <c:v>5.1821752370718156E-2</c:v>
                </c:pt>
                <c:pt idx="2062">
                  <c:v>5.1821752370718156E-2</c:v>
                </c:pt>
                <c:pt idx="2063">
                  <c:v>5.1821752370718156E-2</c:v>
                </c:pt>
                <c:pt idx="2064">
                  <c:v>5.1821752370718156E-2</c:v>
                </c:pt>
                <c:pt idx="2065">
                  <c:v>5.1821752370718156E-2</c:v>
                </c:pt>
                <c:pt idx="2066">
                  <c:v>5.1821752370718156E-2</c:v>
                </c:pt>
                <c:pt idx="2067">
                  <c:v>5.1821752370718156E-2</c:v>
                </c:pt>
                <c:pt idx="2068">
                  <c:v>5.1821752370718156E-2</c:v>
                </c:pt>
                <c:pt idx="2069">
                  <c:v>5.1821752370718156E-2</c:v>
                </c:pt>
                <c:pt idx="2070">
                  <c:v>5.1821752370718156E-2</c:v>
                </c:pt>
                <c:pt idx="2071">
                  <c:v>5.1821752370718156E-2</c:v>
                </c:pt>
                <c:pt idx="2072">
                  <c:v>5.1821752370718156E-2</c:v>
                </c:pt>
                <c:pt idx="2073">
                  <c:v>5.1821752370718156E-2</c:v>
                </c:pt>
                <c:pt idx="2074">
                  <c:v>5.1821752370718156E-2</c:v>
                </c:pt>
                <c:pt idx="2075">
                  <c:v>5.1821752370718156E-2</c:v>
                </c:pt>
                <c:pt idx="2076">
                  <c:v>5.1821752370718156E-2</c:v>
                </c:pt>
                <c:pt idx="2077">
                  <c:v>5.1821752370718156E-2</c:v>
                </c:pt>
                <c:pt idx="2078">
                  <c:v>5.1821752370718156E-2</c:v>
                </c:pt>
                <c:pt idx="2079">
                  <c:v>5.1821752370718156E-2</c:v>
                </c:pt>
                <c:pt idx="2080">
                  <c:v>5.1821752370718156E-2</c:v>
                </c:pt>
                <c:pt idx="2081">
                  <c:v>5.1821752370718156E-2</c:v>
                </c:pt>
                <c:pt idx="2082">
                  <c:v>5.1821752370718156E-2</c:v>
                </c:pt>
                <c:pt idx="2083">
                  <c:v>5.1821752370718156E-2</c:v>
                </c:pt>
                <c:pt idx="2084">
                  <c:v>5.1821752370718156E-2</c:v>
                </c:pt>
                <c:pt idx="2085">
                  <c:v>5.1821752370718156E-2</c:v>
                </c:pt>
                <c:pt idx="2086">
                  <c:v>5.1821752370718156E-2</c:v>
                </c:pt>
                <c:pt idx="2087">
                  <c:v>5.1821752370718156E-2</c:v>
                </c:pt>
                <c:pt idx="2088">
                  <c:v>5.1821752370718156E-2</c:v>
                </c:pt>
                <c:pt idx="2089">
                  <c:v>5.1821752370718156E-2</c:v>
                </c:pt>
                <c:pt idx="2090">
                  <c:v>5.1821752370718156E-2</c:v>
                </c:pt>
                <c:pt idx="2091">
                  <c:v>5.1821752370718156E-2</c:v>
                </c:pt>
                <c:pt idx="2092">
                  <c:v>5.1821752370718156E-2</c:v>
                </c:pt>
                <c:pt idx="2093">
                  <c:v>5.1821752370718156E-2</c:v>
                </c:pt>
                <c:pt idx="2094">
                  <c:v>5.1821752370718156E-2</c:v>
                </c:pt>
                <c:pt idx="2095">
                  <c:v>5.1821752370718156E-2</c:v>
                </c:pt>
                <c:pt idx="2096">
                  <c:v>5.1821752370718156E-2</c:v>
                </c:pt>
                <c:pt idx="2097">
                  <c:v>5.1821752370718156E-2</c:v>
                </c:pt>
                <c:pt idx="2098">
                  <c:v>5.1821752370718156E-2</c:v>
                </c:pt>
                <c:pt idx="2099">
                  <c:v>5.1821752370718156E-2</c:v>
                </c:pt>
                <c:pt idx="2100">
                  <c:v>5.1821752370718156E-2</c:v>
                </c:pt>
                <c:pt idx="2101">
                  <c:v>5.1821752370718156E-2</c:v>
                </c:pt>
                <c:pt idx="2102">
                  <c:v>5.1821752370718156E-2</c:v>
                </c:pt>
                <c:pt idx="2103">
                  <c:v>5.1821752370718156E-2</c:v>
                </c:pt>
                <c:pt idx="2104">
                  <c:v>5.1821752370718156E-2</c:v>
                </c:pt>
                <c:pt idx="2105">
                  <c:v>5.1821752370718156E-2</c:v>
                </c:pt>
                <c:pt idx="2106">
                  <c:v>5.1821752370718156E-2</c:v>
                </c:pt>
                <c:pt idx="2107">
                  <c:v>5.1821752370718156E-2</c:v>
                </c:pt>
                <c:pt idx="2108">
                  <c:v>5.1821752370718156E-2</c:v>
                </c:pt>
                <c:pt idx="2109">
                  <c:v>5.1821752370718156E-2</c:v>
                </c:pt>
                <c:pt idx="2110">
                  <c:v>5.1821752370718156E-2</c:v>
                </c:pt>
                <c:pt idx="2111">
                  <c:v>5.1821752370718156E-2</c:v>
                </c:pt>
                <c:pt idx="2112">
                  <c:v>5.1821752370718156E-2</c:v>
                </c:pt>
                <c:pt idx="2113">
                  <c:v>5.1821752370718156E-2</c:v>
                </c:pt>
                <c:pt idx="2114">
                  <c:v>5.1821752370718156E-2</c:v>
                </c:pt>
                <c:pt idx="2115">
                  <c:v>5.1821752370718156E-2</c:v>
                </c:pt>
                <c:pt idx="2116">
                  <c:v>5.1821752370718156E-2</c:v>
                </c:pt>
                <c:pt idx="2117">
                  <c:v>5.1821752370718156E-2</c:v>
                </c:pt>
                <c:pt idx="2118">
                  <c:v>5.1821752370718156E-2</c:v>
                </c:pt>
                <c:pt idx="2119">
                  <c:v>5.1821752370718156E-2</c:v>
                </c:pt>
                <c:pt idx="2120">
                  <c:v>5.1821752370718156E-2</c:v>
                </c:pt>
                <c:pt idx="2121">
                  <c:v>5.1821752370718156E-2</c:v>
                </c:pt>
                <c:pt idx="2122">
                  <c:v>5.1821752370718156E-2</c:v>
                </c:pt>
                <c:pt idx="2123">
                  <c:v>5.1821752370718156E-2</c:v>
                </c:pt>
                <c:pt idx="2124">
                  <c:v>5.1821752370718156E-2</c:v>
                </c:pt>
                <c:pt idx="2125">
                  <c:v>5.1821752370718156E-2</c:v>
                </c:pt>
                <c:pt idx="2126">
                  <c:v>5.1821752370718156E-2</c:v>
                </c:pt>
                <c:pt idx="2127">
                  <c:v>5.1821752370718156E-2</c:v>
                </c:pt>
                <c:pt idx="2128">
                  <c:v>5.1821752370718156E-2</c:v>
                </c:pt>
                <c:pt idx="2129">
                  <c:v>5.1821752370718156E-2</c:v>
                </c:pt>
                <c:pt idx="2130">
                  <c:v>5.1821752370718156E-2</c:v>
                </c:pt>
                <c:pt idx="2131">
                  <c:v>5.1821752370718156E-2</c:v>
                </c:pt>
                <c:pt idx="2132">
                  <c:v>5.1821752370718156E-2</c:v>
                </c:pt>
                <c:pt idx="2133">
                  <c:v>5.1821752370718156E-2</c:v>
                </c:pt>
                <c:pt idx="2134">
                  <c:v>5.1821752370718156E-2</c:v>
                </c:pt>
                <c:pt idx="2135">
                  <c:v>5.1821752370718156E-2</c:v>
                </c:pt>
                <c:pt idx="2136">
                  <c:v>5.1821752370718156E-2</c:v>
                </c:pt>
                <c:pt idx="2137">
                  <c:v>5.1821752370718156E-2</c:v>
                </c:pt>
                <c:pt idx="2138">
                  <c:v>5.1821752370718156E-2</c:v>
                </c:pt>
                <c:pt idx="2139">
                  <c:v>5.1821752370718156E-2</c:v>
                </c:pt>
                <c:pt idx="2140">
                  <c:v>5.1821752370718156E-2</c:v>
                </c:pt>
                <c:pt idx="2141">
                  <c:v>5.1821752370718156E-2</c:v>
                </c:pt>
                <c:pt idx="2142">
                  <c:v>5.1821752370718156E-2</c:v>
                </c:pt>
                <c:pt idx="2143">
                  <c:v>5.1821752370718156E-2</c:v>
                </c:pt>
                <c:pt idx="2144">
                  <c:v>5.1821752370718156E-2</c:v>
                </c:pt>
                <c:pt idx="2145">
                  <c:v>5.1821752370718156E-2</c:v>
                </c:pt>
                <c:pt idx="2146">
                  <c:v>5.1821752370718156E-2</c:v>
                </c:pt>
                <c:pt idx="2147">
                  <c:v>5.1821752370718156E-2</c:v>
                </c:pt>
                <c:pt idx="2148">
                  <c:v>5.1821752370718156E-2</c:v>
                </c:pt>
                <c:pt idx="2149">
                  <c:v>5.1821752370718156E-2</c:v>
                </c:pt>
                <c:pt idx="2150">
                  <c:v>5.1821752370718156E-2</c:v>
                </c:pt>
                <c:pt idx="2151">
                  <c:v>5.1821752370718156E-2</c:v>
                </c:pt>
                <c:pt idx="2152">
                  <c:v>5.1821752370718156E-2</c:v>
                </c:pt>
                <c:pt idx="2153">
                  <c:v>5.1821752370718156E-2</c:v>
                </c:pt>
                <c:pt idx="2154">
                  <c:v>5.1821752370718156E-2</c:v>
                </c:pt>
                <c:pt idx="2155">
                  <c:v>5.1821752370718156E-2</c:v>
                </c:pt>
                <c:pt idx="2156">
                  <c:v>5.1821752370718156E-2</c:v>
                </c:pt>
                <c:pt idx="2157">
                  <c:v>5.1821752370718156E-2</c:v>
                </c:pt>
                <c:pt idx="2158">
                  <c:v>5.1821752370718156E-2</c:v>
                </c:pt>
                <c:pt idx="2159">
                  <c:v>5.1821752370718156E-2</c:v>
                </c:pt>
                <c:pt idx="2160">
                  <c:v>5.1821752370718156E-2</c:v>
                </c:pt>
                <c:pt idx="2161">
                  <c:v>5.1821752370718156E-2</c:v>
                </c:pt>
                <c:pt idx="2162">
                  <c:v>5.1821752370718156E-2</c:v>
                </c:pt>
                <c:pt idx="2163">
                  <c:v>5.1821752370718156E-2</c:v>
                </c:pt>
                <c:pt idx="2164">
                  <c:v>5.1821752370718156E-2</c:v>
                </c:pt>
                <c:pt idx="2165">
                  <c:v>5.1821752370718156E-2</c:v>
                </c:pt>
                <c:pt idx="2166">
                  <c:v>5.1821752370718156E-2</c:v>
                </c:pt>
                <c:pt idx="2167">
                  <c:v>5.1821752370718156E-2</c:v>
                </c:pt>
                <c:pt idx="2168">
                  <c:v>5.1821752370718156E-2</c:v>
                </c:pt>
                <c:pt idx="2169">
                  <c:v>5.1821752370718156E-2</c:v>
                </c:pt>
                <c:pt idx="2170">
                  <c:v>5.1821752370718156E-2</c:v>
                </c:pt>
                <c:pt idx="2171">
                  <c:v>5.1821752370718156E-2</c:v>
                </c:pt>
                <c:pt idx="2172">
                  <c:v>5.1821752370718156E-2</c:v>
                </c:pt>
                <c:pt idx="2173">
                  <c:v>5.4488474052736408E-2</c:v>
                </c:pt>
                <c:pt idx="2174">
                  <c:v>5.4488474052736408E-2</c:v>
                </c:pt>
                <c:pt idx="2175">
                  <c:v>5.4488474052736408E-2</c:v>
                </c:pt>
                <c:pt idx="2176">
                  <c:v>5.4488474052736408E-2</c:v>
                </c:pt>
                <c:pt idx="2177">
                  <c:v>5.4488474052736408E-2</c:v>
                </c:pt>
                <c:pt idx="2178">
                  <c:v>5.4488474052736408E-2</c:v>
                </c:pt>
                <c:pt idx="2179">
                  <c:v>5.4488474052736408E-2</c:v>
                </c:pt>
                <c:pt idx="2180">
                  <c:v>5.4488474052736408E-2</c:v>
                </c:pt>
                <c:pt idx="2181">
                  <c:v>5.4488474052736408E-2</c:v>
                </c:pt>
                <c:pt idx="2182">
                  <c:v>5.4488474052736408E-2</c:v>
                </c:pt>
                <c:pt idx="2183">
                  <c:v>5.4488474052736408E-2</c:v>
                </c:pt>
                <c:pt idx="2184">
                  <c:v>5.4488474052736408E-2</c:v>
                </c:pt>
                <c:pt idx="2185">
                  <c:v>5.4488474052736408E-2</c:v>
                </c:pt>
                <c:pt idx="2186">
                  <c:v>5.4488474052736408E-2</c:v>
                </c:pt>
                <c:pt idx="2187">
                  <c:v>5.4488474052736408E-2</c:v>
                </c:pt>
                <c:pt idx="2188">
                  <c:v>5.4488474052736408E-2</c:v>
                </c:pt>
                <c:pt idx="2189">
                  <c:v>5.4488474052736408E-2</c:v>
                </c:pt>
                <c:pt idx="2190">
                  <c:v>5.4488474052736408E-2</c:v>
                </c:pt>
                <c:pt idx="2191">
                  <c:v>5.4488474052736408E-2</c:v>
                </c:pt>
                <c:pt idx="2192">
                  <c:v>5.4488474052736408E-2</c:v>
                </c:pt>
                <c:pt idx="2193">
                  <c:v>5.4488474052736408E-2</c:v>
                </c:pt>
                <c:pt idx="2194">
                  <c:v>5.4488474052736408E-2</c:v>
                </c:pt>
                <c:pt idx="2195">
                  <c:v>5.4488474052736408E-2</c:v>
                </c:pt>
                <c:pt idx="2196">
                  <c:v>5.4488474052736408E-2</c:v>
                </c:pt>
                <c:pt idx="2197">
                  <c:v>5.4488474052736408E-2</c:v>
                </c:pt>
                <c:pt idx="2198">
                  <c:v>5.4488474052736408E-2</c:v>
                </c:pt>
                <c:pt idx="2199">
                  <c:v>5.4488474052736408E-2</c:v>
                </c:pt>
                <c:pt idx="2200">
                  <c:v>5.4488474052736408E-2</c:v>
                </c:pt>
                <c:pt idx="2201">
                  <c:v>5.4488474052736408E-2</c:v>
                </c:pt>
                <c:pt idx="2202">
                  <c:v>5.4488474052736408E-2</c:v>
                </c:pt>
                <c:pt idx="2203">
                  <c:v>5.4488474052736408E-2</c:v>
                </c:pt>
                <c:pt idx="2204">
                  <c:v>5.4488474052736408E-2</c:v>
                </c:pt>
                <c:pt idx="2205">
                  <c:v>5.4488474052736408E-2</c:v>
                </c:pt>
                <c:pt idx="2206">
                  <c:v>5.4488474052736408E-2</c:v>
                </c:pt>
                <c:pt idx="2207">
                  <c:v>5.4488474052736408E-2</c:v>
                </c:pt>
                <c:pt idx="2208">
                  <c:v>5.4488474052736408E-2</c:v>
                </c:pt>
                <c:pt idx="2209">
                  <c:v>5.4488474052736408E-2</c:v>
                </c:pt>
                <c:pt idx="2210">
                  <c:v>5.4488474052736408E-2</c:v>
                </c:pt>
                <c:pt idx="2211">
                  <c:v>5.4488474052736408E-2</c:v>
                </c:pt>
                <c:pt idx="2212">
                  <c:v>5.4488474052736408E-2</c:v>
                </c:pt>
                <c:pt idx="2213">
                  <c:v>5.4488474052736408E-2</c:v>
                </c:pt>
                <c:pt idx="2214">
                  <c:v>5.4488474052736408E-2</c:v>
                </c:pt>
                <c:pt idx="2215">
                  <c:v>5.4488474052736408E-2</c:v>
                </c:pt>
                <c:pt idx="2216">
                  <c:v>5.4488474052736408E-2</c:v>
                </c:pt>
                <c:pt idx="2217">
                  <c:v>5.4488474052736408E-2</c:v>
                </c:pt>
                <c:pt idx="2218">
                  <c:v>5.4488474052736408E-2</c:v>
                </c:pt>
                <c:pt idx="2219">
                  <c:v>5.4488474052736408E-2</c:v>
                </c:pt>
                <c:pt idx="2220">
                  <c:v>5.4488474052736408E-2</c:v>
                </c:pt>
                <c:pt idx="2221">
                  <c:v>5.4488474052736408E-2</c:v>
                </c:pt>
                <c:pt idx="2222">
                  <c:v>5.4488474052736408E-2</c:v>
                </c:pt>
                <c:pt idx="2223">
                  <c:v>5.4488474052736408E-2</c:v>
                </c:pt>
                <c:pt idx="2224">
                  <c:v>5.4488474052736408E-2</c:v>
                </c:pt>
                <c:pt idx="2225">
                  <c:v>5.4488474052736408E-2</c:v>
                </c:pt>
                <c:pt idx="2226">
                  <c:v>5.4488474052736408E-2</c:v>
                </c:pt>
                <c:pt idx="2227">
                  <c:v>5.4488474052736408E-2</c:v>
                </c:pt>
                <c:pt idx="2228">
                  <c:v>5.4488474052736408E-2</c:v>
                </c:pt>
                <c:pt idx="2229">
                  <c:v>5.4488474052736408E-2</c:v>
                </c:pt>
                <c:pt idx="2230">
                  <c:v>5.4488474052736408E-2</c:v>
                </c:pt>
                <c:pt idx="2231">
                  <c:v>5.4488474052736408E-2</c:v>
                </c:pt>
                <c:pt idx="2232">
                  <c:v>5.4488474052736408E-2</c:v>
                </c:pt>
                <c:pt idx="2233">
                  <c:v>5.4488474052736408E-2</c:v>
                </c:pt>
                <c:pt idx="2234">
                  <c:v>5.4488474052736408E-2</c:v>
                </c:pt>
                <c:pt idx="2235">
                  <c:v>5.4488474052736408E-2</c:v>
                </c:pt>
                <c:pt idx="2236">
                  <c:v>5.4488474052736408E-2</c:v>
                </c:pt>
                <c:pt idx="2237">
                  <c:v>5.4488474052736408E-2</c:v>
                </c:pt>
                <c:pt idx="2238">
                  <c:v>5.4488474052736408E-2</c:v>
                </c:pt>
                <c:pt idx="2239">
                  <c:v>5.4488474052736408E-2</c:v>
                </c:pt>
                <c:pt idx="2240">
                  <c:v>5.4488474052736408E-2</c:v>
                </c:pt>
                <c:pt idx="2241">
                  <c:v>5.4488474052736408E-2</c:v>
                </c:pt>
                <c:pt idx="2242">
                  <c:v>5.4488474052736408E-2</c:v>
                </c:pt>
                <c:pt idx="2243">
                  <c:v>5.4488474052736408E-2</c:v>
                </c:pt>
                <c:pt idx="2244">
                  <c:v>5.4488474052736408E-2</c:v>
                </c:pt>
                <c:pt idx="2245">
                  <c:v>5.4488474052736408E-2</c:v>
                </c:pt>
                <c:pt idx="2246">
                  <c:v>5.4488474052736408E-2</c:v>
                </c:pt>
                <c:pt idx="2247">
                  <c:v>5.4488474052736408E-2</c:v>
                </c:pt>
                <c:pt idx="2248">
                  <c:v>5.4488474052736408E-2</c:v>
                </c:pt>
                <c:pt idx="2249">
                  <c:v>5.4488474052736408E-2</c:v>
                </c:pt>
                <c:pt idx="2250">
                  <c:v>5.4488474052736408E-2</c:v>
                </c:pt>
                <c:pt idx="2251">
                  <c:v>5.4488474052736408E-2</c:v>
                </c:pt>
                <c:pt idx="2252">
                  <c:v>5.4488474052736408E-2</c:v>
                </c:pt>
                <c:pt idx="2253">
                  <c:v>5.4488474052736408E-2</c:v>
                </c:pt>
                <c:pt idx="2254">
                  <c:v>5.4488474052736408E-2</c:v>
                </c:pt>
                <c:pt idx="2255">
                  <c:v>5.4488474052736408E-2</c:v>
                </c:pt>
                <c:pt idx="2256">
                  <c:v>5.4488474052736408E-2</c:v>
                </c:pt>
                <c:pt idx="2257">
                  <c:v>5.4488474052736408E-2</c:v>
                </c:pt>
                <c:pt idx="2258">
                  <c:v>5.4488474052736408E-2</c:v>
                </c:pt>
                <c:pt idx="2259">
                  <c:v>5.4488474052736408E-2</c:v>
                </c:pt>
                <c:pt idx="2260">
                  <c:v>5.4488474052736408E-2</c:v>
                </c:pt>
                <c:pt idx="2261">
                  <c:v>5.4488474052736408E-2</c:v>
                </c:pt>
                <c:pt idx="2262">
                  <c:v>5.4488474052736408E-2</c:v>
                </c:pt>
                <c:pt idx="2263">
                  <c:v>5.4488474052736408E-2</c:v>
                </c:pt>
                <c:pt idx="2264">
                  <c:v>5.4488474052736408E-2</c:v>
                </c:pt>
                <c:pt idx="2265">
                  <c:v>5.4488474052736408E-2</c:v>
                </c:pt>
                <c:pt idx="2266">
                  <c:v>5.4488474052736408E-2</c:v>
                </c:pt>
                <c:pt idx="2267">
                  <c:v>5.4488474052736408E-2</c:v>
                </c:pt>
                <c:pt idx="2268">
                  <c:v>5.4488474052736408E-2</c:v>
                </c:pt>
                <c:pt idx="2269">
                  <c:v>5.4488474052736408E-2</c:v>
                </c:pt>
                <c:pt idx="2270">
                  <c:v>5.4488474052736408E-2</c:v>
                </c:pt>
                <c:pt idx="2271">
                  <c:v>5.4488474052736408E-2</c:v>
                </c:pt>
                <c:pt idx="2272">
                  <c:v>5.4488474052736408E-2</c:v>
                </c:pt>
                <c:pt idx="2273">
                  <c:v>5.4488474052736408E-2</c:v>
                </c:pt>
                <c:pt idx="2274">
                  <c:v>5.4488474052736408E-2</c:v>
                </c:pt>
                <c:pt idx="2275">
                  <c:v>5.4488474052736408E-2</c:v>
                </c:pt>
                <c:pt idx="2276">
                  <c:v>5.4488474052736408E-2</c:v>
                </c:pt>
                <c:pt idx="2277">
                  <c:v>5.4488474052736408E-2</c:v>
                </c:pt>
                <c:pt idx="2278">
                  <c:v>5.4488474052736408E-2</c:v>
                </c:pt>
                <c:pt idx="2279">
                  <c:v>5.4488474052736408E-2</c:v>
                </c:pt>
                <c:pt idx="2280">
                  <c:v>5.4488474052736408E-2</c:v>
                </c:pt>
                <c:pt idx="2281">
                  <c:v>5.4488474052736408E-2</c:v>
                </c:pt>
                <c:pt idx="2282">
                  <c:v>5.4488474052736408E-2</c:v>
                </c:pt>
                <c:pt idx="2283">
                  <c:v>5.4488474052736408E-2</c:v>
                </c:pt>
                <c:pt idx="2284">
                  <c:v>5.4488474052736408E-2</c:v>
                </c:pt>
                <c:pt idx="2285">
                  <c:v>5.4488474052736408E-2</c:v>
                </c:pt>
                <c:pt idx="2286">
                  <c:v>5.4488474052736408E-2</c:v>
                </c:pt>
                <c:pt idx="2287">
                  <c:v>5.4488474052736408E-2</c:v>
                </c:pt>
                <c:pt idx="2288">
                  <c:v>5.4488474052736408E-2</c:v>
                </c:pt>
                <c:pt idx="2289">
                  <c:v>5.4488474052736408E-2</c:v>
                </c:pt>
                <c:pt idx="2290">
                  <c:v>5.4488474052736408E-2</c:v>
                </c:pt>
                <c:pt idx="2291">
                  <c:v>5.4488474052736408E-2</c:v>
                </c:pt>
                <c:pt idx="2292">
                  <c:v>5.4488474052736408E-2</c:v>
                </c:pt>
                <c:pt idx="2293">
                  <c:v>5.4488474052736408E-2</c:v>
                </c:pt>
                <c:pt idx="2294">
                  <c:v>5.4488474052736408E-2</c:v>
                </c:pt>
                <c:pt idx="2295">
                  <c:v>5.4488474052736408E-2</c:v>
                </c:pt>
                <c:pt idx="2296">
                  <c:v>5.4488474052736408E-2</c:v>
                </c:pt>
                <c:pt idx="2297">
                  <c:v>5.4488474052736408E-2</c:v>
                </c:pt>
                <c:pt idx="2298">
                  <c:v>5.4488474052736408E-2</c:v>
                </c:pt>
                <c:pt idx="2299">
                  <c:v>5.4488474052736408E-2</c:v>
                </c:pt>
                <c:pt idx="2300">
                  <c:v>5.4488474052736408E-2</c:v>
                </c:pt>
                <c:pt idx="2301">
                  <c:v>5.4488474052736408E-2</c:v>
                </c:pt>
                <c:pt idx="2302">
                  <c:v>5.4488474052736408E-2</c:v>
                </c:pt>
                <c:pt idx="2303">
                  <c:v>5.4488474052736408E-2</c:v>
                </c:pt>
                <c:pt idx="2304">
                  <c:v>5.4488474052736408E-2</c:v>
                </c:pt>
                <c:pt idx="2305">
                  <c:v>5.4488474052736408E-2</c:v>
                </c:pt>
                <c:pt idx="2306">
                  <c:v>5.4488474052736408E-2</c:v>
                </c:pt>
                <c:pt idx="2307">
                  <c:v>5.4488474052736408E-2</c:v>
                </c:pt>
                <c:pt idx="2308">
                  <c:v>5.4488474052736408E-2</c:v>
                </c:pt>
                <c:pt idx="2309">
                  <c:v>5.4488474052736408E-2</c:v>
                </c:pt>
                <c:pt idx="2310">
                  <c:v>5.4488474052736408E-2</c:v>
                </c:pt>
                <c:pt idx="2311">
                  <c:v>5.4488474052736408E-2</c:v>
                </c:pt>
                <c:pt idx="2312">
                  <c:v>5.4488474052736408E-2</c:v>
                </c:pt>
                <c:pt idx="2313">
                  <c:v>5.4488474052736408E-2</c:v>
                </c:pt>
                <c:pt idx="2314">
                  <c:v>5.4488474052736408E-2</c:v>
                </c:pt>
                <c:pt idx="2315">
                  <c:v>5.4488474052736408E-2</c:v>
                </c:pt>
                <c:pt idx="2316">
                  <c:v>5.4488474052736408E-2</c:v>
                </c:pt>
                <c:pt idx="2317">
                  <c:v>5.4488474052736408E-2</c:v>
                </c:pt>
                <c:pt idx="2318">
                  <c:v>5.4488474052736408E-2</c:v>
                </c:pt>
                <c:pt idx="2319">
                  <c:v>5.4488474052736408E-2</c:v>
                </c:pt>
                <c:pt idx="2320">
                  <c:v>5.4488474052736408E-2</c:v>
                </c:pt>
                <c:pt idx="2321">
                  <c:v>5.4488474052736408E-2</c:v>
                </c:pt>
                <c:pt idx="2322">
                  <c:v>5.4488474052736408E-2</c:v>
                </c:pt>
                <c:pt idx="2323">
                  <c:v>5.4488474052736408E-2</c:v>
                </c:pt>
                <c:pt idx="2324">
                  <c:v>5.4488474052736408E-2</c:v>
                </c:pt>
                <c:pt idx="2325">
                  <c:v>5.4488474052736408E-2</c:v>
                </c:pt>
                <c:pt idx="2326">
                  <c:v>5.4488474052736408E-2</c:v>
                </c:pt>
                <c:pt idx="2327">
                  <c:v>5.4488474052736408E-2</c:v>
                </c:pt>
                <c:pt idx="2328">
                  <c:v>5.4488474052736408E-2</c:v>
                </c:pt>
                <c:pt idx="2329">
                  <c:v>5.4488474052736408E-2</c:v>
                </c:pt>
                <c:pt idx="2330">
                  <c:v>5.4488474052736408E-2</c:v>
                </c:pt>
                <c:pt idx="2331">
                  <c:v>5.4488474052736408E-2</c:v>
                </c:pt>
                <c:pt idx="2332">
                  <c:v>5.4488474052736408E-2</c:v>
                </c:pt>
                <c:pt idx="2333">
                  <c:v>5.4488474052736408E-2</c:v>
                </c:pt>
                <c:pt idx="2334">
                  <c:v>5.4488474052736408E-2</c:v>
                </c:pt>
                <c:pt idx="2335">
                  <c:v>5.4488474052736408E-2</c:v>
                </c:pt>
                <c:pt idx="2336">
                  <c:v>5.4488474052736408E-2</c:v>
                </c:pt>
                <c:pt idx="2337">
                  <c:v>5.4488474052736408E-2</c:v>
                </c:pt>
                <c:pt idx="2338">
                  <c:v>5.4488474052736408E-2</c:v>
                </c:pt>
                <c:pt idx="2339">
                  <c:v>5.4488474052736408E-2</c:v>
                </c:pt>
                <c:pt idx="2340">
                  <c:v>5.4488474052736408E-2</c:v>
                </c:pt>
                <c:pt idx="2341">
                  <c:v>5.4488474052736408E-2</c:v>
                </c:pt>
                <c:pt idx="2342">
                  <c:v>5.4488474052736408E-2</c:v>
                </c:pt>
                <c:pt idx="2343">
                  <c:v>5.4488474052736408E-2</c:v>
                </c:pt>
                <c:pt idx="2344">
                  <c:v>5.4488474052736408E-2</c:v>
                </c:pt>
                <c:pt idx="2345">
                  <c:v>5.4488474052736408E-2</c:v>
                </c:pt>
                <c:pt idx="2346">
                  <c:v>5.4488474052736408E-2</c:v>
                </c:pt>
                <c:pt idx="2347">
                  <c:v>5.4488474052736408E-2</c:v>
                </c:pt>
                <c:pt idx="2348">
                  <c:v>5.4488474052736408E-2</c:v>
                </c:pt>
                <c:pt idx="2349">
                  <c:v>5.4488474052736408E-2</c:v>
                </c:pt>
                <c:pt idx="2350">
                  <c:v>5.4488474052736408E-2</c:v>
                </c:pt>
                <c:pt idx="2351">
                  <c:v>5.4488474052736408E-2</c:v>
                </c:pt>
                <c:pt idx="2352">
                  <c:v>5.4488474052736408E-2</c:v>
                </c:pt>
                <c:pt idx="2353">
                  <c:v>5.4488474052736408E-2</c:v>
                </c:pt>
                <c:pt idx="2354">
                  <c:v>5.4488474052736408E-2</c:v>
                </c:pt>
                <c:pt idx="2355">
                  <c:v>5.4488474052736408E-2</c:v>
                </c:pt>
                <c:pt idx="2356">
                  <c:v>5.4488474052736408E-2</c:v>
                </c:pt>
                <c:pt idx="2357">
                  <c:v>5.4488474052736408E-2</c:v>
                </c:pt>
                <c:pt idx="2358">
                  <c:v>5.4488474052736408E-2</c:v>
                </c:pt>
                <c:pt idx="2359">
                  <c:v>5.4488474052736408E-2</c:v>
                </c:pt>
                <c:pt idx="2360">
                  <c:v>5.4488474052736408E-2</c:v>
                </c:pt>
                <c:pt idx="2361">
                  <c:v>5.4488474052736408E-2</c:v>
                </c:pt>
                <c:pt idx="2362">
                  <c:v>5.4488474052736408E-2</c:v>
                </c:pt>
                <c:pt idx="2363">
                  <c:v>5.4488474052736408E-2</c:v>
                </c:pt>
                <c:pt idx="2364">
                  <c:v>5.4488474052736408E-2</c:v>
                </c:pt>
                <c:pt idx="2365">
                  <c:v>5.4488474052736408E-2</c:v>
                </c:pt>
                <c:pt idx="2366">
                  <c:v>5.4488474052736408E-2</c:v>
                </c:pt>
                <c:pt idx="2367">
                  <c:v>5.4488474052736408E-2</c:v>
                </c:pt>
                <c:pt idx="2368">
                  <c:v>5.4488474052736408E-2</c:v>
                </c:pt>
                <c:pt idx="2369">
                  <c:v>5.4488474052736408E-2</c:v>
                </c:pt>
                <c:pt idx="2370">
                  <c:v>5.4488474052736408E-2</c:v>
                </c:pt>
                <c:pt idx="2371">
                  <c:v>5.4488474052736408E-2</c:v>
                </c:pt>
                <c:pt idx="2372">
                  <c:v>5.4488474052736408E-2</c:v>
                </c:pt>
                <c:pt idx="2373">
                  <c:v>5.4488474052736408E-2</c:v>
                </c:pt>
                <c:pt idx="2374">
                  <c:v>5.4488474052736408E-2</c:v>
                </c:pt>
                <c:pt idx="2375">
                  <c:v>5.4488474052736408E-2</c:v>
                </c:pt>
                <c:pt idx="2376">
                  <c:v>5.4488474052736408E-2</c:v>
                </c:pt>
                <c:pt idx="2377">
                  <c:v>5.4488474052736408E-2</c:v>
                </c:pt>
                <c:pt idx="2378">
                  <c:v>5.4488474052736408E-2</c:v>
                </c:pt>
                <c:pt idx="2379">
                  <c:v>5.4488474052736408E-2</c:v>
                </c:pt>
                <c:pt idx="2380">
                  <c:v>5.4488474052736408E-2</c:v>
                </c:pt>
                <c:pt idx="2381">
                  <c:v>5.4488474052736408E-2</c:v>
                </c:pt>
                <c:pt idx="2382">
                  <c:v>5.4488474052736408E-2</c:v>
                </c:pt>
                <c:pt idx="2383">
                  <c:v>5.4488474052736408E-2</c:v>
                </c:pt>
                <c:pt idx="2384">
                  <c:v>5.4488474052736408E-2</c:v>
                </c:pt>
                <c:pt idx="2385">
                  <c:v>5.4488474052736408E-2</c:v>
                </c:pt>
                <c:pt idx="2386">
                  <c:v>5.4488474052736408E-2</c:v>
                </c:pt>
                <c:pt idx="2387">
                  <c:v>5.4488474052736408E-2</c:v>
                </c:pt>
                <c:pt idx="2388">
                  <c:v>5.4488474052736408E-2</c:v>
                </c:pt>
                <c:pt idx="2389">
                  <c:v>5.4488474052736408E-2</c:v>
                </c:pt>
                <c:pt idx="2390">
                  <c:v>5.4488474052736408E-2</c:v>
                </c:pt>
                <c:pt idx="2391">
                  <c:v>5.4488474052736408E-2</c:v>
                </c:pt>
                <c:pt idx="2392">
                  <c:v>5.4488474052736408E-2</c:v>
                </c:pt>
                <c:pt idx="2393">
                  <c:v>5.4488474052736408E-2</c:v>
                </c:pt>
                <c:pt idx="2394">
                  <c:v>5.4488474052736408E-2</c:v>
                </c:pt>
                <c:pt idx="2395">
                  <c:v>5.4488474052736408E-2</c:v>
                </c:pt>
                <c:pt idx="2396">
                  <c:v>5.4488474052736408E-2</c:v>
                </c:pt>
                <c:pt idx="2397">
                  <c:v>5.4488474052736408E-2</c:v>
                </c:pt>
                <c:pt idx="2398">
                  <c:v>5.4488474052736408E-2</c:v>
                </c:pt>
                <c:pt idx="2399">
                  <c:v>5.4488474052736408E-2</c:v>
                </c:pt>
                <c:pt idx="2400">
                  <c:v>5.4488474052736408E-2</c:v>
                </c:pt>
                <c:pt idx="2401">
                  <c:v>5.4488474052736408E-2</c:v>
                </c:pt>
                <c:pt idx="2402">
                  <c:v>5.4488474052736408E-2</c:v>
                </c:pt>
                <c:pt idx="2403">
                  <c:v>5.4488474052736408E-2</c:v>
                </c:pt>
                <c:pt idx="2404">
                  <c:v>5.4488474052736408E-2</c:v>
                </c:pt>
                <c:pt idx="2405">
                  <c:v>5.4488474052736408E-2</c:v>
                </c:pt>
                <c:pt idx="2406">
                  <c:v>5.4488474052736408E-2</c:v>
                </c:pt>
                <c:pt idx="2407">
                  <c:v>5.4488474052736408E-2</c:v>
                </c:pt>
                <c:pt idx="2408">
                  <c:v>5.4488474052736408E-2</c:v>
                </c:pt>
                <c:pt idx="2409">
                  <c:v>5.4488474052736408E-2</c:v>
                </c:pt>
                <c:pt idx="2410">
                  <c:v>5.4488474052736408E-2</c:v>
                </c:pt>
                <c:pt idx="2411">
                  <c:v>5.4488474052736408E-2</c:v>
                </c:pt>
                <c:pt idx="2412">
                  <c:v>5.4488474052736408E-2</c:v>
                </c:pt>
                <c:pt idx="2413">
                  <c:v>5.4488474052736408E-2</c:v>
                </c:pt>
                <c:pt idx="2414">
                  <c:v>5.4488474052736408E-2</c:v>
                </c:pt>
                <c:pt idx="2415">
                  <c:v>5.4488474052736408E-2</c:v>
                </c:pt>
                <c:pt idx="2416">
                  <c:v>5.4488474052736408E-2</c:v>
                </c:pt>
                <c:pt idx="2417">
                  <c:v>5.4488474052736408E-2</c:v>
                </c:pt>
                <c:pt idx="2418">
                  <c:v>5.4488474052736408E-2</c:v>
                </c:pt>
                <c:pt idx="2419">
                  <c:v>5.4488474052736408E-2</c:v>
                </c:pt>
                <c:pt idx="2420">
                  <c:v>5.4488474052736408E-2</c:v>
                </c:pt>
                <c:pt idx="2421">
                  <c:v>5.4488474052736408E-2</c:v>
                </c:pt>
                <c:pt idx="2422">
                  <c:v>5.4488474052736408E-2</c:v>
                </c:pt>
                <c:pt idx="2423">
                  <c:v>5.4488474052736408E-2</c:v>
                </c:pt>
                <c:pt idx="2424">
                  <c:v>5.4488474052736408E-2</c:v>
                </c:pt>
                <c:pt idx="2425">
                  <c:v>5.4488474052736408E-2</c:v>
                </c:pt>
                <c:pt idx="2426">
                  <c:v>5.4488474052736408E-2</c:v>
                </c:pt>
                <c:pt idx="2427">
                  <c:v>5.4488474052736408E-2</c:v>
                </c:pt>
                <c:pt idx="2428">
                  <c:v>5.4488474052736408E-2</c:v>
                </c:pt>
                <c:pt idx="2429">
                  <c:v>5.4488474052736408E-2</c:v>
                </c:pt>
                <c:pt idx="2430">
                  <c:v>5.4488474052736408E-2</c:v>
                </c:pt>
                <c:pt idx="2431">
                  <c:v>5.4488474052736408E-2</c:v>
                </c:pt>
                <c:pt idx="2432">
                  <c:v>5.4488474052736408E-2</c:v>
                </c:pt>
                <c:pt idx="2433">
                  <c:v>5.4488474052736408E-2</c:v>
                </c:pt>
                <c:pt idx="2434">
                  <c:v>5.4488474052736408E-2</c:v>
                </c:pt>
                <c:pt idx="2435">
                  <c:v>5.4488474052736408E-2</c:v>
                </c:pt>
                <c:pt idx="2436">
                  <c:v>5.4488474052736408E-2</c:v>
                </c:pt>
                <c:pt idx="2437">
                  <c:v>5.4488474052736408E-2</c:v>
                </c:pt>
                <c:pt idx="2438">
                  <c:v>5.4488474052736408E-2</c:v>
                </c:pt>
                <c:pt idx="2439">
                  <c:v>5.4488474052736408E-2</c:v>
                </c:pt>
                <c:pt idx="2440">
                  <c:v>5.4488474052736408E-2</c:v>
                </c:pt>
                <c:pt idx="2441">
                  <c:v>5.4488474052736408E-2</c:v>
                </c:pt>
                <c:pt idx="2442">
                  <c:v>5.4488474052736408E-2</c:v>
                </c:pt>
                <c:pt idx="2443">
                  <c:v>5.4488474052736408E-2</c:v>
                </c:pt>
                <c:pt idx="2444">
                  <c:v>5.4488474052736408E-2</c:v>
                </c:pt>
                <c:pt idx="2445">
                  <c:v>5.4488474052736408E-2</c:v>
                </c:pt>
                <c:pt idx="2446">
                  <c:v>5.4488474052736408E-2</c:v>
                </c:pt>
                <c:pt idx="2447">
                  <c:v>5.4488474052736408E-2</c:v>
                </c:pt>
                <c:pt idx="2448">
                  <c:v>5.4488474052736408E-2</c:v>
                </c:pt>
                <c:pt idx="2449">
                  <c:v>5.4488474052736408E-2</c:v>
                </c:pt>
                <c:pt idx="2450">
                  <c:v>5.4488474052736408E-2</c:v>
                </c:pt>
                <c:pt idx="2451">
                  <c:v>5.4488474052736408E-2</c:v>
                </c:pt>
                <c:pt idx="2452">
                  <c:v>5.4488474052736408E-2</c:v>
                </c:pt>
                <c:pt idx="2453">
                  <c:v>5.4488474052736408E-2</c:v>
                </c:pt>
                <c:pt idx="2454">
                  <c:v>5.4488474052736408E-2</c:v>
                </c:pt>
                <c:pt idx="2455">
                  <c:v>5.4488474052736408E-2</c:v>
                </c:pt>
                <c:pt idx="2456">
                  <c:v>5.4488474052736408E-2</c:v>
                </c:pt>
                <c:pt idx="2457">
                  <c:v>5.4488474052736408E-2</c:v>
                </c:pt>
                <c:pt idx="2458">
                  <c:v>5.4488474052736408E-2</c:v>
                </c:pt>
                <c:pt idx="2459">
                  <c:v>5.4488474052736408E-2</c:v>
                </c:pt>
                <c:pt idx="2460">
                  <c:v>5.4488474052736408E-2</c:v>
                </c:pt>
                <c:pt idx="2461">
                  <c:v>5.4488474052736408E-2</c:v>
                </c:pt>
                <c:pt idx="2462">
                  <c:v>5.4488474052736408E-2</c:v>
                </c:pt>
                <c:pt idx="2463">
                  <c:v>5.4488474052736408E-2</c:v>
                </c:pt>
                <c:pt idx="2464">
                  <c:v>5.4488474052736408E-2</c:v>
                </c:pt>
                <c:pt idx="2465">
                  <c:v>5.4488474052736408E-2</c:v>
                </c:pt>
                <c:pt idx="2466">
                  <c:v>5.4488474052736408E-2</c:v>
                </c:pt>
                <c:pt idx="2467">
                  <c:v>5.4488474052736408E-2</c:v>
                </c:pt>
                <c:pt idx="2468">
                  <c:v>5.4488474052736408E-2</c:v>
                </c:pt>
                <c:pt idx="2469">
                  <c:v>5.4488474052736408E-2</c:v>
                </c:pt>
                <c:pt idx="2470">
                  <c:v>5.4488474052736408E-2</c:v>
                </c:pt>
                <c:pt idx="2471">
                  <c:v>5.4488474052736408E-2</c:v>
                </c:pt>
                <c:pt idx="2472">
                  <c:v>5.4488474052736408E-2</c:v>
                </c:pt>
                <c:pt idx="2473">
                  <c:v>5.4488474052736408E-2</c:v>
                </c:pt>
                <c:pt idx="2474">
                  <c:v>5.4488474052736408E-2</c:v>
                </c:pt>
                <c:pt idx="2475">
                  <c:v>5.4488474052736408E-2</c:v>
                </c:pt>
                <c:pt idx="2476">
                  <c:v>5.4488474052736408E-2</c:v>
                </c:pt>
                <c:pt idx="2477">
                  <c:v>5.4488474052736408E-2</c:v>
                </c:pt>
                <c:pt idx="2478">
                  <c:v>5.4488474052736408E-2</c:v>
                </c:pt>
                <c:pt idx="2479">
                  <c:v>5.4488474052736408E-2</c:v>
                </c:pt>
                <c:pt idx="2480">
                  <c:v>5.4488474052736408E-2</c:v>
                </c:pt>
                <c:pt idx="2481">
                  <c:v>5.4488474052736408E-2</c:v>
                </c:pt>
                <c:pt idx="2482">
                  <c:v>5.4488474052736408E-2</c:v>
                </c:pt>
                <c:pt idx="2483">
                  <c:v>5.4488474052736408E-2</c:v>
                </c:pt>
                <c:pt idx="2484">
                  <c:v>5.4488474052736408E-2</c:v>
                </c:pt>
                <c:pt idx="2485">
                  <c:v>5.4488474052736408E-2</c:v>
                </c:pt>
                <c:pt idx="2486">
                  <c:v>5.4488474052736408E-2</c:v>
                </c:pt>
                <c:pt idx="2487">
                  <c:v>5.4488474052736408E-2</c:v>
                </c:pt>
                <c:pt idx="2488">
                  <c:v>5.4488474052736408E-2</c:v>
                </c:pt>
                <c:pt idx="2489">
                  <c:v>5.4488474052736408E-2</c:v>
                </c:pt>
                <c:pt idx="2490">
                  <c:v>5.4488474052736408E-2</c:v>
                </c:pt>
                <c:pt idx="2491">
                  <c:v>5.4488474052736408E-2</c:v>
                </c:pt>
                <c:pt idx="2492">
                  <c:v>5.4488474052736408E-2</c:v>
                </c:pt>
                <c:pt idx="2493">
                  <c:v>5.4488474052736408E-2</c:v>
                </c:pt>
                <c:pt idx="2494">
                  <c:v>5.4488474052736408E-2</c:v>
                </c:pt>
                <c:pt idx="2495">
                  <c:v>5.4488474052736408E-2</c:v>
                </c:pt>
                <c:pt idx="2496">
                  <c:v>5.4488474052736408E-2</c:v>
                </c:pt>
                <c:pt idx="2497">
                  <c:v>5.4488474052736408E-2</c:v>
                </c:pt>
                <c:pt idx="2498">
                  <c:v>5.4488474052736408E-2</c:v>
                </c:pt>
                <c:pt idx="2499">
                  <c:v>5.4488474052736408E-2</c:v>
                </c:pt>
                <c:pt idx="2500">
                  <c:v>5.4488474052736408E-2</c:v>
                </c:pt>
                <c:pt idx="2501">
                  <c:v>5.4488474052736408E-2</c:v>
                </c:pt>
                <c:pt idx="2502">
                  <c:v>5.4488474052736408E-2</c:v>
                </c:pt>
                <c:pt idx="2503">
                  <c:v>5.4488474052736408E-2</c:v>
                </c:pt>
                <c:pt idx="2504">
                  <c:v>5.4488474052736408E-2</c:v>
                </c:pt>
                <c:pt idx="2505">
                  <c:v>5.4488474052736408E-2</c:v>
                </c:pt>
                <c:pt idx="2506">
                  <c:v>5.4488474052736408E-2</c:v>
                </c:pt>
                <c:pt idx="2507">
                  <c:v>5.4488474052736408E-2</c:v>
                </c:pt>
                <c:pt idx="2508">
                  <c:v>5.4488474052736408E-2</c:v>
                </c:pt>
                <c:pt idx="2509">
                  <c:v>5.4488474052736408E-2</c:v>
                </c:pt>
                <c:pt idx="2510">
                  <c:v>5.4488474052736408E-2</c:v>
                </c:pt>
                <c:pt idx="2511">
                  <c:v>5.4488474052736408E-2</c:v>
                </c:pt>
                <c:pt idx="2512">
                  <c:v>5.4488474052736408E-2</c:v>
                </c:pt>
                <c:pt idx="2513">
                  <c:v>5.4488474052736408E-2</c:v>
                </c:pt>
                <c:pt idx="2514">
                  <c:v>5.4488474052736408E-2</c:v>
                </c:pt>
                <c:pt idx="2515">
                  <c:v>5.4488474052736408E-2</c:v>
                </c:pt>
                <c:pt idx="2516">
                  <c:v>5.4488474052736408E-2</c:v>
                </c:pt>
                <c:pt idx="2517">
                  <c:v>5.4488474052736408E-2</c:v>
                </c:pt>
                <c:pt idx="2518">
                  <c:v>5.4488474052736408E-2</c:v>
                </c:pt>
                <c:pt idx="2519">
                  <c:v>5.4488474052736408E-2</c:v>
                </c:pt>
                <c:pt idx="2520">
                  <c:v>5.4488474052736408E-2</c:v>
                </c:pt>
                <c:pt idx="2521">
                  <c:v>5.4488474052736408E-2</c:v>
                </c:pt>
                <c:pt idx="2522">
                  <c:v>5.4488474052736408E-2</c:v>
                </c:pt>
                <c:pt idx="2523">
                  <c:v>5.4488474052736408E-2</c:v>
                </c:pt>
                <c:pt idx="2524">
                  <c:v>5.4488474052736408E-2</c:v>
                </c:pt>
                <c:pt idx="2525">
                  <c:v>5.4488474052736408E-2</c:v>
                </c:pt>
                <c:pt idx="2526">
                  <c:v>5.4488474052736408E-2</c:v>
                </c:pt>
                <c:pt idx="2527">
                  <c:v>5.4488474052736408E-2</c:v>
                </c:pt>
                <c:pt idx="2528">
                  <c:v>5.4488474052736408E-2</c:v>
                </c:pt>
                <c:pt idx="2529">
                  <c:v>5.4488474052736408E-2</c:v>
                </c:pt>
                <c:pt idx="2530">
                  <c:v>5.4488474052736408E-2</c:v>
                </c:pt>
                <c:pt idx="2531">
                  <c:v>5.4488474052736408E-2</c:v>
                </c:pt>
                <c:pt idx="2532">
                  <c:v>5.4488474052736408E-2</c:v>
                </c:pt>
                <c:pt idx="2533">
                  <c:v>5.4488474052736408E-2</c:v>
                </c:pt>
                <c:pt idx="2534">
                  <c:v>5.4488474052736408E-2</c:v>
                </c:pt>
                <c:pt idx="2535">
                  <c:v>5.4488474052736408E-2</c:v>
                </c:pt>
                <c:pt idx="2536">
                  <c:v>5.4488474052736408E-2</c:v>
                </c:pt>
                <c:pt idx="2537">
                  <c:v>5.4488474052736408E-2</c:v>
                </c:pt>
                <c:pt idx="2538">
                  <c:v>5.4488474052736408E-2</c:v>
                </c:pt>
                <c:pt idx="2539">
                  <c:v>5.4488474052736408E-2</c:v>
                </c:pt>
                <c:pt idx="2540">
                  <c:v>5.4488474052736408E-2</c:v>
                </c:pt>
                <c:pt idx="2541">
                  <c:v>5.4488474052736408E-2</c:v>
                </c:pt>
                <c:pt idx="2542">
                  <c:v>5.4488474052736408E-2</c:v>
                </c:pt>
                <c:pt idx="2543">
                  <c:v>5.4488474052736408E-2</c:v>
                </c:pt>
                <c:pt idx="2544">
                  <c:v>5.4488474052736408E-2</c:v>
                </c:pt>
                <c:pt idx="2545">
                  <c:v>5.4488474052736408E-2</c:v>
                </c:pt>
                <c:pt idx="2546">
                  <c:v>5.4488474052736408E-2</c:v>
                </c:pt>
                <c:pt idx="2547">
                  <c:v>5.4488474052736408E-2</c:v>
                </c:pt>
                <c:pt idx="2548">
                  <c:v>5.4488474052736408E-2</c:v>
                </c:pt>
                <c:pt idx="2549">
                  <c:v>5.4488474052736408E-2</c:v>
                </c:pt>
                <c:pt idx="2550">
                  <c:v>5.4488474052736408E-2</c:v>
                </c:pt>
                <c:pt idx="2551">
                  <c:v>5.4488474052736408E-2</c:v>
                </c:pt>
                <c:pt idx="2552">
                  <c:v>5.4488474052736408E-2</c:v>
                </c:pt>
                <c:pt idx="2553">
                  <c:v>5.4488474052736408E-2</c:v>
                </c:pt>
                <c:pt idx="2554">
                  <c:v>5.4488474052736408E-2</c:v>
                </c:pt>
                <c:pt idx="2555">
                  <c:v>5.4488474052736408E-2</c:v>
                </c:pt>
                <c:pt idx="2556">
                  <c:v>5.4488474052736408E-2</c:v>
                </c:pt>
                <c:pt idx="2557">
                  <c:v>5.4488474052736408E-2</c:v>
                </c:pt>
                <c:pt idx="2558">
                  <c:v>5.4488474052736408E-2</c:v>
                </c:pt>
                <c:pt idx="2559">
                  <c:v>5.4488474052736408E-2</c:v>
                </c:pt>
                <c:pt idx="2560">
                  <c:v>5.4488474052736408E-2</c:v>
                </c:pt>
                <c:pt idx="2561">
                  <c:v>5.4488474052736408E-2</c:v>
                </c:pt>
                <c:pt idx="2562">
                  <c:v>5.4488474052736408E-2</c:v>
                </c:pt>
                <c:pt idx="2563">
                  <c:v>5.4488474052736408E-2</c:v>
                </c:pt>
                <c:pt idx="2564">
                  <c:v>5.4488474052736408E-2</c:v>
                </c:pt>
                <c:pt idx="2565">
                  <c:v>5.4488474052736408E-2</c:v>
                </c:pt>
                <c:pt idx="2566">
                  <c:v>5.4488474052736408E-2</c:v>
                </c:pt>
                <c:pt idx="2567">
                  <c:v>5.4488474052736408E-2</c:v>
                </c:pt>
                <c:pt idx="2568">
                  <c:v>5.4488474052736408E-2</c:v>
                </c:pt>
                <c:pt idx="2569">
                  <c:v>5.4488474052736408E-2</c:v>
                </c:pt>
                <c:pt idx="2570">
                  <c:v>5.4488474052736408E-2</c:v>
                </c:pt>
                <c:pt idx="2571">
                  <c:v>5.4488474052736408E-2</c:v>
                </c:pt>
                <c:pt idx="2572">
                  <c:v>5.4488474052736408E-2</c:v>
                </c:pt>
                <c:pt idx="2573">
                  <c:v>5.4488474052736408E-2</c:v>
                </c:pt>
                <c:pt idx="2574">
                  <c:v>5.4488474052736408E-2</c:v>
                </c:pt>
                <c:pt idx="2575">
                  <c:v>5.4488474052736408E-2</c:v>
                </c:pt>
                <c:pt idx="2576">
                  <c:v>5.4488474052736408E-2</c:v>
                </c:pt>
                <c:pt idx="2577">
                  <c:v>5.4488474052736408E-2</c:v>
                </c:pt>
                <c:pt idx="2578">
                  <c:v>5.4488474052736408E-2</c:v>
                </c:pt>
                <c:pt idx="2579">
                  <c:v>5.4488474052736408E-2</c:v>
                </c:pt>
                <c:pt idx="2580">
                  <c:v>5.4488474052736408E-2</c:v>
                </c:pt>
                <c:pt idx="2581">
                  <c:v>5.4488474052736408E-2</c:v>
                </c:pt>
                <c:pt idx="2582">
                  <c:v>5.4488474052736408E-2</c:v>
                </c:pt>
                <c:pt idx="2583">
                  <c:v>5.4488474052736408E-2</c:v>
                </c:pt>
                <c:pt idx="2584">
                  <c:v>5.4488474052736408E-2</c:v>
                </c:pt>
                <c:pt idx="2585">
                  <c:v>5.4488474052736408E-2</c:v>
                </c:pt>
                <c:pt idx="2586">
                  <c:v>5.4488474052736408E-2</c:v>
                </c:pt>
                <c:pt idx="2587">
                  <c:v>5.4488474052736408E-2</c:v>
                </c:pt>
                <c:pt idx="2588">
                  <c:v>5.4488474052736408E-2</c:v>
                </c:pt>
                <c:pt idx="2589">
                  <c:v>5.4488474052736408E-2</c:v>
                </c:pt>
                <c:pt idx="2590">
                  <c:v>5.4488474052736408E-2</c:v>
                </c:pt>
                <c:pt idx="2591">
                  <c:v>5.4488474052736408E-2</c:v>
                </c:pt>
                <c:pt idx="2592">
                  <c:v>5.4488474052736408E-2</c:v>
                </c:pt>
                <c:pt idx="2593">
                  <c:v>5.4488474052736408E-2</c:v>
                </c:pt>
                <c:pt idx="2594">
                  <c:v>5.4488474052736408E-2</c:v>
                </c:pt>
                <c:pt idx="2595">
                  <c:v>5.4488474052736408E-2</c:v>
                </c:pt>
                <c:pt idx="2596">
                  <c:v>5.4488474052736408E-2</c:v>
                </c:pt>
                <c:pt idx="2597">
                  <c:v>5.4488474052736408E-2</c:v>
                </c:pt>
                <c:pt idx="2598">
                  <c:v>5.4488474052736408E-2</c:v>
                </c:pt>
                <c:pt idx="2599">
                  <c:v>5.4488474052736408E-2</c:v>
                </c:pt>
                <c:pt idx="2600">
                  <c:v>5.4488474052736408E-2</c:v>
                </c:pt>
                <c:pt idx="2601">
                  <c:v>5.4488474052736408E-2</c:v>
                </c:pt>
                <c:pt idx="2602">
                  <c:v>5.4488474052736408E-2</c:v>
                </c:pt>
                <c:pt idx="2603">
                  <c:v>5.4488474052736408E-2</c:v>
                </c:pt>
                <c:pt idx="2604">
                  <c:v>5.4488474052736408E-2</c:v>
                </c:pt>
                <c:pt idx="2605">
                  <c:v>5.4488474052736408E-2</c:v>
                </c:pt>
                <c:pt idx="2606">
                  <c:v>5.4488474052736408E-2</c:v>
                </c:pt>
                <c:pt idx="2607">
                  <c:v>5.4488474052736408E-2</c:v>
                </c:pt>
                <c:pt idx="2608">
                  <c:v>5.4488474052736408E-2</c:v>
                </c:pt>
                <c:pt idx="2609">
                  <c:v>5.4488474052736408E-2</c:v>
                </c:pt>
                <c:pt idx="2610">
                  <c:v>5.4488474052736408E-2</c:v>
                </c:pt>
                <c:pt idx="2611">
                  <c:v>5.4488474052736408E-2</c:v>
                </c:pt>
                <c:pt idx="2612">
                  <c:v>5.4488474052736408E-2</c:v>
                </c:pt>
                <c:pt idx="2613">
                  <c:v>5.4488474052736408E-2</c:v>
                </c:pt>
                <c:pt idx="2614">
                  <c:v>5.4488474052736408E-2</c:v>
                </c:pt>
                <c:pt idx="2615">
                  <c:v>5.4488474052736408E-2</c:v>
                </c:pt>
                <c:pt idx="2616">
                  <c:v>5.4488474052736408E-2</c:v>
                </c:pt>
                <c:pt idx="2617">
                  <c:v>5.4488474052736408E-2</c:v>
                </c:pt>
                <c:pt idx="2618">
                  <c:v>5.4488474052736408E-2</c:v>
                </c:pt>
                <c:pt idx="2619">
                  <c:v>5.4488474052736408E-2</c:v>
                </c:pt>
                <c:pt idx="2620">
                  <c:v>5.4488474052736408E-2</c:v>
                </c:pt>
                <c:pt idx="2621">
                  <c:v>5.4488474052736408E-2</c:v>
                </c:pt>
                <c:pt idx="2622">
                  <c:v>5.4488474052736408E-2</c:v>
                </c:pt>
                <c:pt idx="2623">
                  <c:v>5.4488474052736408E-2</c:v>
                </c:pt>
                <c:pt idx="2624">
                  <c:v>5.4488474052736408E-2</c:v>
                </c:pt>
                <c:pt idx="2625">
                  <c:v>5.4488474052736408E-2</c:v>
                </c:pt>
                <c:pt idx="2626">
                  <c:v>5.4488474052736408E-2</c:v>
                </c:pt>
                <c:pt idx="2627">
                  <c:v>5.4488474052736408E-2</c:v>
                </c:pt>
                <c:pt idx="2628">
                  <c:v>5.4488474052736408E-2</c:v>
                </c:pt>
                <c:pt idx="2629">
                  <c:v>5.4488474052736408E-2</c:v>
                </c:pt>
                <c:pt idx="2630">
                  <c:v>5.4488474052736408E-2</c:v>
                </c:pt>
                <c:pt idx="2631">
                  <c:v>5.4488474052736408E-2</c:v>
                </c:pt>
                <c:pt idx="2632">
                  <c:v>5.4488474052736408E-2</c:v>
                </c:pt>
                <c:pt idx="2633">
                  <c:v>5.4488474052736408E-2</c:v>
                </c:pt>
                <c:pt idx="2634">
                  <c:v>5.4488474052736408E-2</c:v>
                </c:pt>
                <c:pt idx="2635">
                  <c:v>5.4488474052736408E-2</c:v>
                </c:pt>
                <c:pt idx="2636">
                  <c:v>5.4488474052736408E-2</c:v>
                </c:pt>
                <c:pt idx="2637">
                  <c:v>5.4488474052736408E-2</c:v>
                </c:pt>
                <c:pt idx="2638">
                  <c:v>5.4488474052736408E-2</c:v>
                </c:pt>
                <c:pt idx="2639">
                  <c:v>5.4488474052736408E-2</c:v>
                </c:pt>
                <c:pt idx="2640">
                  <c:v>5.4488474052736408E-2</c:v>
                </c:pt>
                <c:pt idx="2641">
                  <c:v>5.4488474052736408E-2</c:v>
                </c:pt>
                <c:pt idx="2642">
                  <c:v>5.4488474052736408E-2</c:v>
                </c:pt>
                <c:pt idx="2643">
                  <c:v>5.4488474052736408E-2</c:v>
                </c:pt>
                <c:pt idx="2644">
                  <c:v>5.4488474052736408E-2</c:v>
                </c:pt>
                <c:pt idx="2645">
                  <c:v>5.4488474052736408E-2</c:v>
                </c:pt>
                <c:pt idx="2646">
                  <c:v>5.4488474052736408E-2</c:v>
                </c:pt>
                <c:pt idx="2647">
                  <c:v>5.4488474052736408E-2</c:v>
                </c:pt>
                <c:pt idx="2648">
                  <c:v>5.4488474052736408E-2</c:v>
                </c:pt>
                <c:pt idx="2649">
                  <c:v>5.4488474052736408E-2</c:v>
                </c:pt>
                <c:pt idx="2650">
                  <c:v>5.4488474052736408E-2</c:v>
                </c:pt>
                <c:pt idx="2651">
                  <c:v>5.4488474052736408E-2</c:v>
                </c:pt>
                <c:pt idx="2652">
                  <c:v>5.4488474052736408E-2</c:v>
                </c:pt>
                <c:pt idx="2653">
                  <c:v>5.4488474052736408E-2</c:v>
                </c:pt>
                <c:pt idx="2654">
                  <c:v>5.4488474052736408E-2</c:v>
                </c:pt>
                <c:pt idx="2655">
                  <c:v>5.4488474052736408E-2</c:v>
                </c:pt>
                <c:pt idx="2656">
                  <c:v>5.4488474052736408E-2</c:v>
                </c:pt>
                <c:pt idx="2657">
                  <c:v>5.4488474052736408E-2</c:v>
                </c:pt>
                <c:pt idx="2658">
                  <c:v>5.4488474052736408E-2</c:v>
                </c:pt>
                <c:pt idx="2659">
                  <c:v>5.4488474052736408E-2</c:v>
                </c:pt>
                <c:pt idx="2660">
                  <c:v>5.4488474052736408E-2</c:v>
                </c:pt>
                <c:pt idx="2661">
                  <c:v>5.4488474052736408E-2</c:v>
                </c:pt>
                <c:pt idx="2662">
                  <c:v>5.4488474052736408E-2</c:v>
                </c:pt>
                <c:pt idx="2663">
                  <c:v>5.4488474052736408E-2</c:v>
                </c:pt>
                <c:pt idx="2664">
                  <c:v>5.4488474052736408E-2</c:v>
                </c:pt>
                <c:pt idx="2665">
                  <c:v>5.4488474052736408E-2</c:v>
                </c:pt>
                <c:pt idx="2666">
                  <c:v>5.4488474052736408E-2</c:v>
                </c:pt>
                <c:pt idx="2667">
                  <c:v>5.4488474052736408E-2</c:v>
                </c:pt>
                <c:pt idx="2668">
                  <c:v>5.4488474052736408E-2</c:v>
                </c:pt>
                <c:pt idx="2669">
                  <c:v>5.4488474052736408E-2</c:v>
                </c:pt>
                <c:pt idx="2670">
                  <c:v>5.4488474052736408E-2</c:v>
                </c:pt>
                <c:pt idx="2671">
                  <c:v>5.4488474052736408E-2</c:v>
                </c:pt>
                <c:pt idx="2672">
                  <c:v>5.4488474052736408E-2</c:v>
                </c:pt>
                <c:pt idx="2673">
                  <c:v>5.4488474052736408E-2</c:v>
                </c:pt>
                <c:pt idx="2674">
                  <c:v>5.4488474052736408E-2</c:v>
                </c:pt>
                <c:pt idx="2675">
                  <c:v>5.4488474052736408E-2</c:v>
                </c:pt>
                <c:pt idx="2676">
                  <c:v>5.4488474052736408E-2</c:v>
                </c:pt>
                <c:pt idx="2677">
                  <c:v>5.4488474052736408E-2</c:v>
                </c:pt>
                <c:pt idx="2678">
                  <c:v>5.4488474052736408E-2</c:v>
                </c:pt>
                <c:pt idx="2679">
                  <c:v>5.4488474052736408E-2</c:v>
                </c:pt>
                <c:pt idx="2680">
                  <c:v>5.4488474052736408E-2</c:v>
                </c:pt>
                <c:pt idx="2681">
                  <c:v>5.4488474052736408E-2</c:v>
                </c:pt>
                <c:pt idx="2682">
                  <c:v>5.4488474052736408E-2</c:v>
                </c:pt>
                <c:pt idx="2683">
                  <c:v>5.4488474052736408E-2</c:v>
                </c:pt>
                <c:pt idx="2684">
                  <c:v>5.4488474052736408E-2</c:v>
                </c:pt>
                <c:pt idx="2685">
                  <c:v>5.4488474052736408E-2</c:v>
                </c:pt>
                <c:pt idx="2686">
                  <c:v>5.4488474052736408E-2</c:v>
                </c:pt>
                <c:pt idx="2687">
                  <c:v>5.4488474052736408E-2</c:v>
                </c:pt>
                <c:pt idx="2688">
                  <c:v>5.4488474052736408E-2</c:v>
                </c:pt>
                <c:pt idx="2689">
                  <c:v>5.4488474052736408E-2</c:v>
                </c:pt>
                <c:pt idx="2690">
                  <c:v>5.4488474052736408E-2</c:v>
                </c:pt>
                <c:pt idx="2691">
                  <c:v>5.4488474052736408E-2</c:v>
                </c:pt>
                <c:pt idx="2692">
                  <c:v>5.4488474052736408E-2</c:v>
                </c:pt>
                <c:pt idx="2693">
                  <c:v>5.4488474052736408E-2</c:v>
                </c:pt>
                <c:pt idx="2694">
                  <c:v>5.4488474052736408E-2</c:v>
                </c:pt>
                <c:pt idx="2695">
                  <c:v>5.4488474052736408E-2</c:v>
                </c:pt>
                <c:pt idx="2696">
                  <c:v>5.4488474052736408E-2</c:v>
                </c:pt>
                <c:pt idx="2697">
                  <c:v>5.4488474052736408E-2</c:v>
                </c:pt>
                <c:pt idx="2698">
                  <c:v>5.4488474052736408E-2</c:v>
                </c:pt>
                <c:pt idx="2699">
                  <c:v>5.4488474052736408E-2</c:v>
                </c:pt>
                <c:pt idx="2700">
                  <c:v>5.4488474052736408E-2</c:v>
                </c:pt>
                <c:pt idx="2701">
                  <c:v>5.4488474052736408E-2</c:v>
                </c:pt>
                <c:pt idx="2702">
                  <c:v>5.4488474052736408E-2</c:v>
                </c:pt>
                <c:pt idx="2703">
                  <c:v>5.4488474052736408E-2</c:v>
                </c:pt>
                <c:pt idx="2704">
                  <c:v>5.4488474052736408E-2</c:v>
                </c:pt>
                <c:pt idx="2705">
                  <c:v>5.4488474052736408E-2</c:v>
                </c:pt>
                <c:pt idx="2706">
                  <c:v>5.4488474052736408E-2</c:v>
                </c:pt>
                <c:pt idx="2707">
                  <c:v>5.4488474052736408E-2</c:v>
                </c:pt>
                <c:pt idx="2708">
                  <c:v>5.4488474052736408E-2</c:v>
                </c:pt>
                <c:pt idx="2709">
                  <c:v>5.4488474052736408E-2</c:v>
                </c:pt>
                <c:pt idx="2710">
                  <c:v>5.4488474052736408E-2</c:v>
                </c:pt>
                <c:pt idx="2711">
                  <c:v>5.4488474052736408E-2</c:v>
                </c:pt>
                <c:pt idx="2712">
                  <c:v>5.4488474052736408E-2</c:v>
                </c:pt>
                <c:pt idx="2713">
                  <c:v>5.4488474052736408E-2</c:v>
                </c:pt>
                <c:pt idx="2714">
                  <c:v>5.4488474052736408E-2</c:v>
                </c:pt>
                <c:pt idx="2715">
                  <c:v>5.4488474052736408E-2</c:v>
                </c:pt>
                <c:pt idx="2716">
                  <c:v>5.4488474052736408E-2</c:v>
                </c:pt>
                <c:pt idx="2717">
                  <c:v>5.4488474052736408E-2</c:v>
                </c:pt>
                <c:pt idx="2718">
                  <c:v>5.4488474052736408E-2</c:v>
                </c:pt>
                <c:pt idx="2719">
                  <c:v>5.4488474052736408E-2</c:v>
                </c:pt>
                <c:pt idx="2720">
                  <c:v>5.4488474052736408E-2</c:v>
                </c:pt>
                <c:pt idx="2721">
                  <c:v>5.4488474052736408E-2</c:v>
                </c:pt>
                <c:pt idx="2722">
                  <c:v>5.4488474052736408E-2</c:v>
                </c:pt>
                <c:pt idx="2723">
                  <c:v>5.4488474052736408E-2</c:v>
                </c:pt>
                <c:pt idx="2724">
                  <c:v>5.4488474052736408E-2</c:v>
                </c:pt>
                <c:pt idx="2725">
                  <c:v>5.4488474052736408E-2</c:v>
                </c:pt>
                <c:pt idx="2726">
                  <c:v>5.4488474052736408E-2</c:v>
                </c:pt>
                <c:pt idx="2727">
                  <c:v>5.4488474052736408E-2</c:v>
                </c:pt>
                <c:pt idx="2728">
                  <c:v>5.4488474052736408E-2</c:v>
                </c:pt>
                <c:pt idx="2729">
                  <c:v>5.4488474052736408E-2</c:v>
                </c:pt>
                <c:pt idx="2730">
                  <c:v>5.4488474052736408E-2</c:v>
                </c:pt>
                <c:pt idx="2731">
                  <c:v>5.4488474052736408E-2</c:v>
                </c:pt>
                <c:pt idx="2732">
                  <c:v>5.4488474052736408E-2</c:v>
                </c:pt>
                <c:pt idx="2733">
                  <c:v>5.4488474052736408E-2</c:v>
                </c:pt>
                <c:pt idx="2734">
                  <c:v>5.4488474052736408E-2</c:v>
                </c:pt>
                <c:pt idx="2735">
                  <c:v>5.4488474052736408E-2</c:v>
                </c:pt>
                <c:pt idx="2736">
                  <c:v>5.4488474052736408E-2</c:v>
                </c:pt>
                <c:pt idx="2737">
                  <c:v>5.4488474052736408E-2</c:v>
                </c:pt>
                <c:pt idx="2738">
                  <c:v>5.4488474052736408E-2</c:v>
                </c:pt>
                <c:pt idx="2739">
                  <c:v>5.4488474052736408E-2</c:v>
                </c:pt>
                <c:pt idx="2740">
                  <c:v>5.4488474052736408E-2</c:v>
                </c:pt>
                <c:pt idx="2741">
                  <c:v>5.4488474052736408E-2</c:v>
                </c:pt>
                <c:pt idx="2742">
                  <c:v>5.4488474052736408E-2</c:v>
                </c:pt>
                <c:pt idx="2743">
                  <c:v>5.4488474052736408E-2</c:v>
                </c:pt>
                <c:pt idx="2744">
                  <c:v>5.4488474052736408E-2</c:v>
                </c:pt>
                <c:pt idx="2745">
                  <c:v>5.4488474052736408E-2</c:v>
                </c:pt>
                <c:pt idx="2746">
                  <c:v>5.4488474052736408E-2</c:v>
                </c:pt>
                <c:pt idx="2747">
                  <c:v>5.4488474052736408E-2</c:v>
                </c:pt>
                <c:pt idx="2748">
                  <c:v>5.4488474052736408E-2</c:v>
                </c:pt>
                <c:pt idx="2749">
                  <c:v>5.4488474052736408E-2</c:v>
                </c:pt>
                <c:pt idx="2750">
                  <c:v>5.4488474052736408E-2</c:v>
                </c:pt>
                <c:pt idx="2751">
                  <c:v>5.4488474052736408E-2</c:v>
                </c:pt>
                <c:pt idx="2752">
                  <c:v>5.4488474052736408E-2</c:v>
                </c:pt>
                <c:pt idx="2753">
                  <c:v>5.4488474052736408E-2</c:v>
                </c:pt>
                <c:pt idx="2754">
                  <c:v>5.4488474052736408E-2</c:v>
                </c:pt>
                <c:pt idx="2755">
                  <c:v>5.4488474052736408E-2</c:v>
                </c:pt>
                <c:pt idx="2756">
                  <c:v>5.4488474052736408E-2</c:v>
                </c:pt>
                <c:pt idx="2757">
                  <c:v>5.4488474052736408E-2</c:v>
                </c:pt>
                <c:pt idx="2758">
                  <c:v>5.4488474052736408E-2</c:v>
                </c:pt>
                <c:pt idx="2759">
                  <c:v>5.4488474052736408E-2</c:v>
                </c:pt>
                <c:pt idx="2760">
                  <c:v>5.4488474052736408E-2</c:v>
                </c:pt>
                <c:pt idx="2761">
                  <c:v>5.4488474052736408E-2</c:v>
                </c:pt>
                <c:pt idx="2762">
                  <c:v>5.4488474052736408E-2</c:v>
                </c:pt>
                <c:pt idx="2763">
                  <c:v>5.4488474052736408E-2</c:v>
                </c:pt>
                <c:pt idx="2764">
                  <c:v>5.4488474052736408E-2</c:v>
                </c:pt>
                <c:pt idx="2765">
                  <c:v>5.4488474052736408E-2</c:v>
                </c:pt>
                <c:pt idx="2766">
                  <c:v>5.4488474052736408E-2</c:v>
                </c:pt>
                <c:pt idx="2767">
                  <c:v>5.4488474052736408E-2</c:v>
                </c:pt>
                <c:pt idx="2768">
                  <c:v>5.4488474052736408E-2</c:v>
                </c:pt>
                <c:pt idx="2769">
                  <c:v>5.4488474052736408E-2</c:v>
                </c:pt>
                <c:pt idx="2770">
                  <c:v>5.4488474052736408E-2</c:v>
                </c:pt>
                <c:pt idx="2771">
                  <c:v>5.4488474052736408E-2</c:v>
                </c:pt>
                <c:pt idx="2772">
                  <c:v>5.4488474052736408E-2</c:v>
                </c:pt>
                <c:pt idx="2773">
                  <c:v>5.4488474052736408E-2</c:v>
                </c:pt>
                <c:pt idx="2774">
                  <c:v>5.4488474052736408E-2</c:v>
                </c:pt>
                <c:pt idx="2775">
                  <c:v>5.4488474052736408E-2</c:v>
                </c:pt>
                <c:pt idx="2776">
                  <c:v>5.4488474052736408E-2</c:v>
                </c:pt>
                <c:pt idx="2777">
                  <c:v>5.4488474052736408E-2</c:v>
                </c:pt>
                <c:pt idx="2778">
                  <c:v>5.4488474052736408E-2</c:v>
                </c:pt>
                <c:pt idx="2779">
                  <c:v>5.4488474052736408E-2</c:v>
                </c:pt>
                <c:pt idx="2780">
                  <c:v>5.4488474052736408E-2</c:v>
                </c:pt>
                <c:pt idx="2781">
                  <c:v>5.4488474052736408E-2</c:v>
                </c:pt>
                <c:pt idx="2782">
                  <c:v>5.4488474052736408E-2</c:v>
                </c:pt>
                <c:pt idx="2783">
                  <c:v>5.4488474052736408E-2</c:v>
                </c:pt>
                <c:pt idx="2784">
                  <c:v>5.4488474052736408E-2</c:v>
                </c:pt>
                <c:pt idx="2785">
                  <c:v>5.4488474052736408E-2</c:v>
                </c:pt>
                <c:pt idx="2786">
                  <c:v>5.4488474052736408E-2</c:v>
                </c:pt>
                <c:pt idx="2787">
                  <c:v>5.4488474052736408E-2</c:v>
                </c:pt>
                <c:pt idx="2788">
                  <c:v>5.4488474052736408E-2</c:v>
                </c:pt>
                <c:pt idx="2789">
                  <c:v>5.4488474052736408E-2</c:v>
                </c:pt>
                <c:pt idx="2790">
                  <c:v>5.4488474052736408E-2</c:v>
                </c:pt>
                <c:pt idx="2791">
                  <c:v>5.4488474052736408E-2</c:v>
                </c:pt>
                <c:pt idx="2792">
                  <c:v>5.4488474052736408E-2</c:v>
                </c:pt>
                <c:pt idx="2793">
                  <c:v>5.4488474052736408E-2</c:v>
                </c:pt>
                <c:pt idx="2794">
                  <c:v>5.4488474052736408E-2</c:v>
                </c:pt>
                <c:pt idx="2795">
                  <c:v>5.4488474052736408E-2</c:v>
                </c:pt>
                <c:pt idx="2796">
                  <c:v>5.4488474052736408E-2</c:v>
                </c:pt>
                <c:pt idx="2797">
                  <c:v>5.4488474052736408E-2</c:v>
                </c:pt>
                <c:pt idx="2798">
                  <c:v>5.4488474052736408E-2</c:v>
                </c:pt>
                <c:pt idx="2799">
                  <c:v>5.4488474052736408E-2</c:v>
                </c:pt>
                <c:pt idx="2800">
                  <c:v>5.4488474052736408E-2</c:v>
                </c:pt>
                <c:pt idx="2801">
                  <c:v>5.4488474052736408E-2</c:v>
                </c:pt>
                <c:pt idx="2802">
                  <c:v>5.4488474052736408E-2</c:v>
                </c:pt>
                <c:pt idx="2803">
                  <c:v>5.4488474052736408E-2</c:v>
                </c:pt>
                <c:pt idx="2804">
                  <c:v>5.4488474052736408E-2</c:v>
                </c:pt>
                <c:pt idx="2805">
                  <c:v>5.4488474052736408E-2</c:v>
                </c:pt>
                <c:pt idx="2806">
                  <c:v>5.4488474052736408E-2</c:v>
                </c:pt>
                <c:pt idx="2807">
                  <c:v>5.4488474052736408E-2</c:v>
                </c:pt>
                <c:pt idx="2808">
                  <c:v>5.4488474052736408E-2</c:v>
                </c:pt>
                <c:pt idx="2809">
                  <c:v>5.4488474052736408E-2</c:v>
                </c:pt>
                <c:pt idx="2810">
                  <c:v>5.4488474052736408E-2</c:v>
                </c:pt>
                <c:pt idx="2811">
                  <c:v>5.4488474052736408E-2</c:v>
                </c:pt>
                <c:pt idx="2812">
                  <c:v>5.4488474052736408E-2</c:v>
                </c:pt>
                <c:pt idx="2813">
                  <c:v>5.4488474052736408E-2</c:v>
                </c:pt>
                <c:pt idx="2814">
                  <c:v>5.4488474052736408E-2</c:v>
                </c:pt>
                <c:pt idx="2815">
                  <c:v>5.4488474052736408E-2</c:v>
                </c:pt>
                <c:pt idx="2816">
                  <c:v>5.4488474052736408E-2</c:v>
                </c:pt>
                <c:pt idx="2817">
                  <c:v>5.4488474052736408E-2</c:v>
                </c:pt>
                <c:pt idx="2818">
                  <c:v>5.4488474052736408E-2</c:v>
                </c:pt>
                <c:pt idx="2819">
                  <c:v>5.4488474052736408E-2</c:v>
                </c:pt>
                <c:pt idx="2820">
                  <c:v>5.4488474052736408E-2</c:v>
                </c:pt>
                <c:pt idx="2821">
                  <c:v>5.4488474052736408E-2</c:v>
                </c:pt>
                <c:pt idx="2822">
                  <c:v>5.4488474052736408E-2</c:v>
                </c:pt>
                <c:pt idx="2823">
                  <c:v>5.4488474052736408E-2</c:v>
                </c:pt>
                <c:pt idx="2824">
                  <c:v>5.4488474052736408E-2</c:v>
                </c:pt>
                <c:pt idx="2825">
                  <c:v>5.4488474052736408E-2</c:v>
                </c:pt>
                <c:pt idx="2826">
                  <c:v>5.4488474052736408E-2</c:v>
                </c:pt>
                <c:pt idx="2827">
                  <c:v>5.4488474052736408E-2</c:v>
                </c:pt>
                <c:pt idx="2828">
                  <c:v>5.4488474052736408E-2</c:v>
                </c:pt>
                <c:pt idx="2829">
                  <c:v>5.4488474052736408E-2</c:v>
                </c:pt>
                <c:pt idx="2830">
                  <c:v>5.4488474052736408E-2</c:v>
                </c:pt>
                <c:pt idx="2831">
                  <c:v>5.4488474052736408E-2</c:v>
                </c:pt>
                <c:pt idx="2832">
                  <c:v>5.4488474052736408E-2</c:v>
                </c:pt>
                <c:pt idx="2833">
                  <c:v>5.4488474052736408E-2</c:v>
                </c:pt>
                <c:pt idx="2834">
                  <c:v>5.4488474052736408E-2</c:v>
                </c:pt>
                <c:pt idx="2835">
                  <c:v>5.4488474052736408E-2</c:v>
                </c:pt>
                <c:pt idx="2836">
                  <c:v>5.4488474052736408E-2</c:v>
                </c:pt>
                <c:pt idx="2837">
                  <c:v>5.4488474052736408E-2</c:v>
                </c:pt>
                <c:pt idx="2838">
                  <c:v>5.4488474052736408E-2</c:v>
                </c:pt>
                <c:pt idx="2839">
                  <c:v>5.4488474052736408E-2</c:v>
                </c:pt>
                <c:pt idx="2840">
                  <c:v>5.4488474052736408E-2</c:v>
                </c:pt>
                <c:pt idx="2841">
                  <c:v>5.4488474052736408E-2</c:v>
                </c:pt>
                <c:pt idx="2842">
                  <c:v>5.4488474052736408E-2</c:v>
                </c:pt>
                <c:pt idx="2843">
                  <c:v>5.4488474052736408E-2</c:v>
                </c:pt>
                <c:pt idx="2844">
                  <c:v>5.4488474052736408E-2</c:v>
                </c:pt>
                <c:pt idx="2845">
                  <c:v>5.4488474052736408E-2</c:v>
                </c:pt>
                <c:pt idx="2846">
                  <c:v>5.4488474052736408E-2</c:v>
                </c:pt>
                <c:pt idx="2847">
                  <c:v>5.4488474052736408E-2</c:v>
                </c:pt>
                <c:pt idx="2848">
                  <c:v>5.4488474052736408E-2</c:v>
                </c:pt>
                <c:pt idx="2849">
                  <c:v>5.4488474052736408E-2</c:v>
                </c:pt>
                <c:pt idx="2850">
                  <c:v>5.4488474052736408E-2</c:v>
                </c:pt>
                <c:pt idx="2851">
                  <c:v>5.4488474052736408E-2</c:v>
                </c:pt>
                <c:pt idx="2852">
                  <c:v>5.4488474052736408E-2</c:v>
                </c:pt>
                <c:pt idx="2853">
                  <c:v>5.4488474052736408E-2</c:v>
                </c:pt>
                <c:pt idx="2854">
                  <c:v>5.4488474052736408E-2</c:v>
                </c:pt>
                <c:pt idx="2855">
                  <c:v>5.4488474052736408E-2</c:v>
                </c:pt>
                <c:pt idx="2856">
                  <c:v>5.4488474052736408E-2</c:v>
                </c:pt>
                <c:pt idx="2857">
                  <c:v>5.4488474052736408E-2</c:v>
                </c:pt>
                <c:pt idx="2858">
                  <c:v>5.4488474052736408E-2</c:v>
                </c:pt>
                <c:pt idx="2859">
                  <c:v>5.4488474052736408E-2</c:v>
                </c:pt>
                <c:pt idx="2860">
                  <c:v>5.4488474052736408E-2</c:v>
                </c:pt>
                <c:pt idx="2861">
                  <c:v>5.4488474052736408E-2</c:v>
                </c:pt>
                <c:pt idx="2862">
                  <c:v>5.4488474052736408E-2</c:v>
                </c:pt>
                <c:pt idx="2863">
                  <c:v>5.4488474052736408E-2</c:v>
                </c:pt>
                <c:pt idx="2864">
                  <c:v>5.4488474052736408E-2</c:v>
                </c:pt>
                <c:pt idx="2865">
                  <c:v>5.4488474052736408E-2</c:v>
                </c:pt>
                <c:pt idx="2866">
                  <c:v>5.4488474052736408E-2</c:v>
                </c:pt>
                <c:pt idx="2867">
                  <c:v>5.4488474052736408E-2</c:v>
                </c:pt>
                <c:pt idx="2868">
                  <c:v>5.4488474052736408E-2</c:v>
                </c:pt>
                <c:pt idx="2869">
                  <c:v>5.4488474052736408E-2</c:v>
                </c:pt>
                <c:pt idx="2870">
                  <c:v>5.4488474052736408E-2</c:v>
                </c:pt>
                <c:pt idx="2871">
                  <c:v>5.4488474052736408E-2</c:v>
                </c:pt>
                <c:pt idx="2872">
                  <c:v>5.4488474052736408E-2</c:v>
                </c:pt>
                <c:pt idx="2873">
                  <c:v>5.4488474052736408E-2</c:v>
                </c:pt>
                <c:pt idx="2874">
                  <c:v>5.4488474052736408E-2</c:v>
                </c:pt>
                <c:pt idx="2875">
                  <c:v>5.4488474052736408E-2</c:v>
                </c:pt>
                <c:pt idx="2876">
                  <c:v>5.4488474052736408E-2</c:v>
                </c:pt>
                <c:pt idx="2877">
                  <c:v>5.4488474052736408E-2</c:v>
                </c:pt>
                <c:pt idx="2878">
                  <c:v>5.4488474052736408E-2</c:v>
                </c:pt>
                <c:pt idx="2879">
                  <c:v>5.4488474052736408E-2</c:v>
                </c:pt>
                <c:pt idx="2880">
                  <c:v>5.4488474052736408E-2</c:v>
                </c:pt>
                <c:pt idx="2881">
                  <c:v>5.4488474052736408E-2</c:v>
                </c:pt>
                <c:pt idx="2882">
                  <c:v>5.4488474052736408E-2</c:v>
                </c:pt>
                <c:pt idx="2883">
                  <c:v>5.4488474052736408E-2</c:v>
                </c:pt>
                <c:pt idx="2884">
                  <c:v>5.4488474052736408E-2</c:v>
                </c:pt>
                <c:pt idx="2885">
                  <c:v>5.4488474052736408E-2</c:v>
                </c:pt>
                <c:pt idx="2886">
                  <c:v>5.4488474052736408E-2</c:v>
                </c:pt>
                <c:pt idx="2887">
                  <c:v>5.4488474052736408E-2</c:v>
                </c:pt>
                <c:pt idx="2888">
                  <c:v>5.4488474052736408E-2</c:v>
                </c:pt>
                <c:pt idx="2889">
                  <c:v>5.4488474052736408E-2</c:v>
                </c:pt>
                <c:pt idx="2890">
                  <c:v>5.4488474052736408E-2</c:v>
                </c:pt>
                <c:pt idx="2891">
                  <c:v>5.4488474052736408E-2</c:v>
                </c:pt>
                <c:pt idx="2892">
                  <c:v>5.4488474052736408E-2</c:v>
                </c:pt>
                <c:pt idx="2893">
                  <c:v>5.4488474052736408E-2</c:v>
                </c:pt>
                <c:pt idx="2894">
                  <c:v>5.4488474052736408E-2</c:v>
                </c:pt>
                <c:pt idx="2895">
                  <c:v>5.4488474052736408E-2</c:v>
                </c:pt>
                <c:pt idx="2896">
                  <c:v>5.4488474052736408E-2</c:v>
                </c:pt>
                <c:pt idx="2897">
                  <c:v>5.4488474052736408E-2</c:v>
                </c:pt>
                <c:pt idx="2898">
                  <c:v>5.4488474052736408E-2</c:v>
                </c:pt>
                <c:pt idx="2899">
                  <c:v>5.4488474052736408E-2</c:v>
                </c:pt>
                <c:pt idx="2900">
                  <c:v>5.4488474052736408E-2</c:v>
                </c:pt>
                <c:pt idx="2901">
                  <c:v>5.4488474052736408E-2</c:v>
                </c:pt>
                <c:pt idx="2902">
                  <c:v>5.4488474052736408E-2</c:v>
                </c:pt>
                <c:pt idx="2903">
                  <c:v>5.4488474052736408E-2</c:v>
                </c:pt>
                <c:pt idx="2904">
                  <c:v>5.4488474052736408E-2</c:v>
                </c:pt>
                <c:pt idx="2905">
                  <c:v>5.4488474052736408E-2</c:v>
                </c:pt>
                <c:pt idx="2906">
                  <c:v>5.4488474052736408E-2</c:v>
                </c:pt>
                <c:pt idx="2907">
                  <c:v>5.4488474052736408E-2</c:v>
                </c:pt>
                <c:pt idx="2908">
                  <c:v>5.4488474052736408E-2</c:v>
                </c:pt>
                <c:pt idx="2909">
                  <c:v>5.4488474052736408E-2</c:v>
                </c:pt>
                <c:pt idx="2910">
                  <c:v>5.4488474052736408E-2</c:v>
                </c:pt>
                <c:pt idx="2911">
                  <c:v>5.4488474052736408E-2</c:v>
                </c:pt>
                <c:pt idx="2912">
                  <c:v>5.4488474052736408E-2</c:v>
                </c:pt>
                <c:pt idx="2913">
                  <c:v>5.4488474052736408E-2</c:v>
                </c:pt>
                <c:pt idx="2914">
                  <c:v>5.4488474052736408E-2</c:v>
                </c:pt>
                <c:pt idx="2915">
                  <c:v>5.4488474052736408E-2</c:v>
                </c:pt>
                <c:pt idx="2916">
                  <c:v>5.4488474052736408E-2</c:v>
                </c:pt>
                <c:pt idx="2917">
                  <c:v>5.4488474052736408E-2</c:v>
                </c:pt>
                <c:pt idx="2918">
                  <c:v>5.4488474052736408E-2</c:v>
                </c:pt>
                <c:pt idx="2919">
                  <c:v>5.4488474052736408E-2</c:v>
                </c:pt>
                <c:pt idx="2920">
                  <c:v>5.4488474052736408E-2</c:v>
                </c:pt>
                <c:pt idx="2921">
                  <c:v>5.4488474052736408E-2</c:v>
                </c:pt>
                <c:pt idx="2922">
                  <c:v>5.4488474052736408E-2</c:v>
                </c:pt>
                <c:pt idx="2923">
                  <c:v>5.4488474052736408E-2</c:v>
                </c:pt>
                <c:pt idx="2924">
                  <c:v>5.4488474052736408E-2</c:v>
                </c:pt>
                <c:pt idx="2925">
                  <c:v>5.4488474052736408E-2</c:v>
                </c:pt>
                <c:pt idx="2926">
                  <c:v>5.4488474052736408E-2</c:v>
                </c:pt>
                <c:pt idx="2927">
                  <c:v>5.4488474052736408E-2</c:v>
                </c:pt>
                <c:pt idx="2928">
                  <c:v>5.4488474052736408E-2</c:v>
                </c:pt>
                <c:pt idx="2929">
                  <c:v>5.4488474052736408E-2</c:v>
                </c:pt>
                <c:pt idx="2930">
                  <c:v>5.4488474052736408E-2</c:v>
                </c:pt>
                <c:pt idx="2931">
                  <c:v>5.4488474052736408E-2</c:v>
                </c:pt>
                <c:pt idx="2932">
                  <c:v>5.4488474052736408E-2</c:v>
                </c:pt>
                <c:pt idx="2933">
                  <c:v>5.4488474052736408E-2</c:v>
                </c:pt>
                <c:pt idx="2934">
                  <c:v>5.4488474052736408E-2</c:v>
                </c:pt>
                <c:pt idx="2935">
                  <c:v>5.4488474052736408E-2</c:v>
                </c:pt>
                <c:pt idx="2936">
                  <c:v>5.4488474052736408E-2</c:v>
                </c:pt>
                <c:pt idx="2937">
                  <c:v>5.4488474052736408E-2</c:v>
                </c:pt>
                <c:pt idx="2938">
                  <c:v>5.4488474052736408E-2</c:v>
                </c:pt>
                <c:pt idx="2939">
                  <c:v>5.4488474052736408E-2</c:v>
                </c:pt>
                <c:pt idx="2940">
                  <c:v>5.4488474052736408E-2</c:v>
                </c:pt>
                <c:pt idx="2941">
                  <c:v>5.4488474052736408E-2</c:v>
                </c:pt>
                <c:pt idx="2942">
                  <c:v>5.4488474052736408E-2</c:v>
                </c:pt>
                <c:pt idx="2943">
                  <c:v>5.4488474052736408E-2</c:v>
                </c:pt>
                <c:pt idx="2944">
                  <c:v>5.4488474052736408E-2</c:v>
                </c:pt>
                <c:pt idx="2945">
                  <c:v>5.4488474052736408E-2</c:v>
                </c:pt>
                <c:pt idx="2946">
                  <c:v>5.4488474052736408E-2</c:v>
                </c:pt>
                <c:pt idx="2947">
                  <c:v>5.4488474052736408E-2</c:v>
                </c:pt>
                <c:pt idx="2948">
                  <c:v>5.4488474052736408E-2</c:v>
                </c:pt>
                <c:pt idx="2949">
                  <c:v>5.4488474052736408E-2</c:v>
                </c:pt>
                <c:pt idx="2950">
                  <c:v>5.4488474052736408E-2</c:v>
                </c:pt>
                <c:pt idx="2951">
                  <c:v>5.4488474052736408E-2</c:v>
                </c:pt>
                <c:pt idx="2952">
                  <c:v>5.4488474052736408E-2</c:v>
                </c:pt>
                <c:pt idx="2953">
                  <c:v>5.4488474052736408E-2</c:v>
                </c:pt>
                <c:pt idx="2954">
                  <c:v>5.4488474052736408E-2</c:v>
                </c:pt>
                <c:pt idx="2955">
                  <c:v>5.4488474052736408E-2</c:v>
                </c:pt>
                <c:pt idx="2956">
                  <c:v>5.4488474052736408E-2</c:v>
                </c:pt>
                <c:pt idx="2957">
                  <c:v>5.4488474052736408E-2</c:v>
                </c:pt>
                <c:pt idx="2958">
                  <c:v>5.4488474052736408E-2</c:v>
                </c:pt>
                <c:pt idx="2959">
                  <c:v>5.4488474052736408E-2</c:v>
                </c:pt>
                <c:pt idx="2960">
                  <c:v>5.4488474052736408E-2</c:v>
                </c:pt>
                <c:pt idx="2961">
                  <c:v>5.4488474052736408E-2</c:v>
                </c:pt>
                <c:pt idx="2962">
                  <c:v>5.4488474052736408E-2</c:v>
                </c:pt>
                <c:pt idx="2963">
                  <c:v>5.4488474052736408E-2</c:v>
                </c:pt>
                <c:pt idx="2964">
                  <c:v>5.4488474052736408E-2</c:v>
                </c:pt>
                <c:pt idx="2965">
                  <c:v>5.4488474052736408E-2</c:v>
                </c:pt>
                <c:pt idx="2966">
                  <c:v>5.4488474052736408E-2</c:v>
                </c:pt>
                <c:pt idx="2967">
                  <c:v>5.4488474052736408E-2</c:v>
                </c:pt>
                <c:pt idx="2968">
                  <c:v>5.4488474052736408E-2</c:v>
                </c:pt>
                <c:pt idx="2969">
                  <c:v>5.4488474052736408E-2</c:v>
                </c:pt>
                <c:pt idx="2970">
                  <c:v>5.4488474052736408E-2</c:v>
                </c:pt>
                <c:pt idx="2971">
                  <c:v>5.4488474052736408E-2</c:v>
                </c:pt>
                <c:pt idx="2972">
                  <c:v>5.4488474052736408E-2</c:v>
                </c:pt>
                <c:pt idx="2973">
                  <c:v>5.4488474052736408E-2</c:v>
                </c:pt>
                <c:pt idx="2974">
                  <c:v>5.4488474052736408E-2</c:v>
                </c:pt>
                <c:pt idx="2975">
                  <c:v>5.4488474052736408E-2</c:v>
                </c:pt>
                <c:pt idx="2976">
                  <c:v>5.4488474052736408E-2</c:v>
                </c:pt>
                <c:pt idx="2977">
                  <c:v>5.4488474052736408E-2</c:v>
                </c:pt>
                <c:pt idx="2978">
                  <c:v>5.4488474052736408E-2</c:v>
                </c:pt>
                <c:pt idx="2979">
                  <c:v>5.4488474052736408E-2</c:v>
                </c:pt>
                <c:pt idx="2980">
                  <c:v>5.4488474052736408E-2</c:v>
                </c:pt>
                <c:pt idx="2981">
                  <c:v>5.4488474052736408E-2</c:v>
                </c:pt>
                <c:pt idx="2982">
                  <c:v>5.4488474052736408E-2</c:v>
                </c:pt>
                <c:pt idx="2983">
                  <c:v>5.4488474052736408E-2</c:v>
                </c:pt>
                <c:pt idx="2984">
                  <c:v>5.4488474052736408E-2</c:v>
                </c:pt>
                <c:pt idx="2985">
                  <c:v>5.4488474052736408E-2</c:v>
                </c:pt>
                <c:pt idx="2986">
                  <c:v>5.4488474052736408E-2</c:v>
                </c:pt>
                <c:pt idx="2987">
                  <c:v>5.4488474052736408E-2</c:v>
                </c:pt>
                <c:pt idx="2988">
                  <c:v>5.4488474052736408E-2</c:v>
                </c:pt>
                <c:pt idx="2989">
                  <c:v>5.4488474052736408E-2</c:v>
                </c:pt>
                <c:pt idx="2990">
                  <c:v>5.4488474052736408E-2</c:v>
                </c:pt>
                <c:pt idx="2991">
                  <c:v>5.4488474052736408E-2</c:v>
                </c:pt>
                <c:pt idx="2992">
                  <c:v>5.4488474052736408E-2</c:v>
                </c:pt>
                <c:pt idx="2993">
                  <c:v>5.4488474052736408E-2</c:v>
                </c:pt>
                <c:pt idx="2994">
                  <c:v>5.4488474052736408E-2</c:v>
                </c:pt>
                <c:pt idx="2995">
                  <c:v>5.4488474052736408E-2</c:v>
                </c:pt>
                <c:pt idx="2996">
                  <c:v>5.4488474052736408E-2</c:v>
                </c:pt>
                <c:pt idx="2997">
                  <c:v>5.4488474052736408E-2</c:v>
                </c:pt>
                <c:pt idx="2998">
                  <c:v>5.4488474052736408E-2</c:v>
                </c:pt>
                <c:pt idx="2999">
                  <c:v>5.4488474052736408E-2</c:v>
                </c:pt>
                <c:pt idx="3000">
                  <c:v>5.4488474052736408E-2</c:v>
                </c:pt>
                <c:pt idx="3001">
                  <c:v>5.4488474052736408E-2</c:v>
                </c:pt>
                <c:pt idx="3002">
                  <c:v>5.4488474052736408E-2</c:v>
                </c:pt>
                <c:pt idx="3003">
                  <c:v>5.4488474052736408E-2</c:v>
                </c:pt>
                <c:pt idx="3004">
                  <c:v>5.4488474052736408E-2</c:v>
                </c:pt>
                <c:pt idx="3005">
                  <c:v>5.4488474052736408E-2</c:v>
                </c:pt>
                <c:pt idx="3006">
                  <c:v>5.4488474052736408E-2</c:v>
                </c:pt>
                <c:pt idx="3007">
                  <c:v>5.4488474052736408E-2</c:v>
                </c:pt>
                <c:pt idx="3008">
                  <c:v>5.4488474052736408E-2</c:v>
                </c:pt>
                <c:pt idx="3009">
                  <c:v>5.4488474052736408E-2</c:v>
                </c:pt>
                <c:pt idx="3010">
                  <c:v>5.4488474052736408E-2</c:v>
                </c:pt>
                <c:pt idx="3011">
                  <c:v>5.4488474052736408E-2</c:v>
                </c:pt>
                <c:pt idx="3012">
                  <c:v>5.4488474052736408E-2</c:v>
                </c:pt>
                <c:pt idx="3013">
                  <c:v>5.4488474052736408E-2</c:v>
                </c:pt>
                <c:pt idx="3014">
                  <c:v>5.4488474052736408E-2</c:v>
                </c:pt>
                <c:pt idx="3015">
                  <c:v>5.4488474052736408E-2</c:v>
                </c:pt>
                <c:pt idx="3016">
                  <c:v>5.4488474052736408E-2</c:v>
                </c:pt>
                <c:pt idx="3017">
                  <c:v>5.4488474052736408E-2</c:v>
                </c:pt>
                <c:pt idx="3018">
                  <c:v>5.4488474052736408E-2</c:v>
                </c:pt>
                <c:pt idx="3019">
                  <c:v>5.4488474052736408E-2</c:v>
                </c:pt>
                <c:pt idx="3020">
                  <c:v>5.4488474052736408E-2</c:v>
                </c:pt>
                <c:pt idx="3021">
                  <c:v>5.4488474052736408E-2</c:v>
                </c:pt>
                <c:pt idx="3022">
                  <c:v>5.4488474052736408E-2</c:v>
                </c:pt>
                <c:pt idx="3023">
                  <c:v>5.4488474052736408E-2</c:v>
                </c:pt>
                <c:pt idx="3024">
                  <c:v>5.4488474052736408E-2</c:v>
                </c:pt>
                <c:pt idx="3025">
                  <c:v>5.4488474052736408E-2</c:v>
                </c:pt>
                <c:pt idx="3026">
                  <c:v>5.4488474052736408E-2</c:v>
                </c:pt>
                <c:pt idx="3027">
                  <c:v>5.4488474052736408E-2</c:v>
                </c:pt>
                <c:pt idx="3028">
                  <c:v>5.4488474052736408E-2</c:v>
                </c:pt>
                <c:pt idx="3029">
                  <c:v>5.4488474052736408E-2</c:v>
                </c:pt>
                <c:pt idx="3030">
                  <c:v>5.4488474052736408E-2</c:v>
                </c:pt>
                <c:pt idx="3031">
                  <c:v>5.4488474052736408E-2</c:v>
                </c:pt>
                <c:pt idx="3032">
                  <c:v>5.4488474052736408E-2</c:v>
                </c:pt>
                <c:pt idx="3033">
                  <c:v>5.4488474052736408E-2</c:v>
                </c:pt>
                <c:pt idx="3034">
                  <c:v>5.4488474052736408E-2</c:v>
                </c:pt>
                <c:pt idx="3035">
                  <c:v>5.4488474052736408E-2</c:v>
                </c:pt>
                <c:pt idx="3036">
                  <c:v>5.4488474052736408E-2</c:v>
                </c:pt>
                <c:pt idx="3037">
                  <c:v>5.4488474052736408E-2</c:v>
                </c:pt>
                <c:pt idx="3038">
                  <c:v>5.4488474052736408E-2</c:v>
                </c:pt>
                <c:pt idx="3039">
                  <c:v>5.4488474052736408E-2</c:v>
                </c:pt>
                <c:pt idx="3040">
                  <c:v>5.4488474052736408E-2</c:v>
                </c:pt>
                <c:pt idx="3041">
                  <c:v>5.4488474052736408E-2</c:v>
                </c:pt>
                <c:pt idx="3042">
                  <c:v>5.4488474052736408E-2</c:v>
                </c:pt>
                <c:pt idx="3043">
                  <c:v>5.4488474052736408E-2</c:v>
                </c:pt>
                <c:pt idx="3044">
                  <c:v>5.4488474052736408E-2</c:v>
                </c:pt>
                <c:pt idx="3045">
                  <c:v>5.4488474052736408E-2</c:v>
                </c:pt>
                <c:pt idx="3046">
                  <c:v>5.6146788746696277E-2</c:v>
                </c:pt>
                <c:pt idx="3047">
                  <c:v>5.6146788746696277E-2</c:v>
                </c:pt>
                <c:pt idx="3048">
                  <c:v>5.6146788746696277E-2</c:v>
                </c:pt>
                <c:pt idx="3049">
                  <c:v>5.6146788746696277E-2</c:v>
                </c:pt>
                <c:pt idx="3050">
                  <c:v>5.6146788746696277E-2</c:v>
                </c:pt>
                <c:pt idx="3051">
                  <c:v>5.6146788746696277E-2</c:v>
                </c:pt>
                <c:pt idx="3052">
                  <c:v>5.6146788746696277E-2</c:v>
                </c:pt>
                <c:pt idx="3053">
                  <c:v>5.6146788746696277E-2</c:v>
                </c:pt>
                <c:pt idx="3054">
                  <c:v>5.6146788746696277E-2</c:v>
                </c:pt>
                <c:pt idx="3055">
                  <c:v>5.6146788746696277E-2</c:v>
                </c:pt>
                <c:pt idx="3056">
                  <c:v>5.6146788746696277E-2</c:v>
                </c:pt>
                <c:pt idx="3057">
                  <c:v>5.6146788746696277E-2</c:v>
                </c:pt>
                <c:pt idx="3058">
                  <c:v>5.6146788746696277E-2</c:v>
                </c:pt>
                <c:pt idx="3059">
                  <c:v>5.6146788746696277E-2</c:v>
                </c:pt>
                <c:pt idx="3060">
                  <c:v>5.6146788746696277E-2</c:v>
                </c:pt>
                <c:pt idx="3061">
                  <c:v>5.6146788746696277E-2</c:v>
                </c:pt>
                <c:pt idx="3062">
                  <c:v>5.6146788746696277E-2</c:v>
                </c:pt>
                <c:pt idx="3063">
                  <c:v>5.6146788746696277E-2</c:v>
                </c:pt>
                <c:pt idx="3064">
                  <c:v>5.6146788746696277E-2</c:v>
                </c:pt>
                <c:pt idx="3065">
                  <c:v>5.6146788746696277E-2</c:v>
                </c:pt>
                <c:pt idx="3066">
                  <c:v>5.6146788746696277E-2</c:v>
                </c:pt>
                <c:pt idx="3067">
                  <c:v>5.6146788746696277E-2</c:v>
                </c:pt>
                <c:pt idx="3068">
                  <c:v>5.6146788746696277E-2</c:v>
                </c:pt>
                <c:pt idx="3069">
                  <c:v>5.6146788746696277E-2</c:v>
                </c:pt>
                <c:pt idx="3070">
                  <c:v>5.6146788746696277E-2</c:v>
                </c:pt>
                <c:pt idx="3071">
                  <c:v>5.6146788746696277E-2</c:v>
                </c:pt>
                <c:pt idx="3072">
                  <c:v>5.6146788746696277E-2</c:v>
                </c:pt>
                <c:pt idx="3073">
                  <c:v>5.6146788746696277E-2</c:v>
                </c:pt>
                <c:pt idx="3074">
                  <c:v>5.6146788746696277E-2</c:v>
                </c:pt>
                <c:pt idx="3075">
                  <c:v>5.6146788746696277E-2</c:v>
                </c:pt>
                <c:pt idx="3076">
                  <c:v>5.6146788746696277E-2</c:v>
                </c:pt>
                <c:pt idx="3077">
                  <c:v>5.6146788746696277E-2</c:v>
                </c:pt>
                <c:pt idx="3078">
                  <c:v>5.6146788746696277E-2</c:v>
                </c:pt>
                <c:pt idx="3079">
                  <c:v>5.6146788746696277E-2</c:v>
                </c:pt>
                <c:pt idx="3080">
                  <c:v>5.6146788746696277E-2</c:v>
                </c:pt>
                <c:pt idx="3081">
                  <c:v>5.6146788746696277E-2</c:v>
                </c:pt>
                <c:pt idx="3082">
                  <c:v>5.6146788746696277E-2</c:v>
                </c:pt>
                <c:pt idx="3083">
                  <c:v>5.6146788746696277E-2</c:v>
                </c:pt>
                <c:pt idx="3084">
                  <c:v>5.6146788746696277E-2</c:v>
                </c:pt>
                <c:pt idx="3085">
                  <c:v>5.6146788746696277E-2</c:v>
                </c:pt>
                <c:pt idx="3086">
                  <c:v>5.6146788746696277E-2</c:v>
                </c:pt>
                <c:pt idx="3087">
                  <c:v>5.6146788746696277E-2</c:v>
                </c:pt>
                <c:pt idx="3088">
                  <c:v>5.6146788746696277E-2</c:v>
                </c:pt>
                <c:pt idx="3089">
                  <c:v>5.6146788746696277E-2</c:v>
                </c:pt>
                <c:pt idx="3090">
                  <c:v>5.6146788746696277E-2</c:v>
                </c:pt>
                <c:pt idx="3091">
                  <c:v>5.6146788746696277E-2</c:v>
                </c:pt>
                <c:pt idx="3092">
                  <c:v>5.6146788746696277E-2</c:v>
                </c:pt>
                <c:pt idx="3093">
                  <c:v>5.6146788746696277E-2</c:v>
                </c:pt>
                <c:pt idx="3094">
                  <c:v>5.6146788746696277E-2</c:v>
                </c:pt>
                <c:pt idx="3095">
                  <c:v>5.6146788746696277E-2</c:v>
                </c:pt>
                <c:pt idx="3096">
                  <c:v>5.6146788746696277E-2</c:v>
                </c:pt>
                <c:pt idx="3097">
                  <c:v>5.6146788746696277E-2</c:v>
                </c:pt>
                <c:pt idx="3098">
                  <c:v>5.6146788746696277E-2</c:v>
                </c:pt>
                <c:pt idx="3099">
                  <c:v>5.6146788746696277E-2</c:v>
                </c:pt>
                <c:pt idx="3100">
                  <c:v>5.6146788746696277E-2</c:v>
                </c:pt>
                <c:pt idx="3101">
                  <c:v>5.6146788746696277E-2</c:v>
                </c:pt>
                <c:pt idx="3102">
                  <c:v>5.6146788746696277E-2</c:v>
                </c:pt>
                <c:pt idx="3103">
                  <c:v>5.6146788746696277E-2</c:v>
                </c:pt>
                <c:pt idx="3104">
                  <c:v>5.6146788746696277E-2</c:v>
                </c:pt>
                <c:pt idx="3105">
                  <c:v>5.6146788746696277E-2</c:v>
                </c:pt>
                <c:pt idx="3106">
                  <c:v>5.6146788746696277E-2</c:v>
                </c:pt>
                <c:pt idx="3107">
                  <c:v>5.6146788746696277E-2</c:v>
                </c:pt>
                <c:pt idx="3108">
                  <c:v>5.6146788746696277E-2</c:v>
                </c:pt>
                <c:pt idx="3109">
                  <c:v>5.6146788746696277E-2</c:v>
                </c:pt>
                <c:pt idx="3110">
                  <c:v>5.6146788746696277E-2</c:v>
                </c:pt>
                <c:pt idx="3111">
                  <c:v>5.6146788746696277E-2</c:v>
                </c:pt>
                <c:pt idx="3112">
                  <c:v>5.6146788746696277E-2</c:v>
                </c:pt>
                <c:pt idx="3113">
                  <c:v>5.6146788746696277E-2</c:v>
                </c:pt>
                <c:pt idx="3114">
                  <c:v>5.6146788746696277E-2</c:v>
                </c:pt>
                <c:pt idx="3115">
                  <c:v>5.6146788746696277E-2</c:v>
                </c:pt>
                <c:pt idx="3116">
                  <c:v>5.6146788746696277E-2</c:v>
                </c:pt>
                <c:pt idx="3117">
                  <c:v>5.6146788746696277E-2</c:v>
                </c:pt>
                <c:pt idx="3118">
                  <c:v>5.6146788746696277E-2</c:v>
                </c:pt>
                <c:pt idx="3119">
                  <c:v>5.6146788746696277E-2</c:v>
                </c:pt>
                <c:pt idx="3120">
                  <c:v>5.6146788746696277E-2</c:v>
                </c:pt>
                <c:pt idx="3121">
                  <c:v>5.6146788746696277E-2</c:v>
                </c:pt>
                <c:pt idx="3122">
                  <c:v>5.6146788746696277E-2</c:v>
                </c:pt>
                <c:pt idx="3123">
                  <c:v>5.6146788746696277E-2</c:v>
                </c:pt>
                <c:pt idx="3124">
                  <c:v>5.6146788746696277E-2</c:v>
                </c:pt>
                <c:pt idx="3125">
                  <c:v>5.6146788746696277E-2</c:v>
                </c:pt>
                <c:pt idx="3126">
                  <c:v>5.6146788746696277E-2</c:v>
                </c:pt>
                <c:pt idx="3127">
                  <c:v>5.6146788746696277E-2</c:v>
                </c:pt>
                <c:pt idx="3128">
                  <c:v>5.6146788746696277E-2</c:v>
                </c:pt>
                <c:pt idx="3129">
                  <c:v>5.6146788746696277E-2</c:v>
                </c:pt>
                <c:pt idx="3130">
                  <c:v>5.6146788746696277E-2</c:v>
                </c:pt>
                <c:pt idx="3131">
                  <c:v>5.6146788746696277E-2</c:v>
                </c:pt>
                <c:pt idx="3132">
                  <c:v>5.6146788746696277E-2</c:v>
                </c:pt>
                <c:pt idx="3133">
                  <c:v>5.6146788746696277E-2</c:v>
                </c:pt>
                <c:pt idx="3134">
                  <c:v>5.6146788746696277E-2</c:v>
                </c:pt>
                <c:pt idx="3135">
                  <c:v>5.6146788746696277E-2</c:v>
                </c:pt>
                <c:pt idx="3136">
                  <c:v>5.6146788746696277E-2</c:v>
                </c:pt>
                <c:pt idx="3137">
                  <c:v>5.6146788746696277E-2</c:v>
                </c:pt>
                <c:pt idx="3138">
                  <c:v>5.6146788746696277E-2</c:v>
                </c:pt>
                <c:pt idx="3139">
                  <c:v>5.6146788746696277E-2</c:v>
                </c:pt>
                <c:pt idx="3140">
                  <c:v>5.6146788746696277E-2</c:v>
                </c:pt>
                <c:pt idx="3141">
                  <c:v>5.6146788746696277E-2</c:v>
                </c:pt>
                <c:pt idx="3142">
                  <c:v>5.6146788746696277E-2</c:v>
                </c:pt>
                <c:pt idx="3143">
                  <c:v>5.6146788746696277E-2</c:v>
                </c:pt>
                <c:pt idx="3144">
                  <c:v>5.6146788746696277E-2</c:v>
                </c:pt>
                <c:pt idx="3145">
                  <c:v>5.6146788746696277E-2</c:v>
                </c:pt>
                <c:pt idx="3146">
                  <c:v>5.6146788746696277E-2</c:v>
                </c:pt>
                <c:pt idx="3147">
                  <c:v>5.6146788746696277E-2</c:v>
                </c:pt>
                <c:pt idx="3148">
                  <c:v>5.6146788746696277E-2</c:v>
                </c:pt>
                <c:pt idx="3149">
                  <c:v>5.6146788746696277E-2</c:v>
                </c:pt>
                <c:pt idx="3150">
                  <c:v>5.6146788746696277E-2</c:v>
                </c:pt>
                <c:pt idx="3151">
                  <c:v>5.6146788746696277E-2</c:v>
                </c:pt>
                <c:pt idx="3152">
                  <c:v>5.6146788746696277E-2</c:v>
                </c:pt>
                <c:pt idx="3153">
                  <c:v>5.6146788746696277E-2</c:v>
                </c:pt>
                <c:pt idx="3154">
                  <c:v>5.6146788746696277E-2</c:v>
                </c:pt>
                <c:pt idx="3155">
                  <c:v>5.6146788746696277E-2</c:v>
                </c:pt>
                <c:pt idx="3156">
                  <c:v>5.6146788746696277E-2</c:v>
                </c:pt>
                <c:pt idx="3157">
                  <c:v>5.6146788746696277E-2</c:v>
                </c:pt>
                <c:pt idx="3158">
                  <c:v>5.6146788746696277E-2</c:v>
                </c:pt>
                <c:pt idx="3159">
                  <c:v>5.6146788746696277E-2</c:v>
                </c:pt>
                <c:pt idx="3160">
                  <c:v>5.6146788746696277E-2</c:v>
                </c:pt>
                <c:pt idx="3161">
                  <c:v>5.6146788746696277E-2</c:v>
                </c:pt>
                <c:pt idx="3162">
                  <c:v>5.6146788746696277E-2</c:v>
                </c:pt>
                <c:pt idx="3163">
                  <c:v>5.6146788746696277E-2</c:v>
                </c:pt>
                <c:pt idx="3164">
                  <c:v>5.6146788746696277E-2</c:v>
                </c:pt>
                <c:pt idx="3165">
                  <c:v>5.6146788746696277E-2</c:v>
                </c:pt>
                <c:pt idx="3166">
                  <c:v>5.6146788746696277E-2</c:v>
                </c:pt>
                <c:pt idx="3167">
                  <c:v>5.6146788746696277E-2</c:v>
                </c:pt>
                <c:pt idx="3168">
                  <c:v>5.6146788746696277E-2</c:v>
                </c:pt>
                <c:pt idx="3169">
                  <c:v>5.6146788746696277E-2</c:v>
                </c:pt>
                <c:pt idx="3170">
                  <c:v>5.6146788746696277E-2</c:v>
                </c:pt>
                <c:pt idx="3171">
                  <c:v>5.6146788746696277E-2</c:v>
                </c:pt>
                <c:pt idx="3172">
                  <c:v>5.6146788746696277E-2</c:v>
                </c:pt>
                <c:pt idx="3173">
                  <c:v>5.6146788746696277E-2</c:v>
                </c:pt>
                <c:pt idx="3174">
                  <c:v>5.6146788746696277E-2</c:v>
                </c:pt>
                <c:pt idx="3175">
                  <c:v>5.6146788746696277E-2</c:v>
                </c:pt>
                <c:pt idx="3176">
                  <c:v>5.6146788746696277E-2</c:v>
                </c:pt>
                <c:pt idx="3177">
                  <c:v>5.6146788746696277E-2</c:v>
                </c:pt>
                <c:pt idx="3178">
                  <c:v>5.6146788746696277E-2</c:v>
                </c:pt>
                <c:pt idx="3179">
                  <c:v>5.6146788746696277E-2</c:v>
                </c:pt>
                <c:pt idx="3180">
                  <c:v>5.6146788746696277E-2</c:v>
                </c:pt>
                <c:pt idx="3181">
                  <c:v>5.6146788746696277E-2</c:v>
                </c:pt>
                <c:pt idx="3182">
                  <c:v>5.6146788746696277E-2</c:v>
                </c:pt>
                <c:pt idx="3183">
                  <c:v>5.6146788746696277E-2</c:v>
                </c:pt>
                <c:pt idx="3184">
                  <c:v>5.6146788746696277E-2</c:v>
                </c:pt>
                <c:pt idx="3185">
                  <c:v>5.6146788746696277E-2</c:v>
                </c:pt>
                <c:pt idx="3186">
                  <c:v>5.6146788746696277E-2</c:v>
                </c:pt>
                <c:pt idx="3187">
                  <c:v>5.6146788746696277E-2</c:v>
                </c:pt>
                <c:pt idx="3188">
                  <c:v>5.6146788746696277E-2</c:v>
                </c:pt>
                <c:pt idx="3189">
                  <c:v>5.6146788746696277E-2</c:v>
                </c:pt>
                <c:pt idx="3190">
                  <c:v>5.6146788746696277E-2</c:v>
                </c:pt>
                <c:pt idx="3191">
                  <c:v>5.6146788746696277E-2</c:v>
                </c:pt>
                <c:pt idx="3192">
                  <c:v>5.6146788746696277E-2</c:v>
                </c:pt>
                <c:pt idx="3193">
                  <c:v>5.6146788746696277E-2</c:v>
                </c:pt>
                <c:pt idx="3194">
                  <c:v>5.6146788746696277E-2</c:v>
                </c:pt>
                <c:pt idx="3195">
                  <c:v>5.6146788746696277E-2</c:v>
                </c:pt>
                <c:pt idx="3196">
                  <c:v>5.6146788746696277E-2</c:v>
                </c:pt>
                <c:pt idx="3197">
                  <c:v>5.6146788746696277E-2</c:v>
                </c:pt>
                <c:pt idx="3198">
                  <c:v>5.6146788746696277E-2</c:v>
                </c:pt>
                <c:pt idx="3199">
                  <c:v>5.6146788746696277E-2</c:v>
                </c:pt>
                <c:pt idx="3200">
                  <c:v>5.6146788746696277E-2</c:v>
                </c:pt>
                <c:pt idx="3201">
                  <c:v>5.6146788746696277E-2</c:v>
                </c:pt>
                <c:pt idx="3202">
                  <c:v>5.6146788746696277E-2</c:v>
                </c:pt>
                <c:pt idx="3203">
                  <c:v>5.6146788746696277E-2</c:v>
                </c:pt>
                <c:pt idx="3204">
                  <c:v>5.6146788746696277E-2</c:v>
                </c:pt>
                <c:pt idx="3205">
                  <c:v>5.6146788746696277E-2</c:v>
                </c:pt>
                <c:pt idx="3206">
                  <c:v>5.6146788746696277E-2</c:v>
                </c:pt>
                <c:pt idx="3207">
                  <c:v>5.6146788746696277E-2</c:v>
                </c:pt>
                <c:pt idx="3208">
                  <c:v>5.6146788746696277E-2</c:v>
                </c:pt>
                <c:pt idx="3209">
                  <c:v>5.6146788746696277E-2</c:v>
                </c:pt>
                <c:pt idx="3210">
                  <c:v>5.6146788746696277E-2</c:v>
                </c:pt>
                <c:pt idx="3211">
                  <c:v>5.6146788746696277E-2</c:v>
                </c:pt>
                <c:pt idx="3212">
                  <c:v>5.6146788746696277E-2</c:v>
                </c:pt>
                <c:pt idx="3213">
                  <c:v>5.6146788746696277E-2</c:v>
                </c:pt>
                <c:pt idx="3214">
                  <c:v>5.6146788746696277E-2</c:v>
                </c:pt>
                <c:pt idx="3215">
                  <c:v>5.6146788746696277E-2</c:v>
                </c:pt>
                <c:pt idx="3216">
                  <c:v>5.6146788746696277E-2</c:v>
                </c:pt>
                <c:pt idx="3217">
                  <c:v>5.6146788746696277E-2</c:v>
                </c:pt>
                <c:pt idx="3218">
                  <c:v>5.6146788746696277E-2</c:v>
                </c:pt>
                <c:pt idx="3219">
                  <c:v>5.6146788746696277E-2</c:v>
                </c:pt>
                <c:pt idx="3220">
                  <c:v>5.6146788746696277E-2</c:v>
                </c:pt>
                <c:pt idx="3221">
                  <c:v>5.6146788746696277E-2</c:v>
                </c:pt>
                <c:pt idx="3222">
                  <c:v>5.6146788746696277E-2</c:v>
                </c:pt>
                <c:pt idx="3223">
                  <c:v>5.6146788746696277E-2</c:v>
                </c:pt>
                <c:pt idx="3224">
                  <c:v>5.6146788746696277E-2</c:v>
                </c:pt>
                <c:pt idx="3225">
                  <c:v>5.6146788746696277E-2</c:v>
                </c:pt>
                <c:pt idx="3226">
                  <c:v>5.6146788746696277E-2</c:v>
                </c:pt>
                <c:pt idx="3227">
                  <c:v>5.6146788746696277E-2</c:v>
                </c:pt>
                <c:pt idx="3228">
                  <c:v>5.6146788746696277E-2</c:v>
                </c:pt>
                <c:pt idx="3229">
                  <c:v>5.6146788746696277E-2</c:v>
                </c:pt>
                <c:pt idx="3230">
                  <c:v>5.6146788746696277E-2</c:v>
                </c:pt>
                <c:pt idx="3231">
                  <c:v>5.6146788746696277E-2</c:v>
                </c:pt>
                <c:pt idx="3232">
                  <c:v>5.6146788746696277E-2</c:v>
                </c:pt>
                <c:pt idx="3233">
                  <c:v>5.6146788746696277E-2</c:v>
                </c:pt>
                <c:pt idx="3234">
                  <c:v>5.6146788746696277E-2</c:v>
                </c:pt>
                <c:pt idx="3235">
                  <c:v>5.6146788746696277E-2</c:v>
                </c:pt>
                <c:pt idx="3236">
                  <c:v>5.6146788746696277E-2</c:v>
                </c:pt>
                <c:pt idx="3237">
                  <c:v>5.6146788746696277E-2</c:v>
                </c:pt>
                <c:pt idx="3238">
                  <c:v>5.6146788746696277E-2</c:v>
                </c:pt>
                <c:pt idx="3239">
                  <c:v>5.6146788746696277E-2</c:v>
                </c:pt>
                <c:pt idx="3240">
                  <c:v>5.6146788746696277E-2</c:v>
                </c:pt>
                <c:pt idx="3241">
                  <c:v>5.6146788746696277E-2</c:v>
                </c:pt>
                <c:pt idx="3242">
                  <c:v>5.6146788746696277E-2</c:v>
                </c:pt>
                <c:pt idx="3243">
                  <c:v>5.6146788746696277E-2</c:v>
                </c:pt>
                <c:pt idx="3244">
                  <c:v>5.6146788746696277E-2</c:v>
                </c:pt>
                <c:pt idx="3245">
                  <c:v>5.6146788746696277E-2</c:v>
                </c:pt>
                <c:pt idx="3246">
                  <c:v>5.6146788746696277E-2</c:v>
                </c:pt>
                <c:pt idx="3247">
                  <c:v>5.6146788746696277E-2</c:v>
                </c:pt>
                <c:pt idx="3248">
                  <c:v>5.6146788746696277E-2</c:v>
                </c:pt>
                <c:pt idx="3249">
                  <c:v>5.6146788746696277E-2</c:v>
                </c:pt>
                <c:pt idx="3250">
                  <c:v>5.6146788746696277E-2</c:v>
                </c:pt>
                <c:pt idx="3251">
                  <c:v>5.6146788746696277E-2</c:v>
                </c:pt>
                <c:pt idx="3252">
                  <c:v>5.6146788746696277E-2</c:v>
                </c:pt>
                <c:pt idx="3253">
                  <c:v>5.6146788746696277E-2</c:v>
                </c:pt>
                <c:pt idx="3254">
                  <c:v>5.6146788746696277E-2</c:v>
                </c:pt>
                <c:pt idx="3255">
                  <c:v>5.6146788746696277E-2</c:v>
                </c:pt>
                <c:pt idx="3256">
                  <c:v>5.6146788746696277E-2</c:v>
                </c:pt>
                <c:pt idx="3257">
                  <c:v>5.6146788746696277E-2</c:v>
                </c:pt>
                <c:pt idx="3258">
                  <c:v>5.6146788746696277E-2</c:v>
                </c:pt>
                <c:pt idx="3259">
                  <c:v>5.6146788746696277E-2</c:v>
                </c:pt>
                <c:pt idx="3260">
                  <c:v>5.6146788746696277E-2</c:v>
                </c:pt>
                <c:pt idx="3261">
                  <c:v>5.6146788746696277E-2</c:v>
                </c:pt>
                <c:pt idx="3262">
                  <c:v>5.6146788746696277E-2</c:v>
                </c:pt>
                <c:pt idx="3263">
                  <c:v>5.6146788746696277E-2</c:v>
                </c:pt>
                <c:pt idx="3264">
                  <c:v>5.6146788746696277E-2</c:v>
                </c:pt>
                <c:pt idx="3265">
                  <c:v>5.6146788746696277E-2</c:v>
                </c:pt>
                <c:pt idx="3266">
                  <c:v>5.6146788746696277E-2</c:v>
                </c:pt>
                <c:pt idx="3267">
                  <c:v>5.6146788746696277E-2</c:v>
                </c:pt>
                <c:pt idx="3268">
                  <c:v>5.6146788746696277E-2</c:v>
                </c:pt>
                <c:pt idx="3269">
                  <c:v>5.6146788746696277E-2</c:v>
                </c:pt>
                <c:pt idx="3270">
                  <c:v>5.6146788746696277E-2</c:v>
                </c:pt>
                <c:pt idx="3271">
                  <c:v>5.6146788746696277E-2</c:v>
                </c:pt>
                <c:pt idx="3272">
                  <c:v>5.6146788746696277E-2</c:v>
                </c:pt>
                <c:pt idx="3273">
                  <c:v>5.6146788746696277E-2</c:v>
                </c:pt>
                <c:pt idx="3274">
                  <c:v>5.6146788746696277E-2</c:v>
                </c:pt>
                <c:pt idx="3275">
                  <c:v>5.6146788746696277E-2</c:v>
                </c:pt>
                <c:pt idx="3276">
                  <c:v>5.6146788746696277E-2</c:v>
                </c:pt>
                <c:pt idx="3277">
                  <c:v>5.6146788746696277E-2</c:v>
                </c:pt>
                <c:pt idx="3278">
                  <c:v>5.6146788746696277E-2</c:v>
                </c:pt>
                <c:pt idx="3279">
                  <c:v>5.6146788746696277E-2</c:v>
                </c:pt>
                <c:pt idx="3280">
                  <c:v>5.6146788746696277E-2</c:v>
                </c:pt>
                <c:pt idx="3281">
                  <c:v>5.6146788746696277E-2</c:v>
                </c:pt>
                <c:pt idx="3282">
                  <c:v>5.6146788746696277E-2</c:v>
                </c:pt>
                <c:pt idx="3283">
                  <c:v>5.6146788746696277E-2</c:v>
                </c:pt>
                <c:pt idx="3284">
                  <c:v>5.6146788746696277E-2</c:v>
                </c:pt>
                <c:pt idx="3285">
                  <c:v>5.6146788746696277E-2</c:v>
                </c:pt>
                <c:pt idx="3286">
                  <c:v>5.6146788746696277E-2</c:v>
                </c:pt>
                <c:pt idx="3287">
                  <c:v>5.6146788746696277E-2</c:v>
                </c:pt>
                <c:pt idx="3288">
                  <c:v>5.6146788746696277E-2</c:v>
                </c:pt>
                <c:pt idx="3289">
                  <c:v>5.6146788746696277E-2</c:v>
                </c:pt>
                <c:pt idx="3290">
                  <c:v>5.6146788746696277E-2</c:v>
                </c:pt>
                <c:pt idx="3291">
                  <c:v>5.6146788746696277E-2</c:v>
                </c:pt>
                <c:pt idx="3292">
                  <c:v>5.6146788746696277E-2</c:v>
                </c:pt>
                <c:pt idx="3293">
                  <c:v>5.6146788746696277E-2</c:v>
                </c:pt>
                <c:pt idx="3294">
                  <c:v>5.6146788746696277E-2</c:v>
                </c:pt>
                <c:pt idx="3295">
                  <c:v>5.6146788746696277E-2</c:v>
                </c:pt>
                <c:pt idx="3296">
                  <c:v>5.6146788746696277E-2</c:v>
                </c:pt>
                <c:pt idx="3297">
                  <c:v>5.6146788746696277E-2</c:v>
                </c:pt>
                <c:pt idx="3298">
                  <c:v>5.6146788746696277E-2</c:v>
                </c:pt>
                <c:pt idx="3299">
                  <c:v>5.6146788746696277E-2</c:v>
                </c:pt>
                <c:pt idx="3300">
                  <c:v>5.6146788746696277E-2</c:v>
                </c:pt>
                <c:pt idx="3301">
                  <c:v>5.6146788746696277E-2</c:v>
                </c:pt>
                <c:pt idx="3302">
                  <c:v>5.6146788746696277E-2</c:v>
                </c:pt>
                <c:pt idx="3303">
                  <c:v>5.6146788746696277E-2</c:v>
                </c:pt>
                <c:pt idx="3304">
                  <c:v>5.6146788746696277E-2</c:v>
                </c:pt>
                <c:pt idx="3305">
                  <c:v>5.6146788746696277E-2</c:v>
                </c:pt>
                <c:pt idx="3306">
                  <c:v>5.6146788746696277E-2</c:v>
                </c:pt>
                <c:pt idx="3307">
                  <c:v>5.6146788746696277E-2</c:v>
                </c:pt>
                <c:pt idx="3308">
                  <c:v>5.6146788746696277E-2</c:v>
                </c:pt>
                <c:pt idx="3309">
                  <c:v>5.6146788746696277E-2</c:v>
                </c:pt>
                <c:pt idx="3310">
                  <c:v>5.6146788746696277E-2</c:v>
                </c:pt>
                <c:pt idx="3311">
                  <c:v>5.6146788746696277E-2</c:v>
                </c:pt>
                <c:pt idx="3312">
                  <c:v>5.6146788746696277E-2</c:v>
                </c:pt>
                <c:pt idx="3313">
                  <c:v>5.6146788746696277E-2</c:v>
                </c:pt>
                <c:pt idx="3314">
                  <c:v>5.6146788746696277E-2</c:v>
                </c:pt>
                <c:pt idx="3315">
                  <c:v>5.6146788746696277E-2</c:v>
                </c:pt>
                <c:pt idx="3316">
                  <c:v>5.6146788746696277E-2</c:v>
                </c:pt>
                <c:pt idx="3317">
                  <c:v>5.6146788746696277E-2</c:v>
                </c:pt>
                <c:pt idx="3318">
                  <c:v>5.6146788746696277E-2</c:v>
                </c:pt>
                <c:pt idx="3319">
                  <c:v>5.6146788746696277E-2</c:v>
                </c:pt>
                <c:pt idx="3320">
                  <c:v>5.6146788746696277E-2</c:v>
                </c:pt>
                <c:pt idx="3321">
                  <c:v>5.6146788746696277E-2</c:v>
                </c:pt>
                <c:pt idx="3322">
                  <c:v>5.6146788746696277E-2</c:v>
                </c:pt>
                <c:pt idx="3323">
                  <c:v>5.6146788746696277E-2</c:v>
                </c:pt>
                <c:pt idx="3324">
                  <c:v>5.6146788746696277E-2</c:v>
                </c:pt>
                <c:pt idx="3325">
                  <c:v>5.6146788746696277E-2</c:v>
                </c:pt>
                <c:pt idx="3326">
                  <c:v>5.6146788746696277E-2</c:v>
                </c:pt>
                <c:pt idx="3327">
                  <c:v>5.6146788746696277E-2</c:v>
                </c:pt>
                <c:pt idx="3328">
                  <c:v>5.6146788746696277E-2</c:v>
                </c:pt>
                <c:pt idx="3329">
                  <c:v>5.6146788746696277E-2</c:v>
                </c:pt>
                <c:pt idx="3330">
                  <c:v>5.6146788746696277E-2</c:v>
                </c:pt>
                <c:pt idx="3331">
                  <c:v>5.6146788746696277E-2</c:v>
                </c:pt>
                <c:pt idx="3332">
                  <c:v>5.6146788746696277E-2</c:v>
                </c:pt>
                <c:pt idx="3333">
                  <c:v>5.6146788746696277E-2</c:v>
                </c:pt>
                <c:pt idx="3334">
                  <c:v>5.6146788746696277E-2</c:v>
                </c:pt>
                <c:pt idx="3335">
                  <c:v>5.6146788746696277E-2</c:v>
                </c:pt>
                <c:pt idx="3336">
                  <c:v>5.6146788746696277E-2</c:v>
                </c:pt>
                <c:pt idx="3337">
                  <c:v>5.6146788746696277E-2</c:v>
                </c:pt>
                <c:pt idx="3338">
                  <c:v>5.6146788746696277E-2</c:v>
                </c:pt>
                <c:pt idx="3339">
                  <c:v>5.6146788746696277E-2</c:v>
                </c:pt>
                <c:pt idx="3340">
                  <c:v>5.6146788746696277E-2</c:v>
                </c:pt>
                <c:pt idx="3341">
                  <c:v>5.6146788746696277E-2</c:v>
                </c:pt>
                <c:pt idx="3342">
                  <c:v>5.6146788746696277E-2</c:v>
                </c:pt>
                <c:pt idx="3343">
                  <c:v>5.6146788746696277E-2</c:v>
                </c:pt>
                <c:pt idx="3344">
                  <c:v>5.6146788746696277E-2</c:v>
                </c:pt>
                <c:pt idx="3345">
                  <c:v>5.6146788746696277E-2</c:v>
                </c:pt>
                <c:pt idx="3346">
                  <c:v>5.6146788746696277E-2</c:v>
                </c:pt>
                <c:pt idx="3347">
                  <c:v>5.6146788746696277E-2</c:v>
                </c:pt>
                <c:pt idx="3348">
                  <c:v>5.6146788746696277E-2</c:v>
                </c:pt>
                <c:pt idx="3349">
                  <c:v>5.6146788746696277E-2</c:v>
                </c:pt>
                <c:pt idx="3350">
                  <c:v>5.6146788746696277E-2</c:v>
                </c:pt>
                <c:pt idx="3351">
                  <c:v>5.6146788746696277E-2</c:v>
                </c:pt>
                <c:pt idx="3352">
                  <c:v>5.6146788746696277E-2</c:v>
                </c:pt>
                <c:pt idx="3353">
                  <c:v>5.6146788746696277E-2</c:v>
                </c:pt>
                <c:pt idx="3354">
                  <c:v>5.6146788746696277E-2</c:v>
                </c:pt>
                <c:pt idx="3355">
                  <c:v>5.6146788746696277E-2</c:v>
                </c:pt>
                <c:pt idx="3356">
                  <c:v>5.6146788746696277E-2</c:v>
                </c:pt>
                <c:pt idx="3357">
                  <c:v>5.6146788746696277E-2</c:v>
                </c:pt>
                <c:pt idx="3358">
                  <c:v>5.6146788746696277E-2</c:v>
                </c:pt>
                <c:pt idx="3359">
                  <c:v>5.6146788746696277E-2</c:v>
                </c:pt>
                <c:pt idx="3360">
                  <c:v>5.6146788746696277E-2</c:v>
                </c:pt>
                <c:pt idx="3361">
                  <c:v>5.6146788746696277E-2</c:v>
                </c:pt>
                <c:pt idx="3362">
                  <c:v>5.6146788746696277E-2</c:v>
                </c:pt>
                <c:pt idx="3363">
                  <c:v>5.6146788746696277E-2</c:v>
                </c:pt>
                <c:pt idx="3364">
                  <c:v>5.6146788746696277E-2</c:v>
                </c:pt>
                <c:pt idx="3365">
                  <c:v>5.6146788746696277E-2</c:v>
                </c:pt>
                <c:pt idx="3366">
                  <c:v>5.6146788746696277E-2</c:v>
                </c:pt>
                <c:pt idx="3367">
                  <c:v>5.6146788746696277E-2</c:v>
                </c:pt>
                <c:pt idx="3368">
                  <c:v>5.6146788746696277E-2</c:v>
                </c:pt>
                <c:pt idx="3369">
                  <c:v>5.6146788746696277E-2</c:v>
                </c:pt>
                <c:pt idx="3370">
                  <c:v>5.6146788746696277E-2</c:v>
                </c:pt>
                <c:pt idx="3371">
                  <c:v>5.6146788746696277E-2</c:v>
                </c:pt>
                <c:pt idx="3372">
                  <c:v>5.6146788746696277E-2</c:v>
                </c:pt>
                <c:pt idx="3373">
                  <c:v>5.6146788746696277E-2</c:v>
                </c:pt>
                <c:pt idx="3374">
                  <c:v>5.6146788746696277E-2</c:v>
                </c:pt>
                <c:pt idx="3375">
                  <c:v>5.6146788746696277E-2</c:v>
                </c:pt>
                <c:pt idx="3376">
                  <c:v>5.6146788746696277E-2</c:v>
                </c:pt>
                <c:pt idx="3377">
                  <c:v>5.6146788746696277E-2</c:v>
                </c:pt>
                <c:pt idx="3378">
                  <c:v>5.6146788746696277E-2</c:v>
                </c:pt>
                <c:pt idx="3379">
                  <c:v>5.6146788746696277E-2</c:v>
                </c:pt>
                <c:pt idx="3380">
                  <c:v>5.6146788746696277E-2</c:v>
                </c:pt>
                <c:pt idx="3381">
                  <c:v>5.6146788746696277E-2</c:v>
                </c:pt>
                <c:pt idx="3382">
                  <c:v>5.6146788746696277E-2</c:v>
                </c:pt>
                <c:pt idx="3383">
                  <c:v>5.6146788746696277E-2</c:v>
                </c:pt>
                <c:pt idx="3384">
                  <c:v>5.6146788746696277E-2</c:v>
                </c:pt>
                <c:pt idx="3385">
                  <c:v>5.6146788746696277E-2</c:v>
                </c:pt>
                <c:pt idx="3386">
                  <c:v>5.6146788746696277E-2</c:v>
                </c:pt>
                <c:pt idx="3387">
                  <c:v>5.6146788746696277E-2</c:v>
                </c:pt>
                <c:pt idx="3388">
                  <c:v>5.6146788746696277E-2</c:v>
                </c:pt>
                <c:pt idx="3389">
                  <c:v>5.6146788746696277E-2</c:v>
                </c:pt>
                <c:pt idx="3390">
                  <c:v>5.6146788746696277E-2</c:v>
                </c:pt>
                <c:pt idx="3391">
                  <c:v>5.6146788746696277E-2</c:v>
                </c:pt>
                <c:pt idx="3392">
                  <c:v>5.6146788746696277E-2</c:v>
                </c:pt>
                <c:pt idx="3393">
                  <c:v>5.6146788746696277E-2</c:v>
                </c:pt>
                <c:pt idx="3394">
                  <c:v>5.6146788746696277E-2</c:v>
                </c:pt>
                <c:pt idx="3395">
                  <c:v>5.6146788746696277E-2</c:v>
                </c:pt>
                <c:pt idx="3396">
                  <c:v>5.6146788746696277E-2</c:v>
                </c:pt>
                <c:pt idx="3397">
                  <c:v>5.6146788746696277E-2</c:v>
                </c:pt>
                <c:pt idx="3398">
                  <c:v>5.6146788746696277E-2</c:v>
                </c:pt>
                <c:pt idx="3399">
                  <c:v>5.6146788746696277E-2</c:v>
                </c:pt>
                <c:pt idx="3400">
                  <c:v>5.6146788746696277E-2</c:v>
                </c:pt>
                <c:pt idx="3401">
                  <c:v>5.6146788746696277E-2</c:v>
                </c:pt>
                <c:pt idx="3402">
                  <c:v>5.6146788746696277E-2</c:v>
                </c:pt>
                <c:pt idx="3403">
                  <c:v>5.6146788746696277E-2</c:v>
                </c:pt>
                <c:pt idx="3404">
                  <c:v>5.6146788746696277E-2</c:v>
                </c:pt>
                <c:pt idx="3405">
                  <c:v>5.6146788746696277E-2</c:v>
                </c:pt>
                <c:pt idx="3406">
                  <c:v>5.6146788746696277E-2</c:v>
                </c:pt>
                <c:pt idx="3407">
                  <c:v>5.6146788746696277E-2</c:v>
                </c:pt>
                <c:pt idx="3408">
                  <c:v>5.6146788746696277E-2</c:v>
                </c:pt>
                <c:pt idx="3409">
                  <c:v>5.6146788746696277E-2</c:v>
                </c:pt>
                <c:pt idx="3410">
                  <c:v>5.6146788746696277E-2</c:v>
                </c:pt>
                <c:pt idx="3411">
                  <c:v>5.6146788746696277E-2</c:v>
                </c:pt>
                <c:pt idx="3412">
                  <c:v>5.6146788746696277E-2</c:v>
                </c:pt>
                <c:pt idx="3413">
                  <c:v>5.6146788746696277E-2</c:v>
                </c:pt>
                <c:pt idx="3414">
                  <c:v>5.6146788746696277E-2</c:v>
                </c:pt>
                <c:pt idx="3415">
                  <c:v>5.6146788746696277E-2</c:v>
                </c:pt>
                <c:pt idx="3416">
                  <c:v>5.6146788746696277E-2</c:v>
                </c:pt>
                <c:pt idx="3417">
                  <c:v>5.6146788746696277E-2</c:v>
                </c:pt>
                <c:pt idx="3418">
                  <c:v>5.6146788746696277E-2</c:v>
                </c:pt>
                <c:pt idx="3419">
                  <c:v>5.6146788746696277E-2</c:v>
                </c:pt>
                <c:pt idx="3420">
                  <c:v>5.6146788746696277E-2</c:v>
                </c:pt>
                <c:pt idx="3421">
                  <c:v>5.6146788746696277E-2</c:v>
                </c:pt>
                <c:pt idx="3422">
                  <c:v>5.6146788746696277E-2</c:v>
                </c:pt>
                <c:pt idx="3423">
                  <c:v>5.6146788746696277E-2</c:v>
                </c:pt>
                <c:pt idx="3424">
                  <c:v>5.6146788746696277E-2</c:v>
                </c:pt>
                <c:pt idx="3425">
                  <c:v>5.6146788746696277E-2</c:v>
                </c:pt>
                <c:pt idx="3426">
                  <c:v>5.6146788746696277E-2</c:v>
                </c:pt>
                <c:pt idx="3427">
                  <c:v>5.6146788746696277E-2</c:v>
                </c:pt>
                <c:pt idx="3428">
                  <c:v>5.6146788746696277E-2</c:v>
                </c:pt>
                <c:pt idx="3429">
                  <c:v>5.6146788746696277E-2</c:v>
                </c:pt>
                <c:pt idx="3430">
                  <c:v>5.6146788746696277E-2</c:v>
                </c:pt>
                <c:pt idx="3431">
                  <c:v>5.6146788746696277E-2</c:v>
                </c:pt>
                <c:pt idx="3432">
                  <c:v>5.6146788746696277E-2</c:v>
                </c:pt>
                <c:pt idx="3433">
                  <c:v>5.6146788746696277E-2</c:v>
                </c:pt>
                <c:pt idx="3434">
                  <c:v>5.6146788746696277E-2</c:v>
                </c:pt>
                <c:pt idx="3435">
                  <c:v>5.6146788746696277E-2</c:v>
                </c:pt>
                <c:pt idx="3436">
                  <c:v>5.6146788746696277E-2</c:v>
                </c:pt>
                <c:pt idx="3437">
                  <c:v>5.6146788746696277E-2</c:v>
                </c:pt>
                <c:pt idx="3438">
                  <c:v>5.6146788746696277E-2</c:v>
                </c:pt>
                <c:pt idx="3439">
                  <c:v>5.6146788746696277E-2</c:v>
                </c:pt>
                <c:pt idx="3440">
                  <c:v>5.6146788746696277E-2</c:v>
                </c:pt>
                <c:pt idx="3441">
                  <c:v>5.6146788746696277E-2</c:v>
                </c:pt>
                <c:pt idx="3442">
                  <c:v>5.6146788746696277E-2</c:v>
                </c:pt>
                <c:pt idx="3443">
                  <c:v>5.6146788746696277E-2</c:v>
                </c:pt>
                <c:pt idx="3444">
                  <c:v>5.6146788746696277E-2</c:v>
                </c:pt>
                <c:pt idx="3445">
                  <c:v>5.6146788746696277E-2</c:v>
                </c:pt>
                <c:pt idx="3446">
                  <c:v>5.6146788746696277E-2</c:v>
                </c:pt>
                <c:pt idx="3447">
                  <c:v>5.6146788746696277E-2</c:v>
                </c:pt>
                <c:pt idx="3448">
                  <c:v>5.6146788746696277E-2</c:v>
                </c:pt>
                <c:pt idx="3449">
                  <c:v>5.6146788746696277E-2</c:v>
                </c:pt>
                <c:pt idx="3450">
                  <c:v>5.6146788746696277E-2</c:v>
                </c:pt>
                <c:pt idx="3451">
                  <c:v>5.6146788746696277E-2</c:v>
                </c:pt>
                <c:pt idx="3452">
                  <c:v>5.6146788746696277E-2</c:v>
                </c:pt>
                <c:pt idx="3453">
                  <c:v>5.6146788746696277E-2</c:v>
                </c:pt>
                <c:pt idx="3454">
                  <c:v>5.6146788746696277E-2</c:v>
                </c:pt>
                <c:pt idx="3455">
                  <c:v>5.6146788746696277E-2</c:v>
                </c:pt>
                <c:pt idx="3456">
                  <c:v>5.6146788746696277E-2</c:v>
                </c:pt>
                <c:pt idx="3457">
                  <c:v>5.6146788746696277E-2</c:v>
                </c:pt>
                <c:pt idx="3458">
                  <c:v>5.6146788746696277E-2</c:v>
                </c:pt>
                <c:pt idx="3459">
                  <c:v>5.6146788746696277E-2</c:v>
                </c:pt>
                <c:pt idx="3460">
                  <c:v>5.6146788746696277E-2</c:v>
                </c:pt>
                <c:pt idx="3461">
                  <c:v>5.6146788746696277E-2</c:v>
                </c:pt>
                <c:pt idx="3462">
                  <c:v>5.6146788746696277E-2</c:v>
                </c:pt>
                <c:pt idx="3463">
                  <c:v>5.6146788746696277E-2</c:v>
                </c:pt>
                <c:pt idx="3464">
                  <c:v>5.6146788746696277E-2</c:v>
                </c:pt>
                <c:pt idx="3465">
                  <c:v>5.6146788746696277E-2</c:v>
                </c:pt>
                <c:pt idx="3466">
                  <c:v>5.6146788746696277E-2</c:v>
                </c:pt>
                <c:pt idx="3467">
                  <c:v>5.6146788746696277E-2</c:v>
                </c:pt>
                <c:pt idx="3468">
                  <c:v>5.6146788746696277E-2</c:v>
                </c:pt>
                <c:pt idx="3469">
                  <c:v>5.6146788746696277E-2</c:v>
                </c:pt>
                <c:pt idx="3470">
                  <c:v>5.6146788746696277E-2</c:v>
                </c:pt>
                <c:pt idx="3471">
                  <c:v>5.6146788746696277E-2</c:v>
                </c:pt>
                <c:pt idx="3472">
                  <c:v>5.6146788746696277E-2</c:v>
                </c:pt>
                <c:pt idx="3473">
                  <c:v>5.6146788746696277E-2</c:v>
                </c:pt>
                <c:pt idx="3474">
                  <c:v>5.6146788746696277E-2</c:v>
                </c:pt>
                <c:pt idx="3475">
                  <c:v>5.6146788746696277E-2</c:v>
                </c:pt>
                <c:pt idx="3476">
                  <c:v>5.6146788746696277E-2</c:v>
                </c:pt>
                <c:pt idx="3477">
                  <c:v>5.6146788746696277E-2</c:v>
                </c:pt>
                <c:pt idx="3478">
                  <c:v>5.6146788746696277E-2</c:v>
                </c:pt>
                <c:pt idx="3479">
                  <c:v>5.6146788746696277E-2</c:v>
                </c:pt>
                <c:pt idx="3480">
                  <c:v>5.6146788746696277E-2</c:v>
                </c:pt>
                <c:pt idx="3481">
                  <c:v>5.6146788746696277E-2</c:v>
                </c:pt>
                <c:pt idx="3482">
                  <c:v>5.6146788746696277E-2</c:v>
                </c:pt>
                <c:pt idx="3483">
                  <c:v>5.6146788746696277E-2</c:v>
                </c:pt>
                <c:pt idx="3484">
                  <c:v>5.6146788746696277E-2</c:v>
                </c:pt>
                <c:pt idx="3485">
                  <c:v>5.6146788746696277E-2</c:v>
                </c:pt>
                <c:pt idx="3486">
                  <c:v>5.6146788746696277E-2</c:v>
                </c:pt>
                <c:pt idx="3487">
                  <c:v>5.6146788746696277E-2</c:v>
                </c:pt>
                <c:pt idx="3488">
                  <c:v>5.6146788746696277E-2</c:v>
                </c:pt>
                <c:pt idx="3489">
                  <c:v>5.6146788746696277E-2</c:v>
                </c:pt>
                <c:pt idx="3490">
                  <c:v>5.6146788746696277E-2</c:v>
                </c:pt>
                <c:pt idx="3491">
                  <c:v>5.6146788746696277E-2</c:v>
                </c:pt>
                <c:pt idx="3492">
                  <c:v>5.6146788746696277E-2</c:v>
                </c:pt>
                <c:pt idx="3493">
                  <c:v>5.6146788746696277E-2</c:v>
                </c:pt>
                <c:pt idx="3494">
                  <c:v>5.6146788746696277E-2</c:v>
                </c:pt>
                <c:pt idx="3495">
                  <c:v>5.6146788746696277E-2</c:v>
                </c:pt>
                <c:pt idx="3496">
                  <c:v>5.6146788746696277E-2</c:v>
                </c:pt>
                <c:pt idx="3497">
                  <c:v>5.6146788746696277E-2</c:v>
                </c:pt>
                <c:pt idx="3498">
                  <c:v>5.6146788746696277E-2</c:v>
                </c:pt>
                <c:pt idx="3499">
                  <c:v>5.6146788746696277E-2</c:v>
                </c:pt>
                <c:pt idx="3500">
                  <c:v>5.6146788746696277E-2</c:v>
                </c:pt>
                <c:pt idx="3501">
                  <c:v>5.6146788746696277E-2</c:v>
                </c:pt>
                <c:pt idx="3502">
                  <c:v>5.6146788746696277E-2</c:v>
                </c:pt>
                <c:pt idx="3503">
                  <c:v>5.6146788746696277E-2</c:v>
                </c:pt>
                <c:pt idx="3504">
                  <c:v>5.6146788746696277E-2</c:v>
                </c:pt>
                <c:pt idx="3505">
                  <c:v>5.6146788746696277E-2</c:v>
                </c:pt>
                <c:pt idx="3506">
                  <c:v>5.6146788746696277E-2</c:v>
                </c:pt>
                <c:pt idx="3507">
                  <c:v>5.6146788746696277E-2</c:v>
                </c:pt>
                <c:pt idx="3508">
                  <c:v>5.6146788746696277E-2</c:v>
                </c:pt>
                <c:pt idx="3509">
                  <c:v>5.6146788746696277E-2</c:v>
                </c:pt>
                <c:pt idx="3510">
                  <c:v>5.6146788746696277E-2</c:v>
                </c:pt>
                <c:pt idx="3511">
                  <c:v>5.6146788746696277E-2</c:v>
                </c:pt>
                <c:pt idx="3512">
                  <c:v>5.6146788746696277E-2</c:v>
                </c:pt>
                <c:pt idx="3513">
                  <c:v>5.6146788746696277E-2</c:v>
                </c:pt>
                <c:pt idx="3514">
                  <c:v>5.6146788746696277E-2</c:v>
                </c:pt>
                <c:pt idx="3515">
                  <c:v>5.6146788746696277E-2</c:v>
                </c:pt>
                <c:pt idx="3516">
                  <c:v>5.6146788746696277E-2</c:v>
                </c:pt>
                <c:pt idx="3517">
                  <c:v>5.6146788746696277E-2</c:v>
                </c:pt>
                <c:pt idx="3518">
                  <c:v>5.6146788746696277E-2</c:v>
                </c:pt>
                <c:pt idx="3519">
                  <c:v>5.6146788746696277E-2</c:v>
                </c:pt>
                <c:pt idx="3520">
                  <c:v>5.6146788746696277E-2</c:v>
                </c:pt>
                <c:pt idx="3521">
                  <c:v>5.6146788746696277E-2</c:v>
                </c:pt>
                <c:pt idx="3522">
                  <c:v>5.6146788746696277E-2</c:v>
                </c:pt>
                <c:pt idx="3523">
                  <c:v>5.6146788746696277E-2</c:v>
                </c:pt>
                <c:pt idx="3524">
                  <c:v>5.6146788746696277E-2</c:v>
                </c:pt>
                <c:pt idx="3525">
                  <c:v>5.6146788746696277E-2</c:v>
                </c:pt>
                <c:pt idx="3526">
                  <c:v>5.6146788746696277E-2</c:v>
                </c:pt>
                <c:pt idx="3527">
                  <c:v>5.6146788746696277E-2</c:v>
                </c:pt>
                <c:pt idx="3528">
                  <c:v>5.6146788746696277E-2</c:v>
                </c:pt>
                <c:pt idx="3529">
                  <c:v>5.6146788746696277E-2</c:v>
                </c:pt>
                <c:pt idx="3530">
                  <c:v>5.6146788746696277E-2</c:v>
                </c:pt>
                <c:pt idx="3531">
                  <c:v>5.6146788746696277E-2</c:v>
                </c:pt>
                <c:pt idx="3532">
                  <c:v>5.6146788746696277E-2</c:v>
                </c:pt>
                <c:pt idx="3533">
                  <c:v>5.6146788746696277E-2</c:v>
                </c:pt>
                <c:pt idx="3534">
                  <c:v>5.6146788746696277E-2</c:v>
                </c:pt>
                <c:pt idx="3535">
                  <c:v>5.6146788746696277E-2</c:v>
                </c:pt>
                <c:pt idx="3536">
                  <c:v>5.6146788746696277E-2</c:v>
                </c:pt>
                <c:pt idx="3537">
                  <c:v>5.6146788746696277E-2</c:v>
                </c:pt>
                <c:pt idx="3538">
                  <c:v>5.6146788746696277E-2</c:v>
                </c:pt>
                <c:pt idx="3539">
                  <c:v>5.6146788746696277E-2</c:v>
                </c:pt>
                <c:pt idx="3540">
                  <c:v>5.6146788746696277E-2</c:v>
                </c:pt>
                <c:pt idx="3541">
                  <c:v>5.6146788746696277E-2</c:v>
                </c:pt>
                <c:pt idx="3542">
                  <c:v>5.6146788746696277E-2</c:v>
                </c:pt>
                <c:pt idx="3543">
                  <c:v>5.6146788746696277E-2</c:v>
                </c:pt>
                <c:pt idx="3544">
                  <c:v>5.6146788746696277E-2</c:v>
                </c:pt>
                <c:pt idx="3545">
                  <c:v>5.6146788746696277E-2</c:v>
                </c:pt>
                <c:pt idx="3546">
                  <c:v>5.6146788746696277E-2</c:v>
                </c:pt>
                <c:pt idx="3547">
                  <c:v>5.6146788746696277E-2</c:v>
                </c:pt>
                <c:pt idx="3548">
                  <c:v>5.6146788746696277E-2</c:v>
                </c:pt>
                <c:pt idx="3549">
                  <c:v>5.6146788746696277E-2</c:v>
                </c:pt>
                <c:pt idx="3550">
                  <c:v>5.6146788746696277E-2</c:v>
                </c:pt>
                <c:pt idx="3551">
                  <c:v>5.6146788746696277E-2</c:v>
                </c:pt>
                <c:pt idx="3552">
                  <c:v>5.6146788746696277E-2</c:v>
                </c:pt>
                <c:pt idx="3553">
                  <c:v>5.6146788746696277E-2</c:v>
                </c:pt>
                <c:pt idx="3554">
                  <c:v>5.6146788746696277E-2</c:v>
                </c:pt>
                <c:pt idx="3555">
                  <c:v>5.6146788746696277E-2</c:v>
                </c:pt>
                <c:pt idx="3556">
                  <c:v>5.6146788746696277E-2</c:v>
                </c:pt>
                <c:pt idx="3557">
                  <c:v>5.6146788746696277E-2</c:v>
                </c:pt>
                <c:pt idx="3558">
                  <c:v>5.6146788746696277E-2</c:v>
                </c:pt>
                <c:pt idx="3559">
                  <c:v>5.6146788746696277E-2</c:v>
                </c:pt>
                <c:pt idx="3560">
                  <c:v>5.6146788746696277E-2</c:v>
                </c:pt>
                <c:pt idx="3561">
                  <c:v>5.6146788746696277E-2</c:v>
                </c:pt>
                <c:pt idx="3562">
                  <c:v>5.6146788746696277E-2</c:v>
                </c:pt>
                <c:pt idx="3563">
                  <c:v>5.6146788746696277E-2</c:v>
                </c:pt>
                <c:pt idx="3564">
                  <c:v>5.6146788746696277E-2</c:v>
                </c:pt>
                <c:pt idx="3565">
                  <c:v>5.6146788746696277E-2</c:v>
                </c:pt>
                <c:pt idx="3566">
                  <c:v>5.6146788746696277E-2</c:v>
                </c:pt>
                <c:pt idx="3567">
                  <c:v>5.6146788746696277E-2</c:v>
                </c:pt>
                <c:pt idx="3568">
                  <c:v>5.6146788746696277E-2</c:v>
                </c:pt>
                <c:pt idx="3569">
                  <c:v>5.6146788746696277E-2</c:v>
                </c:pt>
                <c:pt idx="3570">
                  <c:v>5.6146788746696277E-2</c:v>
                </c:pt>
                <c:pt idx="3571">
                  <c:v>5.6146788746696277E-2</c:v>
                </c:pt>
                <c:pt idx="3572">
                  <c:v>5.6146788746696277E-2</c:v>
                </c:pt>
                <c:pt idx="3573">
                  <c:v>5.6146788746696277E-2</c:v>
                </c:pt>
                <c:pt idx="3574">
                  <c:v>5.6146788746696277E-2</c:v>
                </c:pt>
                <c:pt idx="3575">
                  <c:v>5.6146788746696277E-2</c:v>
                </c:pt>
                <c:pt idx="3576">
                  <c:v>5.6146788746696277E-2</c:v>
                </c:pt>
                <c:pt idx="3577">
                  <c:v>5.6146788746696277E-2</c:v>
                </c:pt>
                <c:pt idx="3578">
                  <c:v>5.6146788746696277E-2</c:v>
                </c:pt>
                <c:pt idx="3579">
                  <c:v>5.6146788746696277E-2</c:v>
                </c:pt>
                <c:pt idx="3580">
                  <c:v>5.6146788746696277E-2</c:v>
                </c:pt>
                <c:pt idx="3581">
                  <c:v>5.6146788746696277E-2</c:v>
                </c:pt>
                <c:pt idx="3582">
                  <c:v>5.6146788746696277E-2</c:v>
                </c:pt>
                <c:pt idx="3583">
                  <c:v>5.6146788746696277E-2</c:v>
                </c:pt>
                <c:pt idx="3584">
                  <c:v>5.6146788746696277E-2</c:v>
                </c:pt>
                <c:pt idx="3585">
                  <c:v>5.6146788746696277E-2</c:v>
                </c:pt>
                <c:pt idx="3586">
                  <c:v>5.6146788746696277E-2</c:v>
                </c:pt>
                <c:pt idx="3587">
                  <c:v>5.6146788746696277E-2</c:v>
                </c:pt>
                <c:pt idx="3588">
                  <c:v>5.6146788746696277E-2</c:v>
                </c:pt>
                <c:pt idx="3589">
                  <c:v>5.6146788746696277E-2</c:v>
                </c:pt>
                <c:pt idx="3590">
                  <c:v>5.6146788746696277E-2</c:v>
                </c:pt>
                <c:pt idx="3591">
                  <c:v>5.6146788746696277E-2</c:v>
                </c:pt>
                <c:pt idx="3592">
                  <c:v>5.6146788746696277E-2</c:v>
                </c:pt>
                <c:pt idx="3593">
                  <c:v>5.6146788746696277E-2</c:v>
                </c:pt>
                <c:pt idx="3594">
                  <c:v>5.6146788746696277E-2</c:v>
                </c:pt>
                <c:pt idx="3595">
                  <c:v>5.6146788746696277E-2</c:v>
                </c:pt>
                <c:pt idx="3596">
                  <c:v>5.6146788746696277E-2</c:v>
                </c:pt>
                <c:pt idx="3597">
                  <c:v>5.6146788746696277E-2</c:v>
                </c:pt>
                <c:pt idx="3598">
                  <c:v>5.6146788746696277E-2</c:v>
                </c:pt>
                <c:pt idx="3599">
                  <c:v>5.6146788746696277E-2</c:v>
                </c:pt>
                <c:pt idx="3600">
                  <c:v>5.6146788746696277E-2</c:v>
                </c:pt>
                <c:pt idx="3601">
                  <c:v>5.6146788746696277E-2</c:v>
                </c:pt>
                <c:pt idx="3602">
                  <c:v>5.6146788746696277E-2</c:v>
                </c:pt>
                <c:pt idx="3603">
                  <c:v>5.6146788746696277E-2</c:v>
                </c:pt>
                <c:pt idx="3604">
                  <c:v>5.6146788746696277E-2</c:v>
                </c:pt>
                <c:pt idx="3605">
                  <c:v>5.6146788746696277E-2</c:v>
                </c:pt>
                <c:pt idx="3606">
                  <c:v>5.6146788746696277E-2</c:v>
                </c:pt>
                <c:pt idx="3607">
                  <c:v>5.6146788746696277E-2</c:v>
                </c:pt>
                <c:pt idx="3608">
                  <c:v>5.6146788746696277E-2</c:v>
                </c:pt>
                <c:pt idx="3609">
                  <c:v>5.6146788746696277E-2</c:v>
                </c:pt>
                <c:pt idx="3610">
                  <c:v>5.6146788746696277E-2</c:v>
                </c:pt>
                <c:pt idx="3611">
                  <c:v>5.6146788746696277E-2</c:v>
                </c:pt>
                <c:pt idx="3612">
                  <c:v>5.6146788746696277E-2</c:v>
                </c:pt>
                <c:pt idx="3613">
                  <c:v>5.6146788746696277E-2</c:v>
                </c:pt>
                <c:pt idx="3614">
                  <c:v>5.6146788746696277E-2</c:v>
                </c:pt>
                <c:pt idx="3615">
                  <c:v>5.6146788746696277E-2</c:v>
                </c:pt>
                <c:pt idx="3616">
                  <c:v>5.6146788746696277E-2</c:v>
                </c:pt>
                <c:pt idx="3617">
                  <c:v>5.6146788746696277E-2</c:v>
                </c:pt>
                <c:pt idx="3618">
                  <c:v>5.6146788746696277E-2</c:v>
                </c:pt>
                <c:pt idx="3619">
                  <c:v>5.6146788746696277E-2</c:v>
                </c:pt>
                <c:pt idx="3620">
                  <c:v>5.6146788746696277E-2</c:v>
                </c:pt>
                <c:pt idx="3621">
                  <c:v>5.6146788746696277E-2</c:v>
                </c:pt>
                <c:pt idx="3622">
                  <c:v>5.6146788746696277E-2</c:v>
                </c:pt>
                <c:pt idx="3623">
                  <c:v>5.6146788746696277E-2</c:v>
                </c:pt>
                <c:pt idx="3624">
                  <c:v>5.6146788746696277E-2</c:v>
                </c:pt>
                <c:pt idx="3625">
                  <c:v>5.6146788746696277E-2</c:v>
                </c:pt>
                <c:pt idx="3626">
                  <c:v>5.6146788746696277E-2</c:v>
                </c:pt>
                <c:pt idx="3627">
                  <c:v>5.6146788746696277E-2</c:v>
                </c:pt>
                <c:pt idx="3628">
                  <c:v>5.6146788746696277E-2</c:v>
                </c:pt>
                <c:pt idx="3629">
                  <c:v>5.6146788746696277E-2</c:v>
                </c:pt>
                <c:pt idx="3630">
                  <c:v>5.6146788746696277E-2</c:v>
                </c:pt>
                <c:pt idx="3631">
                  <c:v>5.6146788746696277E-2</c:v>
                </c:pt>
                <c:pt idx="3632">
                  <c:v>5.6146788746696277E-2</c:v>
                </c:pt>
                <c:pt idx="3633">
                  <c:v>5.6146788746696277E-2</c:v>
                </c:pt>
                <c:pt idx="3634">
                  <c:v>5.6146788746696277E-2</c:v>
                </c:pt>
                <c:pt idx="3635">
                  <c:v>5.6146788746696277E-2</c:v>
                </c:pt>
                <c:pt idx="3636">
                  <c:v>5.6146788746696277E-2</c:v>
                </c:pt>
                <c:pt idx="3637">
                  <c:v>5.6146788746696277E-2</c:v>
                </c:pt>
                <c:pt idx="3638">
                  <c:v>5.6146788746696277E-2</c:v>
                </c:pt>
                <c:pt idx="3639">
                  <c:v>5.6146788746696277E-2</c:v>
                </c:pt>
                <c:pt idx="3640">
                  <c:v>5.6146788746696277E-2</c:v>
                </c:pt>
                <c:pt idx="3641">
                  <c:v>5.6146788746696277E-2</c:v>
                </c:pt>
                <c:pt idx="3642">
                  <c:v>5.6146788746696277E-2</c:v>
                </c:pt>
                <c:pt idx="3643">
                  <c:v>5.6146788746696277E-2</c:v>
                </c:pt>
                <c:pt idx="3644">
                  <c:v>5.6146788746696277E-2</c:v>
                </c:pt>
                <c:pt idx="3645">
                  <c:v>5.6146788746696277E-2</c:v>
                </c:pt>
                <c:pt idx="3646">
                  <c:v>5.6146788746696277E-2</c:v>
                </c:pt>
                <c:pt idx="3647">
                  <c:v>5.6146788746696277E-2</c:v>
                </c:pt>
                <c:pt idx="3648">
                  <c:v>5.6146788746696277E-2</c:v>
                </c:pt>
                <c:pt idx="3649">
                  <c:v>5.6146788746696277E-2</c:v>
                </c:pt>
                <c:pt idx="3650">
                  <c:v>5.6146788746696277E-2</c:v>
                </c:pt>
                <c:pt idx="3651">
                  <c:v>5.6146788746696277E-2</c:v>
                </c:pt>
                <c:pt idx="3652">
                  <c:v>5.6146788746696277E-2</c:v>
                </c:pt>
                <c:pt idx="3653">
                  <c:v>5.6146788746696277E-2</c:v>
                </c:pt>
                <c:pt idx="3654">
                  <c:v>5.6146788746696277E-2</c:v>
                </c:pt>
                <c:pt idx="3655">
                  <c:v>5.6146788746696277E-2</c:v>
                </c:pt>
                <c:pt idx="3656">
                  <c:v>5.6146788746696277E-2</c:v>
                </c:pt>
                <c:pt idx="3657">
                  <c:v>5.6146788746696277E-2</c:v>
                </c:pt>
                <c:pt idx="3658">
                  <c:v>5.6146788746696277E-2</c:v>
                </c:pt>
                <c:pt idx="3659">
                  <c:v>5.6146788746696277E-2</c:v>
                </c:pt>
                <c:pt idx="3660">
                  <c:v>5.6146788746696277E-2</c:v>
                </c:pt>
                <c:pt idx="3661">
                  <c:v>5.6146788746696277E-2</c:v>
                </c:pt>
                <c:pt idx="3662">
                  <c:v>5.6146788746696277E-2</c:v>
                </c:pt>
                <c:pt idx="3663">
                  <c:v>5.6146788746696277E-2</c:v>
                </c:pt>
                <c:pt idx="3664">
                  <c:v>5.6146788746696277E-2</c:v>
                </c:pt>
                <c:pt idx="3665">
                  <c:v>5.6146788746696277E-2</c:v>
                </c:pt>
                <c:pt idx="3666">
                  <c:v>5.6146788746696277E-2</c:v>
                </c:pt>
                <c:pt idx="3667">
                  <c:v>5.6146788746696277E-2</c:v>
                </c:pt>
                <c:pt idx="3668">
                  <c:v>5.6146788746696277E-2</c:v>
                </c:pt>
                <c:pt idx="3669">
                  <c:v>5.6146788746696277E-2</c:v>
                </c:pt>
                <c:pt idx="3670">
                  <c:v>5.6146788746696277E-2</c:v>
                </c:pt>
                <c:pt idx="3671">
                  <c:v>5.6146788746696277E-2</c:v>
                </c:pt>
                <c:pt idx="3672">
                  <c:v>5.6146788746696277E-2</c:v>
                </c:pt>
                <c:pt idx="3673">
                  <c:v>5.6146788746696277E-2</c:v>
                </c:pt>
                <c:pt idx="3674">
                  <c:v>5.6146788746696277E-2</c:v>
                </c:pt>
                <c:pt idx="3675">
                  <c:v>5.6146788746696277E-2</c:v>
                </c:pt>
                <c:pt idx="3676">
                  <c:v>5.6146788746696277E-2</c:v>
                </c:pt>
                <c:pt idx="3677">
                  <c:v>5.6146788746696277E-2</c:v>
                </c:pt>
                <c:pt idx="3678">
                  <c:v>5.6146788746696277E-2</c:v>
                </c:pt>
                <c:pt idx="3679">
                  <c:v>5.6146788746696277E-2</c:v>
                </c:pt>
                <c:pt idx="3680">
                  <c:v>5.6146788746696277E-2</c:v>
                </c:pt>
                <c:pt idx="3681">
                  <c:v>5.6146788746696277E-2</c:v>
                </c:pt>
                <c:pt idx="3682">
                  <c:v>5.6146788746696277E-2</c:v>
                </c:pt>
                <c:pt idx="3683">
                  <c:v>5.6146788746696277E-2</c:v>
                </c:pt>
                <c:pt idx="3684">
                  <c:v>5.6146788746696277E-2</c:v>
                </c:pt>
                <c:pt idx="3685">
                  <c:v>5.6146788746696277E-2</c:v>
                </c:pt>
                <c:pt idx="3686">
                  <c:v>5.6146788746696277E-2</c:v>
                </c:pt>
                <c:pt idx="3687">
                  <c:v>5.6146788746696277E-2</c:v>
                </c:pt>
                <c:pt idx="3688">
                  <c:v>5.6146788746696277E-2</c:v>
                </c:pt>
                <c:pt idx="3689">
                  <c:v>5.6146788746696277E-2</c:v>
                </c:pt>
                <c:pt idx="3690">
                  <c:v>5.6146788746696277E-2</c:v>
                </c:pt>
                <c:pt idx="3691">
                  <c:v>5.6146788746696277E-2</c:v>
                </c:pt>
                <c:pt idx="3692">
                  <c:v>5.6146788746696277E-2</c:v>
                </c:pt>
                <c:pt idx="3693">
                  <c:v>5.6146788746696277E-2</c:v>
                </c:pt>
                <c:pt idx="3694">
                  <c:v>5.6146788746696277E-2</c:v>
                </c:pt>
                <c:pt idx="3695">
                  <c:v>5.6146788746696277E-2</c:v>
                </c:pt>
                <c:pt idx="3696">
                  <c:v>5.6146788746696277E-2</c:v>
                </c:pt>
                <c:pt idx="3697">
                  <c:v>5.6146788746696277E-2</c:v>
                </c:pt>
                <c:pt idx="3698">
                  <c:v>5.6146788746696277E-2</c:v>
                </c:pt>
                <c:pt idx="3699">
                  <c:v>5.6146788746696277E-2</c:v>
                </c:pt>
                <c:pt idx="3700">
                  <c:v>5.6146788746696277E-2</c:v>
                </c:pt>
                <c:pt idx="3701">
                  <c:v>5.6146788746696277E-2</c:v>
                </c:pt>
                <c:pt idx="3702">
                  <c:v>5.6146788746696277E-2</c:v>
                </c:pt>
                <c:pt idx="3703">
                  <c:v>5.6146788746696277E-2</c:v>
                </c:pt>
                <c:pt idx="3704">
                  <c:v>5.6146788746696277E-2</c:v>
                </c:pt>
                <c:pt idx="3705">
                  <c:v>5.6146788746696277E-2</c:v>
                </c:pt>
                <c:pt idx="3706">
                  <c:v>5.6146788746696277E-2</c:v>
                </c:pt>
                <c:pt idx="3707">
                  <c:v>5.6146788746696277E-2</c:v>
                </c:pt>
                <c:pt idx="3708">
                  <c:v>5.6146788746696277E-2</c:v>
                </c:pt>
                <c:pt idx="3709">
                  <c:v>5.6146788746696277E-2</c:v>
                </c:pt>
                <c:pt idx="3710">
                  <c:v>5.6146788746696277E-2</c:v>
                </c:pt>
                <c:pt idx="3711">
                  <c:v>5.6146788746696277E-2</c:v>
                </c:pt>
                <c:pt idx="3712">
                  <c:v>5.6146788746696277E-2</c:v>
                </c:pt>
                <c:pt idx="3713">
                  <c:v>5.6146788746696277E-2</c:v>
                </c:pt>
                <c:pt idx="3714">
                  <c:v>5.6146788746696277E-2</c:v>
                </c:pt>
                <c:pt idx="3715">
                  <c:v>5.6146788746696277E-2</c:v>
                </c:pt>
                <c:pt idx="3716">
                  <c:v>5.6146788746696277E-2</c:v>
                </c:pt>
                <c:pt idx="3717">
                  <c:v>5.6146788746696277E-2</c:v>
                </c:pt>
                <c:pt idx="3718">
                  <c:v>5.6146788746696277E-2</c:v>
                </c:pt>
                <c:pt idx="3719">
                  <c:v>5.6146788746696277E-2</c:v>
                </c:pt>
                <c:pt idx="3720">
                  <c:v>5.6146788746696277E-2</c:v>
                </c:pt>
                <c:pt idx="3721">
                  <c:v>5.6146788746696277E-2</c:v>
                </c:pt>
                <c:pt idx="3722">
                  <c:v>5.6146788746696277E-2</c:v>
                </c:pt>
                <c:pt idx="3723">
                  <c:v>5.6146788746696277E-2</c:v>
                </c:pt>
                <c:pt idx="3724">
                  <c:v>5.6146788746696277E-2</c:v>
                </c:pt>
                <c:pt idx="3725">
                  <c:v>5.6146788746696277E-2</c:v>
                </c:pt>
                <c:pt idx="3726">
                  <c:v>5.6146788746696277E-2</c:v>
                </c:pt>
                <c:pt idx="3727">
                  <c:v>5.6146788746696277E-2</c:v>
                </c:pt>
                <c:pt idx="3728">
                  <c:v>5.6146788746696277E-2</c:v>
                </c:pt>
                <c:pt idx="3729">
                  <c:v>5.6146788746696277E-2</c:v>
                </c:pt>
                <c:pt idx="3730">
                  <c:v>5.6146788746696277E-2</c:v>
                </c:pt>
                <c:pt idx="3731">
                  <c:v>5.6146788746696277E-2</c:v>
                </c:pt>
                <c:pt idx="3732">
                  <c:v>5.6146788746696277E-2</c:v>
                </c:pt>
                <c:pt idx="3733">
                  <c:v>5.6146788746696277E-2</c:v>
                </c:pt>
                <c:pt idx="3734">
                  <c:v>5.6146788746696277E-2</c:v>
                </c:pt>
                <c:pt idx="3735">
                  <c:v>5.6146788746696277E-2</c:v>
                </c:pt>
                <c:pt idx="3736">
                  <c:v>5.6146788746696277E-2</c:v>
                </c:pt>
                <c:pt idx="3737">
                  <c:v>5.6146788746696277E-2</c:v>
                </c:pt>
                <c:pt idx="3738">
                  <c:v>5.6146788746696277E-2</c:v>
                </c:pt>
                <c:pt idx="3739">
                  <c:v>5.6146788746696277E-2</c:v>
                </c:pt>
                <c:pt idx="3740">
                  <c:v>5.6146788746696277E-2</c:v>
                </c:pt>
                <c:pt idx="3741">
                  <c:v>5.6146788746696277E-2</c:v>
                </c:pt>
                <c:pt idx="3742">
                  <c:v>5.6146788746696277E-2</c:v>
                </c:pt>
                <c:pt idx="3743">
                  <c:v>5.6146788746696277E-2</c:v>
                </c:pt>
                <c:pt idx="3744">
                  <c:v>5.6146788746696277E-2</c:v>
                </c:pt>
                <c:pt idx="3745">
                  <c:v>5.6146788746696277E-2</c:v>
                </c:pt>
                <c:pt idx="3746">
                  <c:v>5.6146788746696277E-2</c:v>
                </c:pt>
                <c:pt idx="3747">
                  <c:v>5.6146788746696277E-2</c:v>
                </c:pt>
                <c:pt idx="3748">
                  <c:v>5.6146788746696277E-2</c:v>
                </c:pt>
                <c:pt idx="3749">
                  <c:v>5.6146788746696277E-2</c:v>
                </c:pt>
                <c:pt idx="3750">
                  <c:v>5.6146788746696277E-2</c:v>
                </c:pt>
                <c:pt idx="3751">
                  <c:v>5.6146788746696277E-2</c:v>
                </c:pt>
                <c:pt idx="3752">
                  <c:v>5.6146788746696277E-2</c:v>
                </c:pt>
                <c:pt idx="3753">
                  <c:v>5.6146788746696277E-2</c:v>
                </c:pt>
                <c:pt idx="3754">
                  <c:v>5.6146788746696277E-2</c:v>
                </c:pt>
                <c:pt idx="3755">
                  <c:v>5.6146788746696277E-2</c:v>
                </c:pt>
                <c:pt idx="3756">
                  <c:v>5.6146788746696277E-2</c:v>
                </c:pt>
                <c:pt idx="3757">
                  <c:v>5.6146788746696277E-2</c:v>
                </c:pt>
                <c:pt idx="3758">
                  <c:v>5.6146788746696277E-2</c:v>
                </c:pt>
                <c:pt idx="3759">
                  <c:v>5.6146788746696277E-2</c:v>
                </c:pt>
                <c:pt idx="3760">
                  <c:v>5.6146788746696277E-2</c:v>
                </c:pt>
                <c:pt idx="3761">
                  <c:v>5.6146788746696277E-2</c:v>
                </c:pt>
                <c:pt idx="3762">
                  <c:v>5.6146788746696277E-2</c:v>
                </c:pt>
                <c:pt idx="3763">
                  <c:v>5.6146788746696277E-2</c:v>
                </c:pt>
                <c:pt idx="3764">
                  <c:v>5.6146788746696277E-2</c:v>
                </c:pt>
                <c:pt idx="3765">
                  <c:v>5.6146788746696277E-2</c:v>
                </c:pt>
                <c:pt idx="3766">
                  <c:v>5.6146788746696277E-2</c:v>
                </c:pt>
                <c:pt idx="3767">
                  <c:v>5.6146788746696277E-2</c:v>
                </c:pt>
                <c:pt idx="3768">
                  <c:v>5.6146788746696277E-2</c:v>
                </c:pt>
                <c:pt idx="3769">
                  <c:v>5.6146788746696277E-2</c:v>
                </c:pt>
                <c:pt idx="3770">
                  <c:v>5.6146788746696277E-2</c:v>
                </c:pt>
                <c:pt idx="3771">
                  <c:v>5.6146788746696277E-2</c:v>
                </c:pt>
                <c:pt idx="3772">
                  <c:v>5.6146788746696277E-2</c:v>
                </c:pt>
                <c:pt idx="3773">
                  <c:v>5.6146788746696277E-2</c:v>
                </c:pt>
                <c:pt idx="3774">
                  <c:v>5.6146788746696277E-2</c:v>
                </c:pt>
                <c:pt idx="3775">
                  <c:v>5.6146788746696277E-2</c:v>
                </c:pt>
                <c:pt idx="3776">
                  <c:v>5.6146788746696277E-2</c:v>
                </c:pt>
                <c:pt idx="3777">
                  <c:v>5.6146788746696277E-2</c:v>
                </c:pt>
                <c:pt idx="3778">
                  <c:v>5.6146788746696277E-2</c:v>
                </c:pt>
                <c:pt idx="3779">
                  <c:v>5.6146788746696277E-2</c:v>
                </c:pt>
                <c:pt idx="3780">
                  <c:v>5.6146788746696277E-2</c:v>
                </c:pt>
                <c:pt idx="3781">
                  <c:v>5.6146788746696277E-2</c:v>
                </c:pt>
                <c:pt idx="3782">
                  <c:v>5.6146788746696277E-2</c:v>
                </c:pt>
                <c:pt idx="3783">
                  <c:v>5.6146788746696277E-2</c:v>
                </c:pt>
                <c:pt idx="3784">
                  <c:v>5.6146788746696277E-2</c:v>
                </c:pt>
                <c:pt idx="3785">
                  <c:v>5.6146788746696277E-2</c:v>
                </c:pt>
                <c:pt idx="3786">
                  <c:v>5.6146788746696277E-2</c:v>
                </c:pt>
                <c:pt idx="3787">
                  <c:v>5.6146788746696277E-2</c:v>
                </c:pt>
                <c:pt idx="3788">
                  <c:v>5.6146788746696277E-2</c:v>
                </c:pt>
                <c:pt idx="3789">
                  <c:v>5.6146788746696277E-2</c:v>
                </c:pt>
                <c:pt idx="3790">
                  <c:v>5.6146788746696277E-2</c:v>
                </c:pt>
                <c:pt idx="3791">
                  <c:v>5.6146788746696277E-2</c:v>
                </c:pt>
                <c:pt idx="3792">
                  <c:v>5.6146788746696277E-2</c:v>
                </c:pt>
                <c:pt idx="3793">
                  <c:v>5.6146788746696277E-2</c:v>
                </c:pt>
                <c:pt idx="3794">
                  <c:v>5.6146788746696277E-2</c:v>
                </c:pt>
                <c:pt idx="3795">
                  <c:v>5.6146788746696277E-2</c:v>
                </c:pt>
                <c:pt idx="3796">
                  <c:v>5.6146788746696277E-2</c:v>
                </c:pt>
                <c:pt idx="3797">
                  <c:v>5.6146788746696277E-2</c:v>
                </c:pt>
                <c:pt idx="3798">
                  <c:v>5.6146788746696277E-2</c:v>
                </c:pt>
                <c:pt idx="3799">
                  <c:v>5.6146788746696277E-2</c:v>
                </c:pt>
                <c:pt idx="3800">
                  <c:v>5.6146788746696277E-2</c:v>
                </c:pt>
                <c:pt idx="3801">
                  <c:v>5.6146788746696277E-2</c:v>
                </c:pt>
                <c:pt idx="3802">
                  <c:v>5.6146788746696277E-2</c:v>
                </c:pt>
                <c:pt idx="3803">
                  <c:v>5.6146788746696277E-2</c:v>
                </c:pt>
                <c:pt idx="3804">
                  <c:v>5.6146788746696277E-2</c:v>
                </c:pt>
                <c:pt idx="3805">
                  <c:v>5.6146788746696277E-2</c:v>
                </c:pt>
                <c:pt idx="3806">
                  <c:v>5.6146788746696277E-2</c:v>
                </c:pt>
                <c:pt idx="3807">
                  <c:v>5.6146788746696277E-2</c:v>
                </c:pt>
                <c:pt idx="3808">
                  <c:v>5.6146788746696277E-2</c:v>
                </c:pt>
                <c:pt idx="3809">
                  <c:v>5.6146788746696277E-2</c:v>
                </c:pt>
                <c:pt idx="3810">
                  <c:v>5.6146788746696277E-2</c:v>
                </c:pt>
                <c:pt idx="3811">
                  <c:v>5.6146788746696277E-2</c:v>
                </c:pt>
                <c:pt idx="3812">
                  <c:v>5.6146788746696277E-2</c:v>
                </c:pt>
                <c:pt idx="3813">
                  <c:v>5.6146788746696277E-2</c:v>
                </c:pt>
                <c:pt idx="3814">
                  <c:v>5.6146788746696277E-2</c:v>
                </c:pt>
                <c:pt idx="3815">
                  <c:v>5.6146788746696277E-2</c:v>
                </c:pt>
                <c:pt idx="3816">
                  <c:v>5.6146788746696277E-2</c:v>
                </c:pt>
                <c:pt idx="3817">
                  <c:v>5.6146788746696277E-2</c:v>
                </c:pt>
                <c:pt idx="3818">
                  <c:v>5.6146788746696277E-2</c:v>
                </c:pt>
                <c:pt idx="3819">
                  <c:v>5.6146788746696277E-2</c:v>
                </c:pt>
                <c:pt idx="3820">
                  <c:v>5.6146788746696277E-2</c:v>
                </c:pt>
                <c:pt idx="3821">
                  <c:v>5.6146788746696277E-2</c:v>
                </c:pt>
                <c:pt idx="3822">
                  <c:v>5.6146788746696277E-2</c:v>
                </c:pt>
                <c:pt idx="3823">
                  <c:v>5.6146788746696277E-2</c:v>
                </c:pt>
                <c:pt idx="3824">
                  <c:v>5.6146788746696277E-2</c:v>
                </c:pt>
                <c:pt idx="3825">
                  <c:v>5.6146788746696277E-2</c:v>
                </c:pt>
                <c:pt idx="3826">
                  <c:v>5.6146788746696277E-2</c:v>
                </c:pt>
                <c:pt idx="3827">
                  <c:v>5.6146788746696277E-2</c:v>
                </c:pt>
                <c:pt idx="3828">
                  <c:v>5.6146788746696277E-2</c:v>
                </c:pt>
                <c:pt idx="3829">
                  <c:v>5.6146788746696277E-2</c:v>
                </c:pt>
                <c:pt idx="3830">
                  <c:v>5.6146788746696277E-2</c:v>
                </c:pt>
                <c:pt idx="3831">
                  <c:v>5.6146788746696277E-2</c:v>
                </c:pt>
                <c:pt idx="3832">
                  <c:v>5.6146788746696277E-2</c:v>
                </c:pt>
                <c:pt idx="3833">
                  <c:v>5.6146788746696277E-2</c:v>
                </c:pt>
                <c:pt idx="3834">
                  <c:v>5.6146788746696277E-2</c:v>
                </c:pt>
                <c:pt idx="3835">
                  <c:v>5.6146788746696277E-2</c:v>
                </c:pt>
                <c:pt idx="3836">
                  <c:v>5.6146788746696277E-2</c:v>
                </c:pt>
                <c:pt idx="3837">
                  <c:v>5.6146788746696277E-2</c:v>
                </c:pt>
                <c:pt idx="3838">
                  <c:v>5.6146788746696277E-2</c:v>
                </c:pt>
                <c:pt idx="3839">
                  <c:v>5.6146788746696277E-2</c:v>
                </c:pt>
                <c:pt idx="3840">
                  <c:v>5.6146788746696277E-2</c:v>
                </c:pt>
                <c:pt idx="3841">
                  <c:v>5.6146788746696277E-2</c:v>
                </c:pt>
                <c:pt idx="3842">
                  <c:v>5.6146788746696277E-2</c:v>
                </c:pt>
                <c:pt idx="3843">
                  <c:v>5.6146788746696277E-2</c:v>
                </c:pt>
                <c:pt idx="3844">
                  <c:v>5.6146788746696277E-2</c:v>
                </c:pt>
                <c:pt idx="3845">
                  <c:v>5.6146788746696277E-2</c:v>
                </c:pt>
                <c:pt idx="3846">
                  <c:v>5.6146788746696277E-2</c:v>
                </c:pt>
                <c:pt idx="3847">
                  <c:v>5.6146788746696277E-2</c:v>
                </c:pt>
                <c:pt idx="3848">
                  <c:v>5.6146788746696277E-2</c:v>
                </c:pt>
                <c:pt idx="3849">
                  <c:v>5.6146788746696277E-2</c:v>
                </c:pt>
                <c:pt idx="3850">
                  <c:v>5.6146788746696277E-2</c:v>
                </c:pt>
                <c:pt idx="3851">
                  <c:v>5.6146788746696277E-2</c:v>
                </c:pt>
                <c:pt idx="3852">
                  <c:v>5.6146788746696277E-2</c:v>
                </c:pt>
                <c:pt idx="3853">
                  <c:v>5.6146788746696277E-2</c:v>
                </c:pt>
                <c:pt idx="3854">
                  <c:v>5.6146788746696277E-2</c:v>
                </c:pt>
                <c:pt idx="3855">
                  <c:v>5.6146788746696277E-2</c:v>
                </c:pt>
                <c:pt idx="3856">
                  <c:v>5.6146788746696277E-2</c:v>
                </c:pt>
                <c:pt idx="3857">
                  <c:v>5.6146788746696277E-2</c:v>
                </c:pt>
                <c:pt idx="3858">
                  <c:v>5.6146788746696277E-2</c:v>
                </c:pt>
                <c:pt idx="3859">
                  <c:v>5.6698676921705889E-2</c:v>
                </c:pt>
                <c:pt idx="3860">
                  <c:v>5.6698676921705889E-2</c:v>
                </c:pt>
                <c:pt idx="3861">
                  <c:v>5.6698676921705889E-2</c:v>
                </c:pt>
                <c:pt idx="3862">
                  <c:v>5.6698676921705889E-2</c:v>
                </c:pt>
                <c:pt idx="3863">
                  <c:v>5.6698676921705889E-2</c:v>
                </c:pt>
                <c:pt idx="3864">
                  <c:v>5.6698676921705889E-2</c:v>
                </c:pt>
                <c:pt idx="3865">
                  <c:v>5.6698676921705889E-2</c:v>
                </c:pt>
                <c:pt idx="3866">
                  <c:v>5.6698676921705889E-2</c:v>
                </c:pt>
                <c:pt idx="3867">
                  <c:v>5.6698676921705889E-2</c:v>
                </c:pt>
                <c:pt idx="3868">
                  <c:v>5.6698676921705889E-2</c:v>
                </c:pt>
                <c:pt idx="3869">
                  <c:v>5.6698676921705889E-2</c:v>
                </c:pt>
                <c:pt idx="3870">
                  <c:v>5.6698676921705889E-2</c:v>
                </c:pt>
                <c:pt idx="3871">
                  <c:v>5.6698676921705889E-2</c:v>
                </c:pt>
                <c:pt idx="3872">
                  <c:v>5.6698676921705889E-2</c:v>
                </c:pt>
                <c:pt idx="3873">
                  <c:v>5.6698676921705889E-2</c:v>
                </c:pt>
                <c:pt idx="3874">
                  <c:v>5.6698676921705889E-2</c:v>
                </c:pt>
                <c:pt idx="3875">
                  <c:v>5.6698676921705889E-2</c:v>
                </c:pt>
                <c:pt idx="3876">
                  <c:v>5.6698676921705889E-2</c:v>
                </c:pt>
                <c:pt idx="3877">
                  <c:v>5.6698676921705889E-2</c:v>
                </c:pt>
                <c:pt idx="3878">
                  <c:v>5.6698676921705889E-2</c:v>
                </c:pt>
                <c:pt idx="3879">
                  <c:v>5.6698676921705889E-2</c:v>
                </c:pt>
                <c:pt idx="3880">
                  <c:v>5.6698676921705889E-2</c:v>
                </c:pt>
                <c:pt idx="3881">
                  <c:v>5.6698676921705889E-2</c:v>
                </c:pt>
                <c:pt idx="3882">
                  <c:v>5.6698676921705889E-2</c:v>
                </c:pt>
                <c:pt idx="3883">
                  <c:v>5.6698676921705889E-2</c:v>
                </c:pt>
                <c:pt idx="3884">
                  <c:v>5.6698676921705889E-2</c:v>
                </c:pt>
                <c:pt idx="3885">
                  <c:v>5.6698676921705889E-2</c:v>
                </c:pt>
                <c:pt idx="3886">
                  <c:v>5.6698676921705889E-2</c:v>
                </c:pt>
                <c:pt idx="3887">
                  <c:v>5.6698676921705889E-2</c:v>
                </c:pt>
                <c:pt idx="3888">
                  <c:v>5.6698676921705889E-2</c:v>
                </c:pt>
                <c:pt idx="3889">
                  <c:v>5.6698676921705889E-2</c:v>
                </c:pt>
                <c:pt idx="3890">
                  <c:v>5.6698676921705889E-2</c:v>
                </c:pt>
                <c:pt idx="3891">
                  <c:v>5.6698676921705889E-2</c:v>
                </c:pt>
                <c:pt idx="3892">
                  <c:v>5.6698676921705889E-2</c:v>
                </c:pt>
                <c:pt idx="3893">
                  <c:v>5.6698676921705889E-2</c:v>
                </c:pt>
                <c:pt idx="3894">
                  <c:v>5.6698676921705889E-2</c:v>
                </c:pt>
                <c:pt idx="3895">
                  <c:v>5.6698676921705889E-2</c:v>
                </c:pt>
                <c:pt idx="3896">
                  <c:v>5.6698676921705889E-2</c:v>
                </c:pt>
                <c:pt idx="3897">
                  <c:v>5.6698676921705889E-2</c:v>
                </c:pt>
                <c:pt idx="3898">
                  <c:v>5.6698676921705889E-2</c:v>
                </c:pt>
                <c:pt idx="3899">
                  <c:v>5.6698676921705889E-2</c:v>
                </c:pt>
                <c:pt idx="3900">
                  <c:v>5.6698676921705889E-2</c:v>
                </c:pt>
                <c:pt idx="3901">
                  <c:v>5.6698676921705889E-2</c:v>
                </c:pt>
                <c:pt idx="3902">
                  <c:v>5.6698676921705889E-2</c:v>
                </c:pt>
                <c:pt idx="3903">
                  <c:v>5.6698676921705889E-2</c:v>
                </c:pt>
                <c:pt idx="3904">
                  <c:v>5.6698676921705889E-2</c:v>
                </c:pt>
                <c:pt idx="3905">
                  <c:v>5.6698676921705889E-2</c:v>
                </c:pt>
                <c:pt idx="3906">
                  <c:v>5.6698676921705889E-2</c:v>
                </c:pt>
                <c:pt idx="3907">
                  <c:v>5.6698676921705889E-2</c:v>
                </c:pt>
                <c:pt idx="3908">
                  <c:v>5.6698676921705889E-2</c:v>
                </c:pt>
                <c:pt idx="3909">
                  <c:v>5.6698676921705889E-2</c:v>
                </c:pt>
                <c:pt idx="3910">
                  <c:v>5.6698676921705889E-2</c:v>
                </c:pt>
                <c:pt idx="3911">
                  <c:v>5.6698676921705889E-2</c:v>
                </c:pt>
                <c:pt idx="3912">
                  <c:v>5.6698676921705889E-2</c:v>
                </c:pt>
                <c:pt idx="3913">
                  <c:v>5.6698676921705889E-2</c:v>
                </c:pt>
                <c:pt idx="3914">
                  <c:v>5.6698676921705889E-2</c:v>
                </c:pt>
                <c:pt idx="3915">
                  <c:v>5.6698676921705889E-2</c:v>
                </c:pt>
                <c:pt idx="3916">
                  <c:v>5.6698676921705889E-2</c:v>
                </c:pt>
                <c:pt idx="3917">
                  <c:v>5.6698676921705889E-2</c:v>
                </c:pt>
                <c:pt idx="3918">
                  <c:v>5.6698676921705889E-2</c:v>
                </c:pt>
                <c:pt idx="3919">
                  <c:v>5.6698676921705889E-2</c:v>
                </c:pt>
                <c:pt idx="3920">
                  <c:v>5.6698676921705889E-2</c:v>
                </c:pt>
                <c:pt idx="3921">
                  <c:v>5.6698676921705889E-2</c:v>
                </c:pt>
                <c:pt idx="3922">
                  <c:v>5.6698676921705889E-2</c:v>
                </c:pt>
                <c:pt idx="3923">
                  <c:v>5.6698676921705889E-2</c:v>
                </c:pt>
                <c:pt idx="3924">
                  <c:v>5.6698676921705889E-2</c:v>
                </c:pt>
                <c:pt idx="3925">
                  <c:v>5.6698676921705889E-2</c:v>
                </c:pt>
                <c:pt idx="3926">
                  <c:v>5.6698676921705889E-2</c:v>
                </c:pt>
                <c:pt idx="3927">
                  <c:v>5.6698676921705889E-2</c:v>
                </c:pt>
                <c:pt idx="3928">
                  <c:v>5.6698676921705889E-2</c:v>
                </c:pt>
                <c:pt idx="3929">
                  <c:v>5.6698676921705889E-2</c:v>
                </c:pt>
                <c:pt idx="3930">
                  <c:v>5.6698676921705889E-2</c:v>
                </c:pt>
                <c:pt idx="3931">
                  <c:v>5.6698676921705889E-2</c:v>
                </c:pt>
                <c:pt idx="3932">
                  <c:v>5.6698676921705889E-2</c:v>
                </c:pt>
                <c:pt idx="3933">
                  <c:v>5.6698676921705889E-2</c:v>
                </c:pt>
                <c:pt idx="3934">
                  <c:v>5.6698676921705889E-2</c:v>
                </c:pt>
                <c:pt idx="3935">
                  <c:v>5.6698676921705889E-2</c:v>
                </c:pt>
                <c:pt idx="3936">
                  <c:v>5.6698676921705889E-2</c:v>
                </c:pt>
                <c:pt idx="3937">
                  <c:v>5.6698676921705889E-2</c:v>
                </c:pt>
                <c:pt idx="3938">
                  <c:v>5.6698676921705889E-2</c:v>
                </c:pt>
                <c:pt idx="3939">
                  <c:v>5.6698676921705889E-2</c:v>
                </c:pt>
                <c:pt idx="3940">
                  <c:v>5.6698676921705889E-2</c:v>
                </c:pt>
                <c:pt idx="3941">
                  <c:v>5.6698676921705889E-2</c:v>
                </c:pt>
                <c:pt idx="3942">
                  <c:v>5.6698676921705889E-2</c:v>
                </c:pt>
                <c:pt idx="3943">
                  <c:v>5.6698676921705889E-2</c:v>
                </c:pt>
                <c:pt idx="3944">
                  <c:v>5.6698676921705889E-2</c:v>
                </c:pt>
                <c:pt idx="3945">
                  <c:v>5.6698676921705889E-2</c:v>
                </c:pt>
                <c:pt idx="3946">
                  <c:v>5.6698676921705889E-2</c:v>
                </c:pt>
                <c:pt idx="3947">
                  <c:v>5.6698676921705889E-2</c:v>
                </c:pt>
                <c:pt idx="3948">
                  <c:v>5.6698676921705889E-2</c:v>
                </c:pt>
                <c:pt idx="3949">
                  <c:v>5.6698676921705889E-2</c:v>
                </c:pt>
                <c:pt idx="3950">
                  <c:v>5.6698676921705889E-2</c:v>
                </c:pt>
                <c:pt idx="3951">
                  <c:v>5.6698676921705889E-2</c:v>
                </c:pt>
                <c:pt idx="3952">
                  <c:v>5.6698676921705889E-2</c:v>
                </c:pt>
                <c:pt idx="3953">
                  <c:v>5.6698676921705889E-2</c:v>
                </c:pt>
                <c:pt idx="3954">
                  <c:v>5.6698676921705889E-2</c:v>
                </c:pt>
                <c:pt idx="3955">
                  <c:v>5.6698676921705889E-2</c:v>
                </c:pt>
                <c:pt idx="3956">
                  <c:v>5.6698676921705889E-2</c:v>
                </c:pt>
                <c:pt idx="3957">
                  <c:v>5.6698676921705889E-2</c:v>
                </c:pt>
                <c:pt idx="3958">
                  <c:v>5.6698676921705889E-2</c:v>
                </c:pt>
                <c:pt idx="3959">
                  <c:v>5.6698676921705889E-2</c:v>
                </c:pt>
                <c:pt idx="3960">
                  <c:v>5.6698676921705889E-2</c:v>
                </c:pt>
                <c:pt idx="3961">
                  <c:v>5.6698676921705889E-2</c:v>
                </c:pt>
                <c:pt idx="3962">
                  <c:v>5.6698676921705889E-2</c:v>
                </c:pt>
                <c:pt idx="3963">
                  <c:v>5.6698676921705889E-2</c:v>
                </c:pt>
                <c:pt idx="3964">
                  <c:v>5.6698676921705889E-2</c:v>
                </c:pt>
                <c:pt idx="3965">
                  <c:v>5.6698676921705889E-2</c:v>
                </c:pt>
                <c:pt idx="3966">
                  <c:v>5.6698676921705889E-2</c:v>
                </c:pt>
                <c:pt idx="3967">
                  <c:v>5.6698676921705889E-2</c:v>
                </c:pt>
                <c:pt idx="3968">
                  <c:v>5.6698676921705889E-2</c:v>
                </c:pt>
                <c:pt idx="3969">
                  <c:v>5.6698676921705889E-2</c:v>
                </c:pt>
                <c:pt idx="3970">
                  <c:v>5.6698676921705889E-2</c:v>
                </c:pt>
                <c:pt idx="3971">
                  <c:v>5.6698676921705889E-2</c:v>
                </c:pt>
                <c:pt idx="3972">
                  <c:v>5.6698676921705889E-2</c:v>
                </c:pt>
                <c:pt idx="3973">
                  <c:v>5.6698676921705889E-2</c:v>
                </c:pt>
                <c:pt idx="3974">
                  <c:v>5.6698676921705889E-2</c:v>
                </c:pt>
                <c:pt idx="3975">
                  <c:v>5.6698676921705889E-2</c:v>
                </c:pt>
                <c:pt idx="3976">
                  <c:v>5.6698676921705889E-2</c:v>
                </c:pt>
                <c:pt idx="3977">
                  <c:v>5.6698676921705889E-2</c:v>
                </c:pt>
                <c:pt idx="3978">
                  <c:v>5.6698676921705889E-2</c:v>
                </c:pt>
                <c:pt idx="3979">
                  <c:v>5.6698676921705889E-2</c:v>
                </c:pt>
                <c:pt idx="3980">
                  <c:v>5.6698676921705889E-2</c:v>
                </c:pt>
                <c:pt idx="3981">
                  <c:v>5.6698676921705889E-2</c:v>
                </c:pt>
                <c:pt idx="3982">
                  <c:v>5.6698676921705889E-2</c:v>
                </c:pt>
                <c:pt idx="3983">
                  <c:v>5.6698676921705889E-2</c:v>
                </c:pt>
                <c:pt idx="3984">
                  <c:v>5.6698676921705889E-2</c:v>
                </c:pt>
                <c:pt idx="3985">
                  <c:v>5.6698676921705889E-2</c:v>
                </c:pt>
                <c:pt idx="3986">
                  <c:v>5.6698676921705889E-2</c:v>
                </c:pt>
                <c:pt idx="3987">
                  <c:v>5.6698676921705889E-2</c:v>
                </c:pt>
                <c:pt idx="3988">
                  <c:v>5.6698676921705889E-2</c:v>
                </c:pt>
                <c:pt idx="3989">
                  <c:v>5.6698676921705889E-2</c:v>
                </c:pt>
                <c:pt idx="3990">
                  <c:v>5.6698676921705889E-2</c:v>
                </c:pt>
                <c:pt idx="3991">
                  <c:v>5.6698676921705889E-2</c:v>
                </c:pt>
                <c:pt idx="3992">
                  <c:v>5.6698676921705889E-2</c:v>
                </c:pt>
                <c:pt idx="3993">
                  <c:v>5.6698676921705889E-2</c:v>
                </c:pt>
                <c:pt idx="3994">
                  <c:v>5.6698676921705889E-2</c:v>
                </c:pt>
                <c:pt idx="3995">
                  <c:v>5.6698676921705889E-2</c:v>
                </c:pt>
                <c:pt idx="3996">
                  <c:v>5.6698676921705889E-2</c:v>
                </c:pt>
                <c:pt idx="3997">
                  <c:v>5.6698676921705889E-2</c:v>
                </c:pt>
                <c:pt idx="3998">
                  <c:v>5.6698676921705889E-2</c:v>
                </c:pt>
                <c:pt idx="3999">
                  <c:v>5.6698676921705889E-2</c:v>
                </c:pt>
                <c:pt idx="4000">
                  <c:v>5.6698676921705889E-2</c:v>
                </c:pt>
                <c:pt idx="4001">
                  <c:v>5.6698676921705889E-2</c:v>
                </c:pt>
                <c:pt idx="4002">
                  <c:v>5.6698676921705889E-2</c:v>
                </c:pt>
                <c:pt idx="4003">
                  <c:v>5.6698676921705889E-2</c:v>
                </c:pt>
                <c:pt idx="4004">
                  <c:v>5.6698676921705889E-2</c:v>
                </c:pt>
                <c:pt idx="4005">
                  <c:v>5.6698676921705889E-2</c:v>
                </c:pt>
                <c:pt idx="4006">
                  <c:v>5.6698676921705889E-2</c:v>
                </c:pt>
                <c:pt idx="4007">
                  <c:v>5.6698676921705889E-2</c:v>
                </c:pt>
                <c:pt idx="4008">
                  <c:v>5.6698676921705889E-2</c:v>
                </c:pt>
                <c:pt idx="4009">
                  <c:v>5.6698676921705889E-2</c:v>
                </c:pt>
                <c:pt idx="4010">
                  <c:v>5.6698676921705889E-2</c:v>
                </c:pt>
                <c:pt idx="4011">
                  <c:v>5.6698676921705889E-2</c:v>
                </c:pt>
                <c:pt idx="4012">
                  <c:v>5.6698676921705889E-2</c:v>
                </c:pt>
                <c:pt idx="4013">
                  <c:v>5.6698676921705889E-2</c:v>
                </c:pt>
                <c:pt idx="4014">
                  <c:v>5.6698676921705889E-2</c:v>
                </c:pt>
                <c:pt idx="4015">
                  <c:v>5.6698676921705889E-2</c:v>
                </c:pt>
                <c:pt idx="4016">
                  <c:v>5.6698676921705889E-2</c:v>
                </c:pt>
                <c:pt idx="4017">
                  <c:v>5.6698676921705889E-2</c:v>
                </c:pt>
                <c:pt idx="4018">
                  <c:v>5.6698676921705889E-2</c:v>
                </c:pt>
                <c:pt idx="4019">
                  <c:v>5.6698676921705889E-2</c:v>
                </c:pt>
                <c:pt idx="4020">
                  <c:v>5.6698676921705889E-2</c:v>
                </c:pt>
                <c:pt idx="4021">
                  <c:v>5.6698676921705889E-2</c:v>
                </c:pt>
                <c:pt idx="4022">
                  <c:v>5.6698676921705889E-2</c:v>
                </c:pt>
                <c:pt idx="4023">
                  <c:v>5.6698676921705889E-2</c:v>
                </c:pt>
                <c:pt idx="4024">
                  <c:v>5.6698676921705889E-2</c:v>
                </c:pt>
                <c:pt idx="4025">
                  <c:v>5.6698676921705889E-2</c:v>
                </c:pt>
                <c:pt idx="4026">
                  <c:v>5.6698676921705889E-2</c:v>
                </c:pt>
                <c:pt idx="4027">
                  <c:v>5.6698676921705889E-2</c:v>
                </c:pt>
                <c:pt idx="4028">
                  <c:v>5.6698676921705889E-2</c:v>
                </c:pt>
                <c:pt idx="4029">
                  <c:v>5.6698676921705889E-2</c:v>
                </c:pt>
                <c:pt idx="4030">
                  <c:v>5.6698676921705889E-2</c:v>
                </c:pt>
                <c:pt idx="4031">
                  <c:v>5.6698676921705889E-2</c:v>
                </c:pt>
                <c:pt idx="4032">
                  <c:v>5.6698676921705889E-2</c:v>
                </c:pt>
                <c:pt idx="4033">
                  <c:v>5.6698676921705889E-2</c:v>
                </c:pt>
                <c:pt idx="4034">
                  <c:v>5.6698676921705889E-2</c:v>
                </c:pt>
                <c:pt idx="4035">
                  <c:v>5.6698676921705889E-2</c:v>
                </c:pt>
                <c:pt idx="4036">
                  <c:v>5.6698676921705889E-2</c:v>
                </c:pt>
                <c:pt idx="4037">
                  <c:v>5.6698676921705889E-2</c:v>
                </c:pt>
                <c:pt idx="4038">
                  <c:v>5.6698676921705889E-2</c:v>
                </c:pt>
                <c:pt idx="4039">
                  <c:v>5.6698676921705889E-2</c:v>
                </c:pt>
                <c:pt idx="4040">
                  <c:v>5.6698676921705889E-2</c:v>
                </c:pt>
                <c:pt idx="4041">
                  <c:v>5.6698676921705889E-2</c:v>
                </c:pt>
                <c:pt idx="4042">
                  <c:v>5.6698676921705889E-2</c:v>
                </c:pt>
                <c:pt idx="4043">
                  <c:v>5.6698676921705889E-2</c:v>
                </c:pt>
                <c:pt idx="4044">
                  <c:v>5.6698676921705889E-2</c:v>
                </c:pt>
                <c:pt idx="4045">
                  <c:v>5.6698676921705889E-2</c:v>
                </c:pt>
                <c:pt idx="4046">
                  <c:v>5.6698676921705889E-2</c:v>
                </c:pt>
                <c:pt idx="4047">
                  <c:v>5.6698676921705889E-2</c:v>
                </c:pt>
                <c:pt idx="4048">
                  <c:v>5.6698676921705889E-2</c:v>
                </c:pt>
                <c:pt idx="4049">
                  <c:v>5.6698676921705889E-2</c:v>
                </c:pt>
                <c:pt idx="4050">
                  <c:v>5.6698676921705889E-2</c:v>
                </c:pt>
                <c:pt idx="4051">
                  <c:v>5.6698676921705889E-2</c:v>
                </c:pt>
                <c:pt idx="4052">
                  <c:v>5.6698676921705889E-2</c:v>
                </c:pt>
                <c:pt idx="4053">
                  <c:v>5.6698676921705889E-2</c:v>
                </c:pt>
                <c:pt idx="4054">
                  <c:v>5.6698676921705889E-2</c:v>
                </c:pt>
                <c:pt idx="4055">
                  <c:v>5.6698676921705889E-2</c:v>
                </c:pt>
                <c:pt idx="4056">
                  <c:v>5.6698676921705889E-2</c:v>
                </c:pt>
                <c:pt idx="4057">
                  <c:v>5.6698676921705889E-2</c:v>
                </c:pt>
                <c:pt idx="4058">
                  <c:v>5.6698676921705889E-2</c:v>
                </c:pt>
                <c:pt idx="4059">
                  <c:v>5.6698676921705889E-2</c:v>
                </c:pt>
                <c:pt idx="4060">
                  <c:v>5.6698676921705889E-2</c:v>
                </c:pt>
                <c:pt idx="4061">
                  <c:v>5.6698676921705889E-2</c:v>
                </c:pt>
                <c:pt idx="4062">
                  <c:v>5.6698676921705889E-2</c:v>
                </c:pt>
                <c:pt idx="4063">
                  <c:v>5.6698676921705889E-2</c:v>
                </c:pt>
                <c:pt idx="4064">
                  <c:v>5.6698676921705889E-2</c:v>
                </c:pt>
                <c:pt idx="4065">
                  <c:v>5.6698676921705889E-2</c:v>
                </c:pt>
                <c:pt idx="4066">
                  <c:v>5.6698676921705889E-2</c:v>
                </c:pt>
                <c:pt idx="4067">
                  <c:v>5.6698676921705889E-2</c:v>
                </c:pt>
                <c:pt idx="4068">
                  <c:v>5.6698676921705889E-2</c:v>
                </c:pt>
                <c:pt idx="4069">
                  <c:v>5.6698676921705889E-2</c:v>
                </c:pt>
                <c:pt idx="4070">
                  <c:v>5.6698676921705889E-2</c:v>
                </c:pt>
                <c:pt idx="4071">
                  <c:v>5.6698676921705889E-2</c:v>
                </c:pt>
                <c:pt idx="4072">
                  <c:v>5.6698676921705889E-2</c:v>
                </c:pt>
                <c:pt idx="4073">
                  <c:v>5.6698676921705889E-2</c:v>
                </c:pt>
                <c:pt idx="4074">
                  <c:v>5.6698676921705889E-2</c:v>
                </c:pt>
                <c:pt idx="4075">
                  <c:v>5.6698676921705889E-2</c:v>
                </c:pt>
                <c:pt idx="4076">
                  <c:v>5.6698676921705889E-2</c:v>
                </c:pt>
                <c:pt idx="4077">
                  <c:v>5.6698676921705889E-2</c:v>
                </c:pt>
                <c:pt idx="4078">
                  <c:v>5.6698676921705889E-2</c:v>
                </c:pt>
                <c:pt idx="4079">
                  <c:v>5.6698676921705889E-2</c:v>
                </c:pt>
                <c:pt idx="4080">
                  <c:v>5.6698676921705889E-2</c:v>
                </c:pt>
                <c:pt idx="4081">
                  <c:v>5.6698676921705889E-2</c:v>
                </c:pt>
                <c:pt idx="4082">
                  <c:v>5.6698676921705889E-2</c:v>
                </c:pt>
                <c:pt idx="4083">
                  <c:v>5.6698676921705889E-2</c:v>
                </c:pt>
                <c:pt idx="4084">
                  <c:v>5.6698676921705889E-2</c:v>
                </c:pt>
                <c:pt idx="4085">
                  <c:v>5.6698676921705889E-2</c:v>
                </c:pt>
                <c:pt idx="4086">
                  <c:v>5.6698676921705889E-2</c:v>
                </c:pt>
                <c:pt idx="4087">
                  <c:v>5.6698676921705889E-2</c:v>
                </c:pt>
                <c:pt idx="4088">
                  <c:v>5.6698676921705889E-2</c:v>
                </c:pt>
                <c:pt idx="4089">
                  <c:v>5.6698676921705889E-2</c:v>
                </c:pt>
                <c:pt idx="4090">
                  <c:v>5.6698676921705889E-2</c:v>
                </c:pt>
                <c:pt idx="4091">
                  <c:v>5.6698676921705889E-2</c:v>
                </c:pt>
                <c:pt idx="4092">
                  <c:v>5.6698676921705889E-2</c:v>
                </c:pt>
                <c:pt idx="4093">
                  <c:v>5.6698676921705889E-2</c:v>
                </c:pt>
                <c:pt idx="4094">
                  <c:v>5.6698676921705889E-2</c:v>
                </c:pt>
                <c:pt idx="4095">
                  <c:v>5.6698676921705889E-2</c:v>
                </c:pt>
                <c:pt idx="4096">
                  <c:v>5.6698676921705889E-2</c:v>
                </c:pt>
                <c:pt idx="4097">
                  <c:v>5.6698676921705889E-2</c:v>
                </c:pt>
                <c:pt idx="4098">
                  <c:v>5.6698676921705889E-2</c:v>
                </c:pt>
                <c:pt idx="4099">
                  <c:v>5.6698676921705889E-2</c:v>
                </c:pt>
                <c:pt idx="4100">
                  <c:v>5.6698676921705889E-2</c:v>
                </c:pt>
                <c:pt idx="4101">
                  <c:v>5.6698676921705889E-2</c:v>
                </c:pt>
                <c:pt idx="4102">
                  <c:v>5.6698676921705889E-2</c:v>
                </c:pt>
                <c:pt idx="4103">
                  <c:v>5.6698676921705889E-2</c:v>
                </c:pt>
                <c:pt idx="4104">
                  <c:v>5.6698676921705889E-2</c:v>
                </c:pt>
                <c:pt idx="4105">
                  <c:v>5.6698676921705889E-2</c:v>
                </c:pt>
                <c:pt idx="4106">
                  <c:v>5.6698676921705889E-2</c:v>
                </c:pt>
                <c:pt idx="4107">
                  <c:v>5.6698676921705889E-2</c:v>
                </c:pt>
                <c:pt idx="4108">
                  <c:v>5.6698676921705889E-2</c:v>
                </c:pt>
                <c:pt idx="4109">
                  <c:v>5.6698676921705889E-2</c:v>
                </c:pt>
                <c:pt idx="4110">
                  <c:v>5.6698676921705889E-2</c:v>
                </c:pt>
                <c:pt idx="4111">
                  <c:v>5.6698676921705889E-2</c:v>
                </c:pt>
                <c:pt idx="4112">
                  <c:v>5.6698676921705889E-2</c:v>
                </c:pt>
                <c:pt idx="4113">
                  <c:v>5.6698676921705889E-2</c:v>
                </c:pt>
                <c:pt idx="4114">
                  <c:v>5.6698676921705889E-2</c:v>
                </c:pt>
                <c:pt idx="4115">
                  <c:v>5.6698676921705889E-2</c:v>
                </c:pt>
                <c:pt idx="4116">
                  <c:v>5.6698676921705889E-2</c:v>
                </c:pt>
                <c:pt idx="4117">
                  <c:v>5.6698676921705889E-2</c:v>
                </c:pt>
                <c:pt idx="4118">
                  <c:v>5.6698676921705889E-2</c:v>
                </c:pt>
                <c:pt idx="4119">
                  <c:v>5.6698676921705889E-2</c:v>
                </c:pt>
                <c:pt idx="4120">
                  <c:v>5.6698676921705889E-2</c:v>
                </c:pt>
                <c:pt idx="4121">
                  <c:v>5.6698676921705889E-2</c:v>
                </c:pt>
                <c:pt idx="4122">
                  <c:v>5.6698676921705889E-2</c:v>
                </c:pt>
                <c:pt idx="4123">
                  <c:v>5.6698676921705889E-2</c:v>
                </c:pt>
                <c:pt idx="4124">
                  <c:v>5.6698676921705889E-2</c:v>
                </c:pt>
                <c:pt idx="4125">
                  <c:v>5.6698676921705889E-2</c:v>
                </c:pt>
                <c:pt idx="4126">
                  <c:v>5.6698676921705889E-2</c:v>
                </c:pt>
                <c:pt idx="4127">
                  <c:v>5.6698676921705889E-2</c:v>
                </c:pt>
                <c:pt idx="4128">
                  <c:v>5.6698676921705889E-2</c:v>
                </c:pt>
                <c:pt idx="4129">
                  <c:v>5.6698676921705889E-2</c:v>
                </c:pt>
                <c:pt idx="4130">
                  <c:v>5.6698676921705889E-2</c:v>
                </c:pt>
                <c:pt idx="4131">
                  <c:v>5.6698676921705889E-2</c:v>
                </c:pt>
                <c:pt idx="4132">
                  <c:v>5.6698676921705889E-2</c:v>
                </c:pt>
                <c:pt idx="4133">
                  <c:v>5.6698676921705889E-2</c:v>
                </c:pt>
                <c:pt idx="4134">
                  <c:v>5.6698676921705889E-2</c:v>
                </c:pt>
                <c:pt idx="4135">
                  <c:v>5.6698676921705889E-2</c:v>
                </c:pt>
                <c:pt idx="4136">
                  <c:v>5.6698676921705889E-2</c:v>
                </c:pt>
                <c:pt idx="4137">
                  <c:v>5.6698676921705889E-2</c:v>
                </c:pt>
                <c:pt idx="4138">
                  <c:v>5.6698676921705889E-2</c:v>
                </c:pt>
                <c:pt idx="4139">
                  <c:v>5.6698676921705889E-2</c:v>
                </c:pt>
                <c:pt idx="4140">
                  <c:v>5.6698676921705889E-2</c:v>
                </c:pt>
                <c:pt idx="4141">
                  <c:v>5.6698676921705889E-2</c:v>
                </c:pt>
                <c:pt idx="4142">
                  <c:v>5.6698676921705889E-2</c:v>
                </c:pt>
                <c:pt idx="4143">
                  <c:v>5.6698676921705889E-2</c:v>
                </c:pt>
                <c:pt idx="4144">
                  <c:v>5.6698676921705889E-2</c:v>
                </c:pt>
                <c:pt idx="4145">
                  <c:v>5.6698676921705889E-2</c:v>
                </c:pt>
                <c:pt idx="4146">
                  <c:v>5.6698676921705889E-2</c:v>
                </c:pt>
                <c:pt idx="4147">
                  <c:v>5.6698676921705889E-2</c:v>
                </c:pt>
                <c:pt idx="4148">
                  <c:v>5.6698676921705889E-2</c:v>
                </c:pt>
                <c:pt idx="4149">
                  <c:v>5.6698676921705889E-2</c:v>
                </c:pt>
                <c:pt idx="4150">
                  <c:v>5.6698676921705889E-2</c:v>
                </c:pt>
                <c:pt idx="4151">
                  <c:v>5.6698676921705889E-2</c:v>
                </c:pt>
                <c:pt idx="4152">
                  <c:v>5.6698676921705889E-2</c:v>
                </c:pt>
                <c:pt idx="4153">
                  <c:v>5.6698676921705889E-2</c:v>
                </c:pt>
                <c:pt idx="4154">
                  <c:v>5.6698676921705889E-2</c:v>
                </c:pt>
                <c:pt idx="4155">
                  <c:v>5.6698676921705889E-2</c:v>
                </c:pt>
                <c:pt idx="4156">
                  <c:v>5.6698676921705889E-2</c:v>
                </c:pt>
                <c:pt idx="4157">
                  <c:v>5.6698676921705889E-2</c:v>
                </c:pt>
                <c:pt idx="4158">
                  <c:v>5.6698676921705889E-2</c:v>
                </c:pt>
                <c:pt idx="4159">
                  <c:v>5.6698676921705889E-2</c:v>
                </c:pt>
                <c:pt idx="4160">
                  <c:v>5.6698676921705889E-2</c:v>
                </c:pt>
                <c:pt idx="4161">
                  <c:v>5.6698676921705889E-2</c:v>
                </c:pt>
                <c:pt idx="4162">
                  <c:v>5.6698676921705889E-2</c:v>
                </c:pt>
                <c:pt idx="4163">
                  <c:v>5.6698676921705889E-2</c:v>
                </c:pt>
                <c:pt idx="4164">
                  <c:v>5.6698676921705889E-2</c:v>
                </c:pt>
                <c:pt idx="4165">
                  <c:v>5.6698676921705889E-2</c:v>
                </c:pt>
                <c:pt idx="4166">
                  <c:v>5.6698676921705889E-2</c:v>
                </c:pt>
                <c:pt idx="4167">
                  <c:v>5.6698676921705889E-2</c:v>
                </c:pt>
                <c:pt idx="4168">
                  <c:v>5.6698676921705889E-2</c:v>
                </c:pt>
                <c:pt idx="4169">
                  <c:v>5.6698676921705889E-2</c:v>
                </c:pt>
                <c:pt idx="4170">
                  <c:v>5.6698676921705889E-2</c:v>
                </c:pt>
                <c:pt idx="4171">
                  <c:v>5.6698676921705889E-2</c:v>
                </c:pt>
                <c:pt idx="4172">
                  <c:v>5.6698676921705889E-2</c:v>
                </c:pt>
                <c:pt idx="4173">
                  <c:v>5.6698676921705889E-2</c:v>
                </c:pt>
                <c:pt idx="4174">
                  <c:v>5.6698676921705889E-2</c:v>
                </c:pt>
                <c:pt idx="4175">
                  <c:v>5.6698676921705889E-2</c:v>
                </c:pt>
                <c:pt idx="4176">
                  <c:v>5.6698676921705889E-2</c:v>
                </c:pt>
                <c:pt idx="4177">
                  <c:v>5.6698676921705889E-2</c:v>
                </c:pt>
                <c:pt idx="4178">
                  <c:v>5.6698676921705889E-2</c:v>
                </c:pt>
                <c:pt idx="4179">
                  <c:v>5.6698676921705889E-2</c:v>
                </c:pt>
                <c:pt idx="4180">
                  <c:v>5.6698676921705889E-2</c:v>
                </c:pt>
                <c:pt idx="4181">
                  <c:v>5.6698676921705889E-2</c:v>
                </c:pt>
                <c:pt idx="4182">
                  <c:v>5.6698676921705889E-2</c:v>
                </c:pt>
                <c:pt idx="4183">
                  <c:v>5.6698676921705889E-2</c:v>
                </c:pt>
                <c:pt idx="4184">
                  <c:v>5.6698676921705889E-2</c:v>
                </c:pt>
                <c:pt idx="4185">
                  <c:v>5.6698676921705889E-2</c:v>
                </c:pt>
                <c:pt idx="4186">
                  <c:v>5.6698676921705889E-2</c:v>
                </c:pt>
                <c:pt idx="4187">
                  <c:v>5.6698676921705889E-2</c:v>
                </c:pt>
                <c:pt idx="4188">
                  <c:v>5.6698676921705889E-2</c:v>
                </c:pt>
                <c:pt idx="4189">
                  <c:v>5.6698676921705889E-2</c:v>
                </c:pt>
                <c:pt idx="4190">
                  <c:v>5.6698676921705889E-2</c:v>
                </c:pt>
                <c:pt idx="4191">
                  <c:v>5.6698676921705889E-2</c:v>
                </c:pt>
                <c:pt idx="4192">
                  <c:v>5.6698676921705889E-2</c:v>
                </c:pt>
                <c:pt idx="4193">
                  <c:v>5.6698676921705889E-2</c:v>
                </c:pt>
                <c:pt idx="4194">
                  <c:v>5.6698676921705889E-2</c:v>
                </c:pt>
                <c:pt idx="4195">
                  <c:v>5.6698676921705889E-2</c:v>
                </c:pt>
                <c:pt idx="4196">
                  <c:v>5.6698676921705889E-2</c:v>
                </c:pt>
                <c:pt idx="4197">
                  <c:v>5.6698676921705889E-2</c:v>
                </c:pt>
                <c:pt idx="4198">
                  <c:v>5.6698676921705889E-2</c:v>
                </c:pt>
                <c:pt idx="4199">
                  <c:v>5.6698676921705889E-2</c:v>
                </c:pt>
                <c:pt idx="4200">
                  <c:v>5.6698676921705889E-2</c:v>
                </c:pt>
                <c:pt idx="4201">
                  <c:v>5.6698676921705889E-2</c:v>
                </c:pt>
                <c:pt idx="4202">
                  <c:v>5.6698676921705889E-2</c:v>
                </c:pt>
                <c:pt idx="4203">
                  <c:v>5.6698676921705889E-2</c:v>
                </c:pt>
                <c:pt idx="4204">
                  <c:v>5.6698676921705889E-2</c:v>
                </c:pt>
                <c:pt idx="4205">
                  <c:v>5.6698676921705889E-2</c:v>
                </c:pt>
                <c:pt idx="4206">
                  <c:v>5.6698676921705889E-2</c:v>
                </c:pt>
                <c:pt idx="4207">
                  <c:v>5.6698676921705889E-2</c:v>
                </c:pt>
                <c:pt idx="4208">
                  <c:v>5.6698676921705889E-2</c:v>
                </c:pt>
                <c:pt idx="4209">
                  <c:v>5.6698676921705889E-2</c:v>
                </c:pt>
                <c:pt idx="4210">
                  <c:v>5.6698676921705889E-2</c:v>
                </c:pt>
                <c:pt idx="4211">
                  <c:v>5.6698676921705889E-2</c:v>
                </c:pt>
                <c:pt idx="4212">
                  <c:v>5.6698676921705889E-2</c:v>
                </c:pt>
                <c:pt idx="4213">
                  <c:v>5.6698676921705889E-2</c:v>
                </c:pt>
                <c:pt idx="4214">
                  <c:v>5.6698676921705889E-2</c:v>
                </c:pt>
                <c:pt idx="4215">
                  <c:v>5.6698676921705889E-2</c:v>
                </c:pt>
                <c:pt idx="4216">
                  <c:v>5.6698676921705889E-2</c:v>
                </c:pt>
                <c:pt idx="4217">
                  <c:v>5.6698676921705889E-2</c:v>
                </c:pt>
                <c:pt idx="4218">
                  <c:v>5.6698676921705889E-2</c:v>
                </c:pt>
                <c:pt idx="4219">
                  <c:v>5.6698676921705889E-2</c:v>
                </c:pt>
                <c:pt idx="4220">
                  <c:v>5.6698676921705889E-2</c:v>
                </c:pt>
                <c:pt idx="4221">
                  <c:v>5.6698676921705889E-2</c:v>
                </c:pt>
                <c:pt idx="4222">
                  <c:v>5.6698676921705889E-2</c:v>
                </c:pt>
                <c:pt idx="4223">
                  <c:v>5.6698676921705889E-2</c:v>
                </c:pt>
                <c:pt idx="4224">
                  <c:v>5.6698676921705889E-2</c:v>
                </c:pt>
                <c:pt idx="4225">
                  <c:v>5.6698676921705889E-2</c:v>
                </c:pt>
                <c:pt idx="4226">
                  <c:v>5.6698676921705889E-2</c:v>
                </c:pt>
                <c:pt idx="4227">
                  <c:v>5.6698676921705889E-2</c:v>
                </c:pt>
                <c:pt idx="4228">
                  <c:v>5.6698676921705889E-2</c:v>
                </c:pt>
                <c:pt idx="4229">
                  <c:v>5.6698676921705889E-2</c:v>
                </c:pt>
                <c:pt idx="4230">
                  <c:v>5.6698676921705889E-2</c:v>
                </c:pt>
                <c:pt idx="4231">
                  <c:v>5.6698676921705889E-2</c:v>
                </c:pt>
                <c:pt idx="4232">
                  <c:v>5.6698676921705889E-2</c:v>
                </c:pt>
                <c:pt idx="4233">
                  <c:v>5.6698676921705889E-2</c:v>
                </c:pt>
                <c:pt idx="4234">
                  <c:v>5.6698676921705889E-2</c:v>
                </c:pt>
                <c:pt idx="4235">
                  <c:v>5.6698676921705889E-2</c:v>
                </c:pt>
                <c:pt idx="4236">
                  <c:v>5.6698676921705889E-2</c:v>
                </c:pt>
                <c:pt idx="4237">
                  <c:v>5.6698676921705889E-2</c:v>
                </c:pt>
                <c:pt idx="4238">
                  <c:v>5.6698676921705889E-2</c:v>
                </c:pt>
                <c:pt idx="4239">
                  <c:v>5.6698676921705889E-2</c:v>
                </c:pt>
                <c:pt idx="4240">
                  <c:v>5.6698676921705889E-2</c:v>
                </c:pt>
                <c:pt idx="4241">
                  <c:v>5.6698676921705889E-2</c:v>
                </c:pt>
                <c:pt idx="4242">
                  <c:v>5.6698676921705889E-2</c:v>
                </c:pt>
                <c:pt idx="4243">
                  <c:v>5.6698676921705889E-2</c:v>
                </c:pt>
                <c:pt idx="4244">
                  <c:v>5.6698676921705889E-2</c:v>
                </c:pt>
                <c:pt idx="4245">
                  <c:v>5.6698676921705889E-2</c:v>
                </c:pt>
                <c:pt idx="4246">
                  <c:v>5.6698676921705889E-2</c:v>
                </c:pt>
                <c:pt idx="4247">
                  <c:v>5.6698676921705889E-2</c:v>
                </c:pt>
                <c:pt idx="4248">
                  <c:v>5.6698676921705889E-2</c:v>
                </c:pt>
                <c:pt idx="4249">
                  <c:v>5.6698676921705889E-2</c:v>
                </c:pt>
                <c:pt idx="4250">
                  <c:v>5.6698676921705889E-2</c:v>
                </c:pt>
                <c:pt idx="4251">
                  <c:v>5.6698676921705889E-2</c:v>
                </c:pt>
                <c:pt idx="4252">
                  <c:v>5.6698676921705889E-2</c:v>
                </c:pt>
                <c:pt idx="4253">
                  <c:v>5.6698676921705889E-2</c:v>
                </c:pt>
                <c:pt idx="4254">
                  <c:v>5.6698676921705889E-2</c:v>
                </c:pt>
                <c:pt idx="4255">
                  <c:v>5.6698676921705889E-2</c:v>
                </c:pt>
                <c:pt idx="4256">
                  <c:v>5.6698676921705889E-2</c:v>
                </c:pt>
                <c:pt idx="4257">
                  <c:v>5.6698676921705889E-2</c:v>
                </c:pt>
                <c:pt idx="4258">
                  <c:v>5.6698676921705889E-2</c:v>
                </c:pt>
                <c:pt idx="4259">
                  <c:v>5.6698676921705889E-2</c:v>
                </c:pt>
                <c:pt idx="4260">
                  <c:v>5.6698676921705889E-2</c:v>
                </c:pt>
                <c:pt idx="4261">
                  <c:v>5.6698676921705889E-2</c:v>
                </c:pt>
                <c:pt idx="4262">
                  <c:v>5.6698676921705889E-2</c:v>
                </c:pt>
                <c:pt idx="4263">
                  <c:v>5.6698676921705889E-2</c:v>
                </c:pt>
                <c:pt idx="4264">
                  <c:v>5.6698676921705889E-2</c:v>
                </c:pt>
                <c:pt idx="4265">
                  <c:v>5.6698676921705889E-2</c:v>
                </c:pt>
                <c:pt idx="4266">
                  <c:v>5.6698676921705889E-2</c:v>
                </c:pt>
                <c:pt idx="4267">
                  <c:v>5.6698676921705889E-2</c:v>
                </c:pt>
                <c:pt idx="4268">
                  <c:v>5.6698676921705889E-2</c:v>
                </c:pt>
                <c:pt idx="4269">
                  <c:v>5.6698676921705889E-2</c:v>
                </c:pt>
                <c:pt idx="4270">
                  <c:v>5.6698676921705889E-2</c:v>
                </c:pt>
                <c:pt idx="4271">
                  <c:v>5.6698676921705889E-2</c:v>
                </c:pt>
                <c:pt idx="4272">
                  <c:v>5.6698676921705889E-2</c:v>
                </c:pt>
                <c:pt idx="4273">
                  <c:v>5.6698676921705889E-2</c:v>
                </c:pt>
                <c:pt idx="4274">
                  <c:v>5.6698676921705889E-2</c:v>
                </c:pt>
                <c:pt idx="4275">
                  <c:v>5.6698676921705889E-2</c:v>
                </c:pt>
                <c:pt idx="4276">
                  <c:v>5.6698676921705889E-2</c:v>
                </c:pt>
                <c:pt idx="4277">
                  <c:v>5.6698676921705889E-2</c:v>
                </c:pt>
                <c:pt idx="4278">
                  <c:v>5.6698676921705889E-2</c:v>
                </c:pt>
                <c:pt idx="4279">
                  <c:v>5.6698676921705889E-2</c:v>
                </c:pt>
                <c:pt idx="4280">
                  <c:v>5.6698676921705889E-2</c:v>
                </c:pt>
                <c:pt idx="4281">
                  <c:v>5.6698676921705889E-2</c:v>
                </c:pt>
                <c:pt idx="4282">
                  <c:v>5.6698676921705889E-2</c:v>
                </c:pt>
                <c:pt idx="4283">
                  <c:v>5.6698676921705889E-2</c:v>
                </c:pt>
                <c:pt idx="4284">
                  <c:v>5.6698676921705889E-2</c:v>
                </c:pt>
                <c:pt idx="4285">
                  <c:v>5.6698676921705889E-2</c:v>
                </c:pt>
                <c:pt idx="4286">
                  <c:v>5.6698676921705889E-2</c:v>
                </c:pt>
                <c:pt idx="4287">
                  <c:v>5.6698676921705889E-2</c:v>
                </c:pt>
                <c:pt idx="4288">
                  <c:v>5.6698676921705889E-2</c:v>
                </c:pt>
                <c:pt idx="4289">
                  <c:v>5.6698676921705889E-2</c:v>
                </c:pt>
                <c:pt idx="4290">
                  <c:v>5.6698676921705889E-2</c:v>
                </c:pt>
                <c:pt idx="4291">
                  <c:v>5.6698676921705889E-2</c:v>
                </c:pt>
                <c:pt idx="4292">
                  <c:v>5.6698676921705889E-2</c:v>
                </c:pt>
                <c:pt idx="4293">
                  <c:v>5.6698676921705889E-2</c:v>
                </c:pt>
                <c:pt idx="4294">
                  <c:v>5.6698676921705889E-2</c:v>
                </c:pt>
                <c:pt idx="4295">
                  <c:v>5.6698676921705889E-2</c:v>
                </c:pt>
                <c:pt idx="4296">
                  <c:v>5.6698676921705889E-2</c:v>
                </c:pt>
                <c:pt idx="4297">
                  <c:v>5.6698676921705889E-2</c:v>
                </c:pt>
                <c:pt idx="4298">
                  <c:v>5.6698676921705889E-2</c:v>
                </c:pt>
                <c:pt idx="4299">
                  <c:v>5.6698676921705889E-2</c:v>
                </c:pt>
                <c:pt idx="4300">
                  <c:v>5.6698676921705889E-2</c:v>
                </c:pt>
                <c:pt idx="4301">
                  <c:v>5.6698676921705889E-2</c:v>
                </c:pt>
                <c:pt idx="4302">
                  <c:v>5.6698676921705889E-2</c:v>
                </c:pt>
                <c:pt idx="4303">
                  <c:v>5.6698676921705889E-2</c:v>
                </c:pt>
                <c:pt idx="4304">
                  <c:v>5.6698676921705889E-2</c:v>
                </c:pt>
                <c:pt idx="4305">
                  <c:v>5.6698676921705889E-2</c:v>
                </c:pt>
                <c:pt idx="4306">
                  <c:v>5.6698676921705889E-2</c:v>
                </c:pt>
                <c:pt idx="4307">
                  <c:v>5.6698676921705889E-2</c:v>
                </c:pt>
                <c:pt idx="4308">
                  <c:v>5.6698676921705889E-2</c:v>
                </c:pt>
                <c:pt idx="4309">
                  <c:v>5.6698676921705889E-2</c:v>
                </c:pt>
                <c:pt idx="4310">
                  <c:v>5.6698676921705889E-2</c:v>
                </c:pt>
                <c:pt idx="4311">
                  <c:v>5.6698676921705889E-2</c:v>
                </c:pt>
                <c:pt idx="4312">
                  <c:v>5.6698676921705889E-2</c:v>
                </c:pt>
                <c:pt idx="4313">
                  <c:v>5.6698676921705889E-2</c:v>
                </c:pt>
                <c:pt idx="4314">
                  <c:v>5.6698676921705889E-2</c:v>
                </c:pt>
                <c:pt idx="4315">
                  <c:v>5.6698676921705889E-2</c:v>
                </c:pt>
                <c:pt idx="4316">
                  <c:v>5.6698676921705889E-2</c:v>
                </c:pt>
                <c:pt idx="4317">
                  <c:v>5.6698676921705889E-2</c:v>
                </c:pt>
                <c:pt idx="4318">
                  <c:v>5.6698676921705889E-2</c:v>
                </c:pt>
                <c:pt idx="4319">
                  <c:v>5.6698676921705889E-2</c:v>
                </c:pt>
                <c:pt idx="4320">
                  <c:v>5.6698676921705889E-2</c:v>
                </c:pt>
                <c:pt idx="4321">
                  <c:v>5.6698676921705889E-2</c:v>
                </c:pt>
                <c:pt idx="4322">
                  <c:v>5.6698676921705889E-2</c:v>
                </c:pt>
                <c:pt idx="4323">
                  <c:v>5.6698676921705889E-2</c:v>
                </c:pt>
                <c:pt idx="4324">
                  <c:v>5.6698676921705889E-2</c:v>
                </c:pt>
                <c:pt idx="4325">
                  <c:v>5.6698676921705889E-2</c:v>
                </c:pt>
                <c:pt idx="4326">
                  <c:v>5.6698676921705889E-2</c:v>
                </c:pt>
                <c:pt idx="4327">
                  <c:v>5.6698676921705889E-2</c:v>
                </c:pt>
                <c:pt idx="4328">
                  <c:v>5.6698676921705889E-2</c:v>
                </c:pt>
                <c:pt idx="4329">
                  <c:v>5.6698676921705889E-2</c:v>
                </c:pt>
                <c:pt idx="4330">
                  <c:v>5.6698676921705889E-2</c:v>
                </c:pt>
                <c:pt idx="4331">
                  <c:v>5.6698676921705889E-2</c:v>
                </c:pt>
                <c:pt idx="4332">
                  <c:v>5.6698676921705889E-2</c:v>
                </c:pt>
                <c:pt idx="4333">
                  <c:v>5.6698676921705889E-2</c:v>
                </c:pt>
                <c:pt idx="4334">
                  <c:v>5.6698676921705889E-2</c:v>
                </c:pt>
                <c:pt idx="4335">
                  <c:v>5.6698676921705889E-2</c:v>
                </c:pt>
                <c:pt idx="4336">
                  <c:v>5.6698676921705889E-2</c:v>
                </c:pt>
                <c:pt idx="4337">
                  <c:v>5.6698676921705889E-2</c:v>
                </c:pt>
                <c:pt idx="4338">
                  <c:v>5.6698676921705889E-2</c:v>
                </c:pt>
                <c:pt idx="4339">
                  <c:v>5.6698676921705889E-2</c:v>
                </c:pt>
                <c:pt idx="4340">
                  <c:v>5.6698676921705889E-2</c:v>
                </c:pt>
                <c:pt idx="4341">
                  <c:v>5.6698676921705889E-2</c:v>
                </c:pt>
                <c:pt idx="4342">
                  <c:v>5.6698676921705889E-2</c:v>
                </c:pt>
                <c:pt idx="4343">
                  <c:v>5.6698676921705889E-2</c:v>
                </c:pt>
                <c:pt idx="4344">
                  <c:v>5.6698676921705889E-2</c:v>
                </c:pt>
                <c:pt idx="4345">
                  <c:v>5.6698676921705889E-2</c:v>
                </c:pt>
                <c:pt idx="4346">
                  <c:v>5.6698676921705889E-2</c:v>
                </c:pt>
                <c:pt idx="4347">
                  <c:v>5.6698676921705889E-2</c:v>
                </c:pt>
                <c:pt idx="4348">
                  <c:v>5.6698676921705889E-2</c:v>
                </c:pt>
                <c:pt idx="4349">
                  <c:v>5.6698676921705889E-2</c:v>
                </c:pt>
                <c:pt idx="4350">
                  <c:v>5.6698676921705889E-2</c:v>
                </c:pt>
                <c:pt idx="4351">
                  <c:v>5.6698676921705889E-2</c:v>
                </c:pt>
                <c:pt idx="4352">
                  <c:v>5.6698676921705889E-2</c:v>
                </c:pt>
                <c:pt idx="4353">
                  <c:v>5.6698676921705889E-2</c:v>
                </c:pt>
                <c:pt idx="4354">
                  <c:v>5.6698676921705889E-2</c:v>
                </c:pt>
                <c:pt idx="4355">
                  <c:v>5.6698676921705889E-2</c:v>
                </c:pt>
                <c:pt idx="4356">
                  <c:v>5.6698676921705889E-2</c:v>
                </c:pt>
                <c:pt idx="4357">
                  <c:v>5.6698676921705889E-2</c:v>
                </c:pt>
                <c:pt idx="4358">
                  <c:v>5.6698676921705889E-2</c:v>
                </c:pt>
                <c:pt idx="4359">
                  <c:v>5.6698676921705889E-2</c:v>
                </c:pt>
                <c:pt idx="4360">
                  <c:v>5.6698676921705889E-2</c:v>
                </c:pt>
                <c:pt idx="4361">
                  <c:v>5.6698676921705889E-2</c:v>
                </c:pt>
                <c:pt idx="4362">
                  <c:v>5.6698676921705889E-2</c:v>
                </c:pt>
                <c:pt idx="4363">
                  <c:v>5.6698676921705889E-2</c:v>
                </c:pt>
                <c:pt idx="4364">
                  <c:v>5.6698676921705889E-2</c:v>
                </c:pt>
                <c:pt idx="4365">
                  <c:v>5.6698676921705889E-2</c:v>
                </c:pt>
                <c:pt idx="4366">
                  <c:v>5.6698676921705889E-2</c:v>
                </c:pt>
                <c:pt idx="4367">
                  <c:v>5.6698676921705889E-2</c:v>
                </c:pt>
                <c:pt idx="4368">
                  <c:v>5.6698676921705889E-2</c:v>
                </c:pt>
                <c:pt idx="4369">
                  <c:v>5.6698676921705889E-2</c:v>
                </c:pt>
                <c:pt idx="4370">
                  <c:v>5.6698676921705889E-2</c:v>
                </c:pt>
                <c:pt idx="4371">
                  <c:v>5.6698676921705889E-2</c:v>
                </c:pt>
                <c:pt idx="4372">
                  <c:v>5.6698676921705889E-2</c:v>
                </c:pt>
                <c:pt idx="4373">
                  <c:v>5.6698676921705889E-2</c:v>
                </c:pt>
                <c:pt idx="4374">
                  <c:v>5.6698676921705889E-2</c:v>
                </c:pt>
                <c:pt idx="4375">
                  <c:v>5.6698676921705889E-2</c:v>
                </c:pt>
                <c:pt idx="4376">
                  <c:v>5.6698676921705889E-2</c:v>
                </c:pt>
                <c:pt idx="4377">
                  <c:v>5.6698676921705889E-2</c:v>
                </c:pt>
                <c:pt idx="4378">
                  <c:v>5.6698676921705889E-2</c:v>
                </c:pt>
                <c:pt idx="4379">
                  <c:v>5.6698676921705889E-2</c:v>
                </c:pt>
                <c:pt idx="4380">
                  <c:v>5.6698676921705889E-2</c:v>
                </c:pt>
                <c:pt idx="4381">
                  <c:v>5.6698676921705889E-2</c:v>
                </c:pt>
                <c:pt idx="4382">
                  <c:v>5.6698676921705889E-2</c:v>
                </c:pt>
                <c:pt idx="4383">
                  <c:v>5.6698676921705889E-2</c:v>
                </c:pt>
                <c:pt idx="4384">
                  <c:v>5.6698676921705889E-2</c:v>
                </c:pt>
                <c:pt idx="4385">
                  <c:v>5.6698676921705889E-2</c:v>
                </c:pt>
                <c:pt idx="4386">
                  <c:v>5.6698676921705889E-2</c:v>
                </c:pt>
                <c:pt idx="4387">
                  <c:v>5.6698676921705889E-2</c:v>
                </c:pt>
                <c:pt idx="4388">
                  <c:v>5.6698676921705889E-2</c:v>
                </c:pt>
                <c:pt idx="4389">
                  <c:v>5.6698676921705889E-2</c:v>
                </c:pt>
                <c:pt idx="4390">
                  <c:v>5.6698676921705889E-2</c:v>
                </c:pt>
                <c:pt idx="4391">
                  <c:v>5.6698676921705889E-2</c:v>
                </c:pt>
                <c:pt idx="4392">
                  <c:v>5.6698676921705889E-2</c:v>
                </c:pt>
                <c:pt idx="4393">
                  <c:v>5.6698676921705889E-2</c:v>
                </c:pt>
                <c:pt idx="4394">
                  <c:v>5.6698676921705889E-2</c:v>
                </c:pt>
                <c:pt idx="4395">
                  <c:v>5.6698676921705889E-2</c:v>
                </c:pt>
                <c:pt idx="4396">
                  <c:v>5.6698676921705889E-2</c:v>
                </c:pt>
                <c:pt idx="4397">
                  <c:v>5.6698676921705889E-2</c:v>
                </c:pt>
                <c:pt idx="4398">
                  <c:v>5.6698676921705889E-2</c:v>
                </c:pt>
                <c:pt idx="4399">
                  <c:v>5.6698676921705889E-2</c:v>
                </c:pt>
                <c:pt idx="4400">
                  <c:v>5.6698676921705889E-2</c:v>
                </c:pt>
                <c:pt idx="4401">
                  <c:v>5.6698676921705889E-2</c:v>
                </c:pt>
                <c:pt idx="4402">
                  <c:v>5.6698676921705889E-2</c:v>
                </c:pt>
                <c:pt idx="4403">
                  <c:v>5.6698676921705889E-2</c:v>
                </c:pt>
                <c:pt idx="4404">
                  <c:v>5.6698676921705889E-2</c:v>
                </c:pt>
                <c:pt idx="4405">
                  <c:v>5.6698676921705889E-2</c:v>
                </c:pt>
                <c:pt idx="4406">
                  <c:v>5.6698676921705889E-2</c:v>
                </c:pt>
                <c:pt idx="4407">
                  <c:v>5.6698676921705889E-2</c:v>
                </c:pt>
                <c:pt idx="4408">
                  <c:v>5.6698676921705889E-2</c:v>
                </c:pt>
                <c:pt idx="4409">
                  <c:v>5.6698676921705889E-2</c:v>
                </c:pt>
                <c:pt idx="4410">
                  <c:v>5.6698676921705889E-2</c:v>
                </c:pt>
                <c:pt idx="4411">
                  <c:v>5.6698676921705889E-2</c:v>
                </c:pt>
                <c:pt idx="4412">
                  <c:v>5.6698676921705889E-2</c:v>
                </c:pt>
                <c:pt idx="4413">
                  <c:v>5.6698676921705889E-2</c:v>
                </c:pt>
                <c:pt idx="4414">
                  <c:v>5.6698676921705889E-2</c:v>
                </c:pt>
                <c:pt idx="4415">
                  <c:v>5.6698676921705889E-2</c:v>
                </c:pt>
                <c:pt idx="4416">
                  <c:v>5.6698676921705889E-2</c:v>
                </c:pt>
                <c:pt idx="4417">
                  <c:v>5.6698676921705889E-2</c:v>
                </c:pt>
                <c:pt idx="4418">
                  <c:v>5.6698676921705889E-2</c:v>
                </c:pt>
                <c:pt idx="4419">
                  <c:v>5.6698676921705889E-2</c:v>
                </c:pt>
                <c:pt idx="4420">
                  <c:v>5.6698676921705889E-2</c:v>
                </c:pt>
                <c:pt idx="4421">
                  <c:v>5.6698676921705889E-2</c:v>
                </c:pt>
                <c:pt idx="4422">
                  <c:v>5.6698676921705889E-2</c:v>
                </c:pt>
                <c:pt idx="4423">
                  <c:v>5.6698676921705889E-2</c:v>
                </c:pt>
                <c:pt idx="4424">
                  <c:v>5.6698676921705889E-2</c:v>
                </c:pt>
                <c:pt idx="4425">
                  <c:v>5.6698676921705889E-2</c:v>
                </c:pt>
                <c:pt idx="4426">
                  <c:v>5.6698676921705889E-2</c:v>
                </c:pt>
                <c:pt idx="4427">
                  <c:v>5.6698676921705889E-2</c:v>
                </c:pt>
                <c:pt idx="4428">
                  <c:v>5.6698676921705889E-2</c:v>
                </c:pt>
                <c:pt idx="4429">
                  <c:v>5.6698676921705889E-2</c:v>
                </c:pt>
                <c:pt idx="4430">
                  <c:v>5.6698676921705889E-2</c:v>
                </c:pt>
                <c:pt idx="4431">
                  <c:v>5.6698676921705889E-2</c:v>
                </c:pt>
                <c:pt idx="4432">
                  <c:v>5.6698676921705889E-2</c:v>
                </c:pt>
                <c:pt idx="4433">
                  <c:v>5.6698676921705889E-2</c:v>
                </c:pt>
                <c:pt idx="4434">
                  <c:v>5.6698676921705889E-2</c:v>
                </c:pt>
                <c:pt idx="4435">
                  <c:v>5.6698676921705889E-2</c:v>
                </c:pt>
                <c:pt idx="4436">
                  <c:v>5.6698676921705889E-2</c:v>
                </c:pt>
                <c:pt idx="4437">
                  <c:v>5.6698676921705889E-2</c:v>
                </c:pt>
                <c:pt idx="4438">
                  <c:v>5.6698676921705889E-2</c:v>
                </c:pt>
                <c:pt idx="4439">
                  <c:v>5.6698676921705889E-2</c:v>
                </c:pt>
                <c:pt idx="4440">
                  <c:v>5.6698676921705889E-2</c:v>
                </c:pt>
                <c:pt idx="4441">
                  <c:v>5.6698676921705889E-2</c:v>
                </c:pt>
                <c:pt idx="4442">
                  <c:v>5.6698676921705889E-2</c:v>
                </c:pt>
                <c:pt idx="4443">
                  <c:v>5.6698676921705889E-2</c:v>
                </c:pt>
                <c:pt idx="4444">
                  <c:v>5.6698676921705889E-2</c:v>
                </c:pt>
                <c:pt idx="4445">
                  <c:v>5.6698676921705889E-2</c:v>
                </c:pt>
                <c:pt idx="4446">
                  <c:v>5.6698676921705889E-2</c:v>
                </c:pt>
                <c:pt idx="4447">
                  <c:v>5.6698676921705889E-2</c:v>
                </c:pt>
                <c:pt idx="4448">
                  <c:v>5.6698676921705889E-2</c:v>
                </c:pt>
                <c:pt idx="4449">
                  <c:v>5.6698676921705889E-2</c:v>
                </c:pt>
                <c:pt idx="4450">
                  <c:v>5.6698676921705889E-2</c:v>
                </c:pt>
                <c:pt idx="4451">
                  <c:v>5.6698676921705889E-2</c:v>
                </c:pt>
                <c:pt idx="4452">
                  <c:v>5.6698676921705889E-2</c:v>
                </c:pt>
                <c:pt idx="4453">
                  <c:v>5.6698676921705889E-2</c:v>
                </c:pt>
                <c:pt idx="4454">
                  <c:v>5.6698676921705889E-2</c:v>
                </c:pt>
                <c:pt idx="4455">
                  <c:v>5.6698676921705889E-2</c:v>
                </c:pt>
                <c:pt idx="4456">
                  <c:v>5.6698676921705889E-2</c:v>
                </c:pt>
                <c:pt idx="4457">
                  <c:v>5.6698676921705889E-2</c:v>
                </c:pt>
                <c:pt idx="4458">
                  <c:v>5.6698676921705889E-2</c:v>
                </c:pt>
                <c:pt idx="4459">
                  <c:v>5.6698676921705889E-2</c:v>
                </c:pt>
                <c:pt idx="4460">
                  <c:v>5.6698676921705889E-2</c:v>
                </c:pt>
                <c:pt idx="4461">
                  <c:v>5.6698676921705889E-2</c:v>
                </c:pt>
                <c:pt idx="4462">
                  <c:v>5.6698676921705889E-2</c:v>
                </c:pt>
                <c:pt idx="4463">
                  <c:v>5.6698676921705889E-2</c:v>
                </c:pt>
                <c:pt idx="4464">
                  <c:v>5.6698676921705889E-2</c:v>
                </c:pt>
                <c:pt idx="4465">
                  <c:v>5.6698676921705889E-2</c:v>
                </c:pt>
                <c:pt idx="4466">
                  <c:v>5.6698676921705889E-2</c:v>
                </c:pt>
                <c:pt idx="4467">
                  <c:v>5.6698676921705889E-2</c:v>
                </c:pt>
                <c:pt idx="4468">
                  <c:v>5.6698676921705889E-2</c:v>
                </c:pt>
                <c:pt idx="4469">
                  <c:v>5.6698676921705889E-2</c:v>
                </c:pt>
                <c:pt idx="4470">
                  <c:v>5.6698676921705889E-2</c:v>
                </c:pt>
                <c:pt idx="4471">
                  <c:v>5.6698676921705889E-2</c:v>
                </c:pt>
                <c:pt idx="4472">
                  <c:v>5.6698676921705889E-2</c:v>
                </c:pt>
                <c:pt idx="4473">
                  <c:v>5.6698676921705889E-2</c:v>
                </c:pt>
                <c:pt idx="4474">
                  <c:v>5.6698676921705889E-2</c:v>
                </c:pt>
                <c:pt idx="4475">
                  <c:v>5.6698676921705889E-2</c:v>
                </c:pt>
                <c:pt idx="4476">
                  <c:v>5.6698676921705889E-2</c:v>
                </c:pt>
                <c:pt idx="4477">
                  <c:v>5.6698676921705889E-2</c:v>
                </c:pt>
                <c:pt idx="4478">
                  <c:v>5.6698676921705889E-2</c:v>
                </c:pt>
                <c:pt idx="4479">
                  <c:v>5.6698676921705889E-2</c:v>
                </c:pt>
                <c:pt idx="4480">
                  <c:v>5.6698676921705889E-2</c:v>
                </c:pt>
                <c:pt idx="4481">
                  <c:v>5.6698676921705889E-2</c:v>
                </c:pt>
                <c:pt idx="4482">
                  <c:v>5.6698676921705889E-2</c:v>
                </c:pt>
                <c:pt idx="4483">
                  <c:v>5.6698676921705889E-2</c:v>
                </c:pt>
                <c:pt idx="4484">
                  <c:v>5.6698676921705889E-2</c:v>
                </c:pt>
                <c:pt idx="4485">
                  <c:v>5.6698676921705889E-2</c:v>
                </c:pt>
                <c:pt idx="4486">
                  <c:v>5.6698676921705889E-2</c:v>
                </c:pt>
                <c:pt idx="4487">
                  <c:v>5.6698676921705889E-2</c:v>
                </c:pt>
                <c:pt idx="4488">
                  <c:v>5.6698676921705889E-2</c:v>
                </c:pt>
                <c:pt idx="4489">
                  <c:v>5.6698676921705889E-2</c:v>
                </c:pt>
                <c:pt idx="4490">
                  <c:v>5.6698676921705889E-2</c:v>
                </c:pt>
                <c:pt idx="4491">
                  <c:v>5.6698676921705889E-2</c:v>
                </c:pt>
                <c:pt idx="4492">
                  <c:v>5.6698676921705889E-2</c:v>
                </c:pt>
                <c:pt idx="4493">
                  <c:v>5.6698676921705889E-2</c:v>
                </c:pt>
                <c:pt idx="4494">
                  <c:v>5.6698676921705889E-2</c:v>
                </c:pt>
                <c:pt idx="4495">
                  <c:v>5.6698676921705889E-2</c:v>
                </c:pt>
                <c:pt idx="4496">
                  <c:v>5.6698676921705889E-2</c:v>
                </c:pt>
                <c:pt idx="4497">
                  <c:v>5.6698676921705889E-2</c:v>
                </c:pt>
                <c:pt idx="4498">
                  <c:v>5.6698676921705889E-2</c:v>
                </c:pt>
                <c:pt idx="4499">
                  <c:v>5.6698676921705889E-2</c:v>
                </c:pt>
                <c:pt idx="4500">
                  <c:v>5.6698676921705889E-2</c:v>
                </c:pt>
                <c:pt idx="4501">
                  <c:v>5.6698676921705889E-2</c:v>
                </c:pt>
                <c:pt idx="4502">
                  <c:v>5.6698676921705889E-2</c:v>
                </c:pt>
                <c:pt idx="4503">
                  <c:v>5.6698676921705889E-2</c:v>
                </c:pt>
                <c:pt idx="4504">
                  <c:v>5.6698676921705889E-2</c:v>
                </c:pt>
                <c:pt idx="4505">
                  <c:v>5.6698676921705889E-2</c:v>
                </c:pt>
                <c:pt idx="4506">
                  <c:v>5.6698676921705889E-2</c:v>
                </c:pt>
                <c:pt idx="4507">
                  <c:v>5.6698676921705889E-2</c:v>
                </c:pt>
                <c:pt idx="4508">
                  <c:v>5.6698676921705889E-2</c:v>
                </c:pt>
                <c:pt idx="4509">
                  <c:v>5.6698676921705889E-2</c:v>
                </c:pt>
                <c:pt idx="4510">
                  <c:v>5.6698676921705889E-2</c:v>
                </c:pt>
                <c:pt idx="4511">
                  <c:v>5.6698676921705889E-2</c:v>
                </c:pt>
                <c:pt idx="4512">
                  <c:v>5.6698676921705889E-2</c:v>
                </c:pt>
                <c:pt idx="4513">
                  <c:v>5.6698676921705889E-2</c:v>
                </c:pt>
                <c:pt idx="4514">
                  <c:v>5.6698676921705889E-2</c:v>
                </c:pt>
                <c:pt idx="4515">
                  <c:v>5.6698676921705889E-2</c:v>
                </c:pt>
                <c:pt idx="4516">
                  <c:v>5.6698676921705889E-2</c:v>
                </c:pt>
                <c:pt idx="4517">
                  <c:v>5.6698676921705889E-2</c:v>
                </c:pt>
                <c:pt idx="4518">
                  <c:v>5.6698676921705889E-2</c:v>
                </c:pt>
                <c:pt idx="4519">
                  <c:v>5.6698676921705889E-2</c:v>
                </c:pt>
                <c:pt idx="4520">
                  <c:v>5.6698676921705889E-2</c:v>
                </c:pt>
                <c:pt idx="4521">
                  <c:v>5.6698676921705889E-2</c:v>
                </c:pt>
                <c:pt idx="4522">
                  <c:v>5.6698676921705889E-2</c:v>
                </c:pt>
                <c:pt idx="4523">
                  <c:v>5.6698676921705889E-2</c:v>
                </c:pt>
                <c:pt idx="4524">
                  <c:v>5.6698676921705889E-2</c:v>
                </c:pt>
                <c:pt idx="4525">
                  <c:v>5.6698676921705889E-2</c:v>
                </c:pt>
                <c:pt idx="4526">
                  <c:v>5.6698676921705889E-2</c:v>
                </c:pt>
                <c:pt idx="4527">
                  <c:v>5.6698676921705889E-2</c:v>
                </c:pt>
                <c:pt idx="4528">
                  <c:v>5.6698676921705889E-2</c:v>
                </c:pt>
                <c:pt idx="4529">
                  <c:v>5.6698676921705889E-2</c:v>
                </c:pt>
                <c:pt idx="4530">
                  <c:v>5.6698676921705889E-2</c:v>
                </c:pt>
                <c:pt idx="4531">
                  <c:v>5.6698676921705889E-2</c:v>
                </c:pt>
                <c:pt idx="4532">
                  <c:v>5.6698676921705889E-2</c:v>
                </c:pt>
                <c:pt idx="4533">
                  <c:v>5.6698676921705889E-2</c:v>
                </c:pt>
                <c:pt idx="4534">
                  <c:v>5.6698676921705889E-2</c:v>
                </c:pt>
                <c:pt idx="4535">
                  <c:v>5.6698676921705889E-2</c:v>
                </c:pt>
                <c:pt idx="4536">
                  <c:v>5.6698676921705889E-2</c:v>
                </c:pt>
                <c:pt idx="4537">
                  <c:v>5.6698676921705889E-2</c:v>
                </c:pt>
                <c:pt idx="4538">
                  <c:v>5.6698676921705889E-2</c:v>
                </c:pt>
                <c:pt idx="4539">
                  <c:v>5.6698676921705889E-2</c:v>
                </c:pt>
                <c:pt idx="4540">
                  <c:v>5.6698676921705889E-2</c:v>
                </c:pt>
                <c:pt idx="4541">
                  <c:v>5.6111083198493512E-2</c:v>
                </c:pt>
                <c:pt idx="4542">
                  <c:v>5.6111083198493512E-2</c:v>
                </c:pt>
                <c:pt idx="4543">
                  <c:v>5.6111083198493512E-2</c:v>
                </c:pt>
                <c:pt idx="4544">
                  <c:v>5.6111083198493512E-2</c:v>
                </c:pt>
                <c:pt idx="4545">
                  <c:v>5.6111083198493512E-2</c:v>
                </c:pt>
                <c:pt idx="4546">
                  <c:v>5.6111083198493512E-2</c:v>
                </c:pt>
                <c:pt idx="4547">
                  <c:v>5.6111083198493512E-2</c:v>
                </c:pt>
                <c:pt idx="4548">
                  <c:v>5.6111083198493512E-2</c:v>
                </c:pt>
                <c:pt idx="4549">
                  <c:v>5.6111083198493512E-2</c:v>
                </c:pt>
                <c:pt idx="4550">
                  <c:v>5.6111083198493512E-2</c:v>
                </c:pt>
                <c:pt idx="4551">
                  <c:v>5.6111083198493512E-2</c:v>
                </c:pt>
                <c:pt idx="4552">
                  <c:v>5.6111083198493512E-2</c:v>
                </c:pt>
                <c:pt idx="4553">
                  <c:v>5.6111083198493512E-2</c:v>
                </c:pt>
                <c:pt idx="4554">
                  <c:v>5.6111083198493512E-2</c:v>
                </c:pt>
                <c:pt idx="4555">
                  <c:v>5.6111083198493512E-2</c:v>
                </c:pt>
                <c:pt idx="4556">
                  <c:v>5.6111083198493512E-2</c:v>
                </c:pt>
                <c:pt idx="4557">
                  <c:v>5.6111083198493512E-2</c:v>
                </c:pt>
                <c:pt idx="4558">
                  <c:v>5.6111083198493512E-2</c:v>
                </c:pt>
                <c:pt idx="4559">
                  <c:v>5.6111083198493512E-2</c:v>
                </c:pt>
                <c:pt idx="4560">
                  <c:v>5.6111083198493512E-2</c:v>
                </c:pt>
                <c:pt idx="4561">
                  <c:v>5.6111083198493512E-2</c:v>
                </c:pt>
                <c:pt idx="4562">
                  <c:v>5.6111083198493512E-2</c:v>
                </c:pt>
                <c:pt idx="4563">
                  <c:v>5.6111083198493512E-2</c:v>
                </c:pt>
                <c:pt idx="4564">
                  <c:v>5.6111083198493512E-2</c:v>
                </c:pt>
                <c:pt idx="4565">
                  <c:v>5.6111083198493512E-2</c:v>
                </c:pt>
                <c:pt idx="4566">
                  <c:v>5.6111083198493512E-2</c:v>
                </c:pt>
                <c:pt idx="4567">
                  <c:v>5.6111083198493512E-2</c:v>
                </c:pt>
                <c:pt idx="4568">
                  <c:v>5.6111083198493512E-2</c:v>
                </c:pt>
                <c:pt idx="4569">
                  <c:v>5.6111083198493512E-2</c:v>
                </c:pt>
                <c:pt idx="4570">
                  <c:v>5.6111083198493512E-2</c:v>
                </c:pt>
                <c:pt idx="4571">
                  <c:v>5.6111083198493512E-2</c:v>
                </c:pt>
                <c:pt idx="4572">
                  <c:v>5.6111083198493512E-2</c:v>
                </c:pt>
                <c:pt idx="4573">
                  <c:v>5.6111083198493512E-2</c:v>
                </c:pt>
                <c:pt idx="4574">
                  <c:v>5.6111083198493512E-2</c:v>
                </c:pt>
                <c:pt idx="4575">
                  <c:v>5.6111083198493512E-2</c:v>
                </c:pt>
                <c:pt idx="4576">
                  <c:v>5.6111083198493512E-2</c:v>
                </c:pt>
                <c:pt idx="4577">
                  <c:v>5.6111083198493512E-2</c:v>
                </c:pt>
                <c:pt idx="4578">
                  <c:v>5.6111083198493512E-2</c:v>
                </c:pt>
                <c:pt idx="4579">
                  <c:v>5.6111083198493512E-2</c:v>
                </c:pt>
                <c:pt idx="4580">
                  <c:v>5.6111083198493512E-2</c:v>
                </c:pt>
                <c:pt idx="4581">
                  <c:v>5.6111083198493512E-2</c:v>
                </c:pt>
                <c:pt idx="4582">
                  <c:v>5.6111083198493512E-2</c:v>
                </c:pt>
                <c:pt idx="4583">
                  <c:v>5.6111083198493512E-2</c:v>
                </c:pt>
                <c:pt idx="4584">
                  <c:v>5.6111083198493512E-2</c:v>
                </c:pt>
                <c:pt idx="4585">
                  <c:v>5.6111083198493512E-2</c:v>
                </c:pt>
                <c:pt idx="4586">
                  <c:v>5.6111083198493512E-2</c:v>
                </c:pt>
                <c:pt idx="4587">
                  <c:v>5.6111083198493512E-2</c:v>
                </c:pt>
                <c:pt idx="4588">
                  <c:v>5.6111083198493512E-2</c:v>
                </c:pt>
                <c:pt idx="4589">
                  <c:v>5.6111083198493512E-2</c:v>
                </c:pt>
                <c:pt idx="4590">
                  <c:v>5.6111083198493512E-2</c:v>
                </c:pt>
                <c:pt idx="4591">
                  <c:v>5.6111083198493512E-2</c:v>
                </c:pt>
                <c:pt idx="4592">
                  <c:v>5.6111083198493512E-2</c:v>
                </c:pt>
                <c:pt idx="4593">
                  <c:v>5.6111083198493512E-2</c:v>
                </c:pt>
                <c:pt idx="4594">
                  <c:v>5.6111083198493512E-2</c:v>
                </c:pt>
                <c:pt idx="4595">
                  <c:v>5.6111083198493512E-2</c:v>
                </c:pt>
                <c:pt idx="4596">
                  <c:v>5.6111083198493512E-2</c:v>
                </c:pt>
                <c:pt idx="4597">
                  <c:v>5.6111083198493512E-2</c:v>
                </c:pt>
                <c:pt idx="4598">
                  <c:v>5.6111083198493512E-2</c:v>
                </c:pt>
                <c:pt idx="4599">
                  <c:v>5.6111083198493512E-2</c:v>
                </c:pt>
                <c:pt idx="4600">
                  <c:v>5.6111083198493512E-2</c:v>
                </c:pt>
                <c:pt idx="4601">
                  <c:v>5.6111083198493512E-2</c:v>
                </c:pt>
                <c:pt idx="4602">
                  <c:v>5.6111083198493512E-2</c:v>
                </c:pt>
                <c:pt idx="4603">
                  <c:v>5.6111083198493512E-2</c:v>
                </c:pt>
                <c:pt idx="4604">
                  <c:v>5.6111083198493512E-2</c:v>
                </c:pt>
                <c:pt idx="4605">
                  <c:v>5.6111083198493512E-2</c:v>
                </c:pt>
                <c:pt idx="4606">
                  <c:v>5.6111083198493512E-2</c:v>
                </c:pt>
                <c:pt idx="4607">
                  <c:v>5.6111083198493512E-2</c:v>
                </c:pt>
                <c:pt idx="4608">
                  <c:v>5.6111083198493512E-2</c:v>
                </c:pt>
                <c:pt idx="4609">
                  <c:v>5.6111083198493512E-2</c:v>
                </c:pt>
                <c:pt idx="4610">
                  <c:v>5.6111083198493512E-2</c:v>
                </c:pt>
                <c:pt idx="4611">
                  <c:v>5.6111083198493512E-2</c:v>
                </c:pt>
                <c:pt idx="4612">
                  <c:v>5.6111083198493512E-2</c:v>
                </c:pt>
                <c:pt idx="4613">
                  <c:v>5.6111083198493512E-2</c:v>
                </c:pt>
                <c:pt idx="4614">
                  <c:v>5.6111083198493512E-2</c:v>
                </c:pt>
                <c:pt idx="4615">
                  <c:v>5.6111083198493512E-2</c:v>
                </c:pt>
                <c:pt idx="4616">
                  <c:v>5.6111083198493512E-2</c:v>
                </c:pt>
                <c:pt idx="4617">
                  <c:v>5.6111083198493512E-2</c:v>
                </c:pt>
                <c:pt idx="4618">
                  <c:v>5.6111083198493512E-2</c:v>
                </c:pt>
                <c:pt idx="4619">
                  <c:v>5.6111083198493512E-2</c:v>
                </c:pt>
                <c:pt idx="4620">
                  <c:v>5.6111083198493512E-2</c:v>
                </c:pt>
                <c:pt idx="4621">
                  <c:v>5.6111083198493512E-2</c:v>
                </c:pt>
                <c:pt idx="4622">
                  <c:v>5.6111083198493512E-2</c:v>
                </c:pt>
                <c:pt idx="4623">
                  <c:v>5.6111083198493512E-2</c:v>
                </c:pt>
                <c:pt idx="4624">
                  <c:v>5.6111083198493512E-2</c:v>
                </c:pt>
                <c:pt idx="4625">
                  <c:v>5.6111083198493512E-2</c:v>
                </c:pt>
                <c:pt idx="4626">
                  <c:v>5.6111083198493512E-2</c:v>
                </c:pt>
                <c:pt idx="4627">
                  <c:v>5.6111083198493512E-2</c:v>
                </c:pt>
                <c:pt idx="4628">
                  <c:v>5.6111083198493512E-2</c:v>
                </c:pt>
                <c:pt idx="4629">
                  <c:v>5.6111083198493512E-2</c:v>
                </c:pt>
                <c:pt idx="4630">
                  <c:v>5.6111083198493512E-2</c:v>
                </c:pt>
                <c:pt idx="4631">
                  <c:v>5.6111083198493512E-2</c:v>
                </c:pt>
                <c:pt idx="4632">
                  <c:v>5.6111083198493512E-2</c:v>
                </c:pt>
                <c:pt idx="4633">
                  <c:v>5.6111083198493512E-2</c:v>
                </c:pt>
                <c:pt idx="4634">
                  <c:v>5.6111083198493512E-2</c:v>
                </c:pt>
                <c:pt idx="4635">
                  <c:v>5.6111083198493512E-2</c:v>
                </c:pt>
                <c:pt idx="4636">
                  <c:v>5.6111083198493512E-2</c:v>
                </c:pt>
                <c:pt idx="4637">
                  <c:v>5.6111083198493512E-2</c:v>
                </c:pt>
                <c:pt idx="4638">
                  <c:v>5.6111083198493512E-2</c:v>
                </c:pt>
                <c:pt idx="4639">
                  <c:v>5.6111083198493512E-2</c:v>
                </c:pt>
                <c:pt idx="4640">
                  <c:v>5.6111083198493512E-2</c:v>
                </c:pt>
                <c:pt idx="4641">
                  <c:v>5.6111083198493512E-2</c:v>
                </c:pt>
                <c:pt idx="4642">
                  <c:v>5.6111083198493512E-2</c:v>
                </c:pt>
                <c:pt idx="4643">
                  <c:v>5.6111083198493512E-2</c:v>
                </c:pt>
                <c:pt idx="4644">
                  <c:v>5.6111083198493512E-2</c:v>
                </c:pt>
                <c:pt idx="4645">
                  <c:v>5.6111083198493512E-2</c:v>
                </c:pt>
                <c:pt idx="4646">
                  <c:v>5.6111083198493512E-2</c:v>
                </c:pt>
                <c:pt idx="4647">
                  <c:v>5.6111083198493512E-2</c:v>
                </c:pt>
                <c:pt idx="4648">
                  <c:v>5.6111083198493512E-2</c:v>
                </c:pt>
                <c:pt idx="4649">
                  <c:v>5.6111083198493512E-2</c:v>
                </c:pt>
                <c:pt idx="4650">
                  <c:v>5.6111083198493512E-2</c:v>
                </c:pt>
                <c:pt idx="4651">
                  <c:v>5.6111083198493512E-2</c:v>
                </c:pt>
                <c:pt idx="4652">
                  <c:v>5.6111083198493512E-2</c:v>
                </c:pt>
                <c:pt idx="4653">
                  <c:v>5.6111083198493512E-2</c:v>
                </c:pt>
                <c:pt idx="4654">
                  <c:v>5.6111083198493512E-2</c:v>
                </c:pt>
                <c:pt idx="4655">
                  <c:v>5.6111083198493512E-2</c:v>
                </c:pt>
                <c:pt idx="4656">
                  <c:v>5.6111083198493512E-2</c:v>
                </c:pt>
                <c:pt idx="4657">
                  <c:v>5.6111083198493512E-2</c:v>
                </c:pt>
                <c:pt idx="4658">
                  <c:v>5.6111083198493512E-2</c:v>
                </c:pt>
                <c:pt idx="4659">
                  <c:v>5.6111083198493512E-2</c:v>
                </c:pt>
                <c:pt idx="4660">
                  <c:v>5.6111083198493512E-2</c:v>
                </c:pt>
                <c:pt idx="4661">
                  <c:v>5.6111083198493512E-2</c:v>
                </c:pt>
                <c:pt idx="4662">
                  <c:v>5.6111083198493512E-2</c:v>
                </c:pt>
                <c:pt idx="4663">
                  <c:v>5.6111083198493512E-2</c:v>
                </c:pt>
                <c:pt idx="4664">
                  <c:v>5.6111083198493512E-2</c:v>
                </c:pt>
                <c:pt idx="4665">
                  <c:v>5.6111083198493512E-2</c:v>
                </c:pt>
                <c:pt idx="4666">
                  <c:v>5.6111083198493512E-2</c:v>
                </c:pt>
                <c:pt idx="4667">
                  <c:v>5.6111083198493512E-2</c:v>
                </c:pt>
                <c:pt idx="4668">
                  <c:v>5.6111083198493512E-2</c:v>
                </c:pt>
                <c:pt idx="4669">
                  <c:v>5.6111083198493512E-2</c:v>
                </c:pt>
                <c:pt idx="4670">
                  <c:v>5.6111083198493512E-2</c:v>
                </c:pt>
                <c:pt idx="4671">
                  <c:v>5.6111083198493512E-2</c:v>
                </c:pt>
                <c:pt idx="4672">
                  <c:v>5.6111083198493512E-2</c:v>
                </c:pt>
                <c:pt idx="4673">
                  <c:v>5.6111083198493512E-2</c:v>
                </c:pt>
                <c:pt idx="4674">
                  <c:v>5.6111083198493512E-2</c:v>
                </c:pt>
                <c:pt idx="4675">
                  <c:v>5.6111083198493512E-2</c:v>
                </c:pt>
                <c:pt idx="4676">
                  <c:v>5.6111083198493512E-2</c:v>
                </c:pt>
                <c:pt idx="4677">
                  <c:v>5.6111083198493512E-2</c:v>
                </c:pt>
                <c:pt idx="4678">
                  <c:v>5.6111083198493512E-2</c:v>
                </c:pt>
                <c:pt idx="4679">
                  <c:v>5.6111083198493512E-2</c:v>
                </c:pt>
                <c:pt idx="4680">
                  <c:v>5.6111083198493512E-2</c:v>
                </c:pt>
                <c:pt idx="4681">
                  <c:v>5.6111083198493512E-2</c:v>
                </c:pt>
                <c:pt idx="4682">
                  <c:v>5.6111083198493512E-2</c:v>
                </c:pt>
                <c:pt idx="4683">
                  <c:v>5.6111083198493512E-2</c:v>
                </c:pt>
                <c:pt idx="4684">
                  <c:v>5.6111083198493512E-2</c:v>
                </c:pt>
                <c:pt idx="4685">
                  <c:v>5.6111083198493512E-2</c:v>
                </c:pt>
                <c:pt idx="4686">
                  <c:v>5.6111083198493512E-2</c:v>
                </c:pt>
                <c:pt idx="4687">
                  <c:v>5.6111083198493512E-2</c:v>
                </c:pt>
                <c:pt idx="4688">
                  <c:v>5.6111083198493512E-2</c:v>
                </c:pt>
                <c:pt idx="4689">
                  <c:v>5.6111083198493512E-2</c:v>
                </c:pt>
                <c:pt idx="4690">
                  <c:v>5.6111083198493512E-2</c:v>
                </c:pt>
                <c:pt idx="4691">
                  <c:v>5.6111083198493512E-2</c:v>
                </c:pt>
                <c:pt idx="4692">
                  <c:v>5.6111083198493512E-2</c:v>
                </c:pt>
                <c:pt idx="4693">
                  <c:v>5.6111083198493512E-2</c:v>
                </c:pt>
                <c:pt idx="4694">
                  <c:v>5.6111083198493512E-2</c:v>
                </c:pt>
                <c:pt idx="4695">
                  <c:v>5.6111083198493512E-2</c:v>
                </c:pt>
                <c:pt idx="4696">
                  <c:v>5.6111083198493512E-2</c:v>
                </c:pt>
                <c:pt idx="4697">
                  <c:v>5.6111083198493512E-2</c:v>
                </c:pt>
                <c:pt idx="4698">
                  <c:v>5.6111083198493512E-2</c:v>
                </c:pt>
                <c:pt idx="4699">
                  <c:v>5.6111083198493512E-2</c:v>
                </c:pt>
                <c:pt idx="4700">
                  <c:v>5.6111083198493512E-2</c:v>
                </c:pt>
                <c:pt idx="4701">
                  <c:v>5.6111083198493512E-2</c:v>
                </c:pt>
                <c:pt idx="4702">
                  <c:v>5.6111083198493512E-2</c:v>
                </c:pt>
                <c:pt idx="4703">
                  <c:v>5.6111083198493512E-2</c:v>
                </c:pt>
                <c:pt idx="4704">
                  <c:v>5.6111083198493512E-2</c:v>
                </c:pt>
                <c:pt idx="4705">
                  <c:v>5.6111083198493512E-2</c:v>
                </c:pt>
                <c:pt idx="4706">
                  <c:v>5.6111083198493512E-2</c:v>
                </c:pt>
                <c:pt idx="4707">
                  <c:v>5.6111083198493512E-2</c:v>
                </c:pt>
                <c:pt idx="4708">
                  <c:v>5.6111083198493512E-2</c:v>
                </c:pt>
                <c:pt idx="4709">
                  <c:v>5.6111083198493512E-2</c:v>
                </c:pt>
                <c:pt idx="4710">
                  <c:v>5.6111083198493512E-2</c:v>
                </c:pt>
                <c:pt idx="4711">
                  <c:v>5.6111083198493512E-2</c:v>
                </c:pt>
                <c:pt idx="4712">
                  <c:v>5.6111083198493512E-2</c:v>
                </c:pt>
                <c:pt idx="4713">
                  <c:v>5.6111083198493512E-2</c:v>
                </c:pt>
                <c:pt idx="4714">
                  <c:v>5.6111083198493512E-2</c:v>
                </c:pt>
                <c:pt idx="4715">
                  <c:v>5.6111083198493512E-2</c:v>
                </c:pt>
                <c:pt idx="4716">
                  <c:v>5.6111083198493512E-2</c:v>
                </c:pt>
                <c:pt idx="4717">
                  <c:v>5.6111083198493512E-2</c:v>
                </c:pt>
                <c:pt idx="4718">
                  <c:v>5.6111083198493512E-2</c:v>
                </c:pt>
                <c:pt idx="4719">
                  <c:v>5.6111083198493512E-2</c:v>
                </c:pt>
                <c:pt idx="4720">
                  <c:v>5.6111083198493512E-2</c:v>
                </c:pt>
                <c:pt idx="4721">
                  <c:v>5.6111083198493512E-2</c:v>
                </c:pt>
                <c:pt idx="4722">
                  <c:v>5.6111083198493512E-2</c:v>
                </c:pt>
                <c:pt idx="4723">
                  <c:v>5.6111083198493512E-2</c:v>
                </c:pt>
                <c:pt idx="4724">
                  <c:v>5.6111083198493512E-2</c:v>
                </c:pt>
                <c:pt idx="4725">
                  <c:v>5.6111083198493512E-2</c:v>
                </c:pt>
                <c:pt idx="4726">
                  <c:v>5.6111083198493512E-2</c:v>
                </c:pt>
                <c:pt idx="4727">
                  <c:v>5.6111083198493512E-2</c:v>
                </c:pt>
                <c:pt idx="4728">
                  <c:v>5.6111083198493512E-2</c:v>
                </c:pt>
                <c:pt idx="4729">
                  <c:v>5.6111083198493512E-2</c:v>
                </c:pt>
                <c:pt idx="4730">
                  <c:v>5.6111083198493512E-2</c:v>
                </c:pt>
                <c:pt idx="4731">
                  <c:v>5.6111083198493512E-2</c:v>
                </c:pt>
                <c:pt idx="4732">
                  <c:v>5.6111083198493512E-2</c:v>
                </c:pt>
                <c:pt idx="4733">
                  <c:v>5.6111083198493512E-2</c:v>
                </c:pt>
                <c:pt idx="4734">
                  <c:v>5.6111083198493512E-2</c:v>
                </c:pt>
                <c:pt idx="4735">
                  <c:v>5.6111083198493512E-2</c:v>
                </c:pt>
                <c:pt idx="4736">
                  <c:v>5.6111083198493512E-2</c:v>
                </c:pt>
                <c:pt idx="4737">
                  <c:v>5.6111083198493512E-2</c:v>
                </c:pt>
                <c:pt idx="4738">
                  <c:v>5.6111083198493512E-2</c:v>
                </c:pt>
                <c:pt idx="4739">
                  <c:v>5.6111083198493512E-2</c:v>
                </c:pt>
                <c:pt idx="4740">
                  <c:v>5.6111083198493512E-2</c:v>
                </c:pt>
                <c:pt idx="4741">
                  <c:v>5.6111083198493512E-2</c:v>
                </c:pt>
                <c:pt idx="4742">
                  <c:v>5.6111083198493512E-2</c:v>
                </c:pt>
                <c:pt idx="4743">
                  <c:v>5.6111083198493512E-2</c:v>
                </c:pt>
                <c:pt idx="4744">
                  <c:v>5.6111083198493512E-2</c:v>
                </c:pt>
                <c:pt idx="4745">
                  <c:v>5.6111083198493512E-2</c:v>
                </c:pt>
                <c:pt idx="4746">
                  <c:v>5.6111083198493512E-2</c:v>
                </c:pt>
                <c:pt idx="4747">
                  <c:v>5.6111083198493512E-2</c:v>
                </c:pt>
                <c:pt idx="4748">
                  <c:v>5.6111083198493512E-2</c:v>
                </c:pt>
                <c:pt idx="4749">
                  <c:v>5.6111083198493512E-2</c:v>
                </c:pt>
                <c:pt idx="4750">
                  <c:v>5.6111083198493512E-2</c:v>
                </c:pt>
                <c:pt idx="4751">
                  <c:v>5.6111083198493512E-2</c:v>
                </c:pt>
                <c:pt idx="4752">
                  <c:v>5.6111083198493512E-2</c:v>
                </c:pt>
                <c:pt idx="4753">
                  <c:v>5.6111083198493512E-2</c:v>
                </c:pt>
                <c:pt idx="4754">
                  <c:v>5.6111083198493512E-2</c:v>
                </c:pt>
                <c:pt idx="4755">
                  <c:v>5.6111083198493512E-2</c:v>
                </c:pt>
                <c:pt idx="4756">
                  <c:v>5.6111083198493512E-2</c:v>
                </c:pt>
                <c:pt idx="4757">
                  <c:v>5.6111083198493512E-2</c:v>
                </c:pt>
                <c:pt idx="4758">
                  <c:v>5.6111083198493512E-2</c:v>
                </c:pt>
                <c:pt idx="4759">
                  <c:v>5.6111083198493512E-2</c:v>
                </c:pt>
                <c:pt idx="4760">
                  <c:v>5.6111083198493512E-2</c:v>
                </c:pt>
                <c:pt idx="4761">
                  <c:v>5.6111083198493512E-2</c:v>
                </c:pt>
                <c:pt idx="4762">
                  <c:v>5.6111083198493512E-2</c:v>
                </c:pt>
                <c:pt idx="4763">
                  <c:v>5.6111083198493512E-2</c:v>
                </c:pt>
                <c:pt idx="4764">
                  <c:v>5.6111083198493512E-2</c:v>
                </c:pt>
                <c:pt idx="4765">
                  <c:v>5.6111083198493512E-2</c:v>
                </c:pt>
                <c:pt idx="4766">
                  <c:v>5.6111083198493512E-2</c:v>
                </c:pt>
                <c:pt idx="4767">
                  <c:v>5.6111083198493512E-2</c:v>
                </c:pt>
                <c:pt idx="4768">
                  <c:v>5.6111083198493512E-2</c:v>
                </c:pt>
                <c:pt idx="4769">
                  <c:v>5.6111083198493512E-2</c:v>
                </c:pt>
                <c:pt idx="4770">
                  <c:v>5.6111083198493512E-2</c:v>
                </c:pt>
                <c:pt idx="4771">
                  <c:v>5.6111083198493512E-2</c:v>
                </c:pt>
                <c:pt idx="4772">
                  <c:v>5.6111083198493512E-2</c:v>
                </c:pt>
                <c:pt idx="4773">
                  <c:v>5.6111083198493512E-2</c:v>
                </c:pt>
                <c:pt idx="4774">
                  <c:v>5.6111083198493512E-2</c:v>
                </c:pt>
                <c:pt idx="4775">
                  <c:v>5.6111083198493512E-2</c:v>
                </c:pt>
                <c:pt idx="4776">
                  <c:v>5.6111083198493512E-2</c:v>
                </c:pt>
                <c:pt idx="4777">
                  <c:v>5.6111083198493512E-2</c:v>
                </c:pt>
                <c:pt idx="4778">
                  <c:v>5.6111083198493512E-2</c:v>
                </c:pt>
                <c:pt idx="4779">
                  <c:v>5.6111083198493512E-2</c:v>
                </c:pt>
                <c:pt idx="4780">
                  <c:v>5.6111083198493512E-2</c:v>
                </c:pt>
                <c:pt idx="4781">
                  <c:v>5.6111083198493512E-2</c:v>
                </c:pt>
                <c:pt idx="4782">
                  <c:v>5.6111083198493512E-2</c:v>
                </c:pt>
                <c:pt idx="4783">
                  <c:v>5.6111083198493512E-2</c:v>
                </c:pt>
                <c:pt idx="4784">
                  <c:v>5.6111083198493512E-2</c:v>
                </c:pt>
                <c:pt idx="4785">
                  <c:v>5.6111083198493512E-2</c:v>
                </c:pt>
                <c:pt idx="4786">
                  <c:v>5.6111083198493512E-2</c:v>
                </c:pt>
                <c:pt idx="4787">
                  <c:v>5.6111083198493512E-2</c:v>
                </c:pt>
                <c:pt idx="4788">
                  <c:v>5.6111083198493512E-2</c:v>
                </c:pt>
                <c:pt idx="4789">
                  <c:v>5.6111083198493512E-2</c:v>
                </c:pt>
                <c:pt idx="4790">
                  <c:v>5.6111083198493512E-2</c:v>
                </c:pt>
                <c:pt idx="4791">
                  <c:v>5.6111083198493512E-2</c:v>
                </c:pt>
                <c:pt idx="4792">
                  <c:v>5.6111083198493512E-2</c:v>
                </c:pt>
                <c:pt idx="4793">
                  <c:v>5.6111083198493512E-2</c:v>
                </c:pt>
                <c:pt idx="4794">
                  <c:v>5.6111083198493512E-2</c:v>
                </c:pt>
                <c:pt idx="4795">
                  <c:v>5.6111083198493512E-2</c:v>
                </c:pt>
                <c:pt idx="4796">
                  <c:v>5.6111083198493512E-2</c:v>
                </c:pt>
                <c:pt idx="4797">
                  <c:v>5.6111083198493512E-2</c:v>
                </c:pt>
                <c:pt idx="4798">
                  <c:v>5.6111083198493512E-2</c:v>
                </c:pt>
                <c:pt idx="4799">
                  <c:v>5.6111083198493512E-2</c:v>
                </c:pt>
                <c:pt idx="4800">
                  <c:v>5.6111083198493512E-2</c:v>
                </c:pt>
                <c:pt idx="4801">
                  <c:v>5.6111083198493512E-2</c:v>
                </c:pt>
                <c:pt idx="4802">
                  <c:v>5.6111083198493512E-2</c:v>
                </c:pt>
                <c:pt idx="4803">
                  <c:v>5.6111083198493512E-2</c:v>
                </c:pt>
                <c:pt idx="4804">
                  <c:v>5.6111083198493512E-2</c:v>
                </c:pt>
                <c:pt idx="4805">
                  <c:v>5.6111083198493512E-2</c:v>
                </c:pt>
                <c:pt idx="4806">
                  <c:v>5.6111083198493512E-2</c:v>
                </c:pt>
                <c:pt idx="4807">
                  <c:v>5.6111083198493512E-2</c:v>
                </c:pt>
                <c:pt idx="4808">
                  <c:v>5.6111083198493512E-2</c:v>
                </c:pt>
                <c:pt idx="4809">
                  <c:v>5.6111083198493512E-2</c:v>
                </c:pt>
                <c:pt idx="4810">
                  <c:v>5.6111083198493512E-2</c:v>
                </c:pt>
                <c:pt idx="4811">
                  <c:v>5.6111083198493512E-2</c:v>
                </c:pt>
                <c:pt idx="4812">
                  <c:v>5.6111083198493512E-2</c:v>
                </c:pt>
                <c:pt idx="4813">
                  <c:v>5.6111083198493512E-2</c:v>
                </c:pt>
                <c:pt idx="4814">
                  <c:v>5.6111083198493512E-2</c:v>
                </c:pt>
                <c:pt idx="4815">
                  <c:v>5.6111083198493512E-2</c:v>
                </c:pt>
                <c:pt idx="4816">
                  <c:v>5.6111083198493512E-2</c:v>
                </c:pt>
                <c:pt idx="4817">
                  <c:v>5.6111083198493512E-2</c:v>
                </c:pt>
                <c:pt idx="4818">
                  <c:v>5.6111083198493512E-2</c:v>
                </c:pt>
                <c:pt idx="4819">
                  <c:v>5.6111083198493512E-2</c:v>
                </c:pt>
                <c:pt idx="4820">
                  <c:v>5.6111083198493512E-2</c:v>
                </c:pt>
                <c:pt idx="4821">
                  <c:v>5.6111083198493512E-2</c:v>
                </c:pt>
                <c:pt idx="4822">
                  <c:v>5.6111083198493512E-2</c:v>
                </c:pt>
                <c:pt idx="4823">
                  <c:v>5.6111083198493512E-2</c:v>
                </c:pt>
                <c:pt idx="4824">
                  <c:v>5.6111083198493512E-2</c:v>
                </c:pt>
                <c:pt idx="4825">
                  <c:v>5.6111083198493512E-2</c:v>
                </c:pt>
                <c:pt idx="4826">
                  <c:v>5.6111083198493512E-2</c:v>
                </c:pt>
                <c:pt idx="4827">
                  <c:v>5.6111083198493512E-2</c:v>
                </c:pt>
                <c:pt idx="4828">
                  <c:v>5.6111083198493512E-2</c:v>
                </c:pt>
                <c:pt idx="4829">
                  <c:v>5.6111083198493512E-2</c:v>
                </c:pt>
                <c:pt idx="4830">
                  <c:v>5.6111083198493512E-2</c:v>
                </c:pt>
                <c:pt idx="4831">
                  <c:v>5.6111083198493512E-2</c:v>
                </c:pt>
                <c:pt idx="4832">
                  <c:v>5.6111083198493512E-2</c:v>
                </c:pt>
                <c:pt idx="4833">
                  <c:v>5.6111083198493512E-2</c:v>
                </c:pt>
                <c:pt idx="4834">
                  <c:v>5.6111083198493512E-2</c:v>
                </c:pt>
                <c:pt idx="4835">
                  <c:v>5.6111083198493512E-2</c:v>
                </c:pt>
                <c:pt idx="4836">
                  <c:v>5.6111083198493512E-2</c:v>
                </c:pt>
                <c:pt idx="4837">
                  <c:v>5.6111083198493512E-2</c:v>
                </c:pt>
                <c:pt idx="4838">
                  <c:v>5.6111083198493512E-2</c:v>
                </c:pt>
                <c:pt idx="4839">
                  <c:v>5.6111083198493512E-2</c:v>
                </c:pt>
                <c:pt idx="4840">
                  <c:v>5.6111083198493512E-2</c:v>
                </c:pt>
                <c:pt idx="4841">
                  <c:v>5.6111083198493512E-2</c:v>
                </c:pt>
                <c:pt idx="4842">
                  <c:v>5.6111083198493512E-2</c:v>
                </c:pt>
                <c:pt idx="4843">
                  <c:v>5.6111083198493512E-2</c:v>
                </c:pt>
                <c:pt idx="4844">
                  <c:v>5.6111083198493512E-2</c:v>
                </c:pt>
                <c:pt idx="4845">
                  <c:v>5.6111083198493512E-2</c:v>
                </c:pt>
                <c:pt idx="4846">
                  <c:v>5.6111083198493512E-2</c:v>
                </c:pt>
                <c:pt idx="4847">
                  <c:v>5.6111083198493512E-2</c:v>
                </c:pt>
                <c:pt idx="4848">
                  <c:v>5.6111083198493512E-2</c:v>
                </c:pt>
                <c:pt idx="4849">
                  <c:v>5.6111083198493512E-2</c:v>
                </c:pt>
                <c:pt idx="4850">
                  <c:v>5.6111083198493512E-2</c:v>
                </c:pt>
                <c:pt idx="4851">
                  <c:v>5.6111083198493512E-2</c:v>
                </c:pt>
                <c:pt idx="4852">
                  <c:v>5.6111083198493512E-2</c:v>
                </c:pt>
                <c:pt idx="4853">
                  <c:v>5.6111083198493512E-2</c:v>
                </c:pt>
                <c:pt idx="4854">
                  <c:v>5.6111083198493512E-2</c:v>
                </c:pt>
                <c:pt idx="4855">
                  <c:v>5.6111083198493512E-2</c:v>
                </c:pt>
                <c:pt idx="4856">
                  <c:v>5.6111083198493512E-2</c:v>
                </c:pt>
                <c:pt idx="4857">
                  <c:v>5.6111083198493512E-2</c:v>
                </c:pt>
                <c:pt idx="4858">
                  <c:v>5.6111083198493512E-2</c:v>
                </c:pt>
                <c:pt idx="4859">
                  <c:v>5.6111083198493512E-2</c:v>
                </c:pt>
                <c:pt idx="4860">
                  <c:v>5.6111083198493512E-2</c:v>
                </c:pt>
                <c:pt idx="4861">
                  <c:v>5.6111083198493512E-2</c:v>
                </c:pt>
                <c:pt idx="4862">
                  <c:v>5.6111083198493512E-2</c:v>
                </c:pt>
                <c:pt idx="4863">
                  <c:v>5.6111083198493512E-2</c:v>
                </c:pt>
                <c:pt idx="4864">
                  <c:v>5.6111083198493512E-2</c:v>
                </c:pt>
                <c:pt idx="4865">
                  <c:v>5.6111083198493512E-2</c:v>
                </c:pt>
                <c:pt idx="4866">
                  <c:v>5.6111083198493512E-2</c:v>
                </c:pt>
                <c:pt idx="4867">
                  <c:v>5.6111083198493512E-2</c:v>
                </c:pt>
                <c:pt idx="4868">
                  <c:v>5.6111083198493512E-2</c:v>
                </c:pt>
                <c:pt idx="4869">
                  <c:v>5.6111083198493512E-2</c:v>
                </c:pt>
                <c:pt idx="4870">
                  <c:v>5.6111083198493512E-2</c:v>
                </c:pt>
                <c:pt idx="4871">
                  <c:v>5.6111083198493512E-2</c:v>
                </c:pt>
                <c:pt idx="4872">
                  <c:v>5.6111083198493512E-2</c:v>
                </c:pt>
                <c:pt idx="4873">
                  <c:v>5.6111083198493512E-2</c:v>
                </c:pt>
                <c:pt idx="4874">
                  <c:v>5.6111083198493512E-2</c:v>
                </c:pt>
                <c:pt idx="4875">
                  <c:v>5.6111083198493512E-2</c:v>
                </c:pt>
                <c:pt idx="4876">
                  <c:v>5.6111083198493512E-2</c:v>
                </c:pt>
                <c:pt idx="4877">
                  <c:v>5.6111083198493512E-2</c:v>
                </c:pt>
                <c:pt idx="4878">
                  <c:v>5.6111083198493512E-2</c:v>
                </c:pt>
                <c:pt idx="4879">
                  <c:v>5.6111083198493512E-2</c:v>
                </c:pt>
                <c:pt idx="4880">
                  <c:v>5.6111083198493512E-2</c:v>
                </c:pt>
                <c:pt idx="4881">
                  <c:v>5.6111083198493512E-2</c:v>
                </c:pt>
                <c:pt idx="4882">
                  <c:v>5.6111083198493512E-2</c:v>
                </c:pt>
                <c:pt idx="4883">
                  <c:v>5.6111083198493512E-2</c:v>
                </c:pt>
                <c:pt idx="4884">
                  <c:v>5.6111083198493512E-2</c:v>
                </c:pt>
                <c:pt idx="4885">
                  <c:v>5.6111083198493512E-2</c:v>
                </c:pt>
                <c:pt idx="4886">
                  <c:v>5.6111083198493512E-2</c:v>
                </c:pt>
                <c:pt idx="4887">
                  <c:v>5.6111083198493512E-2</c:v>
                </c:pt>
                <c:pt idx="4888">
                  <c:v>5.6111083198493512E-2</c:v>
                </c:pt>
                <c:pt idx="4889">
                  <c:v>5.6111083198493512E-2</c:v>
                </c:pt>
                <c:pt idx="4890">
                  <c:v>5.6111083198493512E-2</c:v>
                </c:pt>
                <c:pt idx="4891">
                  <c:v>5.6111083198493512E-2</c:v>
                </c:pt>
                <c:pt idx="4892">
                  <c:v>5.6111083198493512E-2</c:v>
                </c:pt>
                <c:pt idx="4893">
                  <c:v>5.6111083198493512E-2</c:v>
                </c:pt>
                <c:pt idx="4894">
                  <c:v>5.6111083198493512E-2</c:v>
                </c:pt>
                <c:pt idx="4895">
                  <c:v>5.6111083198493512E-2</c:v>
                </c:pt>
                <c:pt idx="4896">
                  <c:v>5.6111083198493512E-2</c:v>
                </c:pt>
                <c:pt idx="4897">
                  <c:v>5.6111083198493512E-2</c:v>
                </c:pt>
                <c:pt idx="4898">
                  <c:v>5.6111083198493512E-2</c:v>
                </c:pt>
                <c:pt idx="4899">
                  <c:v>5.6111083198493512E-2</c:v>
                </c:pt>
                <c:pt idx="4900">
                  <c:v>5.6111083198493512E-2</c:v>
                </c:pt>
                <c:pt idx="4901">
                  <c:v>5.6111083198493512E-2</c:v>
                </c:pt>
                <c:pt idx="4902">
                  <c:v>5.6111083198493512E-2</c:v>
                </c:pt>
                <c:pt idx="4903">
                  <c:v>5.6111083198493512E-2</c:v>
                </c:pt>
                <c:pt idx="4904">
                  <c:v>5.6111083198493512E-2</c:v>
                </c:pt>
                <c:pt idx="4905">
                  <c:v>5.6111083198493512E-2</c:v>
                </c:pt>
                <c:pt idx="4906">
                  <c:v>5.6111083198493512E-2</c:v>
                </c:pt>
                <c:pt idx="4907">
                  <c:v>5.6111083198493512E-2</c:v>
                </c:pt>
                <c:pt idx="4908">
                  <c:v>5.6111083198493512E-2</c:v>
                </c:pt>
                <c:pt idx="4909">
                  <c:v>5.6111083198493512E-2</c:v>
                </c:pt>
                <c:pt idx="4910">
                  <c:v>5.6111083198493512E-2</c:v>
                </c:pt>
                <c:pt idx="4911">
                  <c:v>5.6111083198493512E-2</c:v>
                </c:pt>
                <c:pt idx="4912">
                  <c:v>5.6111083198493512E-2</c:v>
                </c:pt>
                <c:pt idx="4913">
                  <c:v>5.6111083198493512E-2</c:v>
                </c:pt>
                <c:pt idx="4914">
                  <c:v>5.6111083198493512E-2</c:v>
                </c:pt>
                <c:pt idx="4915">
                  <c:v>5.6111083198493512E-2</c:v>
                </c:pt>
                <c:pt idx="4916">
                  <c:v>5.6111083198493512E-2</c:v>
                </c:pt>
                <c:pt idx="4917">
                  <c:v>5.6111083198493512E-2</c:v>
                </c:pt>
                <c:pt idx="4918">
                  <c:v>5.6111083198493512E-2</c:v>
                </c:pt>
                <c:pt idx="4919">
                  <c:v>5.6111083198493512E-2</c:v>
                </c:pt>
                <c:pt idx="4920">
                  <c:v>5.6111083198493512E-2</c:v>
                </c:pt>
                <c:pt idx="4921">
                  <c:v>5.6111083198493512E-2</c:v>
                </c:pt>
                <c:pt idx="4922">
                  <c:v>5.6111083198493512E-2</c:v>
                </c:pt>
                <c:pt idx="4923">
                  <c:v>5.6111083198493512E-2</c:v>
                </c:pt>
                <c:pt idx="4924">
                  <c:v>5.6111083198493512E-2</c:v>
                </c:pt>
                <c:pt idx="4925">
                  <c:v>5.6111083198493512E-2</c:v>
                </c:pt>
                <c:pt idx="4926">
                  <c:v>5.6111083198493512E-2</c:v>
                </c:pt>
                <c:pt idx="4927">
                  <c:v>5.6111083198493512E-2</c:v>
                </c:pt>
                <c:pt idx="4928">
                  <c:v>5.6111083198493512E-2</c:v>
                </c:pt>
                <c:pt idx="4929">
                  <c:v>5.6111083198493512E-2</c:v>
                </c:pt>
                <c:pt idx="4930">
                  <c:v>5.6111083198493512E-2</c:v>
                </c:pt>
                <c:pt idx="4931">
                  <c:v>5.6111083198493512E-2</c:v>
                </c:pt>
                <c:pt idx="4932">
                  <c:v>5.6111083198493512E-2</c:v>
                </c:pt>
                <c:pt idx="4933">
                  <c:v>5.6111083198493512E-2</c:v>
                </c:pt>
                <c:pt idx="4934">
                  <c:v>5.6111083198493512E-2</c:v>
                </c:pt>
                <c:pt idx="4935">
                  <c:v>5.6111083198493512E-2</c:v>
                </c:pt>
                <c:pt idx="4936">
                  <c:v>5.6111083198493512E-2</c:v>
                </c:pt>
                <c:pt idx="4937">
                  <c:v>5.6111083198493512E-2</c:v>
                </c:pt>
                <c:pt idx="4938">
                  <c:v>5.6111083198493512E-2</c:v>
                </c:pt>
                <c:pt idx="4939">
                  <c:v>5.6111083198493512E-2</c:v>
                </c:pt>
                <c:pt idx="4940">
                  <c:v>5.6111083198493512E-2</c:v>
                </c:pt>
                <c:pt idx="4941">
                  <c:v>5.6111083198493512E-2</c:v>
                </c:pt>
                <c:pt idx="4942">
                  <c:v>5.6111083198493512E-2</c:v>
                </c:pt>
                <c:pt idx="4943">
                  <c:v>5.6111083198493512E-2</c:v>
                </c:pt>
                <c:pt idx="4944">
                  <c:v>5.6111083198493512E-2</c:v>
                </c:pt>
                <c:pt idx="4945">
                  <c:v>5.6111083198493512E-2</c:v>
                </c:pt>
                <c:pt idx="4946">
                  <c:v>5.6111083198493512E-2</c:v>
                </c:pt>
                <c:pt idx="4947">
                  <c:v>5.6111083198493512E-2</c:v>
                </c:pt>
                <c:pt idx="4948">
                  <c:v>5.6111083198493512E-2</c:v>
                </c:pt>
                <c:pt idx="4949">
                  <c:v>5.6111083198493512E-2</c:v>
                </c:pt>
                <c:pt idx="4950">
                  <c:v>5.6111083198493512E-2</c:v>
                </c:pt>
                <c:pt idx="4951">
                  <c:v>5.6111083198493512E-2</c:v>
                </c:pt>
                <c:pt idx="4952">
                  <c:v>5.6111083198493512E-2</c:v>
                </c:pt>
                <c:pt idx="4953">
                  <c:v>5.6111083198493512E-2</c:v>
                </c:pt>
                <c:pt idx="4954">
                  <c:v>5.6111083198493512E-2</c:v>
                </c:pt>
                <c:pt idx="4955">
                  <c:v>5.6111083198493512E-2</c:v>
                </c:pt>
                <c:pt idx="4956">
                  <c:v>5.6111083198493512E-2</c:v>
                </c:pt>
                <c:pt idx="4957">
                  <c:v>5.6111083198493512E-2</c:v>
                </c:pt>
                <c:pt idx="4958">
                  <c:v>5.6111083198493512E-2</c:v>
                </c:pt>
                <c:pt idx="4959">
                  <c:v>5.6111083198493512E-2</c:v>
                </c:pt>
                <c:pt idx="4960">
                  <c:v>5.6111083198493512E-2</c:v>
                </c:pt>
                <c:pt idx="4961">
                  <c:v>5.6111083198493512E-2</c:v>
                </c:pt>
                <c:pt idx="4962">
                  <c:v>5.6111083198493512E-2</c:v>
                </c:pt>
                <c:pt idx="4963">
                  <c:v>5.6111083198493512E-2</c:v>
                </c:pt>
                <c:pt idx="4964">
                  <c:v>5.6111083198493512E-2</c:v>
                </c:pt>
                <c:pt idx="4965">
                  <c:v>5.6111083198493512E-2</c:v>
                </c:pt>
                <c:pt idx="4966">
                  <c:v>5.6111083198493512E-2</c:v>
                </c:pt>
                <c:pt idx="4967">
                  <c:v>5.6111083198493512E-2</c:v>
                </c:pt>
                <c:pt idx="4968">
                  <c:v>5.6111083198493512E-2</c:v>
                </c:pt>
                <c:pt idx="4969">
                  <c:v>5.6111083198493512E-2</c:v>
                </c:pt>
                <c:pt idx="4970">
                  <c:v>5.6111083198493512E-2</c:v>
                </c:pt>
                <c:pt idx="4971">
                  <c:v>5.6111083198493512E-2</c:v>
                </c:pt>
                <c:pt idx="4972">
                  <c:v>5.6111083198493512E-2</c:v>
                </c:pt>
                <c:pt idx="4973">
                  <c:v>5.6111083198493512E-2</c:v>
                </c:pt>
                <c:pt idx="4974">
                  <c:v>5.6111083198493512E-2</c:v>
                </c:pt>
                <c:pt idx="4975">
                  <c:v>5.6111083198493512E-2</c:v>
                </c:pt>
                <c:pt idx="4976">
                  <c:v>5.6111083198493512E-2</c:v>
                </c:pt>
                <c:pt idx="4977">
                  <c:v>5.6111083198493512E-2</c:v>
                </c:pt>
                <c:pt idx="4978">
                  <c:v>5.6111083198493512E-2</c:v>
                </c:pt>
                <c:pt idx="4979">
                  <c:v>5.6111083198493512E-2</c:v>
                </c:pt>
                <c:pt idx="4980">
                  <c:v>5.6111083198493512E-2</c:v>
                </c:pt>
                <c:pt idx="4981">
                  <c:v>5.6111083198493512E-2</c:v>
                </c:pt>
                <c:pt idx="4982">
                  <c:v>5.6111083198493512E-2</c:v>
                </c:pt>
                <c:pt idx="4983">
                  <c:v>5.6111083198493512E-2</c:v>
                </c:pt>
                <c:pt idx="4984">
                  <c:v>5.6111083198493512E-2</c:v>
                </c:pt>
                <c:pt idx="4985">
                  <c:v>5.6111083198493512E-2</c:v>
                </c:pt>
                <c:pt idx="4986">
                  <c:v>5.6111083198493512E-2</c:v>
                </c:pt>
                <c:pt idx="4987">
                  <c:v>5.6111083198493512E-2</c:v>
                </c:pt>
                <c:pt idx="4988">
                  <c:v>5.6111083198493512E-2</c:v>
                </c:pt>
                <c:pt idx="4989">
                  <c:v>5.6111083198493512E-2</c:v>
                </c:pt>
                <c:pt idx="4990">
                  <c:v>5.6111083198493512E-2</c:v>
                </c:pt>
                <c:pt idx="4991">
                  <c:v>5.6111083198493512E-2</c:v>
                </c:pt>
                <c:pt idx="4992">
                  <c:v>5.6111083198493512E-2</c:v>
                </c:pt>
                <c:pt idx="4993">
                  <c:v>5.6111083198493512E-2</c:v>
                </c:pt>
                <c:pt idx="4994">
                  <c:v>5.6111083198493512E-2</c:v>
                </c:pt>
                <c:pt idx="4995">
                  <c:v>5.6111083198493512E-2</c:v>
                </c:pt>
                <c:pt idx="4996">
                  <c:v>5.6111083198493512E-2</c:v>
                </c:pt>
                <c:pt idx="4997">
                  <c:v>5.6111083198493512E-2</c:v>
                </c:pt>
                <c:pt idx="4998">
                  <c:v>5.6111083198493512E-2</c:v>
                </c:pt>
                <c:pt idx="4999">
                  <c:v>5.6111083198493512E-2</c:v>
                </c:pt>
                <c:pt idx="5000">
                  <c:v>5.6111083198493512E-2</c:v>
                </c:pt>
                <c:pt idx="5001">
                  <c:v>5.6111083198493512E-2</c:v>
                </c:pt>
                <c:pt idx="5002">
                  <c:v>5.6111083198493512E-2</c:v>
                </c:pt>
                <c:pt idx="5003">
                  <c:v>5.6111083198493512E-2</c:v>
                </c:pt>
                <c:pt idx="5004">
                  <c:v>5.6111083198493512E-2</c:v>
                </c:pt>
                <c:pt idx="5005">
                  <c:v>5.6111083198493512E-2</c:v>
                </c:pt>
                <c:pt idx="5006">
                  <c:v>5.6111083198493512E-2</c:v>
                </c:pt>
                <c:pt idx="5007">
                  <c:v>5.6111083198493512E-2</c:v>
                </c:pt>
                <c:pt idx="5008">
                  <c:v>5.6111083198493512E-2</c:v>
                </c:pt>
                <c:pt idx="5009">
                  <c:v>5.6111083198493512E-2</c:v>
                </c:pt>
                <c:pt idx="5010">
                  <c:v>5.6111083198493512E-2</c:v>
                </c:pt>
                <c:pt idx="5011">
                  <c:v>5.6111083198493512E-2</c:v>
                </c:pt>
                <c:pt idx="5012">
                  <c:v>5.6111083198493512E-2</c:v>
                </c:pt>
                <c:pt idx="5013">
                  <c:v>5.6111083198493512E-2</c:v>
                </c:pt>
                <c:pt idx="5014">
                  <c:v>5.6111083198493512E-2</c:v>
                </c:pt>
                <c:pt idx="5015">
                  <c:v>5.6111083198493512E-2</c:v>
                </c:pt>
                <c:pt idx="5016">
                  <c:v>5.6111083198493512E-2</c:v>
                </c:pt>
                <c:pt idx="5017">
                  <c:v>5.6111083198493512E-2</c:v>
                </c:pt>
                <c:pt idx="5018">
                  <c:v>5.6111083198493512E-2</c:v>
                </c:pt>
                <c:pt idx="5019">
                  <c:v>5.6111083198493512E-2</c:v>
                </c:pt>
                <c:pt idx="5020">
                  <c:v>5.6111083198493512E-2</c:v>
                </c:pt>
                <c:pt idx="5021">
                  <c:v>5.6111083198493512E-2</c:v>
                </c:pt>
                <c:pt idx="5022">
                  <c:v>5.6111083198493512E-2</c:v>
                </c:pt>
                <c:pt idx="5023">
                  <c:v>5.6111083198493512E-2</c:v>
                </c:pt>
                <c:pt idx="5024">
                  <c:v>5.6111083198493512E-2</c:v>
                </c:pt>
                <c:pt idx="5025">
                  <c:v>5.6111083198493512E-2</c:v>
                </c:pt>
                <c:pt idx="5026">
                  <c:v>5.6111083198493512E-2</c:v>
                </c:pt>
                <c:pt idx="5027">
                  <c:v>5.6111083198493512E-2</c:v>
                </c:pt>
                <c:pt idx="5028">
                  <c:v>5.6111083198493512E-2</c:v>
                </c:pt>
                <c:pt idx="5029">
                  <c:v>5.6111083198493512E-2</c:v>
                </c:pt>
                <c:pt idx="5030">
                  <c:v>5.6111083198493512E-2</c:v>
                </c:pt>
                <c:pt idx="5031">
                  <c:v>5.6111083198493512E-2</c:v>
                </c:pt>
                <c:pt idx="5032">
                  <c:v>5.6111083198493512E-2</c:v>
                </c:pt>
                <c:pt idx="5033">
                  <c:v>5.6111083198493512E-2</c:v>
                </c:pt>
                <c:pt idx="5034">
                  <c:v>5.6111083198493512E-2</c:v>
                </c:pt>
                <c:pt idx="5035">
                  <c:v>5.6111083198493512E-2</c:v>
                </c:pt>
                <c:pt idx="5036">
                  <c:v>5.6111083198493512E-2</c:v>
                </c:pt>
                <c:pt idx="5037">
                  <c:v>5.6111083198493512E-2</c:v>
                </c:pt>
                <c:pt idx="5038">
                  <c:v>5.6111083198493512E-2</c:v>
                </c:pt>
                <c:pt idx="5039">
                  <c:v>5.6111083198493512E-2</c:v>
                </c:pt>
                <c:pt idx="5040">
                  <c:v>5.6111083198493512E-2</c:v>
                </c:pt>
                <c:pt idx="5041">
                  <c:v>5.6111083198493512E-2</c:v>
                </c:pt>
                <c:pt idx="5042">
                  <c:v>5.6111083198493512E-2</c:v>
                </c:pt>
                <c:pt idx="5043">
                  <c:v>5.6111083198493512E-2</c:v>
                </c:pt>
                <c:pt idx="5044">
                  <c:v>5.6111083198493512E-2</c:v>
                </c:pt>
                <c:pt idx="5045">
                  <c:v>5.6111083198493512E-2</c:v>
                </c:pt>
                <c:pt idx="5046">
                  <c:v>5.6111083198493512E-2</c:v>
                </c:pt>
                <c:pt idx="5047">
                  <c:v>5.6111083198493512E-2</c:v>
                </c:pt>
                <c:pt idx="5048">
                  <c:v>5.6111083198493512E-2</c:v>
                </c:pt>
                <c:pt idx="5049">
                  <c:v>5.6111083198493512E-2</c:v>
                </c:pt>
                <c:pt idx="5050">
                  <c:v>5.6111083198493512E-2</c:v>
                </c:pt>
                <c:pt idx="5051">
                  <c:v>5.6111083198493512E-2</c:v>
                </c:pt>
                <c:pt idx="5052">
                  <c:v>5.6111083198493512E-2</c:v>
                </c:pt>
                <c:pt idx="5053">
                  <c:v>5.6111083198493512E-2</c:v>
                </c:pt>
                <c:pt idx="5054">
                  <c:v>5.6111083198493512E-2</c:v>
                </c:pt>
                <c:pt idx="5055">
                  <c:v>5.6111083198493512E-2</c:v>
                </c:pt>
                <c:pt idx="5056">
                  <c:v>5.6111083198493512E-2</c:v>
                </c:pt>
                <c:pt idx="5057">
                  <c:v>5.6111083198493512E-2</c:v>
                </c:pt>
                <c:pt idx="5058">
                  <c:v>5.6111083198493512E-2</c:v>
                </c:pt>
                <c:pt idx="5059">
                  <c:v>5.6111083198493512E-2</c:v>
                </c:pt>
                <c:pt idx="5060">
                  <c:v>5.6111083198493512E-2</c:v>
                </c:pt>
                <c:pt idx="5061">
                  <c:v>5.6111083198493512E-2</c:v>
                </c:pt>
                <c:pt idx="5062">
                  <c:v>5.6111083198493512E-2</c:v>
                </c:pt>
                <c:pt idx="5063">
                  <c:v>5.6111083198493512E-2</c:v>
                </c:pt>
                <c:pt idx="5064">
                  <c:v>5.6111083198493512E-2</c:v>
                </c:pt>
                <c:pt idx="5065">
                  <c:v>5.6111083198493512E-2</c:v>
                </c:pt>
                <c:pt idx="5066">
                  <c:v>5.6111083198493512E-2</c:v>
                </c:pt>
                <c:pt idx="5067">
                  <c:v>5.6111083198493512E-2</c:v>
                </c:pt>
                <c:pt idx="5068">
                  <c:v>5.6111083198493512E-2</c:v>
                </c:pt>
                <c:pt idx="5069">
                  <c:v>5.6111083198493512E-2</c:v>
                </c:pt>
                <c:pt idx="5070">
                  <c:v>5.6111083198493512E-2</c:v>
                </c:pt>
                <c:pt idx="5071">
                  <c:v>5.6111083198493512E-2</c:v>
                </c:pt>
                <c:pt idx="5072">
                  <c:v>5.6111083198493512E-2</c:v>
                </c:pt>
                <c:pt idx="5073">
                  <c:v>5.6111083198493512E-2</c:v>
                </c:pt>
                <c:pt idx="5074">
                  <c:v>5.6111083198493512E-2</c:v>
                </c:pt>
                <c:pt idx="5075">
                  <c:v>5.6111083198493512E-2</c:v>
                </c:pt>
                <c:pt idx="5076">
                  <c:v>5.6111083198493512E-2</c:v>
                </c:pt>
                <c:pt idx="5077">
                  <c:v>5.6111083198493512E-2</c:v>
                </c:pt>
                <c:pt idx="5078">
                  <c:v>5.4419194143262919E-2</c:v>
                </c:pt>
                <c:pt idx="5079">
                  <c:v>5.4419194143262919E-2</c:v>
                </c:pt>
                <c:pt idx="5080">
                  <c:v>5.4419194143262919E-2</c:v>
                </c:pt>
                <c:pt idx="5081">
                  <c:v>5.4419194143262919E-2</c:v>
                </c:pt>
                <c:pt idx="5082">
                  <c:v>5.4419194143262919E-2</c:v>
                </c:pt>
                <c:pt idx="5083">
                  <c:v>5.4419194143262919E-2</c:v>
                </c:pt>
                <c:pt idx="5084">
                  <c:v>5.4419194143262919E-2</c:v>
                </c:pt>
                <c:pt idx="5085">
                  <c:v>5.4419194143262919E-2</c:v>
                </c:pt>
                <c:pt idx="5086">
                  <c:v>5.4419194143262919E-2</c:v>
                </c:pt>
                <c:pt idx="5087">
                  <c:v>5.4419194143262919E-2</c:v>
                </c:pt>
                <c:pt idx="5088">
                  <c:v>5.4419194143262919E-2</c:v>
                </c:pt>
                <c:pt idx="5089">
                  <c:v>5.4419194143262919E-2</c:v>
                </c:pt>
                <c:pt idx="5090">
                  <c:v>5.4419194143262919E-2</c:v>
                </c:pt>
                <c:pt idx="5091">
                  <c:v>5.4419194143262919E-2</c:v>
                </c:pt>
                <c:pt idx="5092">
                  <c:v>5.4419194143262919E-2</c:v>
                </c:pt>
                <c:pt idx="5093">
                  <c:v>5.4419194143262919E-2</c:v>
                </c:pt>
                <c:pt idx="5094">
                  <c:v>5.4419194143262919E-2</c:v>
                </c:pt>
                <c:pt idx="5095">
                  <c:v>5.4419194143262919E-2</c:v>
                </c:pt>
                <c:pt idx="5096">
                  <c:v>5.4419194143262919E-2</c:v>
                </c:pt>
                <c:pt idx="5097">
                  <c:v>5.4419194143262919E-2</c:v>
                </c:pt>
                <c:pt idx="5098">
                  <c:v>5.4419194143262919E-2</c:v>
                </c:pt>
                <c:pt idx="5099">
                  <c:v>5.4419194143262919E-2</c:v>
                </c:pt>
                <c:pt idx="5100">
                  <c:v>5.4419194143262919E-2</c:v>
                </c:pt>
                <c:pt idx="5101">
                  <c:v>5.4419194143262919E-2</c:v>
                </c:pt>
                <c:pt idx="5102">
                  <c:v>5.4419194143262919E-2</c:v>
                </c:pt>
                <c:pt idx="5103">
                  <c:v>5.4419194143262919E-2</c:v>
                </c:pt>
                <c:pt idx="5104">
                  <c:v>5.4419194143262919E-2</c:v>
                </c:pt>
                <c:pt idx="5105">
                  <c:v>5.4419194143262919E-2</c:v>
                </c:pt>
                <c:pt idx="5106">
                  <c:v>5.4419194143262919E-2</c:v>
                </c:pt>
                <c:pt idx="5107">
                  <c:v>5.4419194143262919E-2</c:v>
                </c:pt>
                <c:pt idx="5108">
                  <c:v>5.4419194143262919E-2</c:v>
                </c:pt>
                <c:pt idx="5109">
                  <c:v>5.4419194143262919E-2</c:v>
                </c:pt>
                <c:pt idx="5110">
                  <c:v>5.4419194143262919E-2</c:v>
                </c:pt>
                <c:pt idx="5111">
                  <c:v>5.4419194143262919E-2</c:v>
                </c:pt>
                <c:pt idx="5112">
                  <c:v>5.4419194143262919E-2</c:v>
                </c:pt>
                <c:pt idx="5113">
                  <c:v>5.4419194143262919E-2</c:v>
                </c:pt>
                <c:pt idx="5114">
                  <c:v>5.4419194143262919E-2</c:v>
                </c:pt>
                <c:pt idx="5115">
                  <c:v>5.4419194143262919E-2</c:v>
                </c:pt>
                <c:pt idx="5116">
                  <c:v>5.4419194143262919E-2</c:v>
                </c:pt>
                <c:pt idx="5117">
                  <c:v>5.4419194143262919E-2</c:v>
                </c:pt>
                <c:pt idx="5118">
                  <c:v>5.4419194143262919E-2</c:v>
                </c:pt>
                <c:pt idx="5119">
                  <c:v>5.4419194143262919E-2</c:v>
                </c:pt>
                <c:pt idx="5120">
                  <c:v>5.4419194143262919E-2</c:v>
                </c:pt>
                <c:pt idx="5121">
                  <c:v>5.4419194143262919E-2</c:v>
                </c:pt>
                <c:pt idx="5122">
                  <c:v>5.4419194143262919E-2</c:v>
                </c:pt>
                <c:pt idx="5123">
                  <c:v>5.4419194143262919E-2</c:v>
                </c:pt>
                <c:pt idx="5124">
                  <c:v>5.4419194143262919E-2</c:v>
                </c:pt>
                <c:pt idx="5125">
                  <c:v>5.4419194143262919E-2</c:v>
                </c:pt>
                <c:pt idx="5126">
                  <c:v>5.4419194143262919E-2</c:v>
                </c:pt>
                <c:pt idx="5127">
                  <c:v>5.4419194143262919E-2</c:v>
                </c:pt>
                <c:pt idx="5128">
                  <c:v>5.4419194143262919E-2</c:v>
                </c:pt>
                <c:pt idx="5129">
                  <c:v>5.4419194143262919E-2</c:v>
                </c:pt>
                <c:pt idx="5130">
                  <c:v>5.4419194143262919E-2</c:v>
                </c:pt>
                <c:pt idx="5131">
                  <c:v>5.4419194143262919E-2</c:v>
                </c:pt>
                <c:pt idx="5132">
                  <c:v>5.4419194143262919E-2</c:v>
                </c:pt>
                <c:pt idx="5133">
                  <c:v>5.4419194143262919E-2</c:v>
                </c:pt>
                <c:pt idx="5134">
                  <c:v>5.4419194143262919E-2</c:v>
                </c:pt>
                <c:pt idx="5135">
                  <c:v>5.4419194143262919E-2</c:v>
                </c:pt>
                <c:pt idx="5136">
                  <c:v>5.4419194143262919E-2</c:v>
                </c:pt>
                <c:pt idx="5137">
                  <c:v>5.4419194143262919E-2</c:v>
                </c:pt>
                <c:pt idx="5138">
                  <c:v>5.4419194143262919E-2</c:v>
                </c:pt>
                <c:pt idx="5139">
                  <c:v>5.4419194143262919E-2</c:v>
                </c:pt>
                <c:pt idx="5140">
                  <c:v>5.4419194143262919E-2</c:v>
                </c:pt>
                <c:pt idx="5141">
                  <c:v>5.4419194143262919E-2</c:v>
                </c:pt>
                <c:pt idx="5142">
                  <c:v>5.4419194143262919E-2</c:v>
                </c:pt>
                <c:pt idx="5143">
                  <c:v>5.4419194143262919E-2</c:v>
                </c:pt>
                <c:pt idx="5144">
                  <c:v>5.4419194143262919E-2</c:v>
                </c:pt>
                <c:pt idx="5145">
                  <c:v>5.4419194143262919E-2</c:v>
                </c:pt>
                <c:pt idx="5146">
                  <c:v>5.4419194143262919E-2</c:v>
                </c:pt>
                <c:pt idx="5147">
                  <c:v>5.4419194143262919E-2</c:v>
                </c:pt>
                <c:pt idx="5148">
                  <c:v>5.4419194143262919E-2</c:v>
                </c:pt>
                <c:pt idx="5149">
                  <c:v>5.4419194143262919E-2</c:v>
                </c:pt>
                <c:pt idx="5150">
                  <c:v>5.4419194143262919E-2</c:v>
                </c:pt>
                <c:pt idx="5151">
                  <c:v>5.4419194143262919E-2</c:v>
                </c:pt>
                <c:pt idx="5152">
                  <c:v>5.4419194143262919E-2</c:v>
                </c:pt>
                <c:pt idx="5153">
                  <c:v>5.4419194143262919E-2</c:v>
                </c:pt>
                <c:pt idx="5154">
                  <c:v>5.4419194143262919E-2</c:v>
                </c:pt>
                <c:pt idx="5155">
                  <c:v>5.4419194143262919E-2</c:v>
                </c:pt>
                <c:pt idx="5156">
                  <c:v>5.4419194143262919E-2</c:v>
                </c:pt>
                <c:pt idx="5157">
                  <c:v>5.4419194143262919E-2</c:v>
                </c:pt>
                <c:pt idx="5158">
                  <c:v>5.4419194143262919E-2</c:v>
                </c:pt>
                <c:pt idx="5159">
                  <c:v>5.4419194143262919E-2</c:v>
                </c:pt>
                <c:pt idx="5160">
                  <c:v>5.4419194143262919E-2</c:v>
                </c:pt>
                <c:pt idx="5161">
                  <c:v>5.4419194143262919E-2</c:v>
                </c:pt>
                <c:pt idx="5162">
                  <c:v>5.4419194143262919E-2</c:v>
                </c:pt>
                <c:pt idx="5163">
                  <c:v>5.4419194143262919E-2</c:v>
                </c:pt>
                <c:pt idx="5164">
                  <c:v>5.4419194143262919E-2</c:v>
                </c:pt>
                <c:pt idx="5165">
                  <c:v>5.4419194143262919E-2</c:v>
                </c:pt>
                <c:pt idx="5166">
                  <c:v>5.4419194143262919E-2</c:v>
                </c:pt>
                <c:pt idx="5167">
                  <c:v>5.4419194143262919E-2</c:v>
                </c:pt>
                <c:pt idx="5168">
                  <c:v>5.4419194143262919E-2</c:v>
                </c:pt>
                <c:pt idx="5169">
                  <c:v>5.4419194143262919E-2</c:v>
                </c:pt>
                <c:pt idx="5170">
                  <c:v>5.4419194143262919E-2</c:v>
                </c:pt>
                <c:pt idx="5171">
                  <c:v>5.4419194143262919E-2</c:v>
                </c:pt>
                <c:pt idx="5172">
                  <c:v>5.4419194143262919E-2</c:v>
                </c:pt>
                <c:pt idx="5173">
                  <c:v>5.4419194143262919E-2</c:v>
                </c:pt>
                <c:pt idx="5174">
                  <c:v>5.4419194143262919E-2</c:v>
                </c:pt>
                <c:pt idx="5175">
                  <c:v>5.4419194143262919E-2</c:v>
                </c:pt>
                <c:pt idx="5176">
                  <c:v>5.4419194143262919E-2</c:v>
                </c:pt>
                <c:pt idx="5177">
                  <c:v>5.4419194143262919E-2</c:v>
                </c:pt>
                <c:pt idx="5178">
                  <c:v>5.4419194143262919E-2</c:v>
                </c:pt>
                <c:pt idx="5179">
                  <c:v>5.4419194143262919E-2</c:v>
                </c:pt>
                <c:pt idx="5180">
                  <c:v>5.4419194143262919E-2</c:v>
                </c:pt>
                <c:pt idx="5181">
                  <c:v>5.4419194143262919E-2</c:v>
                </c:pt>
                <c:pt idx="5182">
                  <c:v>5.4419194143262919E-2</c:v>
                </c:pt>
                <c:pt idx="5183">
                  <c:v>5.4419194143262919E-2</c:v>
                </c:pt>
                <c:pt idx="5184">
                  <c:v>5.4419194143262919E-2</c:v>
                </c:pt>
                <c:pt idx="5185">
                  <c:v>5.4419194143262919E-2</c:v>
                </c:pt>
                <c:pt idx="5186">
                  <c:v>5.4419194143262919E-2</c:v>
                </c:pt>
                <c:pt idx="5187">
                  <c:v>5.4419194143262919E-2</c:v>
                </c:pt>
                <c:pt idx="5188">
                  <c:v>5.4419194143262919E-2</c:v>
                </c:pt>
                <c:pt idx="5189">
                  <c:v>5.4419194143262919E-2</c:v>
                </c:pt>
                <c:pt idx="5190">
                  <c:v>5.4419194143262919E-2</c:v>
                </c:pt>
                <c:pt idx="5191">
                  <c:v>5.4419194143262919E-2</c:v>
                </c:pt>
                <c:pt idx="5192">
                  <c:v>5.4419194143262919E-2</c:v>
                </c:pt>
                <c:pt idx="5193">
                  <c:v>5.4419194143262919E-2</c:v>
                </c:pt>
                <c:pt idx="5194">
                  <c:v>5.4419194143262919E-2</c:v>
                </c:pt>
                <c:pt idx="5195">
                  <c:v>5.4419194143262919E-2</c:v>
                </c:pt>
                <c:pt idx="5196">
                  <c:v>5.4419194143262919E-2</c:v>
                </c:pt>
                <c:pt idx="5197">
                  <c:v>5.4419194143262919E-2</c:v>
                </c:pt>
                <c:pt idx="5198">
                  <c:v>5.4419194143262919E-2</c:v>
                </c:pt>
                <c:pt idx="5199">
                  <c:v>5.4419194143262919E-2</c:v>
                </c:pt>
                <c:pt idx="5200">
                  <c:v>5.4419194143262919E-2</c:v>
                </c:pt>
                <c:pt idx="5201">
                  <c:v>5.4419194143262919E-2</c:v>
                </c:pt>
                <c:pt idx="5202">
                  <c:v>5.4419194143262919E-2</c:v>
                </c:pt>
                <c:pt idx="5203">
                  <c:v>5.4419194143262919E-2</c:v>
                </c:pt>
                <c:pt idx="5204">
                  <c:v>5.4419194143262919E-2</c:v>
                </c:pt>
                <c:pt idx="5205">
                  <c:v>5.4419194143262919E-2</c:v>
                </c:pt>
                <c:pt idx="5206">
                  <c:v>5.4419194143262919E-2</c:v>
                </c:pt>
                <c:pt idx="5207">
                  <c:v>5.4419194143262919E-2</c:v>
                </c:pt>
                <c:pt idx="5208">
                  <c:v>5.4419194143262919E-2</c:v>
                </c:pt>
                <c:pt idx="5209">
                  <c:v>5.4419194143262919E-2</c:v>
                </c:pt>
                <c:pt idx="5210">
                  <c:v>5.4419194143262919E-2</c:v>
                </c:pt>
                <c:pt idx="5211">
                  <c:v>5.4419194143262919E-2</c:v>
                </c:pt>
                <c:pt idx="5212">
                  <c:v>5.4419194143262919E-2</c:v>
                </c:pt>
                <c:pt idx="5213">
                  <c:v>5.4419194143262919E-2</c:v>
                </c:pt>
                <c:pt idx="5214">
                  <c:v>5.4419194143262919E-2</c:v>
                </c:pt>
                <c:pt idx="5215">
                  <c:v>5.4419194143262919E-2</c:v>
                </c:pt>
                <c:pt idx="5216">
                  <c:v>5.4419194143262919E-2</c:v>
                </c:pt>
                <c:pt idx="5217">
                  <c:v>5.4419194143262919E-2</c:v>
                </c:pt>
                <c:pt idx="5218">
                  <c:v>5.4419194143262919E-2</c:v>
                </c:pt>
                <c:pt idx="5219">
                  <c:v>5.4419194143262919E-2</c:v>
                </c:pt>
                <c:pt idx="5220">
                  <c:v>5.4419194143262919E-2</c:v>
                </c:pt>
                <c:pt idx="5221">
                  <c:v>5.4419194143262919E-2</c:v>
                </c:pt>
                <c:pt idx="5222">
                  <c:v>5.4419194143262919E-2</c:v>
                </c:pt>
                <c:pt idx="5223">
                  <c:v>5.4419194143262919E-2</c:v>
                </c:pt>
                <c:pt idx="5224">
                  <c:v>5.4419194143262919E-2</c:v>
                </c:pt>
                <c:pt idx="5225">
                  <c:v>5.4419194143262919E-2</c:v>
                </c:pt>
                <c:pt idx="5226">
                  <c:v>5.4419194143262919E-2</c:v>
                </c:pt>
                <c:pt idx="5227">
                  <c:v>5.4419194143262919E-2</c:v>
                </c:pt>
                <c:pt idx="5228">
                  <c:v>5.4419194143262919E-2</c:v>
                </c:pt>
                <c:pt idx="5229">
                  <c:v>5.4419194143262919E-2</c:v>
                </c:pt>
                <c:pt idx="5230">
                  <c:v>5.4419194143262919E-2</c:v>
                </c:pt>
                <c:pt idx="5231">
                  <c:v>5.4419194143262919E-2</c:v>
                </c:pt>
                <c:pt idx="5232">
                  <c:v>5.4419194143262919E-2</c:v>
                </c:pt>
                <c:pt idx="5233">
                  <c:v>5.4419194143262919E-2</c:v>
                </c:pt>
                <c:pt idx="5234">
                  <c:v>5.4419194143262919E-2</c:v>
                </c:pt>
                <c:pt idx="5235">
                  <c:v>5.4419194143262919E-2</c:v>
                </c:pt>
                <c:pt idx="5236">
                  <c:v>5.4419194143262919E-2</c:v>
                </c:pt>
                <c:pt idx="5237">
                  <c:v>5.4419194143262919E-2</c:v>
                </c:pt>
                <c:pt idx="5238">
                  <c:v>5.4419194143262919E-2</c:v>
                </c:pt>
                <c:pt idx="5239">
                  <c:v>5.4419194143262919E-2</c:v>
                </c:pt>
                <c:pt idx="5240">
                  <c:v>5.4419194143262919E-2</c:v>
                </c:pt>
                <c:pt idx="5241">
                  <c:v>5.4419194143262919E-2</c:v>
                </c:pt>
                <c:pt idx="5242">
                  <c:v>5.4419194143262919E-2</c:v>
                </c:pt>
                <c:pt idx="5243">
                  <c:v>5.4419194143262919E-2</c:v>
                </c:pt>
                <c:pt idx="5244">
                  <c:v>5.4419194143262919E-2</c:v>
                </c:pt>
                <c:pt idx="5245">
                  <c:v>5.4419194143262919E-2</c:v>
                </c:pt>
                <c:pt idx="5246">
                  <c:v>5.4419194143262919E-2</c:v>
                </c:pt>
                <c:pt idx="5247">
                  <c:v>5.4419194143262919E-2</c:v>
                </c:pt>
                <c:pt idx="5248">
                  <c:v>5.4419194143262919E-2</c:v>
                </c:pt>
                <c:pt idx="5249">
                  <c:v>5.4419194143262919E-2</c:v>
                </c:pt>
                <c:pt idx="5250">
                  <c:v>5.4419194143262919E-2</c:v>
                </c:pt>
                <c:pt idx="5251">
                  <c:v>5.4419194143262919E-2</c:v>
                </c:pt>
                <c:pt idx="5252">
                  <c:v>5.4419194143262919E-2</c:v>
                </c:pt>
                <c:pt idx="5253">
                  <c:v>5.4419194143262919E-2</c:v>
                </c:pt>
                <c:pt idx="5254">
                  <c:v>5.4419194143262919E-2</c:v>
                </c:pt>
                <c:pt idx="5255">
                  <c:v>5.4419194143262919E-2</c:v>
                </c:pt>
                <c:pt idx="5256">
                  <c:v>5.4419194143262919E-2</c:v>
                </c:pt>
                <c:pt idx="5257">
                  <c:v>5.4419194143262919E-2</c:v>
                </c:pt>
                <c:pt idx="5258">
                  <c:v>5.4419194143262919E-2</c:v>
                </c:pt>
                <c:pt idx="5259">
                  <c:v>5.4419194143262919E-2</c:v>
                </c:pt>
                <c:pt idx="5260">
                  <c:v>5.4419194143262919E-2</c:v>
                </c:pt>
                <c:pt idx="5261">
                  <c:v>5.4419194143262919E-2</c:v>
                </c:pt>
                <c:pt idx="5262">
                  <c:v>5.4419194143262919E-2</c:v>
                </c:pt>
                <c:pt idx="5263">
                  <c:v>5.4419194143262919E-2</c:v>
                </c:pt>
                <c:pt idx="5264">
                  <c:v>5.4419194143262919E-2</c:v>
                </c:pt>
                <c:pt idx="5265">
                  <c:v>5.4419194143262919E-2</c:v>
                </c:pt>
                <c:pt idx="5266">
                  <c:v>5.4419194143262919E-2</c:v>
                </c:pt>
                <c:pt idx="5267">
                  <c:v>5.4419194143262919E-2</c:v>
                </c:pt>
                <c:pt idx="5268">
                  <c:v>5.4419194143262919E-2</c:v>
                </c:pt>
                <c:pt idx="5269">
                  <c:v>5.4419194143262919E-2</c:v>
                </c:pt>
                <c:pt idx="5270">
                  <c:v>5.4419194143262919E-2</c:v>
                </c:pt>
                <c:pt idx="5271">
                  <c:v>5.4419194143262919E-2</c:v>
                </c:pt>
                <c:pt idx="5272">
                  <c:v>5.4419194143262919E-2</c:v>
                </c:pt>
                <c:pt idx="5273">
                  <c:v>5.4419194143262919E-2</c:v>
                </c:pt>
                <c:pt idx="5274">
                  <c:v>5.4419194143262919E-2</c:v>
                </c:pt>
                <c:pt idx="5275">
                  <c:v>5.4419194143262919E-2</c:v>
                </c:pt>
                <c:pt idx="5276">
                  <c:v>5.4419194143262919E-2</c:v>
                </c:pt>
                <c:pt idx="5277">
                  <c:v>5.4419194143262919E-2</c:v>
                </c:pt>
                <c:pt idx="5278">
                  <c:v>5.4419194143262919E-2</c:v>
                </c:pt>
                <c:pt idx="5279">
                  <c:v>5.4419194143262919E-2</c:v>
                </c:pt>
                <c:pt idx="5280">
                  <c:v>5.4419194143262919E-2</c:v>
                </c:pt>
                <c:pt idx="5281">
                  <c:v>5.4419194143262919E-2</c:v>
                </c:pt>
                <c:pt idx="5282">
                  <c:v>5.4419194143262919E-2</c:v>
                </c:pt>
                <c:pt idx="5283">
                  <c:v>5.4419194143262919E-2</c:v>
                </c:pt>
                <c:pt idx="5284">
                  <c:v>5.4419194143262919E-2</c:v>
                </c:pt>
                <c:pt idx="5285">
                  <c:v>5.4419194143262919E-2</c:v>
                </c:pt>
                <c:pt idx="5286">
                  <c:v>5.4419194143262919E-2</c:v>
                </c:pt>
                <c:pt idx="5287">
                  <c:v>5.4419194143262919E-2</c:v>
                </c:pt>
                <c:pt idx="5288">
                  <c:v>5.4419194143262919E-2</c:v>
                </c:pt>
                <c:pt idx="5289">
                  <c:v>5.4419194143262919E-2</c:v>
                </c:pt>
                <c:pt idx="5290">
                  <c:v>5.4419194143262919E-2</c:v>
                </c:pt>
                <c:pt idx="5291">
                  <c:v>5.4419194143262919E-2</c:v>
                </c:pt>
                <c:pt idx="5292">
                  <c:v>5.4419194143262919E-2</c:v>
                </c:pt>
                <c:pt idx="5293">
                  <c:v>5.4419194143262919E-2</c:v>
                </c:pt>
                <c:pt idx="5294">
                  <c:v>5.4419194143262919E-2</c:v>
                </c:pt>
                <c:pt idx="5295">
                  <c:v>5.4419194143262919E-2</c:v>
                </c:pt>
                <c:pt idx="5296">
                  <c:v>5.4419194143262919E-2</c:v>
                </c:pt>
                <c:pt idx="5297">
                  <c:v>5.4419194143262919E-2</c:v>
                </c:pt>
                <c:pt idx="5298">
                  <c:v>5.4419194143262919E-2</c:v>
                </c:pt>
                <c:pt idx="5299">
                  <c:v>5.4419194143262919E-2</c:v>
                </c:pt>
                <c:pt idx="5300">
                  <c:v>5.4419194143262919E-2</c:v>
                </c:pt>
                <c:pt idx="5301">
                  <c:v>5.4419194143262919E-2</c:v>
                </c:pt>
                <c:pt idx="5302">
                  <c:v>5.4419194143262919E-2</c:v>
                </c:pt>
                <c:pt idx="5303">
                  <c:v>5.4419194143262919E-2</c:v>
                </c:pt>
                <c:pt idx="5304">
                  <c:v>5.4419194143262919E-2</c:v>
                </c:pt>
                <c:pt idx="5305">
                  <c:v>5.4419194143262919E-2</c:v>
                </c:pt>
                <c:pt idx="5306">
                  <c:v>5.4419194143262919E-2</c:v>
                </c:pt>
                <c:pt idx="5307">
                  <c:v>5.4419194143262919E-2</c:v>
                </c:pt>
                <c:pt idx="5308">
                  <c:v>5.4419194143262919E-2</c:v>
                </c:pt>
                <c:pt idx="5309">
                  <c:v>5.4419194143262919E-2</c:v>
                </c:pt>
                <c:pt idx="5310">
                  <c:v>5.4419194143262919E-2</c:v>
                </c:pt>
                <c:pt idx="5311">
                  <c:v>5.4419194143262919E-2</c:v>
                </c:pt>
                <c:pt idx="5312">
                  <c:v>5.4419194143262919E-2</c:v>
                </c:pt>
                <c:pt idx="5313">
                  <c:v>5.4419194143262919E-2</c:v>
                </c:pt>
                <c:pt idx="5314">
                  <c:v>5.4419194143262919E-2</c:v>
                </c:pt>
                <c:pt idx="5315">
                  <c:v>5.4419194143262919E-2</c:v>
                </c:pt>
                <c:pt idx="5316">
                  <c:v>5.4419194143262919E-2</c:v>
                </c:pt>
                <c:pt idx="5317">
                  <c:v>5.4419194143262919E-2</c:v>
                </c:pt>
                <c:pt idx="5318">
                  <c:v>5.4419194143262919E-2</c:v>
                </c:pt>
                <c:pt idx="5319">
                  <c:v>5.4419194143262919E-2</c:v>
                </c:pt>
                <c:pt idx="5320">
                  <c:v>5.4419194143262919E-2</c:v>
                </c:pt>
                <c:pt idx="5321">
                  <c:v>5.4419194143262919E-2</c:v>
                </c:pt>
                <c:pt idx="5322">
                  <c:v>5.4419194143262919E-2</c:v>
                </c:pt>
                <c:pt idx="5323">
                  <c:v>5.4419194143262919E-2</c:v>
                </c:pt>
                <c:pt idx="5324">
                  <c:v>5.4419194143262919E-2</c:v>
                </c:pt>
                <c:pt idx="5325">
                  <c:v>5.4419194143262919E-2</c:v>
                </c:pt>
                <c:pt idx="5326">
                  <c:v>5.4419194143262919E-2</c:v>
                </c:pt>
                <c:pt idx="5327">
                  <c:v>5.4419194143262919E-2</c:v>
                </c:pt>
                <c:pt idx="5328">
                  <c:v>5.4419194143262919E-2</c:v>
                </c:pt>
                <c:pt idx="5329">
                  <c:v>5.4419194143262919E-2</c:v>
                </c:pt>
                <c:pt idx="5330">
                  <c:v>5.4419194143262919E-2</c:v>
                </c:pt>
                <c:pt idx="5331">
                  <c:v>5.4419194143262919E-2</c:v>
                </c:pt>
                <c:pt idx="5332">
                  <c:v>5.4419194143262919E-2</c:v>
                </c:pt>
                <c:pt idx="5333">
                  <c:v>5.4419194143262919E-2</c:v>
                </c:pt>
                <c:pt idx="5334">
                  <c:v>5.4419194143262919E-2</c:v>
                </c:pt>
                <c:pt idx="5335">
                  <c:v>5.4419194143262919E-2</c:v>
                </c:pt>
                <c:pt idx="5336">
                  <c:v>5.4419194143262919E-2</c:v>
                </c:pt>
                <c:pt idx="5337">
                  <c:v>5.4419194143262919E-2</c:v>
                </c:pt>
                <c:pt idx="5338">
                  <c:v>5.4419194143262919E-2</c:v>
                </c:pt>
                <c:pt idx="5339">
                  <c:v>5.4419194143262919E-2</c:v>
                </c:pt>
                <c:pt idx="5340">
                  <c:v>5.4419194143262919E-2</c:v>
                </c:pt>
                <c:pt idx="5341">
                  <c:v>5.4419194143262919E-2</c:v>
                </c:pt>
                <c:pt idx="5342">
                  <c:v>5.4419194143262919E-2</c:v>
                </c:pt>
                <c:pt idx="5343">
                  <c:v>5.4419194143262919E-2</c:v>
                </c:pt>
                <c:pt idx="5344">
                  <c:v>5.4419194143262919E-2</c:v>
                </c:pt>
                <c:pt idx="5345">
                  <c:v>5.4419194143262919E-2</c:v>
                </c:pt>
                <c:pt idx="5346">
                  <c:v>5.4419194143262919E-2</c:v>
                </c:pt>
                <c:pt idx="5347">
                  <c:v>5.4419194143262919E-2</c:v>
                </c:pt>
                <c:pt idx="5348">
                  <c:v>5.4419194143262919E-2</c:v>
                </c:pt>
                <c:pt idx="5349">
                  <c:v>5.4419194143262919E-2</c:v>
                </c:pt>
                <c:pt idx="5350">
                  <c:v>5.4419194143262919E-2</c:v>
                </c:pt>
                <c:pt idx="5351">
                  <c:v>5.4419194143262919E-2</c:v>
                </c:pt>
                <c:pt idx="5352">
                  <c:v>5.4419194143262919E-2</c:v>
                </c:pt>
                <c:pt idx="5353">
                  <c:v>5.4419194143262919E-2</c:v>
                </c:pt>
                <c:pt idx="5354">
                  <c:v>5.4419194143262919E-2</c:v>
                </c:pt>
                <c:pt idx="5355">
                  <c:v>5.4419194143262919E-2</c:v>
                </c:pt>
                <c:pt idx="5356">
                  <c:v>5.4419194143262919E-2</c:v>
                </c:pt>
                <c:pt idx="5357">
                  <c:v>5.4419194143262919E-2</c:v>
                </c:pt>
                <c:pt idx="5358">
                  <c:v>5.4419194143262919E-2</c:v>
                </c:pt>
                <c:pt idx="5359">
                  <c:v>5.4419194143262919E-2</c:v>
                </c:pt>
                <c:pt idx="5360">
                  <c:v>5.4419194143262919E-2</c:v>
                </c:pt>
                <c:pt idx="5361">
                  <c:v>5.4419194143262919E-2</c:v>
                </c:pt>
                <c:pt idx="5362">
                  <c:v>5.4419194143262919E-2</c:v>
                </c:pt>
                <c:pt idx="5363">
                  <c:v>5.4419194143262919E-2</c:v>
                </c:pt>
                <c:pt idx="5364">
                  <c:v>5.4419194143262919E-2</c:v>
                </c:pt>
                <c:pt idx="5365">
                  <c:v>5.4419194143262919E-2</c:v>
                </c:pt>
                <c:pt idx="5366">
                  <c:v>5.4419194143262919E-2</c:v>
                </c:pt>
                <c:pt idx="5367">
                  <c:v>5.4419194143262919E-2</c:v>
                </c:pt>
                <c:pt idx="5368">
                  <c:v>5.4419194143262919E-2</c:v>
                </c:pt>
                <c:pt idx="5369">
                  <c:v>5.4419194143262919E-2</c:v>
                </c:pt>
                <c:pt idx="5370">
                  <c:v>5.4419194143262919E-2</c:v>
                </c:pt>
                <c:pt idx="5371">
                  <c:v>5.4419194143262919E-2</c:v>
                </c:pt>
                <c:pt idx="5372">
                  <c:v>5.4419194143262919E-2</c:v>
                </c:pt>
                <c:pt idx="5373">
                  <c:v>5.4419194143262919E-2</c:v>
                </c:pt>
                <c:pt idx="5374">
                  <c:v>5.4419194143262919E-2</c:v>
                </c:pt>
                <c:pt idx="5375">
                  <c:v>5.4419194143262919E-2</c:v>
                </c:pt>
                <c:pt idx="5376">
                  <c:v>5.4419194143262919E-2</c:v>
                </c:pt>
                <c:pt idx="5377">
                  <c:v>5.4419194143262919E-2</c:v>
                </c:pt>
                <c:pt idx="5378">
                  <c:v>5.4419194143262919E-2</c:v>
                </c:pt>
                <c:pt idx="5379">
                  <c:v>5.4419194143262919E-2</c:v>
                </c:pt>
                <c:pt idx="5380">
                  <c:v>5.4419194143262919E-2</c:v>
                </c:pt>
                <c:pt idx="5381">
                  <c:v>5.4419194143262919E-2</c:v>
                </c:pt>
                <c:pt idx="5382">
                  <c:v>5.4419194143262919E-2</c:v>
                </c:pt>
                <c:pt idx="5383">
                  <c:v>5.4419194143262919E-2</c:v>
                </c:pt>
                <c:pt idx="5384">
                  <c:v>5.4419194143262919E-2</c:v>
                </c:pt>
                <c:pt idx="5385">
                  <c:v>5.4419194143262919E-2</c:v>
                </c:pt>
                <c:pt idx="5386">
                  <c:v>5.4419194143262919E-2</c:v>
                </c:pt>
                <c:pt idx="5387">
                  <c:v>5.4419194143262919E-2</c:v>
                </c:pt>
                <c:pt idx="5388">
                  <c:v>5.4419194143262919E-2</c:v>
                </c:pt>
                <c:pt idx="5389">
                  <c:v>5.4419194143262919E-2</c:v>
                </c:pt>
                <c:pt idx="5390">
                  <c:v>5.4419194143262919E-2</c:v>
                </c:pt>
                <c:pt idx="5391">
                  <c:v>5.4419194143262919E-2</c:v>
                </c:pt>
                <c:pt idx="5392">
                  <c:v>5.4419194143262919E-2</c:v>
                </c:pt>
                <c:pt idx="5393">
                  <c:v>5.4419194143262919E-2</c:v>
                </c:pt>
                <c:pt idx="5394">
                  <c:v>5.4419194143262919E-2</c:v>
                </c:pt>
                <c:pt idx="5395">
                  <c:v>5.4419194143262919E-2</c:v>
                </c:pt>
                <c:pt idx="5396">
                  <c:v>5.4419194143262919E-2</c:v>
                </c:pt>
                <c:pt idx="5397">
                  <c:v>5.4419194143262919E-2</c:v>
                </c:pt>
                <c:pt idx="5398">
                  <c:v>5.4419194143262919E-2</c:v>
                </c:pt>
                <c:pt idx="5399">
                  <c:v>5.4419194143262919E-2</c:v>
                </c:pt>
                <c:pt idx="5400">
                  <c:v>5.4419194143262919E-2</c:v>
                </c:pt>
                <c:pt idx="5401">
                  <c:v>5.4419194143262919E-2</c:v>
                </c:pt>
                <c:pt idx="5402">
                  <c:v>5.4419194143262919E-2</c:v>
                </c:pt>
                <c:pt idx="5403">
                  <c:v>5.4419194143262919E-2</c:v>
                </c:pt>
                <c:pt idx="5404">
                  <c:v>5.4419194143262919E-2</c:v>
                </c:pt>
                <c:pt idx="5405">
                  <c:v>5.4419194143262919E-2</c:v>
                </c:pt>
                <c:pt idx="5406">
                  <c:v>5.4419194143262919E-2</c:v>
                </c:pt>
                <c:pt idx="5407">
                  <c:v>5.4419194143262919E-2</c:v>
                </c:pt>
                <c:pt idx="5408">
                  <c:v>5.4419194143262919E-2</c:v>
                </c:pt>
                <c:pt idx="5409">
                  <c:v>5.4419194143262919E-2</c:v>
                </c:pt>
                <c:pt idx="5410">
                  <c:v>5.4419194143262919E-2</c:v>
                </c:pt>
                <c:pt idx="5411">
                  <c:v>5.4419194143262919E-2</c:v>
                </c:pt>
                <c:pt idx="5412">
                  <c:v>5.4419194143262919E-2</c:v>
                </c:pt>
                <c:pt idx="5413">
                  <c:v>5.4419194143262919E-2</c:v>
                </c:pt>
                <c:pt idx="5414">
                  <c:v>5.4419194143262919E-2</c:v>
                </c:pt>
                <c:pt idx="5415">
                  <c:v>5.4419194143262919E-2</c:v>
                </c:pt>
                <c:pt idx="5416">
                  <c:v>5.4419194143262919E-2</c:v>
                </c:pt>
                <c:pt idx="5417">
                  <c:v>5.4419194143262919E-2</c:v>
                </c:pt>
                <c:pt idx="5418">
                  <c:v>5.4419194143262919E-2</c:v>
                </c:pt>
                <c:pt idx="5419">
                  <c:v>5.4419194143262919E-2</c:v>
                </c:pt>
                <c:pt idx="5420">
                  <c:v>5.4419194143262919E-2</c:v>
                </c:pt>
                <c:pt idx="5421">
                  <c:v>5.4419194143262919E-2</c:v>
                </c:pt>
                <c:pt idx="5422">
                  <c:v>5.4419194143262919E-2</c:v>
                </c:pt>
                <c:pt idx="5423">
                  <c:v>5.4419194143262919E-2</c:v>
                </c:pt>
                <c:pt idx="5424">
                  <c:v>5.4419194143262919E-2</c:v>
                </c:pt>
                <c:pt idx="5425">
                  <c:v>5.4419194143262919E-2</c:v>
                </c:pt>
                <c:pt idx="5426">
                  <c:v>5.4419194143262919E-2</c:v>
                </c:pt>
                <c:pt idx="5427">
                  <c:v>5.4419194143262919E-2</c:v>
                </c:pt>
                <c:pt idx="5428">
                  <c:v>5.4419194143262919E-2</c:v>
                </c:pt>
                <c:pt idx="5429">
                  <c:v>5.4419194143262919E-2</c:v>
                </c:pt>
                <c:pt idx="5430">
                  <c:v>5.4419194143262919E-2</c:v>
                </c:pt>
                <c:pt idx="5431">
                  <c:v>5.4419194143262919E-2</c:v>
                </c:pt>
                <c:pt idx="5432">
                  <c:v>5.4419194143262919E-2</c:v>
                </c:pt>
                <c:pt idx="5433">
                  <c:v>5.1722949873512634E-2</c:v>
                </c:pt>
                <c:pt idx="5434">
                  <c:v>5.1722949873512634E-2</c:v>
                </c:pt>
                <c:pt idx="5435">
                  <c:v>5.1722949873512634E-2</c:v>
                </c:pt>
                <c:pt idx="5436">
                  <c:v>5.1722949873512634E-2</c:v>
                </c:pt>
                <c:pt idx="5437">
                  <c:v>5.1722949873512634E-2</c:v>
                </c:pt>
                <c:pt idx="5438">
                  <c:v>5.1722949873512634E-2</c:v>
                </c:pt>
                <c:pt idx="5439">
                  <c:v>5.1722949873512634E-2</c:v>
                </c:pt>
                <c:pt idx="5440">
                  <c:v>5.1722949873512634E-2</c:v>
                </c:pt>
                <c:pt idx="5441">
                  <c:v>5.1722949873512634E-2</c:v>
                </c:pt>
                <c:pt idx="5442">
                  <c:v>5.1722949873512634E-2</c:v>
                </c:pt>
                <c:pt idx="5443">
                  <c:v>5.1722949873512634E-2</c:v>
                </c:pt>
                <c:pt idx="5444">
                  <c:v>5.1722949873512634E-2</c:v>
                </c:pt>
                <c:pt idx="5445">
                  <c:v>5.1722949873512634E-2</c:v>
                </c:pt>
                <c:pt idx="5446">
                  <c:v>5.1722949873512634E-2</c:v>
                </c:pt>
                <c:pt idx="5447">
                  <c:v>5.1722949873512634E-2</c:v>
                </c:pt>
                <c:pt idx="5448">
                  <c:v>5.1722949873512634E-2</c:v>
                </c:pt>
                <c:pt idx="5449">
                  <c:v>5.1722949873512634E-2</c:v>
                </c:pt>
                <c:pt idx="5450">
                  <c:v>5.1722949873512634E-2</c:v>
                </c:pt>
                <c:pt idx="5451">
                  <c:v>5.1722949873512634E-2</c:v>
                </c:pt>
                <c:pt idx="5452">
                  <c:v>5.1722949873512634E-2</c:v>
                </c:pt>
                <c:pt idx="5453">
                  <c:v>5.1722949873512634E-2</c:v>
                </c:pt>
                <c:pt idx="5454">
                  <c:v>5.1722949873512634E-2</c:v>
                </c:pt>
                <c:pt idx="5455">
                  <c:v>5.1722949873512634E-2</c:v>
                </c:pt>
                <c:pt idx="5456">
                  <c:v>5.1722949873512634E-2</c:v>
                </c:pt>
                <c:pt idx="5457">
                  <c:v>5.1722949873512634E-2</c:v>
                </c:pt>
                <c:pt idx="5458">
                  <c:v>5.1722949873512634E-2</c:v>
                </c:pt>
                <c:pt idx="5459">
                  <c:v>5.1722949873512634E-2</c:v>
                </c:pt>
                <c:pt idx="5460">
                  <c:v>5.1722949873512634E-2</c:v>
                </c:pt>
                <c:pt idx="5461">
                  <c:v>5.1722949873512634E-2</c:v>
                </c:pt>
                <c:pt idx="5462">
                  <c:v>5.1722949873512634E-2</c:v>
                </c:pt>
                <c:pt idx="5463">
                  <c:v>5.1722949873512634E-2</c:v>
                </c:pt>
                <c:pt idx="5464">
                  <c:v>5.1722949873512634E-2</c:v>
                </c:pt>
                <c:pt idx="5465">
                  <c:v>5.1722949873512634E-2</c:v>
                </c:pt>
                <c:pt idx="5466">
                  <c:v>5.1722949873512634E-2</c:v>
                </c:pt>
                <c:pt idx="5467">
                  <c:v>5.1722949873512634E-2</c:v>
                </c:pt>
                <c:pt idx="5468">
                  <c:v>5.1722949873512634E-2</c:v>
                </c:pt>
                <c:pt idx="5469">
                  <c:v>5.1722949873512634E-2</c:v>
                </c:pt>
                <c:pt idx="5470">
                  <c:v>5.1722949873512634E-2</c:v>
                </c:pt>
                <c:pt idx="5471">
                  <c:v>5.1722949873512634E-2</c:v>
                </c:pt>
                <c:pt idx="5472">
                  <c:v>5.1722949873512634E-2</c:v>
                </c:pt>
                <c:pt idx="5473">
                  <c:v>5.1722949873512634E-2</c:v>
                </c:pt>
                <c:pt idx="5474">
                  <c:v>5.1722949873512634E-2</c:v>
                </c:pt>
                <c:pt idx="5475">
                  <c:v>5.1722949873512634E-2</c:v>
                </c:pt>
                <c:pt idx="5476">
                  <c:v>5.1722949873512634E-2</c:v>
                </c:pt>
                <c:pt idx="5477">
                  <c:v>5.1722949873512634E-2</c:v>
                </c:pt>
                <c:pt idx="5478">
                  <c:v>5.1722949873512634E-2</c:v>
                </c:pt>
                <c:pt idx="5479">
                  <c:v>5.1722949873512634E-2</c:v>
                </c:pt>
                <c:pt idx="5480">
                  <c:v>5.1722949873512634E-2</c:v>
                </c:pt>
                <c:pt idx="5481">
                  <c:v>5.1722949873512634E-2</c:v>
                </c:pt>
                <c:pt idx="5482">
                  <c:v>5.1722949873512634E-2</c:v>
                </c:pt>
                <c:pt idx="5483">
                  <c:v>5.1722949873512634E-2</c:v>
                </c:pt>
                <c:pt idx="5484">
                  <c:v>5.1722949873512634E-2</c:v>
                </c:pt>
                <c:pt idx="5485">
                  <c:v>5.1722949873512634E-2</c:v>
                </c:pt>
                <c:pt idx="5486">
                  <c:v>5.1722949873512634E-2</c:v>
                </c:pt>
                <c:pt idx="5487">
                  <c:v>5.1722949873512634E-2</c:v>
                </c:pt>
                <c:pt idx="5488">
                  <c:v>5.1722949873512634E-2</c:v>
                </c:pt>
                <c:pt idx="5489">
                  <c:v>5.1722949873512634E-2</c:v>
                </c:pt>
                <c:pt idx="5490">
                  <c:v>5.1722949873512634E-2</c:v>
                </c:pt>
                <c:pt idx="5491">
                  <c:v>5.1722949873512634E-2</c:v>
                </c:pt>
                <c:pt idx="5492">
                  <c:v>5.1722949873512634E-2</c:v>
                </c:pt>
                <c:pt idx="5493">
                  <c:v>5.1722949873512634E-2</c:v>
                </c:pt>
                <c:pt idx="5494">
                  <c:v>5.1722949873512634E-2</c:v>
                </c:pt>
                <c:pt idx="5495">
                  <c:v>5.1722949873512634E-2</c:v>
                </c:pt>
                <c:pt idx="5496">
                  <c:v>5.1722949873512634E-2</c:v>
                </c:pt>
                <c:pt idx="5497">
                  <c:v>5.1722949873512634E-2</c:v>
                </c:pt>
                <c:pt idx="5498">
                  <c:v>5.1722949873512634E-2</c:v>
                </c:pt>
                <c:pt idx="5499">
                  <c:v>5.1722949873512634E-2</c:v>
                </c:pt>
                <c:pt idx="5500">
                  <c:v>5.1722949873512634E-2</c:v>
                </c:pt>
                <c:pt idx="5501">
                  <c:v>5.1722949873512634E-2</c:v>
                </c:pt>
                <c:pt idx="5502">
                  <c:v>5.1722949873512634E-2</c:v>
                </c:pt>
                <c:pt idx="5503">
                  <c:v>5.1722949873512634E-2</c:v>
                </c:pt>
                <c:pt idx="5504">
                  <c:v>5.1722949873512634E-2</c:v>
                </c:pt>
                <c:pt idx="5505">
                  <c:v>5.1722949873512634E-2</c:v>
                </c:pt>
                <c:pt idx="5506">
                  <c:v>5.1722949873512634E-2</c:v>
                </c:pt>
                <c:pt idx="5507">
                  <c:v>5.1722949873512634E-2</c:v>
                </c:pt>
                <c:pt idx="5508">
                  <c:v>5.1722949873512634E-2</c:v>
                </c:pt>
                <c:pt idx="5509">
                  <c:v>5.1722949873512634E-2</c:v>
                </c:pt>
                <c:pt idx="5510">
                  <c:v>5.1722949873512634E-2</c:v>
                </c:pt>
                <c:pt idx="5511">
                  <c:v>5.1722949873512634E-2</c:v>
                </c:pt>
                <c:pt idx="5512">
                  <c:v>5.1722949873512634E-2</c:v>
                </c:pt>
                <c:pt idx="5513">
                  <c:v>5.1722949873512634E-2</c:v>
                </c:pt>
                <c:pt idx="5514">
                  <c:v>5.1722949873512634E-2</c:v>
                </c:pt>
                <c:pt idx="5515">
                  <c:v>5.1722949873512634E-2</c:v>
                </c:pt>
                <c:pt idx="5516">
                  <c:v>5.1722949873512634E-2</c:v>
                </c:pt>
                <c:pt idx="5517">
                  <c:v>5.1722949873512634E-2</c:v>
                </c:pt>
                <c:pt idx="5518">
                  <c:v>5.1722949873512634E-2</c:v>
                </c:pt>
                <c:pt idx="5519">
                  <c:v>5.1722949873512634E-2</c:v>
                </c:pt>
                <c:pt idx="5520">
                  <c:v>5.1722949873512634E-2</c:v>
                </c:pt>
                <c:pt idx="5521">
                  <c:v>5.1722949873512634E-2</c:v>
                </c:pt>
                <c:pt idx="5522">
                  <c:v>5.1722949873512634E-2</c:v>
                </c:pt>
                <c:pt idx="5523">
                  <c:v>5.1722949873512634E-2</c:v>
                </c:pt>
                <c:pt idx="5524">
                  <c:v>5.1722949873512634E-2</c:v>
                </c:pt>
                <c:pt idx="5525">
                  <c:v>5.1722949873512634E-2</c:v>
                </c:pt>
                <c:pt idx="5526">
                  <c:v>5.1722949873512634E-2</c:v>
                </c:pt>
                <c:pt idx="5527">
                  <c:v>5.1722949873512634E-2</c:v>
                </c:pt>
                <c:pt idx="5528">
                  <c:v>5.1722949873512634E-2</c:v>
                </c:pt>
                <c:pt idx="5529">
                  <c:v>5.1722949873512634E-2</c:v>
                </c:pt>
                <c:pt idx="5530">
                  <c:v>5.1722949873512634E-2</c:v>
                </c:pt>
                <c:pt idx="5531">
                  <c:v>5.1722949873512634E-2</c:v>
                </c:pt>
                <c:pt idx="5532">
                  <c:v>5.1722949873512634E-2</c:v>
                </c:pt>
                <c:pt idx="5533">
                  <c:v>5.1722949873512634E-2</c:v>
                </c:pt>
                <c:pt idx="5534">
                  <c:v>5.1722949873512634E-2</c:v>
                </c:pt>
                <c:pt idx="5535">
                  <c:v>5.1722949873512634E-2</c:v>
                </c:pt>
                <c:pt idx="5536">
                  <c:v>5.1722949873512634E-2</c:v>
                </c:pt>
                <c:pt idx="5537">
                  <c:v>5.1722949873512634E-2</c:v>
                </c:pt>
                <c:pt idx="5538">
                  <c:v>5.1722949873512634E-2</c:v>
                </c:pt>
                <c:pt idx="5539">
                  <c:v>5.1722949873512634E-2</c:v>
                </c:pt>
                <c:pt idx="5540">
                  <c:v>5.1722949873512634E-2</c:v>
                </c:pt>
                <c:pt idx="5541">
                  <c:v>5.1722949873512634E-2</c:v>
                </c:pt>
                <c:pt idx="5542">
                  <c:v>5.1722949873512634E-2</c:v>
                </c:pt>
                <c:pt idx="5543">
                  <c:v>5.1722949873512634E-2</c:v>
                </c:pt>
                <c:pt idx="5544">
                  <c:v>5.1722949873512634E-2</c:v>
                </c:pt>
                <c:pt idx="5545">
                  <c:v>5.1722949873512634E-2</c:v>
                </c:pt>
                <c:pt idx="5546">
                  <c:v>5.1722949873512634E-2</c:v>
                </c:pt>
                <c:pt idx="5547">
                  <c:v>5.1722949873512634E-2</c:v>
                </c:pt>
                <c:pt idx="5548">
                  <c:v>5.1722949873512634E-2</c:v>
                </c:pt>
                <c:pt idx="5549">
                  <c:v>5.1722949873512634E-2</c:v>
                </c:pt>
                <c:pt idx="5550">
                  <c:v>5.1722949873512634E-2</c:v>
                </c:pt>
                <c:pt idx="5551">
                  <c:v>5.1722949873512634E-2</c:v>
                </c:pt>
                <c:pt idx="5552">
                  <c:v>5.1722949873512634E-2</c:v>
                </c:pt>
                <c:pt idx="5553">
                  <c:v>5.1722949873512634E-2</c:v>
                </c:pt>
                <c:pt idx="5554">
                  <c:v>5.1722949873512634E-2</c:v>
                </c:pt>
                <c:pt idx="5555">
                  <c:v>5.1722949873512634E-2</c:v>
                </c:pt>
                <c:pt idx="5556">
                  <c:v>5.1722949873512634E-2</c:v>
                </c:pt>
                <c:pt idx="5557">
                  <c:v>5.1722949873512634E-2</c:v>
                </c:pt>
                <c:pt idx="5558">
                  <c:v>5.1722949873512634E-2</c:v>
                </c:pt>
                <c:pt idx="5559">
                  <c:v>5.1722949873512634E-2</c:v>
                </c:pt>
                <c:pt idx="5560">
                  <c:v>5.1722949873512634E-2</c:v>
                </c:pt>
                <c:pt idx="5561">
                  <c:v>5.1722949873512634E-2</c:v>
                </c:pt>
                <c:pt idx="5562">
                  <c:v>5.1722949873512634E-2</c:v>
                </c:pt>
                <c:pt idx="5563">
                  <c:v>5.1722949873512634E-2</c:v>
                </c:pt>
                <c:pt idx="5564">
                  <c:v>5.1722949873512634E-2</c:v>
                </c:pt>
                <c:pt idx="5565">
                  <c:v>5.1722949873512634E-2</c:v>
                </c:pt>
                <c:pt idx="5566">
                  <c:v>5.1722949873512634E-2</c:v>
                </c:pt>
                <c:pt idx="5567">
                  <c:v>5.1722949873512634E-2</c:v>
                </c:pt>
                <c:pt idx="5568">
                  <c:v>5.1722949873512634E-2</c:v>
                </c:pt>
                <c:pt idx="5569">
                  <c:v>5.1722949873512634E-2</c:v>
                </c:pt>
                <c:pt idx="5570">
                  <c:v>5.1722949873512634E-2</c:v>
                </c:pt>
                <c:pt idx="5571">
                  <c:v>5.1722949873512634E-2</c:v>
                </c:pt>
                <c:pt idx="5572">
                  <c:v>5.1722949873512634E-2</c:v>
                </c:pt>
                <c:pt idx="5573">
                  <c:v>5.1722949873512634E-2</c:v>
                </c:pt>
                <c:pt idx="5574">
                  <c:v>5.1722949873512634E-2</c:v>
                </c:pt>
                <c:pt idx="5575">
                  <c:v>5.1722949873512634E-2</c:v>
                </c:pt>
                <c:pt idx="5576">
                  <c:v>5.1722949873512634E-2</c:v>
                </c:pt>
                <c:pt idx="5577">
                  <c:v>5.1722949873512634E-2</c:v>
                </c:pt>
                <c:pt idx="5578">
                  <c:v>5.1722949873512634E-2</c:v>
                </c:pt>
                <c:pt idx="5579">
                  <c:v>5.1722949873512634E-2</c:v>
                </c:pt>
                <c:pt idx="5580">
                  <c:v>5.1722949873512634E-2</c:v>
                </c:pt>
                <c:pt idx="5581">
                  <c:v>5.1722949873512634E-2</c:v>
                </c:pt>
                <c:pt idx="5582">
                  <c:v>5.1722949873512634E-2</c:v>
                </c:pt>
                <c:pt idx="5583">
                  <c:v>5.1722949873512634E-2</c:v>
                </c:pt>
                <c:pt idx="5584">
                  <c:v>5.1722949873512634E-2</c:v>
                </c:pt>
                <c:pt idx="5585">
                  <c:v>5.1722949873512634E-2</c:v>
                </c:pt>
                <c:pt idx="5586">
                  <c:v>5.1722949873512634E-2</c:v>
                </c:pt>
                <c:pt idx="5587">
                  <c:v>5.1722949873512634E-2</c:v>
                </c:pt>
                <c:pt idx="5588">
                  <c:v>5.1722949873512634E-2</c:v>
                </c:pt>
                <c:pt idx="5589">
                  <c:v>5.1722949873512634E-2</c:v>
                </c:pt>
                <c:pt idx="5590">
                  <c:v>5.1722949873512634E-2</c:v>
                </c:pt>
                <c:pt idx="5591">
                  <c:v>5.1722949873512634E-2</c:v>
                </c:pt>
                <c:pt idx="5592">
                  <c:v>5.1722949873512634E-2</c:v>
                </c:pt>
                <c:pt idx="5593">
                  <c:v>5.1722949873512634E-2</c:v>
                </c:pt>
                <c:pt idx="5594">
                  <c:v>5.1722949873512634E-2</c:v>
                </c:pt>
                <c:pt idx="5595">
                  <c:v>5.1722949873512634E-2</c:v>
                </c:pt>
                <c:pt idx="5596">
                  <c:v>5.1722949873512634E-2</c:v>
                </c:pt>
                <c:pt idx="5597">
                  <c:v>5.1722949873512634E-2</c:v>
                </c:pt>
                <c:pt idx="5598">
                  <c:v>5.1722949873512634E-2</c:v>
                </c:pt>
                <c:pt idx="5599">
                  <c:v>5.1722949873512634E-2</c:v>
                </c:pt>
                <c:pt idx="5600">
                  <c:v>5.1722949873512634E-2</c:v>
                </c:pt>
                <c:pt idx="5601">
                  <c:v>5.1722949873512634E-2</c:v>
                </c:pt>
                <c:pt idx="5602">
                  <c:v>5.1722949873512634E-2</c:v>
                </c:pt>
                <c:pt idx="5603">
                  <c:v>5.1722949873512634E-2</c:v>
                </c:pt>
                <c:pt idx="5604">
                  <c:v>5.1722949873512634E-2</c:v>
                </c:pt>
                <c:pt idx="5605">
                  <c:v>5.1722949873512634E-2</c:v>
                </c:pt>
                <c:pt idx="5606">
                  <c:v>5.1722949873512634E-2</c:v>
                </c:pt>
                <c:pt idx="5607">
                  <c:v>5.1722949873512634E-2</c:v>
                </c:pt>
                <c:pt idx="5608">
                  <c:v>5.1722949873512634E-2</c:v>
                </c:pt>
                <c:pt idx="5609">
                  <c:v>5.1722949873512634E-2</c:v>
                </c:pt>
                <c:pt idx="5610">
                  <c:v>5.1722949873512634E-2</c:v>
                </c:pt>
                <c:pt idx="5611">
                  <c:v>5.1722949873512634E-2</c:v>
                </c:pt>
                <c:pt idx="5612">
                  <c:v>5.1722949873512634E-2</c:v>
                </c:pt>
                <c:pt idx="5613">
                  <c:v>5.1722949873512634E-2</c:v>
                </c:pt>
                <c:pt idx="5614">
                  <c:v>5.1722949873512634E-2</c:v>
                </c:pt>
                <c:pt idx="5615">
                  <c:v>5.1722949873512634E-2</c:v>
                </c:pt>
                <c:pt idx="5616">
                  <c:v>5.1722949873512634E-2</c:v>
                </c:pt>
                <c:pt idx="5617">
                  <c:v>5.1722949873512634E-2</c:v>
                </c:pt>
                <c:pt idx="5618">
                  <c:v>5.1722949873512634E-2</c:v>
                </c:pt>
                <c:pt idx="5619">
                  <c:v>5.1722949873512634E-2</c:v>
                </c:pt>
                <c:pt idx="5620">
                  <c:v>5.1722949873512634E-2</c:v>
                </c:pt>
                <c:pt idx="5621">
                  <c:v>5.1722949873512634E-2</c:v>
                </c:pt>
                <c:pt idx="5622">
                  <c:v>5.1722949873512634E-2</c:v>
                </c:pt>
                <c:pt idx="5623">
                  <c:v>5.1722949873512634E-2</c:v>
                </c:pt>
                <c:pt idx="5624">
                  <c:v>5.1722949873512634E-2</c:v>
                </c:pt>
                <c:pt idx="5625">
                  <c:v>5.1722949873512634E-2</c:v>
                </c:pt>
                <c:pt idx="5626">
                  <c:v>5.1722949873512634E-2</c:v>
                </c:pt>
                <c:pt idx="5627">
                  <c:v>5.1722949873512634E-2</c:v>
                </c:pt>
                <c:pt idx="5628">
                  <c:v>5.1722949873512634E-2</c:v>
                </c:pt>
                <c:pt idx="5629">
                  <c:v>5.1722949873512634E-2</c:v>
                </c:pt>
                <c:pt idx="5630">
                  <c:v>5.1722949873512634E-2</c:v>
                </c:pt>
                <c:pt idx="5631">
                  <c:v>5.1722949873512634E-2</c:v>
                </c:pt>
                <c:pt idx="5632">
                  <c:v>5.1722949873512634E-2</c:v>
                </c:pt>
                <c:pt idx="5633">
                  <c:v>5.1722949873512634E-2</c:v>
                </c:pt>
                <c:pt idx="5634">
                  <c:v>5.1722949873512634E-2</c:v>
                </c:pt>
                <c:pt idx="5635">
                  <c:v>5.1722949873512634E-2</c:v>
                </c:pt>
                <c:pt idx="5636">
                  <c:v>5.1722949873512634E-2</c:v>
                </c:pt>
                <c:pt idx="5637">
                  <c:v>5.1722949873512634E-2</c:v>
                </c:pt>
                <c:pt idx="5638">
                  <c:v>5.1722949873512634E-2</c:v>
                </c:pt>
                <c:pt idx="5639">
                  <c:v>5.1722949873512634E-2</c:v>
                </c:pt>
                <c:pt idx="5640">
                  <c:v>5.1722949873512634E-2</c:v>
                </c:pt>
                <c:pt idx="5641">
                  <c:v>5.1722949873512634E-2</c:v>
                </c:pt>
                <c:pt idx="5642">
                  <c:v>5.1722949873512634E-2</c:v>
                </c:pt>
                <c:pt idx="5643">
                  <c:v>5.1722949873512634E-2</c:v>
                </c:pt>
                <c:pt idx="5644">
                  <c:v>5.1722949873512634E-2</c:v>
                </c:pt>
                <c:pt idx="5645">
                  <c:v>5.1722949873512634E-2</c:v>
                </c:pt>
                <c:pt idx="5646">
                  <c:v>5.1722949873512634E-2</c:v>
                </c:pt>
                <c:pt idx="5647">
                  <c:v>5.1722949873512634E-2</c:v>
                </c:pt>
                <c:pt idx="5648">
                  <c:v>5.1722949873512634E-2</c:v>
                </c:pt>
                <c:pt idx="5649">
                  <c:v>5.1722949873512634E-2</c:v>
                </c:pt>
                <c:pt idx="5650">
                  <c:v>5.1722949873512634E-2</c:v>
                </c:pt>
                <c:pt idx="5651">
                  <c:v>5.1722949873512634E-2</c:v>
                </c:pt>
                <c:pt idx="5652">
                  <c:v>5.1722949873512634E-2</c:v>
                </c:pt>
                <c:pt idx="5653">
                  <c:v>5.1722949873512634E-2</c:v>
                </c:pt>
                <c:pt idx="5654">
                  <c:v>5.1722949873512634E-2</c:v>
                </c:pt>
                <c:pt idx="5655">
                  <c:v>5.1722949873512634E-2</c:v>
                </c:pt>
                <c:pt idx="5656">
                  <c:v>5.1722949873512634E-2</c:v>
                </c:pt>
                <c:pt idx="5657">
                  <c:v>5.1722949873512634E-2</c:v>
                </c:pt>
                <c:pt idx="5658">
                  <c:v>5.1722949873512634E-2</c:v>
                </c:pt>
                <c:pt idx="5659">
                  <c:v>5.1722949873512634E-2</c:v>
                </c:pt>
                <c:pt idx="5660">
                  <c:v>5.1722949873512634E-2</c:v>
                </c:pt>
                <c:pt idx="5661">
                  <c:v>5.1722949873512634E-2</c:v>
                </c:pt>
                <c:pt idx="5662">
                  <c:v>5.1722949873512634E-2</c:v>
                </c:pt>
                <c:pt idx="5663">
                  <c:v>5.1722949873512634E-2</c:v>
                </c:pt>
                <c:pt idx="5664">
                  <c:v>5.1722949873512634E-2</c:v>
                </c:pt>
                <c:pt idx="5665">
                  <c:v>5.1722949873512634E-2</c:v>
                </c:pt>
                <c:pt idx="5666">
                  <c:v>5.1722949873512634E-2</c:v>
                </c:pt>
                <c:pt idx="5667">
                  <c:v>5.1722949873512634E-2</c:v>
                </c:pt>
                <c:pt idx="5668">
                  <c:v>5.1722949873512634E-2</c:v>
                </c:pt>
                <c:pt idx="5669">
                  <c:v>5.1722949873512634E-2</c:v>
                </c:pt>
                <c:pt idx="5670">
                  <c:v>5.1722949873512634E-2</c:v>
                </c:pt>
                <c:pt idx="5671">
                  <c:v>5.1722949873512634E-2</c:v>
                </c:pt>
                <c:pt idx="5672">
                  <c:v>5.1722949873512634E-2</c:v>
                </c:pt>
                <c:pt idx="5673">
                  <c:v>5.1722949873512634E-2</c:v>
                </c:pt>
                <c:pt idx="5674">
                  <c:v>5.1722949873512634E-2</c:v>
                </c:pt>
                <c:pt idx="5675">
                  <c:v>5.1722949873512634E-2</c:v>
                </c:pt>
                <c:pt idx="5676">
                  <c:v>5.1722949873512634E-2</c:v>
                </c:pt>
                <c:pt idx="5677">
                  <c:v>5.1722949873512634E-2</c:v>
                </c:pt>
                <c:pt idx="5678">
                  <c:v>5.1722949873512634E-2</c:v>
                </c:pt>
                <c:pt idx="5679">
                  <c:v>5.1722949873512634E-2</c:v>
                </c:pt>
                <c:pt idx="5680">
                  <c:v>4.8177270441521786E-2</c:v>
                </c:pt>
                <c:pt idx="5681">
                  <c:v>4.8177270441521786E-2</c:v>
                </c:pt>
                <c:pt idx="5682">
                  <c:v>4.8177270441521786E-2</c:v>
                </c:pt>
                <c:pt idx="5683">
                  <c:v>4.8177270441521786E-2</c:v>
                </c:pt>
                <c:pt idx="5684">
                  <c:v>4.8177270441521786E-2</c:v>
                </c:pt>
                <c:pt idx="5685">
                  <c:v>4.8177270441521786E-2</c:v>
                </c:pt>
                <c:pt idx="5686">
                  <c:v>4.8177270441521786E-2</c:v>
                </c:pt>
                <c:pt idx="5687">
                  <c:v>4.8177270441521786E-2</c:v>
                </c:pt>
                <c:pt idx="5688">
                  <c:v>4.8177270441521786E-2</c:v>
                </c:pt>
                <c:pt idx="5689">
                  <c:v>4.8177270441521786E-2</c:v>
                </c:pt>
                <c:pt idx="5690">
                  <c:v>4.8177270441521786E-2</c:v>
                </c:pt>
                <c:pt idx="5691">
                  <c:v>4.8177270441521786E-2</c:v>
                </c:pt>
                <c:pt idx="5692">
                  <c:v>4.8177270441521786E-2</c:v>
                </c:pt>
                <c:pt idx="5693">
                  <c:v>4.8177270441521786E-2</c:v>
                </c:pt>
                <c:pt idx="5694">
                  <c:v>4.8177270441521786E-2</c:v>
                </c:pt>
                <c:pt idx="5695">
                  <c:v>4.8177270441521786E-2</c:v>
                </c:pt>
                <c:pt idx="5696">
                  <c:v>4.8177270441521786E-2</c:v>
                </c:pt>
                <c:pt idx="5697">
                  <c:v>4.8177270441521786E-2</c:v>
                </c:pt>
                <c:pt idx="5698">
                  <c:v>4.8177270441521786E-2</c:v>
                </c:pt>
                <c:pt idx="5699">
                  <c:v>4.8177270441521786E-2</c:v>
                </c:pt>
                <c:pt idx="5700">
                  <c:v>4.8177270441521786E-2</c:v>
                </c:pt>
                <c:pt idx="5701">
                  <c:v>4.8177270441521786E-2</c:v>
                </c:pt>
                <c:pt idx="5702">
                  <c:v>4.8177270441521786E-2</c:v>
                </c:pt>
                <c:pt idx="5703">
                  <c:v>4.8177270441521786E-2</c:v>
                </c:pt>
                <c:pt idx="5704">
                  <c:v>4.8177270441521786E-2</c:v>
                </c:pt>
                <c:pt idx="5705">
                  <c:v>4.8177270441521786E-2</c:v>
                </c:pt>
                <c:pt idx="5706">
                  <c:v>4.8177270441521786E-2</c:v>
                </c:pt>
                <c:pt idx="5707">
                  <c:v>4.8177270441521786E-2</c:v>
                </c:pt>
                <c:pt idx="5708">
                  <c:v>4.8177270441521786E-2</c:v>
                </c:pt>
                <c:pt idx="5709">
                  <c:v>4.8177270441521786E-2</c:v>
                </c:pt>
                <c:pt idx="5710">
                  <c:v>4.8177270441521786E-2</c:v>
                </c:pt>
                <c:pt idx="5711">
                  <c:v>4.8177270441521786E-2</c:v>
                </c:pt>
                <c:pt idx="5712">
                  <c:v>4.8177270441521786E-2</c:v>
                </c:pt>
                <c:pt idx="5713">
                  <c:v>4.8177270441521786E-2</c:v>
                </c:pt>
                <c:pt idx="5714">
                  <c:v>4.8177270441521786E-2</c:v>
                </c:pt>
                <c:pt idx="5715">
                  <c:v>4.8177270441521786E-2</c:v>
                </c:pt>
                <c:pt idx="5716">
                  <c:v>4.8177270441521786E-2</c:v>
                </c:pt>
                <c:pt idx="5717">
                  <c:v>4.8177270441521786E-2</c:v>
                </c:pt>
                <c:pt idx="5718">
                  <c:v>4.8177270441521786E-2</c:v>
                </c:pt>
                <c:pt idx="5719">
                  <c:v>4.8177270441521786E-2</c:v>
                </c:pt>
                <c:pt idx="5720">
                  <c:v>4.8177270441521786E-2</c:v>
                </c:pt>
                <c:pt idx="5721">
                  <c:v>4.8177270441521786E-2</c:v>
                </c:pt>
                <c:pt idx="5722">
                  <c:v>4.8177270441521786E-2</c:v>
                </c:pt>
                <c:pt idx="5723">
                  <c:v>4.8177270441521786E-2</c:v>
                </c:pt>
                <c:pt idx="5724">
                  <c:v>4.8177270441521786E-2</c:v>
                </c:pt>
                <c:pt idx="5725">
                  <c:v>4.8177270441521786E-2</c:v>
                </c:pt>
                <c:pt idx="5726">
                  <c:v>4.8177270441521786E-2</c:v>
                </c:pt>
                <c:pt idx="5727">
                  <c:v>4.8177270441521786E-2</c:v>
                </c:pt>
                <c:pt idx="5728">
                  <c:v>4.8177270441521786E-2</c:v>
                </c:pt>
                <c:pt idx="5729">
                  <c:v>4.8177270441521786E-2</c:v>
                </c:pt>
                <c:pt idx="5730">
                  <c:v>4.8177270441521786E-2</c:v>
                </c:pt>
                <c:pt idx="5731">
                  <c:v>4.8177270441521786E-2</c:v>
                </c:pt>
                <c:pt idx="5732">
                  <c:v>4.8177270441521786E-2</c:v>
                </c:pt>
                <c:pt idx="5733">
                  <c:v>4.8177270441521786E-2</c:v>
                </c:pt>
                <c:pt idx="5734">
                  <c:v>4.8177270441521786E-2</c:v>
                </c:pt>
                <c:pt idx="5735">
                  <c:v>4.8177270441521786E-2</c:v>
                </c:pt>
                <c:pt idx="5736">
                  <c:v>4.8177270441521786E-2</c:v>
                </c:pt>
                <c:pt idx="5737">
                  <c:v>4.8177270441521786E-2</c:v>
                </c:pt>
                <c:pt idx="5738">
                  <c:v>4.8177270441521786E-2</c:v>
                </c:pt>
                <c:pt idx="5739">
                  <c:v>4.8177270441521786E-2</c:v>
                </c:pt>
                <c:pt idx="5740">
                  <c:v>4.8177270441521786E-2</c:v>
                </c:pt>
                <c:pt idx="5741">
                  <c:v>4.8177270441521786E-2</c:v>
                </c:pt>
                <c:pt idx="5742">
                  <c:v>4.8177270441521786E-2</c:v>
                </c:pt>
                <c:pt idx="5743">
                  <c:v>4.8177270441521786E-2</c:v>
                </c:pt>
                <c:pt idx="5744">
                  <c:v>4.8177270441521786E-2</c:v>
                </c:pt>
                <c:pt idx="5745">
                  <c:v>4.8177270441521786E-2</c:v>
                </c:pt>
                <c:pt idx="5746">
                  <c:v>4.8177270441521786E-2</c:v>
                </c:pt>
                <c:pt idx="5747">
                  <c:v>4.8177270441521786E-2</c:v>
                </c:pt>
                <c:pt idx="5748">
                  <c:v>4.8177270441521786E-2</c:v>
                </c:pt>
                <c:pt idx="5749">
                  <c:v>4.8177270441521786E-2</c:v>
                </c:pt>
                <c:pt idx="5750">
                  <c:v>4.8177270441521786E-2</c:v>
                </c:pt>
                <c:pt idx="5751">
                  <c:v>4.8177270441521786E-2</c:v>
                </c:pt>
                <c:pt idx="5752">
                  <c:v>4.8177270441521786E-2</c:v>
                </c:pt>
                <c:pt idx="5753">
                  <c:v>4.8177270441521786E-2</c:v>
                </c:pt>
                <c:pt idx="5754">
                  <c:v>4.8177270441521786E-2</c:v>
                </c:pt>
                <c:pt idx="5755">
                  <c:v>4.8177270441521786E-2</c:v>
                </c:pt>
                <c:pt idx="5756">
                  <c:v>4.8177270441521786E-2</c:v>
                </c:pt>
                <c:pt idx="5757">
                  <c:v>4.8177270441521786E-2</c:v>
                </c:pt>
                <c:pt idx="5758">
                  <c:v>4.8177270441521786E-2</c:v>
                </c:pt>
                <c:pt idx="5759">
                  <c:v>4.8177270441521786E-2</c:v>
                </c:pt>
                <c:pt idx="5760">
                  <c:v>4.8177270441521786E-2</c:v>
                </c:pt>
                <c:pt idx="5761">
                  <c:v>4.8177270441521786E-2</c:v>
                </c:pt>
                <c:pt idx="5762">
                  <c:v>4.8177270441521786E-2</c:v>
                </c:pt>
                <c:pt idx="5763">
                  <c:v>4.8177270441521786E-2</c:v>
                </c:pt>
                <c:pt idx="5764">
                  <c:v>4.8177270441521786E-2</c:v>
                </c:pt>
                <c:pt idx="5765">
                  <c:v>4.8177270441521786E-2</c:v>
                </c:pt>
                <c:pt idx="5766">
                  <c:v>4.8177270441521786E-2</c:v>
                </c:pt>
                <c:pt idx="5767">
                  <c:v>4.8177270441521786E-2</c:v>
                </c:pt>
                <c:pt idx="5768">
                  <c:v>4.8177270441521786E-2</c:v>
                </c:pt>
                <c:pt idx="5769">
                  <c:v>4.8177270441521786E-2</c:v>
                </c:pt>
                <c:pt idx="5770">
                  <c:v>4.8177270441521786E-2</c:v>
                </c:pt>
                <c:pt idx="5771">
                  <c:v>4.8177270441521786E-2</c:v>
                </c:pt>
                <c:pt idx="5772">
                  <c:v>4.8177270441521786E-2</c:v>
                </c:pt>
                <c:pt idx="5773">
                  <c:v>4.8177270441521786E-2</c:v>
                </c:pt>
                <c:pt idx="5774">
                  <c:v>4.8177270441521786E-2</c:v>
                </c:pt>
                <c:pt idx="5775">
                  <c:v>4.8177270441521786E-2</c:v>
                </c:pt>
                <c:pt idx="5776">
                  <c:v>4.8177270441521786E-2</c:v>
                </c:pt>
                <c:pt idx="5777">
                  <c:v>4.8177270441521786E-2</c:v>
                </c:pt>
                <c:pt idx="5778">
                  <c:v>4.8177270441521786E-2</c:v>
                </c:pt>
                <c:pt idx="5779">
                  <c:v>4.8177270441521786E-2</c:v>
                </c:pt>
                <c:pt idx="5780">
                  <c:v>4.8177270441521786E-2</c:v>
                </c:pt>
                <c:pt idx="5781">
                  <c:v>4.8177270441521786E-2</c:v>
                </c:pt>
                <c:pt idx="5782">
                  <c:v>4.8177270441521786E-2</c:v>
                </c:pt>
                <c:pt idx="5783">
                  <c:v>4.8177270441521786E-2</c:v>
                </c:pt>
                <c:pt idx="5784">
                  <c:v>4.8177270441521786E-2</c:v>
                </c:pt>
                <c:pt idx="5785">
                  <c:v>4.8177270441521786E-2</c:v>
                </c:pt>
                <c:pt idx="5786">
                  <c:v>4.8177270441521786E-2</c:v>
                </c:pt>
                <c:pt idx="5787">
                  <c:v>4.8177270441521786E-2</c:v>
                </c:pt>
                <c:pt idx="5788">
                  <c:v>4.3977326252400403E-2</c:v>
                </c:pt>
                <c:pt idx="5789">
                  <c:v>4.3977326252400403E-2</c:v>
                </c:pt>
                <c:pt idx="5790">
                  <c:v>4.3977326252400403E-2</c:v>
                </c:pt>
                <c:pt idx="5791">
                  <c:v>4.3977326252400403E-2</c:v>
                </c:pt>
                <c:pt idx="5792">
                  <c:v>4.3977326252400403E-2</c:v>
                </c:pt>
                <c:pt idx="5793">
                  <c:v>4.3977326252400403E-2</c:v>
                </c:pt>
                <c:pt idx="5794">
                  <c:v>4.3977326252400403E-2</c:v>
                </c:pt>
                <c:pt idx="5795">
                  <c:v>4.3977326252400403E-2</c:v>
                </c:pt>
                <c:pt idx="5796">
                  <c:v>4.3977326252400403E-2</c:v>
                </c:pt>
                <c:pt idx="5797">
                  <c:v>4.3977326252400403E-2</c:v>
                </c:pt>
                <c:pt idx="5798">
                  <c:v>4.3977326252400403E-2</c:v>
                </c:pt>
                <c:pt idx="5799">
                  <c:v>4.3977326252400403E-2</c:v>
                </c:pt>
                <c:pt idx="5800">
                  <c:v>4.3977326252400403E-2</c:v>
                </c:pt>
                <c:pt idx="5801">
                  <c:v>4.3977326252400403E-2</c:v>
                </c:pt>
                <c:pt idx="5802">
                  <c:v>4.3977326252400403E-2</c:v>
                </c:pt>
                <c:pt idx="5803">
                  <c:v>4.3977326252400403E-2</c:v>
                </c:pt>
                <c:pt idx="5804">
                  <c:v>4.3977326252400403E-2</c:v>
                </c:pt>
                <c:pt idx="5805">
                  <c:v>4.3977326252400403E-2</c:v>
                </c:pt>
                <c:pt idx="5806">
                  <c:v>4.3977326252400403E-2</c:v>
                </c:pt>
                <c:pt idx="5807">
                  <c:v>4.3977326252400403E-2</c:v>
                </c:pt>
                <c:pt idx="5808">
                  <c:v>4.3977326252400403E-2</c:v>
                </c:pt>
                <c:pt idx="5809">
                  <c:v>4.3977326252400403E-2</c:v>
                </c:pt>
                <c:pt idx="5810">
                  <c:v>4.3977326252400403E-2</c:v>
                </c:pt>
                <c:pt idx="5811">
                  <c:v>4.3977326252400403E-2</c:v>
                </c:pt>
                <c:pt idx="5812">
                  <c:v>4.3977326252400403E-2</c:v>
                </c:pt>
                <c:pt idx="5813">
                  <c:v>4.3977326252400403E-2</c:v>
                </c:pt>
                <c:pt idx="5814">
                  <c:v>4.3977326252400403E-2</c:v>
                </c:pt>
                <c:pt idx="5815">
                  <c:v>4.3977326252400403E-2</c:v>
                </c:pt>
                <c:pt idx="5816">
                  <c:v>4.3977326252400403E-2</c:v>
                </c:pt>
                <c:pt idx="5817">
                  <c:v>4.3977326252400403E-2</c:v>
                </c:pt>
                <c:pt idx="5818">
                  <c:v>4.3977326252400403E-2</c:v>
                </c:pt>
                <c:pt idx="5819">
                  <c:v>4.3977326252400403E-2</c:v>
                </c:pt>
                <c:pt idx="5820">
                  <c:v>4.3977326252400403E-2</c:v>
                </c:pt>
                <c:pt idx="5821">
                  <c:v>4.3977326252400403E-2</c:v>
                </c:pt>
                <c:pt idx="5822">
                  <c:v>4.3977326252400403E-2</c:v>
                </c:pt>
                <c:pt idx="5823">
                  <c:v>4.3977326252400403E-2</c:v>
                </c:pt>
                <c:pt idx="5824">
                  <c:v>4.3977326252400403E-2</c:v>
                </c:pt>
                <c:pt idx="5825">
                  <c:v>4.3977326252400403E-2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DF-4690-A874-0E8795C5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889136"/>
        <c:axId val="776892416"/>
      </c:scatterChart>
      <c:valAx>
        <c:axId val="77688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92416"/>
        <c:crosses val="autoZero"/>
        <c:crossBetween val="midCat"/>
      </c:valAx>
      <c:valAx>
        <c:axId val="7768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8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Random</a:t>
            </a:r>
            <a:r>
              <a:rPr lang="en-GB" baseline="0"/>
              <a:t> vs Good dad wins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13-4B97-96A8-18A22F565E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13-4B97-96A8-18A22F565E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'Gooddad80-20(PickWin) vs Random'!$F$4:$F$5</c:f>
              <c:strCache>
                <c:ptCount val="2"/>
                <c:pt idx="0">
                  <c:v>Random wins</c:v>
                </c:pt>
                <c:pt idx="1">
                  <c:v>Good dad wins</c:v>
                </c:pt>
              </c:strCache>
            </c:strRef>
          </c:cat>
          <c:val>
            <c:numRef>
              <c:f>'Gooddad80-20(PickWin) vs Random'!$G$4:$G$5</c:f>
              <c:numCache>
                <c:formatCode>General</c:formatCode>
                <c:ptCount val="2"/>
                <c:pt idx="0">
                  <c:v>17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0-401A-9A99-3A5157ABE18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(pick win) vs MCTS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6E-4FB9-8E58-860ED08959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6E-4FB9-8E58-860ED0895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'Gooddad80-20(PickWin) vs MCTS'!$F$4:$F$5</c:f>
              <c:strCache>
                <c:ptCount val="2"/>
                <c:pt idx="0">
                  <c:v>MCTS wins</c:v>
                </c:pt>
                <c:pt idx="1">
                  <c:v>Good dad wins</c:v>
                </c:pt>
              </c:strCache>
            </c:strRef>
          </c:cat>
          <c:val>
            <c:numRef>
              <c:f>'Gooddad80-20(PickWin) vs MCTS'!$G$4:$G$5</c:f>
              <c:numCache>
                <c:formatCode>General</c:formatCode>
                <c:ptCount val="2"/>
                <c:pt idx="0">
                  <c:v>43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8-46DD-9D75-382325BC73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42862</xdr:rowOff>
    </xdr:from>
    <xdr:to>
      <xdr:col>8</xdr:col>
      <xdr:colOff>342900</xdr:colOff>
      <xdr:row>17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6276A-623E-4523-BBB9-E6E2E1B41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89647</xdr:colOff>
      <xdr:row>19</xdr:row>
      <xdr:rowOff>101973</xdr:rowOff>
    </xdr:from>
    <xdr:to>
      <xdr:col>23</xdr:col>
      <xdr:colOff>425823</xdr:colOff>
      <xdr:row>33</xdr:row>
      <xdr:rowOff>178173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D1AF16-81C3-4915-AAB5-6C6736FE7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11205</xdr:colOff>
      <xdr:row>3</xdr:row>
      <xdr:rowOff>67236</xdr:rowOff>
    </xdr:from>
    <xdr:to>
      <xdr:col>23</xdr:col>
      <xdr:colOff>347381</xdr:colOff>
      <xdr:row>17</xdr:row>
      <xdr:rowOff>143436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3FA6E-B8E4-42BA-A894-3E3CD2DF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89</xdr:col>
      <xdr:colOff>195262</xdr:colOff>
      <xdr:row>4</xdr:row>
      <xdr:rowOff>23812</xdr:rowOff>
    </xdr:from>
    <xdr:to>
      <xdr:col>96</xdr:col>
      <xdr:colOff>500062</xdr:colOff>
      <xdr:row>18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FCC0-C670-43D6-AE7D-C1BCC9849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146</xdr:col>
      <xdr:colOff>333375</xdr:colOff>
      <xdr:row>13</xdr:row>
      <xdr:rowOff>14287</xdr:rowOff>
    </xdr:from>
    <xdr:to>
      <xdr:col>154</xdr:col>
      <xdr:colOff>28575</xdr:colOff>
      <xdr:row>27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701AD8-9A75-4BAB-8713-4F87DAAD57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195262</xdr:colOff>
      <xdr:row>6</xdr:row>
      <xdr:rowOff>14287</xdr:rowOff>
    </xdr:from>
    <xdr:to>
      <xdr:col>11</xdr:col>
      <xdr:colOff>500062</xdr:colOff>
      <xdr:row>20</xdr:row>
      <xdr:rowOff>90487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883A0FD-CB8C-4B27-A5A8-9D9328194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141</xdr:col>
      <xdr:colOff>528637</xdr:colOff>
      <xdr:row>4</xdr:row>
      <xdr:rowOff>90487</xdr:rowOff>
    </xdr:from>
    <xdr:to>
      <xdr:col>149</xdr:col>
      <xdr:colOff>223837</xdr:colOff>
      <xdr:row>18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C93378-DC9F-4E77-B586-5D4295779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</xdr:row>
      <xdr:rowOff>100012</xdr:rowOff>
    </xdr:from>
    <xdr:to>
      <xdr:col>11</xdr:col>
      <xdr:colOff>285750</xdr:colOff>
      <xdr:row>22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FC665C-1BDD-4089-94E9-E1003CDBD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204787</xdr:colOff>
      <xdr:row>7</xdr:row>
      <xdr:rowOff>176212</xdr:rowOff>
    </xdr:from>
    <xdr:to>
      <xdr:col>11</xdr:col>
      <xdr:colOff>509587</xdr:colOff>
      <xdr:row>22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D7C00-36DB-434D-8176-CEAA88EA2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347</xdr:col>
      <xdr:colOff>490537</xdr:colOff>
      <xdr:row>37</xdr:row>
      <xdr:rowOff>100012</xdr:rowOff>
    </xdr:from>
    <xdr:to>
      <xdr:col>354</xdr:col>
      <xdr:colOff>547687</xdr:colOff>
      <xdr:row>51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65FB23-A91D-4CB9-A9B5-8B6234370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361</xdr:col>
      <xdr:colOff>171450</xdr:colOff>
      <xdr:row>37</xdr:row>
      <xdr:rowOff>147637</xdr:rowOff>
    </xdr:from>
    <xdr:to>
      <xdr:col>367</xdr:col>
      <xdr:colOff>523875</xdr:colOff>
      <xdr:row>52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483405-125A-46E8-9B5F-5DC60E121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355</xdr:col>
      <xdr:colOff>61912</xdr:colOff>
      <xdr:row>37</xdr:row>
      <xdr:rowOff>138112</xdr:rowOff>
    </xdr:from>
    <xdr:to>
      <xdr:col>360</xdr:col>
      <xdr:colOff>862012</xdr:colOff>
      <xdr:row>52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54D6E03-C7B8-4E26-8DB2-CC793C5D6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300037</xdr:colOff>
      <xdr:row>7</xdr:row>
      <xdr:rowOff>185737</xdr:rowOff>
    </xdr:from>
    <xdr:to>
      <xdr:col>14</xdr:col>
      <xdr:colOff>233362</xdr:colOff>
      <xdr:row>22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24FB3F-6021-4C0B-A314-E3CF19608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576262</xdr:colOff>
      <xdr:row>0</xdr:row>
      <xdr:rowOff>33337</xdr:rowOff>
    </xdr:from>
    <xdr:to>
      <xdr:col>31</xdr:col>
      <xdr:colOff>271462</xdr:colOff>
      <xdr:row>14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82B251-44E1-4030-93B4-A251016AA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385762</xdr:colOff>
      <xdr:row>3</xdr:row>
      <xdr:rowOff>109537</xdr:rowOff>
    </xdr:from>
    <xdr:to>
      <xdr:col>17</xdr:col>
      <xdr:colOff>347662</xdr:colOff>
      <xdr:row>17</xdr:row>
      <xdr:rowOff>185737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90C6D81-C9F6-4967-9607-68E686E52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1671637</xdr:colOff>
      <xdr:row>17</xdr:row>
      <xdr:rowOff>109537</xdr:rowOff>
    </xdr:from>
    <xdr:to>
      <xdr:col>9</xdr:col>
      <xdr:colOff>233362</xdr:colOff>
      <xdr:row>31</xdr:row>
      <xdr:rowOff>185737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953223-E977-49D9-B647-E53B20318F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166687</xdr:colOff>
      <xdr:row>28</xdr:row>
      <xdr:rowOff>14287</xdr:rowOff>
    </xdr:from>
    <xdr:to>
      <xdr:col>5</xdr:col>
      <xdr:colOff>3195637</xdr:colOff>
      <xdr:row>42</xdr:row>
      <xdr:rowOff>90487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F59BFF1-CFA4-4729-8CC1-80C2704FF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3</xdr:row>
      <xdr:rowOff>66675</xdr:rowOff>
    </xdr:from>
    <xdr:to>
      <xdr:col>10</xdr:col>
      <xdr:colOff>595312</xdr:colOff>
      <xdr:row>17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88AF4C-7347-4AFF-A5D0-43C0805A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2078</xdr:row>
      <xdr:rowOff>176212</xdr:rowOff>
    </xdr:from>
    <xdr:to>
      <xdr:col>15</xdr:col>
      <xdr:colOff>371475</xdr:colOff>
      <xdr:row>2093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0F5F64-D56B-42F5-A092-1F7B13222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6D5627-832C-4828-84D8-03F6A1EC9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542925</xdr:colOff>
      <xdr:row>16</xdr:row>
      <xdr:rowOff>123825</xdr:rowOff>
    </xdr:from>
    <xdr:to>
      <xdr:col>18</xdr:col>
      <xdr:colOff>238125</xdr:colOff>
      <xdr:row>31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08CF8FD-608C-4113-BC4F-3822DE951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371475</xdr:colOff>
      <xdr:row>12</xdr:row>
      <xdr:rowOff>152400</xdr:rowOff>
    </xdr:from>
    <xdr:to>
      <xdr:col>11</xdr:col>
      <xdr:colOff>142875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2997E-313C-4CB5-91AD-01747257E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47625</xdr:rowOff>
    </xdr:from>
    <xdr:to>
      <xdr:col>7</xdr:col>
      <xdr:colOff>133350</xdr:colOff>
      <xdr:row>18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8B2805-9AC4-4236-8B7C-3EDB7A32F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17</xdr:col>
      <xdr:colOff>304800</xdr:colOff>
      <xdr:row>14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2AEB5D-8139-4895-9B4B-446B59605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13</xdr:row>
      <xdr:rowOff>180975</xdr:rowOff>
    </xdr:from>
    <xdr:to>
      <xdr:col>12</xdr:col>
      <xdr:colOff>390525</xdr:colOff>
      <xdr:row>28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BB475D-B74F-4AD4-B16B-B6C10B98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5</xdr:row>
      <xdr:rowOff>133350</xdr:rowOff>
    </xdr:from>
    <xdr:to>
      <xdr:col>10</xdr:col>
      <xdr:colOff>328612</xdr:colOff>
      <xdr:row>20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4D2D36-DA5D-4522-BFF3-34C4D3701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4</xdr:row>
      <xdr:rowOff>14287</xdr:rowOff>
    </xdr:from>
    <xdr:to>
      <xdr:col>10</xdr:col>
      <xdr:colOff>595312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CD3209-48DD-423B-B383-5BB0855A0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9170EE-D3AD-49D7-834F-94A8D83FE7A5}" autoFormatId="16" applyNumberFormats="0" applyBorderFormats="0" applyFontFormats="0" applyPatternFormats="0" applyAlignmentFormats="0" applyWidthHeightFormats="0">
  <queryTableRefresh nextId="5">
    <queryTableFields count="3">
      <queryTableField id="2" name="PlayerOne" tableColumnId="2"/>
      <queryTableField id="3" name="PlayerTwo" tableColumnId="3"/>
      <queryTableField id="4" name="Winner" tableColumnId="4"/>
    </queryTableFields>
    <queryTableDeletedFields count="1">
      <deletedField name="GameN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7D4899-7097-43C1-8CC1-B7F74F5DD6E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9A2C0D2-CB4E-4BB2-996E-05255E02C4E6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C739E52-908F-4B2F-90C3-400F7B4C2FC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1A32E632-4A7E-49DC-8675-115186F81969}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2" name="PlayerOne" tableColumnId="2"/>
      <queryTableField id="3" name="PlayerTwo" tableColumnId="3"/>
      <queryTableField id="4" name="Winner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  <queryTableDeletedFields count="1">
      <deletedField name="GameNo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010094F-576C-49E2-A339-06480F3D7360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C66D82B-734C-414B-943E-CD2144E93F23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1"/>
    </queryTableFields>
    <queryTableDeletedFields count="2">
      <deletedField name="id"/>
      <deletedField name="Place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81BB7E9F-8448-4232-AB97-FA91CCA3A465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5"/>
    </queryTableFields>
    <queryTableDeletedFields count="2">
      <deletedField name="id"/>
      <deletedField name="Place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6D83774E-627E-4A7D-A381-E0DF9E7EB84F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5"/>
    </queryTableFields>
    <queryTableDeletedFields count="2">
      <deletedField name="Place"/>
      <deletedField name="id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C282E368-8D12-4262-9CE7-197C4BBF866B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B443BD0-D39B-497B-BE77-EE19B5EC36C8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FFC0BB-9566-41F3-8C98-B81945A8D9B4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32FE1C3-DEAB-4B52-9BC2-81C9B60DA6D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3B286-3BEB-4C65-B6B4-7FC218905B36}" name="Good_dad_80_20_vs_random" displayName="Good_dad_80_20_vs_random" ref="A1:C51" tableType="queryTable" totalsRowShown="0">
  <autoFilter ref="A1:C51" xr:uid="{5D8DA220-E546-4B4F-A919-C8A82EDD0327}"/>
  <tableColumns count="3">
    <tableColumn id="2" xr3:uid="{A49B3239-30B9-475C-8EC7-26D2B375335A}" uniqueName="2" name="PlayerOne" queryTableFieldId="2"/>
    <tableColumn id="3" xr3:uid="{369A0DB0-B2DE-4295-A8E1-C3F7397674B3}" uniqueName="3" name="PlayerTwo" queryTableFieldId="3"/>
    <tableColumn id="4" xr3:uid="{C03C3EEC-D1FF-492A-A053-8C3A8C42F5BC}" uniqueName="4" name="Winner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FDA52-751A-4009-A0F0-E6219CBD9515}" name="Good_dad_80_20_vs_MCTS" displayName="Good_dad_80_20_vs_MCTS" ref="A1:C51" tableType="queryTable" totalsRowShown="0">
  <autoFilter ref="A1:C51" xr:uid="{B449DFFA-F906-48A1-A308-03D96F95B6C6}"/>
  <tableColumns count="3">
    <tableColumn id="1" xr3:uid="{9EF75994-29EA-42A4-B963-6875B4831197}" uniqueName="1" name="PlayerOne" queryTableFieldId="1"/>
    <tableColumn id="2" xr3:uid="{6E2E4546-A21B-491C-8059-A8EDB57955C4}" uniqueName="2" name="PlayerTwo" queryTableFieldId="2"/>
    <tableColumn id="3" xr3:uid="{C5CA3316-DBDB-487A-91B3-EB0D6FFF42C7}" uniqueName="3" name="Winner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B1C2F4-AFD6-40F4-B487-9E31FEE166BF}" name="Good_dad_80_20_vs_MineField" displayName="Good_dad_80_20_vs_MineField" ref="A1:C51" tableType="queryTable" totalsRowShown="0">
  <autoFilter ref="A1:C51" xr:uid="{99DBE411-0094-4E80-B2D2-4D3255CF018B}"/>
  <tableColumns count="3">
    <tableColumn id="1" xr3:uid="{374B2A35-7C15-4AED-83BD-49E95B9EB3C0}" uniqueName="1" name="PlayerOne" queryTableFieldId="1"/>
    <tableColumn id="2" xr3:uid="{120841BE-286E-4F42-9C86-6DA55F391985}" uniqueName="2" name="PlayerTwo" queryTableFieldId="2"/>
    <tableColumn id="3" xr3:uid="{7F1B1FB0-5976-459F-8CB6-DC971CF5B0F0}" uniqueName="3" name="Winner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E9554C-CB98-47D5-BD90-DD94571B8DB7}" name="Good_dad_v2_vs_Random" displayName="Good_dad_v2_vs_Random" ref="A1:C51" tableType="queryTable" totalsRowShown="0">
  <autoFilter ref="A1:C51" xr:uid="{85D3DF4B-EAAC-4CF9-9E24-89D1B5245B4B}"/>
  <tableColumns count="3">
    <tableColumn id="1" xr3:uid="{01DC9441-5DF9-4B7E-8514-90C29C8FA93A}" uniqueName="1" name="PlayerOne" queryTableFieldId="1"/>
    <tableColumn id="2" xr3:uid="{E263A0CA-C3DF-4DFD-B723-4780A25052B2}" uniqueName="2" name="PlayerTwo" queryTableFieldId="2"/>
    <tableColumn id="3" xr3:uid="{E10D6FCA-E48B-4442-8724-63F6BC77A68B}" uniqueName="3" name="Winner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3F92E7-5CA8-49DA-A02C-CDE091358139}" name="Query2" displayName="Query2" ref="A1:G25" tableType="queryTable" totalsRowShown="0">
  <autoFilter ref="A1:G25" xr:uid="{AA4FA310-FF64-4030-B548-6870BDFA6E6C}"/>
  <tableColumns count="7">
    <tableColumn id="2" xr3:uid="{13CE2731-87E2-46EF-8190-45B43DB7C0BB}" uniqueName="2" name="PlayerOne" queryTableFieldId="2"/>
    <tableColumn id="3" xr3:uid="{9A6AC3CB-8C44-4897-8666-4624A264E93D}" uniqueName="3" name="PlayerTwo" queryTableFieldId="3"/>
    <tableColumn id="4" xr3:uid="{C5E7C1DB-ED70-4A71-9A34-131DCD76E1F9}" uniqueName="4" name="Winner" queryTableFieldId="4"/>
    <tableColumn id="5" xr3:uid="{FC88EABB-62E5-419D-AF37-A21BE99DEB5C}" uniqueName="5" name="How enjoyable was the game?" queryTableFieldId="5"/>
    <tableColumn id="6" xr3:uid="{7D8AA674-8909-4F65-A723-84EB8316B772}" uniqueName="6" name="How difficult did you find the opponent?" queryTableFieldId="6"/>
    <tableColumn id="7" xr3:uid="{5A3159EC-335D-4310-B64F-C1F502DA4AF7}" uniqueName="7" name="Do you have any comments on the opponents performance" queryTableFieldId="7"/>
    <tableColumn id="8" xr3:uid="{ADF8CB1D-638A-432E-92C7-96BC46E2A50B}" uniqueName="8" name="How do you feel you performed during the gam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47BB66-5E80-4EAC-8C4A-D741E5B27AD2}" name="Good_dad_v2_vs_MCTS" displayName="Good_dad_v2_vs_MCTS" ref="A1:C51" tableType="queryTable" totalsRowShown="0">
  <autoFilter ref="A1:C51" xr:uid="{184B78A5-C14D-466B-AA12-BB3F89BC3130}"/>
  <tableColumns count="3">
    <tableColumn id="1" xr3:uid="{90C47C2C-CAFA-4709-9E16-BA6425493198}" uniqueName="1" name="PlayerOne" queryTableFieldId="1"/>
    <tableColumn id="2" xr3:uid="{13394A09-F7DE-4F2D-B6D1-860A2F5880FA}" uniqueName="2" name="PlayerTwo" queryTableFieldId="2"/>
    <tableColumn id="3" xr3:uid="{C4990C00-81AB-45BE-8829-FA62CABB674D}" uniqueName="3" name="Winner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C4DD37-5253-47BD-B986-E667928931F4}" name="Query1" displayName="Query1" ref="A1:C2096" tableType="queryTable" totalsRowShown="0">
  <autoFilter ref="A1:C2096" xr:uid="{9B7CE122-B5D3-413E-AAD2-E9FB776AC683}"/>
  <sortState xmlns:xlrd2="http://schemas.microsoft.com/office/spreadsheetml/2017/richdata2" ref="A2:C2096">
    <sortCondition ref="B2"/>
  </sortState>
  <tableColumns count="3">
    <tableColumn id="2" xr3:uid="{9AB16001-D9B6-4044-B4B6-5CE8AD6E7F06}" uniqueName="2" name="Owner" queryTableFieldId="2"/>
    <tableColumn id="3" xr3:uid="{FA2682FA-254F-43A1-8316-385E5AC3972A}" uniqueName="3" name="Reward" queryTableFieldId="3"/>
    <tableColumn id="1" xr3:uid="{1C754DDA-2B50-4C2D-9D7E-145A8EDD974C}" uniqueName="1" name="Column1" queryTableFieldId="5" dataDxfId="2">
      <calculatedColumnFormula>_xlfn.NORM.DIST(B2, I$10,I$13,FALSE)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06BE96-B8CF-45A2-8D84-BB67CF5730C4}" name="Query3" displayName="Query3" ref="A1:C524" tableType="queryTable" totalsRowShown="0">
  <autoFilter ref="A1:C524" xr:uid="{C60207F1-EB3F-4CC3-9331-E09AAE0F7C1F}"/>
  <sortState xmlns:xlrd2="http://schemas.microsoft.com/office/spreadsheetml/2017/richdata2" ref="A2:C524">
    <sortCondition ref="B2"/>
  </sortState>
  <tableColumns count="3">
    <tableColumn id="2" xr3:uid="{9DDD5836-639A-45C4-87D0-D0EFBFE1E33B}" uniqueName="2" name="Owner" queryTableFieldId="2"/>
    <tableColumn id="3" xr3:uid="{0556D5AA-296D-4B3B-A329-138B976C0DB6}" uniqueName="3" name="Reward" queryTableFieldId="3"/>
    <tableColumn id="5" xr3:uid="{5A283EF7-42E7-4040-B26A-3D263564D4B9}" uniqueName="5" name="Column1" queryTableFieldId="5" dataDxfId="1">
      <calculatedColumnFormula>_xlfn.NORM.DIST(B2, I$10,I$13,FALSE)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DDA1A21-34E3-4ED5-8255-A24622BE8E12}" name="Query5" displayName="Query5" ref="A1:C6161" tableType="queryTable" totalsRowShown="0">
  <autoFilter ref="A1:C6161" xr:uid="{6FD1A859-50D2-459A-8933-67951E5F4A6D}"/>
  <sortState xmlns:xlrd2="http://schemas.microsoft.com/office/spreadsheetml/2017/richdata2" ref="A2:C6161">
    <sortCondition ref="B2"/>
  </sortState>
  <tableColumns count="3">
    <tableColumn id="2" xr3:uid="{A965A1E3-7775-4A92-B2F1-9F1C418C9F16}" uniqueName="2" name="Owner" queryTableFieldId="2"/>
    <tableColumn id="3" xr3:uid="{16AD6679-3040-4BFF-BAC2-5BC4DAB2AFB9}" uniqueName="3" name="Reward" queryTableFieldId="3"/>
    <tableColumn id="5" xr3:uid="{1098D000-5C2C-46FD-AE46-A81B39D83AB7}" uniqueName="5" name="Column1" queryTableFieldId="5" dataDxfId="0">
      <calculatedColumnFormula>_xlfn.NORM.DIST(B2,I$10,I$13,FALSE)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EB8B44-DE89-4E17-9F18-40200B590F8A}" name="Goood_dad_v2_vs_MineField" displayName="Goood_dad_v2_vs_MineField" ref="A1:C51" tableType="queryTable" totalsRowShown="0">
  <autoFilter ref="A1:C51" xr:uid="{31CDABB7-BC31-47BF-9BB7-7FD1A74829B2}"/>
  <tableColumns count="3">
    <tableColumn id="1" xr3:uid="{194894CC-4083-4413-ACCE-CDA915043CCE}" uniqueName="1" name="PlayerOne" queryTableFieldId="1"/>
    <tableColumn id="2" xr3:uid="{0D1D502A-B539-445A-8BB2-29EEC1A18E0A}" uniqueName="2" name="PlayerTwo" queryTableFieldId="2"/>
    <tableColumn id="3" xr3:uid="{2FF7CB57-0FA4-477E-8A3C-CC6FFC625023}" uniqueName="3" name="Winner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D3643-25F3-49A2-84E5-41114B45169C}" name="Good_dad_80_20_Picks_Win__vs_Random" displayName="Good_dad_80_20_Picks_Win__vs_Random" ref="A1:C51" tableType="queryTable" totalsRowShown="0">
  <autoFilter ref="A1:C51" xr:uid="{F109CDEA-0B86-4868-B220-EFE8FBE9634F}"/>
  <tableColumns count="3">
    <tableColumn id="1" xr3:uid="{E46B9142-3F7C-4A1F-B385-F5B1857A5870}" uniqueName="1" name="PlayerOne" queryTableFieldId="1"/>
    <tableColumn id="2" xr3:uid="{94B51C1E-039C-481E-8341-6BB0E7EF1F47}" uniqueName="2" name="PlayerTwo" queryTableFieldId="2"/>
    <tableColumn id="3" xr3:uid="{A9C8BD2B-CF6A-41C4-A7FE-15F34E11A92F}" uniqueName="3" name="Winner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BB79A6-56BA-48A7-BFCC-E399652ED8D5}" name="Good_dad_80_20_PickWin__vs_MCTS" displayName="Good_dad_80_20_PickWin__vs_MCTS" ref="A1:C51" tableType="queryTable" totalsRowShown="0">
  <autoFilter ref="A1:C51" xr:uid="{6A350A9C-459E-4F52-AC13-5FAA61130B73}"/>
  <tableColumns count="3">
    <tableColumn id="1" xr3:uid="{A1FE44FB-8152-4462-9592-D571C2F43DAA}" uniqueName="1" name="PlayerOne" queryTableFieldId="1"/>
    <tableColumn id="2" xr3:uid="{EF77675F-9663-45EA-A8A6-F154F2E3548E}" uniqueName="2" name="PlayerTwo" queryTableFieldId="2"/>
    <tableColumn id="3" xr3:uid="{66194F9E-F9B6-4DC8-907F-A91F4806F55A}" uniqueName="3" name="Winner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B30B15-0946-4D70-A657-2A5A95DB5E99}" name="Good_dad_80_20_PickWin__vs_MineField" displayName="Good_dad_80_20_PickWin__vs_MineField" ref="A1:C51" tableType="queryTable" totalsRowShown="0">
  <autoFilter ref="A1:C51" xr:uid="{2C42885A-5DF2-4D35-9F51-84545BB7792E}"/>
  <tableColumns count="3">
    <tableColumn id="1" xr3:uid="{A96357BD-14D6-4B95-86C2-90F5C4F898E8}" uniqueName="1" name="PlayerOne" queryTableFieldId="1"/>
    <tableColumn id="2" xr3:uid="{3E61B51D-676A-4AB5-B9EF-591D415AD8E2}" uniqueName="2" name="PlayerTwo" queryTableFieldId="2"/>
    <tableColumn id="3" xr3:uid="{ACC1B6C4-569A-48C8-A878-AC75C32178EF}" uniqueName="3" name="Winn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webpack://src/app/services/game/game.service.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webpack://src/app/services/game/game.service.ts" TargetMode="External"/><Relationship Id="rId21" Type="http://schemas.openxmlformats.org/officeDocument/2006/relationships/hyperlink" Target="webpack://src/app/services/game/game.service.ts" TargetMode="External"/><Relationship Id="rId42" Type="http://schemas.openxmlformats.org/officeDocument/2006/relationships/hyperlink" Target="webpack://src/app/services/game/game.service.ts" TargetMode="External"/><Relationship Id="rId63" Type="http://schemas.openxmlformats.org/officeDocument/2006/relationships/hyperlink" Target="webpack://src/app/services/game/game.service.ts" TargetMode="External"/><Relationship Id="rId84" Type="http://schemas.openxmlformats.org/officeDocument/2006/relationships/hyperlink" Target="webpack://src/app/services/game/game.service.ts" TargetMode="External"/><Relationship Id="rId138" Type="http://schemas.openxmlformats.org/officeDocument/2006/relationships/hyperlink" Target="webpack://src/app/services/game/game.service.ts" TargetMode="External"/><Relationship Id="rId159" Type="http://schemas.openxmlformats.org/officeDocument/2006/relationships/hyperlink" Target="webpack://src/app/services/game/game.service.ts" TargetMode="External"/><Relationship Id="rId170" Type="http://schemas.openxmlformats.org/officeDocument/2006/relationships/hyperlink" Target="webpack://src/app/services/game/game.service.ts" TargetMode="External"/><Relationship Id="rId191" Type="http://schemas.openxmlformats.org/officeDocument/2006/relationships/hyperlink" Target="webpack://src/app/services/game/game.service.ts" TargetMode="External"/><Relationship Id="rId196" Type="http://schemas.openxmlformats.org/officeDocument/2006/relationships/hyperlink" Target="webpack://src/app/services/game/game.service.ts" TargetMode="External"/><Relationship Id="rId200" Type="http://schemas.openxmlformats.org/officeDocument/2006/relationships/hyperlink" Target="webpack://src/app/services/game/game.service.ts" TargetMode="External"/><Relationship Id="rId16" Type="http://schemas.openxmlformats.org/officeDocument/2006/relationships/hyperlink" Target="webpack://src/app/services/game/game.service.ts" TargetMode="External"/><Relationship Id="rId107" Type="http://schemas.openxmlformats.org/officeDocument/2006/relationships/hyperlink" Target="webpack://src/app/services/game/game.service.ts" TargetMode="External"/><Relationship Id="rId11" Type="http://schemas.openxmlformats.org/officeDocument/2006/relationships/hyperlink" Target="webpack://src/app/services/game/game.service.ts" TargetMode="External"/><Relationship Id="rId32" Type="http://schemas.openxmlformats.org/officeDocument/2006/relationships/hyperlink" Target="webpack://src/app/services/game/game.service.ts" TargetMode="External"/><Relationship Id="rId37" Type="http://schemas.openxmlformats.org/officeDocument/2006/relationships/hyperlink" Target="webpack://src/app/services/game/game.service.ts" TargetMode="External"/><Relationship Id="rId53" Type="http://schemas.openxmlformats.org/officeDocument/2006/relationships/hyperlink" Target="webpack://src/app/services/game/game.service.ts" TargetMode="External"/><Relationship Id="rId58" Type="http://schemas.openxmlformats.org/officeDocument/2006/relationships/hyperlink" Target="webpack://src/app/services/game/game.service.ts" TargetMode="External"/><Relationship Id="rId74" Type="http://schemas.openxmlformats.org/officeDocument/2006/relationships/hyperlink" Target="webpack://src/app/services/game/game.service.ts" TargetMode="External"/><Relationship Id="rId79" Type="http://schemas.openxmlformats.org/officeDocument/2006/relationships/hyperlink" Target="webpack://src/app/services/game/game.service.ts" TargetMode="External"/><Relationship Id="rId102" Type="http://schemas.openxmlformats.org/officeDocument/2006/relationships/hyperlink" Target="webpack://src/app/services/game/game.service.ts" TargetMode="External"/><Relationship Id="rId123" Type="http://schemas.openxmlformats.org/officeDocument/2006/relationships/hyperlink" Target="webpack://src/app/services/game/game.service.ts" TargetMode="External"/><Relationship Id="rId128" Type="http://schemas.openxmlformats.org/officeDocument/2006/relationships/hyperlink" Target="webpack://src/app/services/game/game.service.ts" TargetMode="External"/><Relationship Id="rId144" Type="http://schemas.openxmlformats.org/officeDocument/2006/relationships/hyperlink" Target="webpack://src/app/services/game/game.service.ts" TargetMode="External"/><Relationship Id="rId149" Type="http://schemas.openxmlformats.org/officeDocument/2006/relationships/hyperlink" Target="webpack://src/app/services/game/game.service.ts" TargetMode="External"/><Relationship Id="rId5" Type="http://schemas.openxmlformats.org/officeDocument/2006/relationships/hyperlink" Target="webpack://src/app/services/game/game.service.ts" TargetMode="External"/><Relationship Id="rId90" Type="http://schemas.openxmlformats.org/officeDocument/2006/relationships/hyperlink" Target="webpack://src/app/services/game/game.service.ts" TargetMode="External"/><Relationship Id="rId95" Type="http://schemas.openxmlformats.org/officeDocument/2006/relationships/hyperlink" Target="webpack://src/app/services/game/game.service.ts" TargetMode="External"/><Relationship Id="rId160" Type="http://schemas.openxmlformats.org/officeDocument/2006/relationships/hyperlink" Target="webpack://src/app/services/game/game.service.ts" TargetMode="External"/><Relationship Id="rId165" Type="http://schemas.openxmlformats.org/officeDocument/2006/relationships/hyperlink" Target="webpack://src/app/services/game/game.service.ts" TargetMode="External"/><Relationship Id="rId181" Type="http://schemas.openxmlformats.org/officeDocument/2006/relationships/hyperlink" Target="webpack://src/app/services/game/game.service.ts" TargetMode="External"/><Relationship Id="rId186" Type="http://schemas.openxmlformats.org/officeDocument/2006/relationships/hyperlink" Target="webpack://src/app/services/game/game.service.ts" TargetMode="External"/><Relationship Id="rId22" Type="http://schemas.openxmlformats.org/officeDocument/2006/relationships/hyperlink" Target="webpack://src/app/services/game/game.service.ts" TargetMode="External"/><Relationship Id="rId27" Type="http://schemas.openxmlformats.org/officeDocument/2006/relationships/hyperlink" Target="webpack://src/app/services/game/game.service.ts" TargetMode="External"/><Relationship Id="rId43" Type="http://schemas.openxmlformats.org/officeDocument/2006/relationships/hyperlink" Target="webpack://src/app/services/game/game.service.ts" TargetMode="External"/><Relationship Id="rId48" Type="http://schemas.openxmlformats.org/officeDocument/2006/relationships/hyperlink" Target="webpack://src/app/services/game/game.service.ts" TargetMode="External"/><Relationship Id="rId64" Type="http://schemas.openxmlformats.org/officeDocument/2006/relationships/hyperlink" Target="webpack://src/app/services/game/game.service.ts" TargetMode="External"/><Relationship Id="rId69" Type="http://schemas.openxmlformats.org/officeDocument/2006/relationships/hyperlink" Target="webpack://src/app/services/game/game.service.ts" TargetMode="External"/><Relationship Id="rId113" Type="http://schemas.openxmlformats.org/officeDocument/2006/relationships/hyperlink" Target="webpack://src/app/services/game/game.service.ts" TargetMode="External"/><Relationship Id="rId118" Type="http://schemas.openxmlformats.org/officeDocument/2006/relationships/hyperlink" Target="webpack://src/app/services/game/game.service.ts" TargetMode="External"/><Relationship Id="rId134" Type="http://schemas.openxmlformats.org/officeDocument/2006/relationships/hyperlink" Target="webpack://src/app/services/game/game.service.ts" TargetMode="External"/><Relationship Id="rId139" Type="http://schemas.openxmlformats.org/officeDocument/2006/relationships/hyperlink" Target="webpack://src/app/services/game/game.service.ts" TargetMode="External"/><Relationship Id="rId80" Type="http://schemas.openxmlformats.org/officeDocument/2006/relationships/hyperlink" Target="webpack://src/app/services/game/game.service.ts" TargetMode="External"/><Relationship Id="rId85" Type="http://schemas.openxmlformats.org/officeDocument/2006/relationships/hyperlink" Target="webpack://src/app/services/game/game.service.ts" TargetMode="External"/><Relationship Id="rId150" Type="http://schemas.openxmlformats.org/officeDocument/2006/relationships/hyperlink" Target="webpack://src/app/services/game/game.service.ts" TargetMode="External"/><Relationship Id="rId155" Type="http://schemas.openxmlformats.org/officeDocument/2006/relationships/hyperlink" Target="webpack://src/app/services/game/game.service.ts" TargetMode="External"/><Relationship Id="rId171" Type="http://schemas.openxmlformats.org/officeDocument/2006/relationships/hyperlink" Target="webpack://src/app/services/game/game.service.ts" TargetMode="External"/><Relationship Id="rId176" Type="http://schemas.openxmlformats.org/officeDocument/2006/relationships/hyperlink" Target="webpack://src/app/services/game/game.service.ts" TargetMode="External"/><Relationship Id="rId192" Type="http://schemas.openxmlformats.org/officeDocument/2006/relationships/hyperlink" Target="webpack://src/app/services/game/game.service.ts" TargetMode="External"/><Relationship Id="rId197" Type="http://schemas.openxmlformats.org/officeDocument/2006/relationships/hyperlink" Target="webpack://src/app/services/game/game.service.ts" TargetMode="External"/><Relationship Id="rId201" Type="http://schemas.openxmlformats.org/officeDocument/2006/relationships/printerSettings" Target="../printerSettings/printerSettings1.bin"/><Relationship Id="rId12" Type="http://schemas.openxmlformats.org/officeDocument/2006/relationships/hyperlink" Target="webpack://src/app/services/game/game.service.ts" TargetMode="External"/><Relationship Id="rId17" Type="http://schemas.openxmlformats.org/officeDocument/2006/relationships/hyperlink" Target="webpack://src/app/services/game/game.service.ts" TargetMode="External"/><Relationship Id="rId33" Type="http://schemas.openxmlformats.org/officeDocument/2006/relationships/hyperlink" Target="webpack://src/app/services/game/game.service.ts" TargetMode="External"/><Relationship Id="rId38" Type="http://schemas.openxmlformats.org/officeDocument/2006/relationships/hyperlink" Target="webpack://src/app/services/game/game.service.ts" TargetMode="External"/><Relationship Id="rId59" Type="http://schemas.openxmlformats.org/officeDocument/2006/relationships/hyperlink" Target="webpack://src/app/services/game/game.service.ts" TargetMode="External"/><Relationship Id="rId103" Type="http://schemas.openxmlformats.org/officeDocument/2006/relationships/hyperlink" Target="webpack://src/app/services/game/game.service.ts" TargetMode="External"/><Relationship Id="rId108" Type="http://schemas.openxmlformats.org/officeDocument/2006/relationships/hyperlink" Target="webpack://src/app/services/game/game.service.ts" TargetMode="External"/><Relationship Id="rId124" Type="http://schemas.openxmlformats.org/officeDocument/2006/relationships/hyperlink" Target="webpack://src/app/services/game/game.service.ts" TargetMode="External"/><Relationship Id="rId129" Type="http://schemas.openxmlformats.org/officeDocument/2006/relationships/hyperlink" Target="webpack://src/app/services/game/game.service.ts" TargetMode="External"/><Relationship Id="rId54" Type="http://schemas.openxmlformats.org/officeDocument/2006/relationships/hyperlink" Target="webpack://src/app/services/game/game.service.ts" TargetMode="External"/><Relationship Id="rId70" Type="http://schemas.openxmlformats.org/officeDocument/2006/relationships/hyperlink" Target="webpack://src/app/services/game/game.service.ts" TargetMode="External"/><Relationship Id="rId75" Type="http://schemas.openxmlformats.org/officeDocument/2006/relationships/hyperlink" Target="webpack://src/app/services/game/game.service.ts" TargetMode="External"/><Relationship Id="rId91" Type="http://schemas.openxmlformats.org/officeDocument/2006/relationships/hyperlink" Target="webpack://src/app/services/game/game.service.ts" TargetMode="External"/><Relationship Id="rId96" Type="http://schemas.openxmlformats.org/officeDocument/2006/relationships/hyperlink" Target="webpack://src/app/services/game/game.service.ts" TargetMode="External"/><Relationship Id="rId140" Type="http://schemas.openxmlformats.org/officeDocument/2006/relationships/hyperlink" Target="webpack://src/app/services/game/game.service.ts" TargetMode="External"/><Relationship Id="rId145" Type="http://schemas.openxmlformats.org/officeDocument/2006/relationships/hyperlink" Target="webpack://src/app/services/game/game.service.ts" TargetMode="External"/><Relationship Id="rId161" Type="http://schemas.openxmlformats.org/officeDocument/2006/relationships/hyperlink" Target="webpack://src/app/services/game/game.service.ts" TargetMode="External"/><Relationship Id="rId166" Type="http://schemas.openxmlformats.org/officeDocument/2006/relationships/hyperlink" Target="webpack://src/app/services/game/game.service.ts" TargetMode="External"/><Relationship Id="rId182" Type="http://schemas.openxmlformats.org/officeDocument/2006/relationships/hyperlink" Target="webpack://src/app/services/game/game.service.ts" TargetMode="External"/><Relationship Id="rId187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Relationship Id="rId6" Type="http://schemas.openxmlformats.org/officeDocument/2006/relationships/hyperlink" Target="webpack://src/app/services/game/game.service.ts" TargetMode="External"/><Relationship Id="rId23" Type="http://schemas.openxmlformats.org/officeDocument/2006/relationships/hyperlink" Target="webpack://src/app/services/game/game.service.ts" TargetMode="External"/><Relationship Id="rId28" Type="http://schemas.openxmlformats.org/officeDocument/2006/relationships/hyperlink" Target="webpack://src/app/services/game/game.service.ts" TargetMode="External"/><Relationship Id="rId49" Type="http://schemas.openxmlformats.org/officeDocument/2006/relationships/hyperlink" Target="webpack://src/app/services/game/game.service.ts" TargetMode="External"/><Relationship Id="rId114" Type="http://schemas.openxmlformats.org/officeDocument/2006/relationships/hyperlink" Target="webpack://src/app/services/game/game.service.ts" TargetMode="External"/><Relationship Id="rId119" Type="http://schemas.openxmlformats.org/officeDocument/2006/relationships/hyperlink" Target="webpack://src/app/services/game/game.service.ts" TargetMode="External"/><Relationship Id="rId44" Type="http://schemas.openxmlformats.org/officeDocument/2006/relationships/hyperlink" Target="webpack://src/app/services/game/game.service.ts" TargetMode="External"/><Relationship Id="rId60" Type="http://schemas.openxmlformats.org/officeDocument/2006/relationships/hyperlink" Target="webpack://src/app/services/game/game.service.ts" TargetMode="External"/><Relationship Id="rId65" Type="http://schemas.openxmlformats.org/officeDocument/2006/relationships/hyperlink" Target="webpack://src/app/services/game/game.service.ts" TargetMode="External"/><Relationship Id="rId81" Type="http://schemas.openxmlformats.org/officeDocument/2006/relationships/hyperlink" Target="webpack://src/app/services/game/game.service.ts" TargetMode="External"/><Relationship Id="rId86" Type="http://schemas.openxmlformats.org/officeDocument/2006/relationships/hyperlink" Target="webpack://src/app/services/game/game.service.ts" TargetMode="External"/><Relationship Id="rId130" Type="http://schemas.openxmlformats.org/officeDocument/2006/relationships/hyperlink" Target="webpack://src/app/services/game/game.service.ts" TargetMode="External"/><Relationship Id="rId135" Type="http://schemas.openxmlformats.org/officeDocument/2006/relationships/hyperlink" Target="webpack://src/app/services/game/game.service.ts" TargetMode="External"/><Relationship Id="rId151" Type="http://schemas.openxmlformats.org/officeDocument/2006/relationships/hyperlink" Target="webpack://src/app/services/game/game.service.ts" TargetMode="External"/><Relationship Id="rId156" Type="http://schemas.openxmlformats.org/officeDocument/2006/relationships/hyperlink" Target="webpack://src/app/services/game/game.service.ts" TargetMode="External"/><Relationship Id="rId177" Type="http://schemas.openxmlformats.org/officeDocument/2006/relationships/hyperlink" Target="webpack://src/app/services/game/game.service.ts" TargetMode="External"/><Relationship Id="rId198" Type="http://schemas.openxmlformats.org/officeDocument/2006/relationships/hyperlink" Target="webpack://src/app/services/game/game.service.ts" TargetMode="External"/><Relationship Id="rId172" Type="http://schemas.openxmlformats.org/officeDocument/2006/relationships/hyperlink" Target="webpack://src/app/services/game/game.service.ts" TargetMode="External"/><Relationship Id="rId193" Type="http://schemas.openxmlformats.org/officeDocument/2006/relationships/hyperlink" Target="webpack://src/app/services/game/game.service.ts" TargetMode="External"/><Relationship Id="rId202" Type="http://schemas.openxmlformats.org/officeDocument/2006/relationships/drawing" Target="../drawings/drawing6.xml"/><Relationship Id="rId13" Type="http://schemas.openxmlformats.org/officeDocument/2006/relationships/hyperlink" Target="webpack://src/app/services/game/game.service.ts" TargetMode="External"/><Relationship Id="rId18" Type="http://schemas.openxmlformats.org/officeDocument/2006/relationships/hyperlink" Target="webpack://src/app/services/game/game.service.ts" TargetMode="External"/><Relationship Id="rId39" Type="http://schemas.openxmlformats.org/officeDocument/2006/relationships/hyperlink" Target="webpack://src/app/services/game/game.service.ts" TargetMode="External"/><Relationship Id="rId109" Type="http://schemas.openxmlformats.org/officeDocument/2006/relationships/hyperlink" Target="webpack://src/app/services/game/game.service.ts" TargetMode="External"/><Relationship Id="rId34" Type="http://schemas.openxmlformats.org/officeDocument/2006/relationships/hyperlink" Target="webpack://src/app/services/game/game.service.ts" TargetMode="External"/><Relationship Id="rId50" Type="http://schemas.openxmlformats.org/officeDocument/2006/relationships/hyperlink" Target="webpack://src/app/services/game/game.service.ts" TargetMode="External"/><Relationship Id="rId55" Type="http://schemas.openxmlformats.org/officeDocument/2006/relationships/hyperlink" Target="webpack://src/app/services/game/game.service.ts" TargetMode="External"/><Relationship Id="rId76" Type="http://schemas.openxmlformats.org/officeDocument/2006/relationships/hyperlink" Target="webpack://src/app/services/game/game.service.ts" TargetMode="External"/><Relationship Id="rId97" Type="http://schemas.openxmlformats.org/officeDocument/2006/relationships/hyperlink" Target="webpack://src/app/services/game/game.service.ts" TargetMode="External"/><Relationship Id="rId104" Type="http://schemas.openxmlformats.org/officeDocument/2006/relationships/hyperlink" Target="webpack://src/app/services/game/game.service.ts" TargetMode="External"/><Relationship Id="rId120" Type="http://schemas.openxmlformats.org/officeDocument/2006/relationships/hyperlink" Target="webpack://src/app/services/game/game.service.ts" TargetMode="External"/><Relationship Id="rId125" Type="http://schemas.openxmlformats.org/officeDocument/2006/relationships/hyperlink" Target="webpack://src/app/services/game/game.service.ts" TargetMode="External"/><Relationship Id="rId141" Type="http://schemas.openxmlformats.org/officeDocument/2006/relationships/hyperlink" Target="webpack://src/app/services/game/game.service.ts" TargetMode="External"/><Relationship Id="rId146" Type="http://schemas.openxmlformats.org/officeDocument/2006/relationships/hyperlink" Target="webpack://src/app/services/game/game.service.ts" TargetMode="External"/><Relationship Id="rId167" Type="http://schemas.openxmlformats.org/officeDocument/2006/relationships/hyperlink" Target="webpack://src/app/services/game/game.service.ts" TargetMode="External"/><Relationship Id="rId188" Type="http://schemas.openxmlformats.org/officeDocument/2006/relationships/hyperlink" Target="webpack://src/app/services/game/game.service.ts" TargetMode="External"/><Relationship Id="rId7" Type="http://schemas.openxmlformats.org/officeDocument/2006/relationships/hyperlink" Target="webpack://src/app/services/game/game.service.ts" TargetMode="External"/><Relationship Id="rId71" Type="http://schemas.openxmlformats.org/officeDocument/2006/relationships/hyperlink" Target="webpack://src/app/services/game/game.service.ts" TargetMode="External"/><Relationship Id="rId92" Type="http://schemas.openxmlformats.org/officeDocument/2006/relationships/hyperlink" Target="webpack://src/app/services/game/game.service.ts" TargetMode="External"/><Relationship Id="rId162" Type="http://schemas.openxmlformats.org/officeDocument/2006/relationships/hyperlink" Target="webpack://src/app/services/game/game.service.ts" TargetMode="External"/><Relationship Id="rId183" Type="http://schemas.openxmlformats.org/officeDocument/2006/relationships/hyperlink" Target="webpack://src/app/services/game/game.service.ts" TargetMode="External"/><Relationship Id="rId2" Type="http://schemas.openxmlformats.org/officeDocument/2006/relationships/hyperlink" Target="webpack://src/app/services/game/game.service.ts" TargetMode="External"/><Relationship Id="rId29" Type="http://schemas.openxmlformats.org/officeDocument/2006/relationships/hyperlink" Target="webpack://src/app/services/game/game.service.ts" TargetMode="External"/><Relationship Id="rId24" Type="http://schemas.openxmlformats.org/officeDocument/2006/relationships/hyperlink" Target="webpack://src/app/services/game/game.service.ts" TargetMode="External"/><Relationship Id="rId40" Type="http://schemas.openxmlformats.org/officeDocument/2006/relationships/hyperlink" Target="webpack://src/app/services/game/game.service.ts" TargetMode="External"/><Relationship Id="rId45" Type="http://schemas.openxmlformats.org/officeDocument/2006/relationships/hyperlink" Target="webpack://src/app/services/game/game.service.ts" TargetMode="External"/><Relationship Id="rId66" Type="http://schemas.openxmlformats.org/officeDocument/2006/relationships/hyperlink" Target="webpack://src/app/services/game/game.service.ts" TargetMode="External"/><Relationship Id="rId87" Type="http://schemas.openxmlformats.org/officeDocument/2006/relationships/hyperlink" Target="webpack://src/app/services/game/game.service.ts" TargetMode="External"/><Relationship Id="rId110" Type="http://schemas.openxmlformats.org/officeDocument/2006/relationships/hyperlink" Target="webpack://src/app/services/game/game.service.ts" TargetMode="External"/><Relationship Id="rId115" Type="http://schemas.openxmlformats.org/officeDocument/2006/relationships/hyperlink" Target="webpack://src/app/services/game/game.service.ts" TargetMode="External"/><Relationship Id="rId131" Type="http://schemas.openxmlformats.org/officeDocument/2006/relationships/hyperlink" Target="webpack://src/app/services/game/game.service.ts" TargetMode="External"/><Relationship Id="rId136" Type="http://schemas.openxmlformats.org/officeDocument/2006/relationships/hyperlink" Target="webpack://src/app/services/game/game.service.ts" TargetMode="External"/><Relationship Id="rId157" Type="http://schemas.openxmlformats.org/officeDocument/2006/relationships/hyperlink" Target="webpack://src/app/services/game/game.service.ts" TargetMode="External"/><Relationship Id="rId178" Type="http://schemas.openxmlformats.org/officeDocument/2006/relationships/hyperlink" Target="webpack://src/app/services/game/game.service.ts" TargetMode="External"/><Relationship Id="rId61" Type="http://schemas.openxmlformats.org/officeDocument/2006/relationships/hyperlink" Target="webpack://src/app/services/game/game.service.ts" TargetMode="External"/><Relationship Id="rId82" Type="http://schemas.openxmlformats.org/officeDocument/2006/relationships/hyperlink" Target="webpack://src/app/services/game/game.service.ts" TargetMode="External"/><Relationship Id="rId152" Type="http://schemas.openxmlformats.org/officeDocument/2006/relationships/hyperlink" Target="webpack://src/app/services/game/game.service.ts" TargetMode="External"/><Relationship Id="rId173" Type="http://schemas.openxmlformats.org/officeDocument/2006/relationships/hyperlink" Target="webpack://src/app/services/game/game.service.ts" TargetMode="External"/><Relationship Id="rId194" Type="http://schemas.openxmlformats.org/officeDocument/2006/relationships/hyperlink" Target="webpack://src/app/services/game/game.service.ts" TargetMode="External"/><Relationship Id="rId199" Type="http://schemas.openxmlformats.org/officeDocument/2006/relationships/hyperlink" Target="webpack://src/app/services/game/game.service.ts" TargetMode="External"/><Relationship Id="rId19" Type="http://schemas.openxmlformats.org/officeDocument/2006/relationships/hyperlink" Target="webpack://src/app/services/game/game.service.ts" TargetMode="External"/><Relationship Id="rId14" Type="http://schemas.openxmlformats.org/officeDocument/2006/relationships/hyperlink" Target="webpack://src/app/services/game/game.service.ts" TargetMode="External"/><Relationship Id="rId30" Type="http://schemas.openxmlformats.org/officeDocument/2006/relationships/hyperlink" Target="webpack://src/app/services/game/game.service.ts" TargetMode="External"/><Relationship Id="rId35" Type="http://schemas.openxmlformats.org/officeDocument/2006/relationships/hyperlink" Target="webpack://src/app/services/game/game.service.ts" TargetMode="External"/><Relationship Id="rId56" Type="http://schemas.openxmlformats.org/officeDocument/2006/relationships/hyperlink" Target="webpack://src/app/services/game/game.service.ts" TargetMode="External"/><Relationship Id="rId77" Type="http://schemas.openxmlformats.org/officeDocument/2006/relationships/hyperlink" Target="webpack://src/app/services/game/game.service.ts" TargetMode="External"/><Relationship Id="rId100" Type="http://schemas.openxmlformats.org/officeDocument/2006/relationships/hyperlink" Target="webpack://src/app/services/game/game.service.ts" TargetMode="External"/><Relationship Id="rId105" Type="http://schemas.openxmlformats.org/officeDocument/2006/relationships/hyperlink" Target="webpack://src/app/services/game/game.service.ts" TargetMode="External"/><Relationship Id="rId126" Type="http://schemas.openxmlformats.org/officeDocument/2006/relationships/hyperlink" Target="webpack://src/app/services/game/game.service.ts" TargetMode="External"/><Relationship Id="rId147" Type="http://schemas.openxmlformats.org/officeDocument/2006/relationships/hyperlink" Target="webpack://src/app/services/game/game.service.ts" TargetMode="External"/><Relationship Id="rId168" Type="http://schemas.openxmlformats.org/officeDocument/2006/relationships/hyperlink" Target="webpack://src/app/services/game/game.service.ts" TargetMode="External"/><Relationship Id="rId8" Type="http://schemas.openxmlformats.org/officeDocument/2006/relationships/hyperlink" Target="webpack://src/app/services/game/game.service.ts" TargetMode="External"/><Relationship Id="rId51" Type="http://schemas.openxmlformats.org/officeDocument/2006/relationships/hyperlink" Target="webpack://src/app/services/game/game.service.ts" TargetMode="External"/><Relationship Id="rId72" Type="http://schemas.openxmlformats.org/officeDocument/2006/relationships/hyperlink" Target="webpack://src/app/services/game/game.service.ts" TargetMode="External"/><Relationship Id="rId93" Type="http://schemas.openxmlformats.org/officeDocument/2006/relationships/hyperlink" Target="webpack://src/app/services/game/game.service.ts" TargetMode="External"/><Relationship Id="rId98" Type="http://schemas.openxmlformats.org/officeDocument/2006/relationships/hyperlink" Target="webpack://src/app/services/game/game.service.ts" TargetMode="External"/><Relationship Id="rId121" Type="http://schemas.openxmlformats.org/officeDocument/2006/relationships/hyperlink" Target="webpack://src/app/services/game/game.service.ts" TargetMode="External"/><Relationship Id="rId142" Type="http://schemas.openxmlformats.org/officeDocument/2006/relationships/hyperlink" Target="webpack://src/app/services/game/game.service.ts" TargetMode="External"/><Relationship Id="rId163" Type="http://schemas.openxmlformats.org/officeDocument/2006/relationships/hyperlink" Target="webpack://src/app/services/game/game.service.ts" TargetMode="External"/><Relationship Id="rId184" Type="http://schemas.openxmlformats.org/officeDocument/2006/relationships/hyperlink" Target="webpack://src/app/services/game/game.service.ts" TargetMode="External"/><Relationship Id="rId189" Type="http://schemas.openxmlformats.org/officeDocument/2006/relationships/hyperlink" Target="webpack://src/app/services/game/game.service.ts" TargetMode="External"/><Relationship Id="rId3" Type="http://schemas.openxmlformats.org/officeDocument/2006/relationships/hyperlink" Target="webpack://src/app/services/game/game.service.ts" TargetMode="External"/><Relationship Id="rId25" Type="http://schemas.openxmlformats.org/officeDocument/2006/relationships/hyperlink" Target="webpack://src/app/services/game/game.service.ts" TargetMode="External"/><Relationship Id="rId46" Type="http://schemas.openxmlformats.org/officeDocument/2006/relationships/hyperlink" Target="webpack://src/app/services/game/game.service.ts" TargetMode="External"/><Relationship Id="rId67" Type="http://schemas.openxmlformats.org/officeDocument/2006/relationships/hyperlink" Target="webpack://src/app/services/game/game.service.ts" TargetMode="External"/><Relationship Id="rId116" Type="http://schemas.openxmlformats.org/officeDocument/2006/relationships/hyperlink" Target="webpack://src/app/services/game/game.service.ts" TargetMode="External"/><Relationship Id="rId137" Type="http://schemas.openxmlformats.org/officeDocument/2006/relationships/hyperlink" Target="webpack://src/app/services/game/game.service.ts" TargetMode="External"/><Relationship Id="rId158" Type="http://schemas.openxmlformats.org/officeDocument/2006/relationships/hyperlink" Target="webpack://src/app/services/game/game.service.ts" TargetMode="External"/><Relationship Id="rId20" Type="http://schemas.openxmlformats.org/officeDocument/2006/relationships/hyperlink" Target="webpack://src/app/services/game/game.service.ts" TargetMode="External"/><Relationship Id="rId41" Type="http://schemas.openxmlformats.org/officeDocument/2006/relationships/hyperlink" Target="webpack://src/app/services/game/game.service.ts" TargetMode="External"/><Relationship Id="rId62" Type="http://schemas.openxmlformats.org/officeDocument/2006/relationships/hyperlink" Target="webpack://src/app/services/game/game.service.ts" TargetMode="External"/><Relationship Id="rId83" Type="http://schemas.openxmlformats.org/officeDocument/2006/relationships/hyperlink" Target="webpack://src/app/services/game/game.service.ts" TargetMode="External"/><Relationship Id="rId88" Type="http://schemas.openxmlformats.org/officeDocument/2006/relationships/hyperlink" Target="webpack://src/app/services/game/game.service.ts" TargetMode="External"/><Relationship Id="rId111" Type="http://schemas.openxmlformats.org/officeDocument/2006/relationships/hyperlink" Target="webpack://src/app/services/game/game.service.ts" TargetMode="External"/><Relationship Id="rId132" Type="http://schemas.openxmlformats.org/officeDocument/2006/relationships/hyperlink" Target="webpack://src/app/services/game/game.service.ts" TargetMode="External"/><Relationship Id="rId153" Type="http://schemas.openxmlformats.org/officeDocument/2006/relationships/hyperlink" Target="webpack://src/app/services/game/game.service.ts" TargetMode="External"/><Relationship Id="rId174" Type="http://schemas.openxmlformats.org/officeDocument/2006/relationships/hyperlink" Target="webpack://src/app/services/game/game.service.ts" TargetMode="External"/><Relationship Id="rId179" Type="http://schemas.openxmlformats.org/officeDocument/2006/relationships/hyperlink" Target="webpack://src/app/services/game/game.service.ts" TargetMode="External"/><Relationship Id="rId195" Type="http://schemas.openxmlformats.org/officeDocument/2006/relationships/hyperlink" Target="webpack://src/app/services/game/game.service.ts" TargetMode="External"/><Relationship Id="rId190" Type="http://schemas.openxmlformats.org/officeDocument/2006/relationships/hyperlink" Target="webpack://src/app/services/game/game.service.ts" TargetMode="External"/><Relationship Id="rId15" Type="http://schemas.openxmlformats.org/officeDocument/2006/relationships/hyperlink" Target="webpack://src/app/services/game/game.service.ts" TargetMode="External"/><Relationship Id="rId36" Type="http://schemas.openxmlformats.org/officeDocument/2006/relationships/hyperlink" Target="webpack://src/app/services/game/game.service.ts" TargetMode="External"/><Relationship Id="rId57" Type="http://schemas.openxmlformats.org/officeDocument/2006/relationships/hyperlink" Target="webpack://src/app/services/game/game.service.ts" TargetMode="External"/><Relationship Id="rId106" Type="http://schemas.openxmlformats.org/officeDocument/2006/relationships/hyperlink" Target="webpack://src/app/services/game/game.service.ts" TargetMode="External"/><Relationship Id="rId127" Type="http://schemas.openxmlformats.org/officeDocument/2006/relationships/hyperlink" Target="webpack://src/app/services/game/game.service.ts" TargetMode="External"/><Relationship Id="rId10" Type="http://schemas.openxmlformats.org/officeDocument/2006/relationships/hyperlink" Target="webpack://src/app/services/game/game.service.ts" TargetMode="External"/><Relationship Id="rId31" Type="http://schemas.openxmlformats.org/officeDocument/2006/relationships/hyperlink" Target="webpack://src/app/services/game/game.service.ts" TargetMode="External"/><Relationship Id="rId52" Type="http://schemas.openxmlformats.org/officeDocument/2006/relationships/hyperlink" Target="webpack://src/app/services/game/game.service.ts" TargetMode="External"/><Relationship Id="rId73" Type="http://schemas.openxmlformats.org/officeDocument/2006/relationships/hyperlink" Target="webpack://src/app/services/game/game.service.ts" TargetMode="External"/><Relationship Id="rId78" Type="http://schemas.openxmlformats.org/officeDocument/2006/relationships/hyperlink" Target="webpack://src/app/services/game/game.service.ts" TargetMode="External"/><Relationship Id="rId94" Type="http://schemas.openxmlformats.org/officeDocument/2006/relationships/hyperlink" Target="webpack://src/app/services/game/game.service.ts" TargetMode="External"/><Relationship Id="rId99" Type="http://schemas.openxmlformats.org/officeDocument/2006/relationships/hyperlink" Target="webpack://src/app/services/game/game.service.ts" TargetMode="External"/><Relationship Id="rId101" Type="http://schemas.openxmlformats.org/officeDocument/2006/relationships/hyperlink" Target="webpack://src/app/services/game/game.service.ts" TargetMode="External"/><Relationship Id="rId122" Type="http://schemas.openxmlformats.org/officeDocument/2006/relationships/hyperlink" Target="webpack://src/app/services/game/game.service.ts" TargetMode="External"/><Relationship Id="rId143" Type="http://schemas.openxmlformats.org/officeDocument/2006/relationships/hyperlink" Target="webpack://src/app/services/game/game.service.ts" TargetMode="External"/><Relationship Id="rId148" Type="http://schemas.openxmlformats.org/officeDocument/2006/relationships/hyperlink" Target="webpack://src/app/services/game/game.service.ts" TargetMode="External"/><Relationship Id="rId164" Type="http://schemas.openxmlformats.org/officeDocument/2006/relationships/hyperlink" Target="webpack://src/app/services/game/game.service.ts" TargetMode="External"/><Relationship Id="rId169" Type="http://schemas.openxmlformats.org/officeDocument/2006/relationships/hyperlink" Target="webpack://src/app/services/game/game.service.ts" TargetMode="External"/><Relationship Id="rId185" Type="http://schemas.openxmlformats.org/officeDocument/2006/relationships/hyperlink" Target="webpack://src/app/services/game/game.service.ts" TargetMode="External"/><Relationship Id="rId4" Type="http://schemas.openxmlformats.org/officeDocument/2006/relationships/hyperlink" Target="webpack://src/app/services/game/game.service.ts" TargetMode="External"/><Relationship Id="rId9" Type="http://schemas.openxmlformats.org/officeDocument/2006/relationships/hyperlink" Target="webpack://src/app/services/game/game.service.ts" TargetMode="External"/><Relationship Id="rId180" Type="http://schemas.openxmlformats.org/officeDocument/2006/relationships/hyperlink" Target="webpack://src/app/services/game/game.service.ts" TargetMode="External"/><Relationship Id="rId26" Type="http://schemas.openxmlformats.org/officeDocument/2006/relationships/hyperlink" Target="webpack://src/app/services/game/game.service.ts" TargetMode="External"/><Relationship Id="rId47" Type="http://schemas.openxmlformats.org/officeDocument/2006/relationships/hyperlink" Target="webpack://src/app/services/game/game.service.ts" TargetMode="External"/><Relationship Id="rId68" Type="http://schemas.openxmlformats.org/officeDocument/2006/relationships/hyperlink" Target="webpack://src/app/services/game/game.service.ts" TargetMode="External"/><Relationship Id="rId89" Type="http://schemas.openxmlformats.org/officeDocument/2006/relationships/hyperlink" Target="webpack://src/app/services/game/game.service.ts" TargetMode="External"/><Relationship Id="rId112" Type="http://schemas.openxmlformats.org/officeDocument/2006/relationships/hyperlink" Target="webpack://src/app/services/game/game.service.ts" TargetMode="External"/><Relationship Id="rId133" Type="http://schemas.openxmlformats.org/officeDocument/2006/relationships/hyperlink" Target="webpack://src/app/services/game/game.service.ts" TargetMode="External"/><Relationship Id="rId154" Type="http://schemas.openxmlformats.org/officeDocument/2006/relationships/hyperlink" Target="webpack://src/app/services/game/game.service.ts" TargetMode="External"/><Relationship Id="rId175" Type="http://schemas.openxmlformats.org/officeDocument/2006/relationships/hyperlink" Target="webpack://src/app/services/game/game.service.t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opLeftCell="I17" zoomScale="85" zoomScaleNormal="85" workbookViewId="0">
      <selection activeCell="Z17" sqref="Z17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J1" t="s">
        <v>3</v>
      </c>
      <c r="M1" t="s">
        <v>5</v>
      </c>
    </row>
    <row r="2" spans="1:15" x14ac:dyDescent="0.25">
      <c r="A2" t="s">
        <v>2</v>
      </c>
      <c r="B2">
        <v>2</v>
      </c>
      <c r="C2">
        <v>48</v>
      </c>
      <c r="K2" t="s">
        <v>4</v>
      </c>
      <c r="L2" t="s">
        <v>1</v>
      </c>
      <c r="N2" t="s">
        <v>1</v>
      </c>
      <c r="O2" t="s">
        <v>4</v>
      </c>
    </row>
    <row r="3" spans="1:15" x14ac:dyDescent="0.25">
      <c r="K3">
        <v>0.13157894736842099</v>
      </c>
      <c r="L3">
        <v>-2.1333333333333301E-2</v>
      </c>
      <c r="N3">
        <v>0.35135135135135098</v>
      </c>
      <c r="O3">
        <v>1.19760479041916E-2</v>
      </c>
    </row>
    <row r="4" spans="1:15" x14ac:dyDescent="0.25">
      <c r="K4">
        <v>0.105105105105105</v>
      </c>
      <c r="L4">
        <v>1.2012012012012E-2</v>
      </c>
      <c r="N4">
        <v>0.112</v>
      </c>
      <c r="O4">
        <v>3.9039039039038999E-2</v>
      </c>
    </row>
    <row r="5" spans="1:15" x14ac:dyDescent="0.25">
      <c r="K5">
        <v>0.114114114114114</v>
      </c>
      <c r="L5">
        <v>3.0030030030029999E-3</v>
      </c>
      <c r="N5">
        <v>0.13866666666666599</v>
      </c>
      <c r="O5">
        <v>2.10280373831775E-2</v>
      </c>
    </row>
    <row r="6" spans="1:15" x14ac:dyDescent="0.25">
      <c r="K6">
        <v>0.126126126126126</v>
      </c>
      <c r="L6">
        <v>4.2666666666666603E-2</v>
      </c>
      <c r="N6">
        <v>0.101333333333333</v>
      </c>
      <c r="O6">
        <v>0.12012012012011999</v>
      </c>
    </row>
    <row r="7" spans="1:15" x14ac:dyDescent="0.25">
      <c r="K7">
        <v>0.13213213213213201</v>
      </c>
      <c r="L7">
        <v>2.9940119760479E-3</v>
      </c>
      <c r="N7">
        <v>6.7757009345794303E-2</v>
      </c>
      <c r="O7">
        <v>4.6620046620046603E-3</v>
      </c>
    </row>
    <row r="8" spans="1:15" x14ac:dyDescent="0.25">
      <c r="K8">
        <v>0.13084112149532701</v>
      </c>
      <c r="L8">
        <v>-1.6E-2</v>
      </c>
      <c r="N8">
        <v>5.6000000000000001E-2</v>
      </c>
      <c r="O8">
        <v>5.7057057057056999E-2</v>
      </c>
    </row>
    <row r="9" spans="1:15" x14ac:dyDescent="0.25">
      <c r="K9">
        <v>0.114666666666666</v>
      </c>
      <c r="L9">
        <v>1.16822429906542E-2</v>
      </c>
      <c r="N9">
        <v>3.89221556886227E-2</v>
      </c>
      <c r="O9">
        <v>0.14399999999999999</v>
      </c>
    </row>
    <row r="10" spans="1:15" x14ac:dyDescent="0.25">
      <c r="K10">
        <v>0.08</v>
      </c>
      <c r="L10">
        <v>2.8000000000000001E-2</v>
      </c>
      <c r="N10">
        <v>-5.1051051051050997E-2</v>
      </c>
      <c r="O10">
        <v>7.7333333333333296E-2</v>
      </c>
    </row>
    <row r="11" spans="1:15" x14ac:dyDescent="0.25">
      <c r="K11">
        <v>0.11214953271028</v>
      </c>
      <c r="L11">
        <v>3.4965034965034898E-2</v>
      </c>
      <c r="N11">
        <v>-1.6666666666666601E-3</v>
      </c>
      <c r="O11">
        <v>9.11214953271028E-2</v>
      </c>
    </row>
    <row r="12" spans="1:15" x14ac:dyDescent="0.25">
      <c r="K12">
        <v>3.89221556886227E-2</v>
      </c>
      <c r="L12">
        <v>4.5333333333333302E-2</v>
      </c>
      <c r="N12">
        <v>3.2000000000000001E-2</v>
      </c>
      <c r="O12">
        <v>0.12533333333333299</v>
      </c>
    </row>
    <row r="13" spans="1:15" x14ac:dyDescent="0.25">
      <c r="K13">
        <v>4.1958041958041897E-2</v>
      </c>
      <c r="L13">
        <v>7.8333333333333297E-2</v>
      </c>
      <c r="N13">
        <v>5.3999999999999999E-2</v>
      </c>
      <c r="O13">
        <v>3.3033033033033003E-2</v>
      </c>
    </row>
    <row r="14" spans="1:15" x14ac:dyDescent="0.25">
      <c r="K14">
        <v>8.0000000000000002E-3</v>
      </c>
      <c r="L14">
        <v>6.8000000000000005E-2</v>
      </c>
      <c r="N14">
        <v>5.1999999999999998E-2</v>
      </c>
      <c r="O14">
        <v>0.08</v>
      </c>
    </row>
    <row r="15" spans="1:15" x14ac:dyDescent="0.25">
      <c r="K15">
        <v>0</v>
      </c>
      <c r="L15">
        <v>8.7999999999999995E-2</v>
      </c>
      <c r="N15">
        <v>9.1666666666666605E-2</v>
      </c>
      <c r="O15">
        <v>-1.8666666666666599E-2</v>
      </c>
    </row>
    <row r="16" spans="1:15" x14ac:dyDescent="0.25">
      <c r="K16">
        <v>-1.6666666666666601E-2</v>
      </c>
      <c r="L16">
        <v>0.108</v>
      </c>
      <c r="N16">
        <v>0.39436619718309801</v>
      </c>
      <c r="O16">
        <v>6.8493150684931503E-2</v>
      </c>
    </row>
    <row r="17" spans="11:15" x14ac:dyDescent="0.25">
      <c r="K17">
        <v>0.04</v>
      </c>
      <c r="L17">
        <v>8.2666666666666597E-2</v>
      </c>
      <c r="N17">
        <v>6.6666666666666596E-2</v>
      </c>
      <c r="O17">
        <v>0.14285714285714199</v>
      </c>
    </row>
    <row r="18" spans="11:15" x14ac:dyDescent="0.25">
      <c r="K18">
        <v>0.123831775700934</v>
      </c>
      <c r="L18">
        <v>2.8333333333333301E-2</v>
      </c>
      <c r="N18">
        <v>7.5999999999999998E-2</v>
      </c>
      <c r="O18">
        <v>0.159574468085106</v>
      </c>
    </row>
    <row r="19" spans="11:15" x14ac:dyDescent="0.25">
      <c r="K19">
        <v>2.5333333333333301E-2</v>
      </c>
      <c r="L19">
        <v>0.06</v>
      </c>
      <c r="N19">
        <v>0.16</v>
      </c>
      <c r="O19">
        <v>-7.9254079254079193E-2</v>
      </c>
    </row>
    <row r="20" spans="11:15" x14ac:dyDescent="0.25">
      <c r="K20">
        <v>7.3999999999999996E-2</v>
      </c>
      <c r="L20">
        <v>4.7E-2</v>
      </c>
      <c r="N20">
        <v>0.38461538461538403</v>
      </c>
      <c r="O20">
        <v>-0.12121212121212099</v>
      </c>
    </row>
    <row r="21" spans="11:15" x14ac:dyDescent="0.25">
      <c r="K21">
        <v>9.6000000000000002E-2</v>
      </c>
      <c r="L21">
        <v>-4.5333333333333302E-2</v>
      </c>
      <c r="N21">
        <v>1</v>
      </c>
    </row>
    <row r="22" spans="11:15" x14ac:dyDescent="0.25">
      <c r="K22">
        <v>0.14833333333333301</v>
      </c>
      <c r="L22">
        <v>-8.3333333333333301E-2</v>
      </c>
    </row>
    <row r="23" spans="11:15" x14ac:dyDescent="0.25">
      <c r="K23">
        <v>6.3084112149532703E-2</v>
      </c>
      <c r="L23">
        <v>0.38554216867469798</v>
      </c>
    </row>
    <row r="24" spans="11:15" x14ac:dyDescent="0.25">
      <c r="K24">
        <v>-0.26</v>
      </c>
      <c r="L24">
        <v>0.61</v>
      </c>
    </row>
    <row r="25" spans="11:15" x14ac:dyDescent="0.25">
      <c r="K25">
        <v>-0.45200000000000001</v>
      </c>
      <c r="L25">
        <v>0.57299999999999995</v>
      </c>
    </row>
    <row r="26" spans="11:15" x14ac:dyDescent="0.25">
      <c r="K26">
        <v>-0.351981351981352</v>
      </c>
      <c r="L2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34"/>
  <sheetViews>
    <sheetView workbookViewId="0">
      <selection activeCell="A3" sqref="A3:A25"/>
    </sheetView>
  </sheetViews>
  <sheetFormatPr defaultRowHeight="15" x14ac:dyDescent="0.25"/>
  <sheetData>
    <row r="1" spans="1:156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6" x14ac:dyDescent="0.25">
      <c r="B2" t="s">
        <v>1</v>
      </c>
      <c r="C2" t="s">
        <v>4</v>
      </c>
      <c r="E2" t="s">
        <v>4</v>
      </c>
      <c r="F2" t="s">
        <v>1</v>
      </c>
      <c r="H2" t="s">
        <v>1</v>
      </c>
      <c r="I2" t="s">
        <v>4</v>
      </c>
      <c r="K2" t="s">
        <v>4</v>
      </c>
      <c r="L2" t="s">
        <v>1</v>
      </c>
      <c r="N2" t="s">
        <v>1</v>
      </c>
      <c r="O2" t="s">
        <v>4</v>
      </c>
      <c r="Q2" t="s">
        <v>4</v>
      </c>
      <c r="R2" t="s">
        <v>1</v>
      </c>
      <c r="T2" t="s">
        <v>1</v>
      </c>
      <c r="U2" t="s">
        <v>4</v>
      </c>
      <c r="W2" t="s">
        <v>4</v>
      </c>
      <c r="X2" t="s">
        <v>1</v>
      </c>
      <c r="Z2" t="s">
        <v>1</v>
      </c>
      <c r="AA2" t="s">
        <v>4</v>
      </c>
      <c r="AC2" t="s">
        <v>4</v>
      </c>
      <c r="AD2" t="s">
        <v>1</v>
      </c>
      <c r="AF2" t="s">
        <v>1</v>
      </c>
      <c r="AG2" t="s">
        <v>4</v>
      </c>
      <c r="AI2" t="s">
        <v>4</v>
      </c>
      <c r="AJ2" t="s">
        <v>1</v>
      </c>
      <c r="AL2" t="s">
        <v>1</v>
      </c>
      <c r="AM2" t="s">
        <v>4</v>
      </c>
      <c r="AO2" t="s">
        <v>4</v>
      </c>
      <c r="AP2" t="s">
        <v>1</v>
      </c>
      <c r="AR2" t="s">
        <v>1</v>
      </c>
      <c r="AS2" t="s">
        <v>4</v>
      </c>
      <c r="AU2" t="s">
        <v>4</v>
      </c>
      <c r="AV2" t="s">
        <v>1</v>
      </c>
      <c r="AX2" t="s">
        <v>1</v>
      </c>
      <c r="AY2" t="s">
        <v>4</v>
      </c>
      <c r="BA2" t="s">
        <v>4</v>
      </c>
      <c r="BB2" t="s">
        <v>1</v>
      </c>
      <c r="BD2" t="s">
        <v>1</v>
      </c>
      <c r="BE2" t="s">
        <v>4</v>
      </c>
      <c r="BG2" t="s">
        <v>4</v>
      </c>
      <c r="BH2" t="s">
        <v>1</v>
      </c>
      <c r="BJ2" t="s">
        <v>1</v>
      </c>
      <c r="BK2" t="s">
        <v>4</v>
      </c>
      <c r="BM2" t="s">
        <v>4</v>
      </c>
      <c r="BN2" t="s">
        <v>1</v>
      </c>
      <c r="BP2" t="s">
        <v>1</v>
      </c>
      <c r="BQ2" t="s">
        <v>4</v>
      </c>
      <c r="BS2" t="s">
        <v>4</v>
      </c>
      <c r="BT2" t="s">
        <v>1</v>
      </c>
      <c r="BV2" t="s">
        <v>1</v>
      </c>
      <c r="BW2" t="s">
        <v>4</v>
      </c>
      <c r="BY2" t="s">
        <v>4</v>
      </c>
      <c r="BZ2" t="s">
        <v>1</v>
      </c>
      <c r="CB2" t="s">
        <v>1</v>
      </c>
      <c r="CC2" t="s">
        <v>4</v>
      </c>
      <c r="CE2" t="s">
        <v>4</v>
      </c>
      <c r="CF2" t="s">
        <v>1</v>
      </c>
      <c r="CH2" t="s">
        <v>1</v>
      </c>
      <c r="CI2" t="s">
        <v>4</v>
      </c>
      <c r="CK2" t="s">
        <v>4</v>
      </c>
      <c r="CL2" t="s">
        <v>1</v>
      </c>
      <c r="CN2" t="s">
        <v>1</v>
      </c>
      <c r="CO2" t="s">
        <v>4</v>
      </c>
      <c r="CQ2" t="s">
        <v>4</v>
      </c>
      <c r="CR2" t="s">
        <v>1</v>
      </c>
      <c r="CT2" t="s">
        <v>1</v>
      </c>
      <c r="CU2" t="s">
        <v>4</v>
      </c>
      <c r="CW2" t="s">
        <v>4</v>
      </c>
      <c r="CX2" t="s">
        <v>1</v>
      </c>
      <c r="CZ2" t="s">
        <v>1</v>
      </c>
      <c r="DA2" t="s">
        <v>4</v>
      </c>
      <c r="DC2" t="s">
        <v>4</v>
      </c>
      <c r="DD2" t="s">
        <v>1</v>
      </c>
      <c r="DF2" t="s">
        <v>1</v>
      </c>
      <c r="DG2" t="s">
        <v>4</v>
      </c>
      <c r="DI2" t="s">
        <v>4</v>
      </c>
      <c r="DJ2" t="s">
        <v>1</v>
      </c>
      <c r="DL2" t="s">
        <v>1</v>
      </c>
      <c r="DM2" t="s">
        <v>4</v>
      </c>
      <c r="DO2" t="s">
        <v>4</v>
      </c>
      <c r="DP2" t="s">
        <v>1</v>
      </c>
      <c r="DR2" t="s">
        <v>1</v>
      </c>
      <c r="DS2" t="s">
        <v>4</v>
      </c>
      <c r="DU2" t="s">
        <v>4</v>
      </c>
      <c r="DV2" t="s">
        <v>1</v>
      </c>
      <c r="DX2" t="s">
        <v>1</v>
      </c>
      <c r="DY2" t="s">
        <v>4</v>
      </c>
      <c r="EA2" t="s">
        <v>4</v>
      </c>
      <c r="EB2" t="s">
        <v>1</v>
      </c>
      <c r="ED2" t="s">
        <v>1</v>
      </c>
      <c r="EE2" t="s">
        <v>4</v>
      </c>
      <c r="EG2" t="s">
        <v>4</v>
      </c>
      <c r="EH2" t="s">
        <v>1</v>
      </c>
      <c r="EJ2" t="s">
        <v>1</v>
      </c>
      <c r="EK2" t="s">
        <v>4</v>
      </c>
      <c r="EM2" t="s">
        <v>4</v>
      </c>
      <c r="EN2" t="s">
        <v>1</v>
      </c>
      <c r="EP2" t="s">
        <v>1</v>
      </c>
      <c r="EQ2" t="s">
        <v>4</v>
      </c>
      <c r="ES2" t="s">
        <v>4</v>
      </c>
      <c r="ET2" t="s">
        <v>1</v>
      </c>
      <c r="EV2" t="s">
        <v>4</v>
      </c>
      <c r="EW2" t="s">
        <v>1</v>
      </c>
      <c r="EX2" t="s">
        <v>80</v>
      </c>
      <c r="EZ2" t="s">
        <v>82</v>
      </c>
    </row>
    <row r="3" spans="1:156" x14ac:dyDescent="0.25">
      <c r="A3">
        <f>AVERAGE(B:B)</f>
        <v>0.27262615483952146</v>
      </c>
      <c r="B3">
        <v>0.32432432432432401</v>
      </c>
      <c r="C3">
        <v>5.3333333333333297E-3</v>
      </c>
      <c r="E3">
        <v>0.37837837837837801</v>
      </c>
      <c r="F3">
        <v>4.5045045045045001E-2</v>
      </c>
      <c r="H3">
        <v>0.43243243243243201</v>
      </c>
      <c r="I3">
        <v>5.7057057057056999E-2</v>
      </c>
      <c r="K3">
        <v>0.32432432432432401</v>
      </c>
      <c r="L3">
        <v>-5.1051051051050997E-2</v>
      </c>
      <c r="N3">
        <v>0.51351351351351304</v>
      </c>
      <c r="O3">
        <v>-2.7027027027027001E-2</v>
      </c>
      <c r="Q3">
        <v>0.162162162162162</v>
      </c>
      <c r="R3">
        <v>8.7087087087086998E-2</v>
      </c>
      <c r="T3">
        <v>0.45945945945945899</v>
      </c>
      <c r="U3">
        <v>5.3892215568862201E-2</v>
      </c>
      <c r="W3">
        <v>0.37837837837837801</v>
      </c>
      <c r="X3">
        <v>-4.1916167664670601E-2</v>
      </c>
      <c r="Z3">
        <v>0.32432432432432401</v>
      </c>
      <c r="AA3">
        <v>2.1021021021020998E-2</v>
      </c>
      <c r="AC3">
        <v>0.32432432432432401</v>
      </c>
      <c r="AD3">
        <v>4.8048048048047999E-2</v>
      </c>
      <c r="AF3">
        <v>0.37837837837837801</v>
      </c>
      <c r="AG3">
        <v>-3.9039039039038999E-2</v>
      </c>
      <c r="AI3">
        <v>0.32432432432432401</v>
      </c>
      <c r="AJ3">
        <v>6.9333333333333302E-2</v>
      </c>
      <c r="AL3">
        <v>0.32432432432432401</v>
      </c>
      <c r="AM3">
        <v>-2.69461077844311E-2</v>
      </c>
      <c r="AO3">
        <v>0.32432432432432401</v>
      </c>
      <c r="AP3">
        <v>2.7027027027027001E-2</v>
      </c>
      <c r="AR3">
        <v>0.43243243243243201</v>
      </c>
      <c r="AS3">
        <v>-2.1021021021020998E-2</v>
      </c>
      <c r="AU3">
        <v>0.35135135135135098</v>
      </c>
      <c r="AV3">
        <v>4.1916167664670601E-2</v>
      </c>
      <c r="AX3">
        <v>0.42105263157894701</v>
      </c>
      <c r="AY3">
        <v>-8.0000000000000002E-3</v>
      </c>
      <c r="BA3">
        <v>0.35135135135135098</v>
      </c>
      <c r="BB3">
        <v>-1.5015015015014999E-2</v>
      </c>
      <c r="BD3">
        <v>0.37837837837837801</v>
      </c>
      <c r="BE3">
        <v>2.69461077844311E-2</v>
      </c>
      <c r="BG3">
        <v>0.35135135135135098</v>
      </c>
      <c r="BH3">
        <v>2.39520958083832E-2</v>
      </c>
      <c r="BJ3">
        <v>0.29729729729729698</v>
      </c>
      <c r="BK3">
        <v>-1.2012012012012E-2</v>
      </c>
      <c r="BM3">
        <v>0.35135135135135098</v>
      </c>
      <c r="BN3">
        <v>2.9333333333333302E-2</v>
      </c>
      <c r="BP3">
        <v>0.40540540540540498</v>
      </c>
      <c r="BQ3">
        <v>-2.9940119760479E-2</v>
      </c>
      <c r="BS3">
        <v>0.32432432432432401</v>
      </c>
      <c r="BT3">
        <v>0.107784431137724</v>
      </c>
      <c r="BV3">
        <v>0.32432432432432401</v>
      </c>
      <c r="BW3">
        <v>4.8048048048047999E-2</v>
      </c>
      <c r="BY3">
        <v>0.32432432432432401</v>
      </c>
      <c r="BZ3">
        <v>0</v>
      </c>
      <c r="CB3">
        <v>0.37837837837837801</v>
      </c>
      <c r="CC3">
        <v>-4.2042042042041997E-2</v>
      </c>
      <c r="CE3">
        <v>0.35135135135135098</v>
      </c>
      <c r="CF3">
        <v>-5.7057057057056999E-2</v>
      </c>
      <c r="CH3">
        <v>0.43243243243243201</v>
      </c>
      <c r="CI3">
        <v>2.4024024024024E-2</v>
      </c>
      <c r="CK3">
        <v>0.35135135135135098</v>
      </c>
      <c r="CL3">
        <v>2.9940119760479E-3</v>
      </c>
      <c r="CN3">
        <v>0.35135135135135098</v>
      </c>
      <c r="CO3">
        <v>4.2042042042041997E-2</v>
      </c>
      <c r="CQ3">
        <v>0.29729729729729698</v>
      </c>
      <c r="CR3">
        <v>-1.2012012012012E-2</v>
      </c>
      <c r="CT3">
        <v>0.48648648648648601</v>
      </c>
      <c r="CU3">
        <v>0.107784431137724</v>
      </c>
      <c r="CW3">
        <v>0.35135135135135098</v>
      </c>
      <c r="CX3">
        <v>2.7027027027027001E-2</v>
      </c>
      <c r="CZ3">
        <v>0.45945945945945899</v>
      </c>
      <c r="DA3">
        <v>-2.4024024024024E-2</v>
      </c>
      <c r="DC3">
        <v>0.32432432432432401</v>
      </c>
      <c r="DD3">
        <v>8.0000000000000002E-3</v>
      </c>
      <c r="DF3">
        <v>0.48648648648648601</v>
      </c>
      <c r="DG3">
        <v>3.0030030030029999E-2</v>
      </c>
      <c r="DI3">
        <v>0.35135135135135098</v>
      </c>
      <c r="DJ3">
        <v>1.6E-2</v>
      </c>
      <c r="DL3">
        <v>0.32432432432432401</v>
      </c>
      <c r="DM3">
        <v>4.8048048048047999E-2</v>
      </c>
      <c r="DO3">
        <v>0.32432432432432401</v>
      </c>
      <c r="DP3">
        <v>6.0060060060059999E-3</v>
      </c>
      <c r="DR3">
        <v>0.32432432432432401</v>
      </c>
      <c r="DS3">
        <v>0</v>
      </c>
      <c r="DU3">
        <v>0.36842105263157798</v>
      </c>
      <c r="DV3">
        <v>-6.0060060060059999E-3</v>
      </c>
      <c r="DX3">
        <v>0.54054054054054002</v>
      </c>
      <c r="DY3">
        <v>-3.0030030030029999E-2</v>
      </c>
      <c r="EA3">
        <v>0.29729729729729698</v>
      </c>
      <c r="EB3">
        <v>-3.89221556886227E-2</v>
      </c>
      <c r="ED3">
        <v>0.45945945945945899</v>
      </c>
      <c r="EE3">
        <v>-2.39520958083832E-2</v>
      </c>
      <c r="EG3">
        <v>0.35135135135135098</v>
      </c>
      <c r="EH3">
        <v>-1.2012012012012E-2</v>
      </c>
      <c r="EJ3">
        <v>0.40540540540540498</v>
      </c>
      <c r="EK3">
        <v>-6.6066066066066007E-2</v>
      </c>
      <c r="EM3">
        <v>0.35135135135135098</v>
      </c>
      <c r="EN3">
        <v>5.6000000000000001E-2</v>
      </c>
      <c r="EP3">
        <v>0.32432432432432401</v>
      </c>
      <c r="EQ3">
        <v>-8.9820359281437105E-3</v>
      </c>
      <c r="ES3">
        <v>0.35135135135135098</v>
      </c>
      <c r="ET3">
        <v>3.0030030030029999E-2</v>
      </c>
      <c r="EV3">
        <f>SUMIFS($A3:$ET3,A$2:ET$2,EV$2)/COUNTIF(A$2:ET$2,EV$2)</f>
        <v>0.1689307752631293</v>
      </c>
      <c r="EW3">
        <f>SUMIFS($A3:$ET3,A$2:ET$2,EW$2)/COUNTIF(A$2:ET$2,EW$2)</f>
        <v>0.20760424732327651</v>
      </c>
      <c r="EX3">
        <f>AVERAGE(EW$3:EW$28)</f>
        <v>0.15701976951720639</v>
      </c>
      <c r="EZ3">
        <v>5.3333333333333297E-3</v>
      </c>
    </row>
    <row r="4" spans="1:156" x14ac:dyDescent="0.25">
      <c r="A4">
        <f t="shared" ref="A4:A25" si="0">AVERAGE(B:B)</f>
        <v>0.27262615483952146</v>
      </c>
      <c r="B4">
        <v>4.7904191616766401E-2</v>
      </c>
      <c r="C4">
        <v>8.4084084084083993E-2</v>
      </c>
      <c r="E4">
        <v>8.6826347305389198E-2</v>
      </c>
      <c r="F4">
        <v>4.8048048048047999E-2</v>
      </c>
      <c r="H4">
        <v>7.5075075075075007E-2</v>
      </c>
      <c r="I4">
        <v>7.2072072072072002E-2</v>
      </c>
      <c r="K4">
        <v>0.117117117117117</v>
      </c>
      <c r="L4">
        <v>6.9333333333333302E-2</v>
      </c>
      <c r="N4">
        <v>0.19161676646706499</v>
      </c>
      <c r="O4">
        <v>0</v>
      </c>
      <c r="Q4">
        <v>6.9333333333333302E-2</v>
      </c>
      <c r="R4">
        <v>5.4054054054054002E-2</v>
      </c>
      <c r="T4">
        <v>8.0838323353293398E-2</v>
      </c>
      <c r="U4">
        <v>2.4024024024024E-2</v>
      </c>
      <c r="W4">
        <v>0.149700598802395</v>
      </c>
      <c r="X4">
        <v>-1.8018018018018001E-2</v>
      </c>
      <c r="Z4">
        <v>9.6096096096096095E-2</v>
      </c>
      <c r="AA4">
        <v>-3.2000000000000001E-2</v>
      </c>
      <c r="AC4">
        <v>0.12912912912912899</v>
      </c>
      <c r="AD4">
        <v>-1.6E-2</v>
      </c>
      <c r="AF4">
        <v>0.126126126126126</v>
      </c>
      <c r="AG4">
        <v>-3.7333333333333302E-2</v>
      </c>
      <c r="AI4">
        <v>0.105105105105105</v>
      </c>
      <c r="AJ4">
        <v>3.9039039039038999E-2</v>
      </c>
      <c r="AL4">
        <v>0.11111111111111099</v>
      </c>
      <c r="AM4">
        <v>-6.0060060060059999E-3</v>
      </c>
      <c r="AO4">
        <v>0.16</v>
      </c>
      <c r="AP4">
        <v>-2.1021021021020998E-2</v>
      </c>
      <c r="AR4">
        <v>0.162162162162162</v>
      </c>
      <c r="AS4">
        <v>1.06666666666666E-2</v>
      </c>
      <c r="AU4">
        <v>7.4666666666666603E-2</v>
      </c>
      <c r="AV4">
        <v>4.7904191616766401E-2</v>
      </c>
      <c r="AX4">
        <v>0.135135135135135</v>
      </c>
      <c r="AY4">
        <v>3.0030030030029999E-3</v>
      </c>
      <c r="BA4">
        <v>0.12912912912912899</v>
      </c>
      <c r="BB4">
        <v>-3.2000000000000001E-2</v>
      </c>
      <c r="BD4">
        <v>0.164670658682634</v>
      </c>
      <c r="BE4">
        <v>1.2012012012012E-2</v>
      </c>
      <c r="BG4">
        <v>0.153153153153153</v>
      </c>
      <c r="BH4">
        <v>6.0060060060059999E-3</v>
      </c>
      <c r="BJ4">
        <v>0.184</v>
      </c>
      <c r="BK4">
        <v>-9.0090090090090003E-3</v>
      </c>
      <c r="BM4">
        <v>0.125748502994011</v>
      </c>
      <c r="BN4">
        <v>8.7087087087086998E-2</v>
      </c>
      <c r="BP4">
        <v>0.149700598802395</v>
      </c>
      <c r="BQ4">
        <v>-2.1021021021020998E-2</v>
      </c>
      <c r="BS4">
        <v>0.13173652694610699</v>
      </c>
      <c r="BT4">
        <v>2.1333333333333301E-2</v>
      </c>
      <c r="BV4">
        <v>0.14399999999999999</v>
      </c>
      <c r="BW4">
        <v>3.4666666666666603E-2</v>
      </c>
      <c r="BY4">
        <v>0.16816816816816799</v>
      </c>
      <c r="BZ4">
        <v>1.8666666666666599E-2</v>
      </c>
      <c r="CB4">
        <v>0.128</v>
      </c>
      <c r="CC4">
        <v>-0.04</v>
      </c>
      <c r="CE4">
        <v>0.108108108108108</v>
      </c>
      <c r="CF4">
        <v>-2.39520958083832E-2</v>
      </c>
      <c r="CH4">
        <v>0.153153153153153</v>
      </c>
      <c r="CI4">
        <v>-4.2666666666666603E-2</v>
      </c>
      <c r="CK4">
        <v>0.15915915915915901</v>
      </c>
      <c r="CL4">
        <v>6.8862275449101798E-2</v>
      </c>
      <c r="CN4">
        <v>0.123123123123123</v>
      </c>
      <c r="CO4">
        <v>-6.0060060060059999E-3</v>
      </c>
      <c r="CQ4">
        <v>0.156156156156156</v>
      </c>
      <c r="CR4">
        <v>3.2000000000000001E-2</v>
      </c>
      <c r="CT4">
        <v>5.4054054054054002E-2</v>
      </c>
      <c r="CU4">
        <v>6.9333333333333302E-2</v>
      </c>
      <c r="CW4">
        <v>0.146666666666666</v>
      </c>
      <c r="CX4">
        <v>3.0030030030029999E-3</v>
      </c>
      <c r="CZ4">
        <v>0.13213213213213201</v>
      </c>
      <c r="DA4">
        <v>-2.39520958083832E-2</v>
      </c>
      <c r="DC4">
        <v>0.119760479041916</v>
      </c>
      <c r="DD4">
        <v>5.9880239520958001E-2</v>
      </c>
      <c r="DF4">
        <v>0.164670658682634</v>
      </c>
      <c r="DG4">
        <v>5.6000000000000001E-2</v>
      </c>
      <c r="DI4">
        <v>0.144144144144144</v>
      </c>
      <c r="DJ4">
        <v>0</v>
      </c>
      <c r="DL4">
        <v>0.134730538922155</v>
      </c>
      <c r="DM4">
        <v>4.4910179640718501E-2</v>
      </c>
      <c r="DO4">
        <v>0.104</v>
      </c>
      <c r="DP4">
        <v>4.7904191616766401E-2</v>
      </c>
      <c r="DR4">
        <v>0.12533333333333299</v>
      </c>
      <c r="DS4">
        <v>3.3033033033033003E-2</v>
      </c>
      <c r="DU4">
        <v>0.10210210210210199</v>
      </c>
      <c r="DV4">
        <v>3.0030030030029999E-2</v>
      </c>
      <c r="DX4">
        <v>7.8078078078077998E-2</v>
      </c>
      <c r="DY4">
        <v>-0.04</v>
      </c>
      <c r="EA4">
        <v>0.12874251497005901</v>
      </c>
      <c r="EB4">
        <v>-3.2000000000000001E-2</v>
      </c>
      <c r="ED4">
        <v>0.17717717717717699</v>
      </c>
      <c r="EE4">
        <v>6.6066066066066007E-2</v>
      </c>
      <c r="EG4">
        <v>0.133333333333333</v>
      </c>
      <c r="EH4">
        <v>-2.69461077844311E-2</v>
      </c>
      <c r="EJ4">
        <v>0.178666666666666</v>
      </c>
      <c r="EK4">
        <v>-5.1051051051050997E-2</v>
      </c>
      <c r="EM4">
        <v>8.9820359281437098E-2</v>
      </c>
      <c r="EN4">
        <v>1.8018018018018001E-2</v>
      </c>
      <c r="EP4">
        <v>0.156156156156156</v>
      </c>
      <c r="EQ4">
        <v>3.89221556886227E-2</v>
      </c>
      <c r="ES4">
        <v>0.123123123123123</v>
      </c>
      <c r="ET4">
        <v>6.2874251497005901E-2</v>
      </c>
      <c r="EV4">
        <f t="shared" ref="EV4:EV26" si="1">SUMIFS($A4:$ET4,A$2:ET$2,EV$2)/COUNTIF(A$2:ET$2,EV$2)</f>
        <v>6.7093560626494617E-2</v>
      </c>
      <c r="EW4">
        <f t="shared" ref="EW4:EW28" si="2">SUMIFS($A4:$ET4,A$2:ET$2,EW$2)/COUNTIF(A$2:ET$2,EW$2)</f>
        <v>7.6356356835877645E-2</v>
      </c>
      <c r="EX4">
        <f t="shared" ref="EX4:EX28" si="3">AVERAGE(EW$3:EW$28)</f>
        <v>0.15701976951720639</v>
      </c>
      <c r="EZ4">
        <v>8.4084084084083993E-2</v>
      </c>
    </row>
    <row r="5" spans="1:156" x14ac:dyDescent="0.25">
      <c r="A5">
        <f t="shared" si="0"/>
        <v>0.27262615483952146</v>
      </c>
      <c r="B5">
        <v>7.4592074592074495E-2</v>
      </c>
      <c r="C5">
        <v>2.1333333333333301E-2</v>
      </c>
      <c r="E5">
        <v>7.4666666666666603E-2</v>
      </c>
      <c r="F5">
        <v>3.73831775700934E-2</v>
      </c>
      <c r="H5">
        <v>0.04</v>
      </c>
      <c r="I5">
        <v>9.0666666666666604E-2</v>
      </c>
      <c r="K5">
        <v>0.156156156156156</v>
      </c>
      <c r="L5">
        <v>6.5868263473053898E-2</v>
      </c>
      <c r="N5">
        <v>0.183183183183183</v>
      </c>
      <c r="O5">
        <v>-1.79640718562874E-2</v>
      </c>
      <c r="Q5">
        <v>5.3333333333333302E-2</v>
      </c>
      <c r="R5">
        <v>4.5045045045045001E-2</v>
      </c>
      <c r="T5">
        <v>0.10210210210210199</v>
      </c>
      <c r="U5">
        <v>3.29341317365269E-2</v>
      </c>
      <c r="W5">
        <v>0.17599999999999999</v>
      </c>
      <c r="X5">
        <v>-8.8578088578088507E-2</v>
      </c>
      <c r="Z5">
        <v>7.1856287425149698E-2</v>
      </c>
      <c r="AA5">
        <v>-3.4666666666666603E-2</v>
      </c>
      <c r="AC5">
        <v>0.12912912912912899</v>
      </c>
      <c r="AD5">
        <v>6.3063063063063002E-2</v>
      </c>
      <c r="AF5">
        <v>0.126126126126126</v>
      </c>
      <c r="AG5">
        <v>1.06666666666666E-2</v>
      </c>
      <c r="AI5">
        <v>9.90990990990991E-2</v>
      </c>
      <c r="AJ5">
        <v>6.3063063063063002E-2</v>
      </c>
      <c r="AL5">
        <v>0.117117117117117</v>
      </c>
      <c r="AM5">
        <v>3.89221556886227E-2</v>
      </c>
      <c r="AO5">
        <v>9.0090090090090003E-2</v>
      </c>
      <c r="AP5">
        <v>1.6E-2</v>
      </c>
      <c r="AR5">
        <v>0.16588785046728899</v>
      </c>
      <c r="AS5">
        <v>-5.4054054054054002E-2</v>
      </c>
      <c r="AU5">
        <v>0.116822429906542</v>
      </c>
      <c r="AV5">
        <v>3.9039039039038999E-2</v>
      </c>
      <c r="AX5">
        <v>0.12912912912912899</v>
      </c>
      <c r="AY5">
        <v>2.6666666666666601E-3</v>
      </c>
      <c r="BA5">
        <v>0.12912912912912899</v>
      </c>
      <c r="BB5">
        <v>-2.7027027027027001E-2</v>
      </c>
      <c r="BD5">
        <v>0.125748502994011</v>
      </c>
      <c r="BE5">
        <v>-2.9333333333333302E-2</v>
      </c>
      <c r="BG5">
        <v>0.144144144144144</v>
      </c>
      <c r="BH5">
        <v>1.79640718562874E-2</v>
      </c>
      <c r="BJ5">
        <v>6.0060060060059997E-2</v>
      </c>
      <c r="BK5">
        <v>2.4024024024024E-2</v>
      </c>
      <c r="BM5">
        <v>5.4054054054054002E-2</v>
      </c>
      <c r="BN5">
        <v>9.34579439252336E-2</v>
      </c>
      <c r="BP5">
        <v>0.13066666666666599</v>
      </c>
      <c r="BQ5">
        <v>2.9940119760479E-3</v>
      </c>
      <c r="BS5">
        <v>9.6096096096096095E-2</v>
      </c>
      <c r="BT5">
        <v>4.5333333333333302E-2</v>
      </c>
      <c r="BV5">
        <v>6.9069069069068997E-2</v>
      </c>
      <c r="BW5">
        <v>6.2874251497005901E-2</v>
      </c>
      <c r="BY5">
        <v>0.11111111111111099</v>
      </c>
      <c r="BZ5">
        <v>1.8018018018018001E-2</v>
      </c>
      <c r="CB5">
        <v>0.105105105105105</v>
      </c>
      <c r="CC5">
        <v>2.9940119760479E-3</v>
      </c>
      <c r="CE5">
        <v>0.117117117117117</v>
      </c>
      <c r="CF5">
        <v>-4.5333333333333302E-2</v>
      </c>
      <c r="CH5">
        <v>0.14714714714714699</v>
      </c>
      <c r="CI5">
        <v>-5.6000000000000001E-2</v>
      </c>
      <c r="CK5">
        <v>0.108108108108108</v>
      </c>
      <c r="CL5">
        <v>-1.06666666666666E-2</v>
      </c>
      <c r="CN5">
        <v>0.12533333333333299</v>
      </c>
      <c r="CO5">
        <v>-1.6E-2</v>
      </c>
      <c r="CQ5">
        <v>0.12012012012011999</v>
      </c>
      <c r="CR5">
        <v>-3.4666666666666603E-2</v>
      </c>
      <c r="CT5">
        <v>5.6886227544910101E-2</v>
      </c>
      <c r="CU5">
        <v>7.5075075075075007E-2</v>
      </c>
      <c r="CW5">
        <v>0.135514018691588</v>
      </c>
      <c r="CX5">
        <v>-0.12012012012011999</v>
      </c>
      <c r="CZ5">
        <v>0.20720720720720701</v>
      </c>
      <c r="DA5">
        <v>-5.3333333333333297E-3</v>
      </c>
      <c r="DC5">
        <v>7.4666666666666603E-2</v>
      </c>
      <c r="DD5">
        <v>4.5045045045045001E-2</v>
      </c>
      <c r="DF5">
        <v>0.126126126126126</v>
      </c>
      <c r="DG5">
        <v>-2.6666666666666601E-3</v>
      </c>
      <c r="DI5">
        <v>0.125748502994011</v>
      </c>
      <c r="DJ5">
        <v>-1.2012012012012E-2</v>
      </c>
      <c r="DL5">
        <v>6.5868263473053898E-2</v>
      </c>
      <c r="DM5">
        <v>3.2000000000000001E-2</v>
      </c>
      <c r="DO5">
        <v>0.105105105105105</v>
      </c>
      <c r="DP5">
        <v>5.9880239520958001E-3</v>
      </c>
      <c r="DR5">
        <v>8.5333333333333303E-2</v>
      </c>
      <c r="DS5">
        <v>-6.0060060060059999E-3</v>
      </c>
      <c r="DU5">
        <v>0.104790419161676</v>
      </c>
      <c r="DV5">
        <v>3.9039039039038999E-2</v>
      </c>
      <c r="DX5">
        <v>9.5808383233532898E-2</v>
      </c>
      <c r="DY5">
        <v>2.7027027027027001E-2</v>
      </c>
      <c r="EA5">
        <v>8.7087087087086998E-2</v>
      </c>
      <c r="EB5">
        <v>-3.6036036036036001E-2</v>
      </c>
      <c r="ED5">
        <v>0.12266666666666599</v>
      </c>
      <c r="EE5">
        <v>0</v>
      </c>
      <c r="EG5">
        <v>0.13213213213213201</v>
      </c>
      <c r="EH5">
        <v>-9.0090090090090003E-3</v>
      </c>
      <c r="EJ5">
        <v>0.18933333333333299</v>
      </c>
      <c r="EK5">
        <v>-3.50467289719626E-2</v>
      </c>
      <c r="EM5">
        <v>9.90990990990991E-2</v>
      </c>
      <c r="EN5">
        <v>2.4024024024024E-2</v>
      </c>
      <c r="EP5">
        <v>0.128</v>
      </c>
      <c r="EQ5">
        <v>2.33644859813084E-2</v>
      </c>
      <c r="ES5">
        <v>0.11111111111111099</v>
      </c>
      <c r="ET5">
        <v>0.04</v>
      </c>
      <c r="EV5">
        <f t="shared" si="1"/>
        <v>5.8818051474721592E-2</v>
      </c>
      <c r="EW5">
        <f t="shared" si="2"/>
        <v>6.2504709728663968E-2</v>
      </c>
      <c r="EX5">
        <f t="shared" si="3"/>
        <v>0.15701976951720639</v>
      </c>
      <c r="EZ5">
        <v>2.1333333333333301E-2</v>
      </c>
    </row>
    <row r="6" spans="1:156" x14ac:dyDescent="0.25">
      <c r="A6">
        <f t="shared" si="0"/>
        <v>0.27262615483952146</v>
      </c>
      <c r="B6">
        <v>0.108108108108108</v>
      </c>
      <c r="C6">
        <v>5.7057057057056999E-2</v>
      </c>
      <c r="E6">
        <v>2.7027027027027001E-2</v>
      </c>
      <c r="F6">
        <v>7.5075075075075007E-2</v>
      </c>
      <c r="H6">
        <v>4.2056074766355103E-2</v>
      </c>
      <c r="I6">
        <v>0.156156156156156</v>
      </c>
      <c r="K6">
        <v>0.109333333333333</v>
      </c>
      <c r="L6">
        <v>1.06666666666666E-2</v>
      </c>
      <c r="N6">
        <v>0.13600000000000001</v>
      </c>
      <c r="O6">
        <v>-1.6317016317016299E-2</v>
      </c>
      <c r="Q6">
        <v>4.8048048048047999E-2</v>
      </c>
      <c r="R6">
        <v>0.112</v>
      </c>
      <c r="T6">
        <v>9.0666666666666604E-2</v>
      </c>
      <c r="U6">
        <v>3.3033033033033003E-2</v>
      </c>
      <c r="W6">
        <v>0.14399999999999999</v>
      </c>
      <c r="X6">
        <v>-6.5868263473053898E-2</v>
      </c>
      <c r="Z6">
        <v>0.109333333333333</v>
      </c>
      <c r="AA6">
        <v>-2.8037383177569999E-2</v>
      </c>
      <c r="AC6">
        <v>0.125748502994011</v>
      </c>
      <c r="AD6">
        <v>-3.4666666666666603E-2</v>
      </c>
      <c r="AF6">
        <v>0.13866666666666599</v>
      </c>
      <c r="AG6">
        <v>1.19760479041916E-2</v>
      </c>
      <c r="AI6">
        <v>0.117117117117117</v>
      </c>
      <c r="AJ6">
        <v>1.6E-2</v>
      </c>
      <c r="AL6">
        <v>0.149700598802395</v>
      </c>
      <c r="AM6">
        <v>2.9333333333333302E-2</v>
      </c>
      <c r="AO6">
        <v>0.11888111888111801</v>
      </c>
      <c r="AP6">
        <v>2.9333333333333302E-2</v>
      </c>
      <c r="AR6">
        <v>0.17</v>
      </c>
      <c r="AS6">
        <v>-5.9880239520958001E-2</v>
      </c>
      <c r="AU6">
        <v>9.0090090090090003E-2</v>
      </c>
      <c r="AV6">
        <v>1.8666666666666599E-2</v>
      </c>
      <c r="AX6">
        <v>0.153153153153153</v>
      </c>
      <c r="AY6">
        <v>-5.8666666666666603E-2</v>
      </c>
      <c r="BA6">
        <v>0.134730538922155</v>
      </c>
      <c r="BB6">
        <v>-1.6E-2</v>
      </c>
      <c r="BD6">
        <v>0.13813813813813799</v>
      </c>
      <c r="BE6">
        <v>-3.2000000000000001E-2</v>
      </c>
      <c r="BG6">
        <v>0.13772455089820301</v>
      </c>
      <c r="BH6">
        <v>-1.6E-2</v>
      </c>
      <c r="BJ6">
        <v>7.8078078078077998E-2</v>
      </c>
      <c r="BK6">
        <v>1.8666666666666599E-2</v>
      </c>
      <c r="BM6">
        <v>9.2814371257484998E-2</v>
      </c>
      <c r="BN6">
        <v>9.6000000000000002E-2</v>
      </c>
      <c r="BP6">
        <v>0.14399999999999999</v>
      </c>
      <c r="BQ6">
        <v>3.03030303030303E-2</v>
      </c>
      <c r="BS6">
        <v>9.5808383233532898E-2</v>
      </c>
      <c r="BT6">
        <v>6.9069069069068997E-2</v>
      </c>
      <c r="BV6">
        <v>0.100467289719626</v>
      </c>
      <c r="BW6">
        <v>-8.0000000000000002E-3</v>
      </c>
      <c r="BY6">
        <v>0.14399999999999999</v>
      </c>
      <c r="BZ6">
        <v>5.3333333333333297E-3</v>
      </c>
      <c r="CB6">
        <v>0.101333333333333</v>
      </c>
      <c r="CC6">
        <v>4.67289719626168E-2</v>
      </c>
      <c r="CE6">
        <v>0.156156156156156</v>
      </c>
      <c r="CF6">
        <v>-4.5333333333333302E-2</v>
      </c>
      <c r="CH6">
        <v>0.19819819819819801</v>
      </c>
      <c r="CI6">
        <v>2.3310023310023301E-2</v>
      </c>
      <c r="CK6">
        <v>0.133333333333333</v>
      </c>
      <c r="CL6">
        <v>2.6666666666666601E-3</v>
      </c>
      <c r="CN6">
        <v>8.7087087087086998E-2</v>
      </c>
      <c r="CO6">
        <v>6.1333333333333302E-2</v>
      </c>
      <c r="CQ6">
        <v>0.123123123123123</v>
      </c>
      <c r="CR6">
        <v>9.0090090090090003E-3</v>
      </c>
      <c r="CT6">
        <v>9.90990990990991E-2</v>
      </c>
      <c r="CU6">
        <v>3.2710280373831703E-2</v>
      </c>
      <c r="CW6">
        <v>0.123123123123123</v>
      </c>
      <c r="CX6">
        <v>-4.2666666666666603E-2</v>
      </c>
      <c r="CZ6">
        <v>0.149700598802395</v>
      </c>
      <c r="DA6">
        <v>-2.6666666666666601E-3</v>
      </c>
      <c r="DC6">
        <v>0.122754491017964</v>
      </c>
      <c r="DD6">
        <v>1.6E-2</v>
      </c>
      <c r="DF6">
        <v>9.6096096096096095E-2</v>
      </c>
      <c r="DG6">
        <v>3.0030030030029999E-2</v>
      </c>
      <c r="DI6">
        <v>0.12266666666666599</v>
      </c>
      <c r="DJ6">
        <v>-4.6620046620046603E-2</v>
      </c>
      <c r="DL6">
        <v>0.112</v>
      </c>
      <c r="DM6">
        <v>6.3063063063063002E-2</v>
      </c>
      <c r="DO6">
        <v>9.6000000000000002E-2</v>
      </c>
      <c r="DP6">
        <v>1.8018018018018001E-2</v>
      </c>
      <c r="DR6">
        <v>6.3063063063063002E-2</v>
      </c>
      <c r="DS6">
        <v>4.8000000000000001E-2</v>
      </c>
      <c r="DU6">
        <v>0.104</v>
      </c>
      <c r="DV6">
        <v>6.0060060060059999E-3</v>
      </c>
      <c r="DX6">
        <v>5.1051051051050997E-2</v>
      </c>
      <c r="DY6">
        <v>1.3333333333333299E-2</v>
      </c>
      <c r="EA6">
        <v>0.15733333333333299</v>
      </c>
      <c r="EB6">
        <v>3.3033033033033003E-2</v>
      </c>
      <c r="ED6">
        <v>9.8666666666666597E-2</v>
      </c>
      <c r="EE6">
        <v>1.79640718562874E-2</v>
      </c>
      <c r="EG6">
        <v>0.12912912912912899</v>
      </c>
      <c r="EH6">
        <v>-1.8666666666666599E-2</v>
      </c>
      <c r="EJ6">
        <v>0.126126126126126</v>
      </c>
      <c r="EK6">
        <v>2.4E-2</v>
      </c>
      <c r="EM6">
        <v>0.11111111111111099</v>
      </c>
      <c r="EN6">
        <v>2.1333333333333301E-2</v>
      </c>
      <c r="EP6">
        <v>0.105105105105105</v>
      </c>
      <c r="EQ6">
        <v>7.2072072072072002E-2</v>
      </c>
      <c r="ES6">
        <v>9.8130841121495296E-2</v>
      </c>
      <c r="ET6">
        <v>-3.0030030030029999E-3</v>
      </c>
      <c r="EV6">
        <f t="shared" si="1"/>
        <v>6.8513738427134679E-2</v>
      </c>
      <c r="EW6">
        <f t="shared" si="2"/>
        <v>6.1905601916830234E-2</v>
      </c>
      <c r="EX6">
        <f t="shared" si="3"/>
        <v>0.15701976951720639</v>
      </c>
      <c r="EZ6">
        <v>5.7057057057056999E-2</v>
      </c>
    </row>
    <row r="7" spans="1:156" x14ac:dyDescent="0.25">
      <c r="A7">
        <f t="shared" si="0"/>
        <v>0.27262615483952146</v>
      </c>
      <c r="B7">
        <v>0.12</v>
      </c>
      <c r="C7">
        <v>5.3613053613053602E-2</v>
      </c>
      <c r="E7">
        <v>5.0666666666666603E-2</v>
      </c>
      <c r="F7">
        <v>9.0666666666666604E-2</v>
      </c>
      <c r="H7">
        <v>1.2012012012012E-2</v>
      </c>
      <c r="I7">
        <v>5.1051051051050997E-2</v>
      </c>
      <c r="K7">
        <v>4.2056074766355103E-2</v>
      </c>
      <c r="L7">
        <v>-2.9940119760479E-3</v>
      </c>
      <c r="N7">
        <v>0.13866666666666599</v>
      </c>
      <c r="O7">
        <v>5.8000000000000003E-2</v>
      </c>
      <c r="Q7">
        <v>5.3333333333333302E-2</v>
      </c>
      <c r="R7">
        <v>9.6096096096096095E-2</v>
      </c>
      <c r="T7">
        <v>0.14933333333333301</v>
      </c>
      <c r="U7">
        <v>-8.0000000000000002E-3</v>
      </c>
      <c r="W7">
        <v>0.14933333333333301</v>
      </c>
      <c r="X7">
        <v>-5.3613053613053602E-2</v>
      </c>
      <c r="Z7">
        <v>0.111888111888111</v>
      </c>
      <c r="AA7">
        <v>3.0030030030029999E-3</v>
      </c>
      <c r="AC7">
        <v>0.16816816816816799</v>
      </c>
      <c r="AD7">
        <v>-2.69461077844311E-2</v>
      </c>
      <c r="AF7">
        <v>0.16816816816816799</v>
      </c>
      <c r="AG7">
        <v>-7.7333333333333296E-2</v>
      </c>
      <c r="AI7">
        <v>0.128</v>
      </c>
      <c r="AJ7">
        <v>-2.3364485981308401E-3</v>
      </c>
      <c r="AL7">
        <v>4.5333333333333302E-2</v>
      </c>
      <c r="AM7">
        <v>2.3310023310023301E-2</v>
      </c>
      <c r="AO7">
        <v>0.128</v>
      </c>
      <c r="AP7">
        <v>-2.1021021021020998E-2</v>
      </c>
      <c r="AR7">
        <v>0.201201201201201</v>
      </c>
      <c r="AS7">
        <v>-5.0898203592814301E-2</v>
      </c>
      <c r="AU7">
        <v>3.7333333333333302E-2</v>
      </c>
      <c r="AV7">
        <v>5.3892215568862201E-2</v>
      </c>
      <c r="AX7">
        <v>0.15015015015015001</v>
      </c>
      <c r="AY7">
        <v>-2.33644859813084E-2</v>
      </c>
      <c r="BA7">
        <v>0.107226107226107</v>
      </c>
      <c r="BB7">
        <v>-2.7027027027027001E-2</v>
      </c>
      <c r="BD7">
        <v>8.7999999999999995E-2</v>
      </c>
      <c r="BE7">
        <v>-1.3333333333333299E-2</v>
      </c>
      <c r="BG7">
        <v>8.7999999999999995E-2</v>
      </c>
      <c r="BH7">
        <v>1.86915887850467E-2</v>
      </c>
      <c r="BJ7">
        <v>0.12874251497005901</v>
      </c>
      <c r="BK7">
        <v>-0.04</v>
      </c>
      <c r="BM7">
        <v>5.8275058275058203E-2</v>
      </c>
      <c r="BN7">
        <v>4.7904191616766401E-2</v>
      </c>
      <c r="BP7">
        <v>5.8666666666666603E-2</v>
      </c>
      <c r="BQ7">
        <v>1.6E-2</v>
      </c>
      <c r="BS7">
        <v>7.4666666666666603E-2</v>
      </c>
      <c r="BT7">
        <v>5.6000000000000001E-2</v>
      </c>
      <c r="BV7">
        <v>0.13519813519813501</v>
      </c>
      <c r="BW7">
        <v>4.8048048048047999E-2</v>
      </c>
      <c r="BY7">
        <v>9.6000000000000002E-2</v>
      </c>
      <c r="BZ7">
        <v>3.0030030030029999E-2</v>
      </c>
      <c r="CB7">
        <v>4.8048048048047999E-2</v>
      </c>
      <c r="CC7">
        <v>7.8078078078077998E-2</v>
      </c>
      <c r="CE7">
        <v>0.14133333333333301</v>
      </c>
      <c r="CF7">
        <v>-3.4666666666666603E-2</v>
      </c>
      <c r="CH7">
        <v>9.90990990990991E-2</v>
      </c>
      <c r="CI7">
        <v>0.11214953271028</v>
      </c>
      <c r="CK7">
        <v>0.165501165501165</v>
      </c>
      <c r="CL7">
        <v>-7.00934579439252E-2</v>
      </c>
      <c r="CN7">
        <v>0.104</v>
      </c>
      <c r="CO7">
        <v>2.4024024024024E-2</v>
      </c>
      <c r="CQ7">
        <v>0.19161676646706499</v>
      </c>
      <c r="CR7">
        <v>-5.3333333333333297E-3</v>
      </c>
      <c r="CT7">
        <v>3.7333333333333302E-2</v>
      </c>
      <c r="CU7">
        <v>6.4000000000000001E-2</v>
      </c>
      <c r="CW7">
        <v>7.8078078078077998E-2</v>
      </c>
      <c r="CX7">
        <v>-2.6666666666666601E-3</v>
      </c>
      <c r="CZ7">
        <v>0.200598802395209</v>
      </c>
      <c r="DA7">
        <v>-3.2000000000000001E-2</v>
      </c>
      <c r="DC7">
        <v>9.6096096096096095E-2</v>
      </c>
      <c r="DD7">
        <v>-1.3333333333333299E-2</v>
      </c>
      <c r="DF7">
        <v>8.7999999999999995E-2</v>
      </c>
      <c r="DG7">
        <v>8.0000000000000002E-3</v>
      </c>
      <c r="DI7">
        <v>0.108108108108108</v>
      </c>
      <c r="DJ7">
        <v>-4.7904191616766401E-2</v>
      </c>
      <c r="DL7">
        <v>5.8666666666666603E-2</v>
      </c>
      <c r="DM7">
        <v>7.8078078078077998E-2</v>
      </c>
      <c r="DO7">
        <v>0.101796407185628</v>
      </c>
      <c r="DP7">
        <v>8.1775700934579407E-2</v>
      </c>
      <c r="DR7">
        <v>0.151869158878504</v>
      </c>
      <c r="DS7">
        <v>-3.7296037296037199E-2</v>
      </c>
      <c r="DU7">
        <v>9.3333333333333296E-2</v>
      </c>
      <c r="DV7">
        <v>5.8666666666666603E-2</v>
      </c>
      <c r="DX7">
        <v>0.133333333333333</v>
      </c>
      <c r="DY7">
        <v>0</v>
      </c>
      <c r="EA7">
        <v>0.114219114219114</v>
      </c>
      <c r="EB7">
        <v>-5.3999999999999999E-2</v>
      </c>
      <c r="ED7">
        <v>0.15384615384615299</v>
      </c>
      <c r="EE7">
        <v>-6.3063063063063002E-2</v>
      </c>
      <c r="EG7">
        <v>0.15466666666666601</v>
      </c>
      <c r="EH7">
        <v>-1.8648018648018599E-2</v>
      </c>
      <c r="EJ7">
        <v>0.15269461077844301</v>
      </c>
      <c r="EK7">
        <v>-8.0000000000000002E-3</v>
      </c>
      <c r="EM7">
        <v>5.3738317757009303E-2</v>
      </c>
      <c r="EN7">
        <v>5.1051051051050997E-2</v>
      </c>
      <c r="EP7">
        <v>7.1999999999999995E-2</v>
      </c>
      <c r="EQ7">
        <v>-1.6E-2</v>
      </c>
      <c r="ES7">
        <v>0.12266666666666599</v>
      </c>
      <c r="ET7">
        <v>4.8000000000000001E-2</v>
      </c>
      <c r="EV7">
        <f t="shared" si="1"/>
        <v>5.7005584609940652E-2</v>
      </c>
      <c r="EW7">
        <f t="shared" si="2"/>
        <v>6.118080738307935E-2</v>
      </c>
      <c r="EX7">
        <f t="shared" si="3"/>
        <v>0.15701976951720639</v>
      </c>
      <c r="EZ7">
        <v>5.3613053613053602E-2</v>
      </c>
    </row>
    <row r="8" spans="1:156" x14ac:dyDescent="0.25">
      <c r="A8">
        <f t="shared" si="0"/>
        <v>0.27262615483952146</v>
      </c>
      <c r="B8">
        <v>3.5999999999999997E-2</v>
      </c>
      <c r="C8">
        <v>1.8666666666666599E-2</v>
      </c>
      <c r="E8">
        <v>0</v>
      </c>
      <c r="F8">
        <v>7.1999999999999995E-2</v>
      </c>
      <c r="H8">
        <v>3.6036036036036001E-2</v>
      </c>
      <c r="I8">
        <v>0.13866666666666599</v>
      </c>
      <c r="K8">
        <v>0.123123123123123</v>
      </c>
      <c r="L8">
        <v>-2.6666666666666599E-2</v>
      </c>
      <c r="N8">
        <v>7.8078078078077998E-2</v>
      </c>
      <c r="O8">
        <v>7.5075075075075007E-2</v>
      </c>
      <c r="Q8">
        <v>9.6096096096096095E-2</v>
      </c>
      <c r="R8">
        <v>0.114666666666666</v>
      </c>
      <c r="T8">
        <v>0.137850467289719</v>
      </c>
      <c r="U8">
        <v>2.9940119760479E-2</v>
      </c>
      <c r="W8">
        <v>0.14714714714714699</v>
      </c>
      <c r="X8">
        <v>-6.2874251497005901E-2</v>
      </c>
      <c r="Z8">
        <v>0.13800000000000001</v>
      </c>
      <c r="AA8">
        <v>2.4024024024024E-2</v>
      </c>
      <c r="AC8">
        <v>0.116550116550116</v>
      </c>
      <c r="AD8">
        <v>-8.4084084084083993E-2</v>
      </c>
      <c r="AF8">
        <v>0.16083916083916</v>
      </c>
      <c r="AG8">
        <v>-0.101333333333333</v>
      </c>
      <c r="AI8">
        <v>0.152</v>
      </c>
      <c r="AJ8">
        <v>6.1333333333333302E-2</v>
      </c>
      <c r="AL8">
        <v>0.121495327102803</v>
      </c>
      <c r="AM8">
        <v>3.0030030030029999E-2</v>
      </c>
      <c r="AO8">
        <v>0.14714714714714699</v>
      </c>
      <c r="AP8">
        <v>-6.8333333333333302E-2</v>
      </c>
      <c r="AR8">
        <v>0.234666666666666</v>
      </c>
      <c r="AS8">
        <v>-3.7333333333333302E-2</v>
      </c>
      <c r="AU8">
        <v>6.2E-2</v>
      </c>
      <c r="AV8">
        <v>0.1</v>
      </c>
      <c r="AX8">
        <v>4.1916167664670601E-2</v>
      </c>
      <c r="AY8">
        <v>6.6666666666666596E-2</v>
      </c>
      <c r="BA8">
        <v>9.3333333333333296E-2</v>
      </c>
      <c r="BB8">
        <v>-1.19760479041916E-2</v>
      </c>
      <c r="BD8">
        <v>0.18018018018018001</v>
      </c>
      <c r="BE8">
        <v>2.3364485981308401E-3</v>
      </c>
      <c r="BG8">
        <v>0.112</v>
      </c>
      <c r="BH8">
        <v>0.01</v>
      </c>
      <c r="BJ8">
        <v>0.16083916083916</v>
      </c>
      <c r="BK8">
        <v>2.4024024024024E-2</v>
      </c>
      <c r="BM8">
        <v>1.8018018018018001E-2</v>
      </c>
      <c r="BN8">
        <v>8.4000000000000005E-2</v>
      </c>
      <c r="BP8">
        <v>9.11214953271028E-2</v>
      </c>
      <c r="BQ8">
        <v>8.3832335329341298E-2</v>
      </c>
      <c r="BS8">
        <v>5.3333333333333302E-2</v>
      </c>
      <c r="BT8">
        <v>2.8037383177569999E-2</v>
      </c>
      <c r="BV8">
        <v>0.100467289719626</v>
      </c>
      <c r="BW8">
        <v>-4.0000000000000001E-3</v>
      </c>
      <c r="BY8">
        <v>0.152</v>
      </c>
      <c r="BZ8">
        <v>-3.7296037296037199E-2</v>
      </c>
      <c r="CB8">
        <v>2.1021021021020998E-2</v>
      </c>
      <c r="CC8">
        <v>9.6000000000000002E-2</v>
      </c>
      <c r="CE8">
        <v>0.153153153153153</v>
      </c>
      <c r="CF8">
        <v>0</v>
      </c>
      <c r="CH8">
        <v>0.282608695652173</v>
      </c>
      <c r="CI8">
        <v>0.153153153153153</v>
      </c>
      <c r="CK8">
        <v>0.123123123123123</v>
      </c>
      <c r="CL8">
        <v>-2.1333333333333301E-2</v>
      </c>
      <c r="CN8">
        <v>9.3240093240093205E-2</v>
      </c>
      <c r="CO8">
        <v>-8.7999999999999995E-2</v>
      </c>
      <c r="CQ8">
        <v>0.109333333333333</v>
      </c>
      <c r="CR8">
        <v>-6.0060060060059999E-3</v>
      </c>
      <c r="CT8">
        <v>5.8000000000000003E-2</v>
      </c>
      <c r="CU8">
        <v>3.9039039039038999E-2</v>
      </c>
      <c r="CW8">
        <v>0.126126126126126</v>
      </c>
      <c r="CX8">
        <v>-8.0000000000000002E-3</v>
      </c>
      <c r="CZ8">
        <v>0.23543123543123501</v>
      </c>
      <c r="DA8">
        <v>-9.1999999999999998E-2</v>
      </c>
      <c r="DC8">
        <v>7.4592074592074495E-2</v>
      </c>
      <c r="DD8">
        <v>3.0030030030029999E-3</v>
      </c>
      <c r="DF8">
        <v>0.10666666666666599</v>
      </c>
      <c r="DG8">
        <v>2.57009345794392E-2</v>
      </c>
      <c r="DI8">
        <v>0.16800000000000001</v>
      </c>
      <c r="DJ8">
        <v>-3.2000000000000001E-2</v>
      </c>
      <c r="DL8">
        <v>3.0030030030029999E-2</v>
      </c>
      <c r="DM8">
        <v>0.13066666666666599</v>
      </c>
      <c r="DO8">
        <v>5.8666666666666603E-2</v>
      </c>
      <c r="DP8">
        <v>3.2000000000000001E-2</v>
      </c>
      <c r="DR8">
        <v>0.17065868263473</v>
      </c>
      <c r="DS8">
        <v>2.09580838323353E-2</v>
      </c>
      <c r="DU8">
        <v>0.11448598130841101</v>
      </c>
      <c r="DV8">
        <v>-2.7027027027027001E-2</v>
      </c>
      <c r="DX8">
        <v>0.13519813519813501</v>
      </c>
      <c r="DY8">
        <v>-3.4666666666666603E-2</v>
      </c>
      <c r="EA8">
        <v>0.11111111111111099</v>
      </c>
      <c r="EB8">
        <v>1.16666666666666E-2</v>
      </c>
      <c r="ED8">
        <v>0.17333333333333301</v>
      </c>
      <c r="EE8">
        <v>-0.114666666666666</v>
      </c>
      <c r="EG8">
        <v>0.149700598802395</v>
      </c>
      <c r="EH8">
        <v>-3.2000000000000001E-2</v>
      </c>
      <c r="EJ8">
        <v>0.23353293413173601</v>
      </c>
      <c r="EK8">
        <v>9.0090090090090003E-3</v>
      </c>
      <c r="EM8">
        <v>0.14399999999999999</v>
      </c>
      <c r="EN8">
        <v>5.3333333333333302E-2</v>
      </c>
      <c r="EP8">
        <v>0.08</v>
      </c>
      <c r="EQ8">
        <v>8.3832335329341298E-2</v>
      </c>
      <c r="ES8">
        <v>0.16167664670658599</v>
      </c>
      <c r="ET8">
        <v>4.4910179640718501E-2</v>
      </c>
      <c r="EV8">
        <f t="shared" si="1"/>
        <v>6.6926768162427597E-2</v>
      </c>
      <c r="EW8">
        <f t="shared" si="2"/>
        <v>6.6691292715119185E-2</v>
      </c>
      <c r="EX8">
        <f t="shared" si="3"/>
        <v>0.15701976951720639</v>
      </c>
      <c r="EZ8">
        <v>1.8666666666666599E-2</v>
      </c>
    </row>
    <row r="9" spans="1:156" x14ac:dyDescent="0.25">
      <c r="A9">
        <f t="shared" si="0"/>
        <v>0.27262615483952146</v>
      </c>
      <c r="B9">
        <v>0.105140186915887</v>
      </c>
      <c r="C9">
        <v>3.9039039039038999E-2</v>
      </c>
      <c r="E9">
        <v>5.8275058275058203E-2</v>
      </c>
      <c r="F9">
        <v>9.5571095571095499E-2</v>
      </c>
      <c r="H9">
        <v>0.104</v>
      </c>
      <c r="I9">
        <v>6.2937062937062901E-2</v>
      </c>
      <c r="K9">
        <v>0.12012012012011999</v>
      </c>
      <c r="L9">
        <v>9.3457943925233603E-3</v>
      </c>
      <c r="N9">
        <v>0.13866666666666599</v>
      </c>
      <c r="O9">
        <v>4.2666666666666603E-2</v>
      </c>
      <c r="Q9">
        <v>4.1916167664670601E-2</v>
      </c>
      <c r="R9">
        <v>8.2666666666666597E-2</v>
      </c>
      <c r="T9">
        <v>0.17599999999999999</v>
      </c>
      <c r="U9">
        <v>-1.06666666666666E-2</v>
      </c>
      <c r="W9">
        <v>0.132867132867132</v>
      </c>
      <c r="X9">
        <v>-9.3093093093092993E-2</v>
      </c>
      <c r="Z9">
        <v>0.114666666666666</v>
      </c>
      <c r="AA9">
        <v>0.04</v>
      </c>
      <c r="AC9">
        <v>0.146666666666666</v>
      </c>
      <c r="AD9">
        <v>-5.3333333333333302E-2</v>
      </c>
      <c r="AF9">
        <v>0.23598130841121401</v>
      </c>
      <c r="AG9">
        <v>0.122448979591836</v>
      </c>
      <c r="AI9">
        <v>0.112</v>
      </c>
      <c r="AJ9">
        <v>-4.8951048951048903E-2</v>
      </c>
      <c r="AL9">
        <v>0.164670658682634</v>
      </c>
      <c r="AM9">
        <v>3.7333333333333302E-2</v>
      </c>
      <c r="AO9">
        <v>0.11377245508981999</v>
      </c>
      <c r="AP9">
        <v>5.3333333333333297E-3</v>
      </c>
      <c r="AR9">
        <v>0.202666666666666</v>
      </c>
      <c r="AS9">
        <v>-1.8666666666666599E-2</v>
      </c>
      <c r="AU9">
        <v>3.2000000000000001E-2</v>
      </c>
      <c r="AV9">
        <v>4.4289044289044198E-2</v>
      </c>
      <c r="AX9">
        <v>8.1081081081081002E-2</v>
      </c>
      <c r="AY9">
        <v>9.90990990990991E-2</v>
      </c>
      <c r="BA9">
        <v>0.156156156156156</v>
      </c>
      <c r="BB9">
        <v>4.5333333333333302E-2</v>
      </c>
      <c r="BD9">
        <v>0.128</v>
      </c>
      <c r="BE9">
        <v>-4.8000000000000001E-2</v>
      </c>
      <c r="BG9">
        <v>0.151869158878504</v>
      </c>
      <c r="BH9">
        <v>3.4666666666666603E-2</v>
      </c>
      <c r="BJ9">
        <v>0.15466666666666601</v>
      </c>
      <c r="BK9">
        <v>-7.1999999999999995E-2</v>
      </c>
      <c r="BM9">
        <v>2.09580838323353E-2</v>
      </c>
      <c r="BN9">
        <v>0.13066666666666599</v>
      </c>
      <c r="BP9">
        <v>4.4289044289044198E-2</v>
      </c>
      <c r="BQ9">
        <v>0</v>
      </c>
      <c r="BS9">
        <v>0.165165165165165</v>
      </c>
      <c r="BT9">
        <v>5.3333333333333297E-3</v>
      </c>
      <c r="BV9">
        <v>8.9820359281437098E-2</v>
      </c>
      <c r="BW9">
        <v>0.04</v>
      </c>
      <c r="BY9">
        <v>0.12912912912912899</v>
      </c>
      <c r="BZ9">
        <v>0</v>
      </c>
      <c r="CB9">
        <v>0.109813084112149</v>
      </c>
      <c r="CC9">
        <v>5.6000000000000001E-2</v>
      </c>
      <c r="CE9">
        <v>0.13084112149532701</v>
      </c>
      <c r="CF9">
        <v>-7.7333333333333296E-2</v>
      </c>
      <c r="CH9">
        <v>-2.6666666666666599E-2</v>
      </c>
      <c r="CI9">
        <v>0.14933333333333301</v>
      </c>
      <c r="CK9">
        <v>0.15384615384615299</v>
      </c>
      <c r="CL9">
        <v>-9.11214953271028E-2</v>
      </c>
      <c r="CN9">
        <v>9.90990990990991E-2</v>
      </c>
      <c r="CO9">
        <v>2.3310023310023301E-3</v>
      </c>
      <c r="CQ9">
        <v>9.8130841121495296E-2</v>
      </c>
      <c r="CR9">
        <v>-4.6620046620046603E-2</v>
      </c>
      <c r="CT9">
        <v>7.7102803738317696E-2</v>
      </c>
      <c r="CU9">
        <v>-5.5944055944055902E-2</v>
      </c>
      <c r="CW9">
        <v>0.13084112149532701</v>
      </c>
      <c r="CX9">
        <v>0.14583333333333301</v>
      </c>
      <c r="CZ9">
        <v>0.29640718562874202</v>
      </c>
      <c r="DA9">
        <v>-8.7999999999999995E-2</v>
      </c>
      <c r="DC9">
        <v>0.104</v>
      </c>
      <c r="DD9">
        <v>7.2072072072072002E-2</v>
      </c>
      <c r="DF9">
        <v>0.16600000000000001</v>
      </c>
      <c r="DG9">
        <v>-8.1081081081081002E-2</v>
      </c>
      <c r="DI9">
        <v>0.14670658682634699</v>
      </c>
      <c r="DJ9">
        <v>-4.2666666666666603E-2</v>
      </c>
      <c r="DL9">
        <v>5.8411214953271E-2</v>
      </c>
      <c r="DM9">
        <v>6.6666666666666596E-2</v>
      </c>
      <c r="DO9">
        <v>4.7904191616766401E-2</v>
      </c>
      <c r="DP9">
        <v>5.0666666666666603E-2</v>
      </c>
      <c r="DR9">
        <v>0.252</v>
      </c>
      <c r="DS9">
        <v>-2.1333333333333301E-2</v>
      </c>
      <c r="DU9">
        <v>8.4084084084083993E-2</v>
      </c>
      <c r="DV9">
        <v>-5.8275058275058203E-2</v>
      </c>
      <c r="DX9">
        <v>0.158508158508158</v>
      </c>
      <c r="DY9">
        <v>4.2042042042041997E-2</v>
      </c>
      <c r="EA9">
        <v>9.5808383233532898E-2</v>
      </c>
      <c r="EB9">
        <v>4.2666666666666603E-2</v>
      </c>
      <c r="ED9">
        <v>0.192</v>
      </c>
      <c r="EE9">
        <v>-0.117333333333333</v>
      </c>
      <c r="EG9">
        <v>0.156</v>
      </c>
      <c r="EH9">
        <v>2.4E-2</v>
      </c>
      <c r="EJ9">
        <v>0.154205607476635</v>
      </c>
      <c r="EK9">
        <v>-5.6000000000000001E-2</v>
      </c>
      <c r="EM9">
        <v>7.7333333333333296E-2</v>
      </c>
      <c r="EN9">
        <v>2.3310023310023301E-3</v>
      </c>
      <c r="EP9">
        <v>8.66666666666666E-2</v>
      </c>
      <c r="EQ9">
        <v>2.33644859813084E-2</v>
      </c>
      <c r="ES9">
        <v>7.1999999999999995E-2</v>
      </c>
      <c r="ET9">
        <v>9.3457943925233603E-3</v>
      </c>
      <c r="EV9">
        <f t="shared" si="1"/>
        <v>5.8652553697867503E-2</v>
      </c>
      <c r="EW9">
        <f t="shared" si="2"/>
        <v>7.3038477059191545E-2</v>
      </c>
      <c r="EX9">
        <f t="shared" si="3"/>
        <v>0.15701976951720639</v>
      </c>
      <c r="EZ9">
        <v>3.9039039039038999E-2</v>
      </c>
    </row>
    <row r="10" spans="1:156" x14ac:dyDescent="0.25">
      <c r="A10">
        <f t="shared" si="0"/>
        <v>0.27262615483952146</v>
      </c>
      <c r="B10">
        <v>0.17199999999999999</v>
      </c>
      <c r="C10">
        <v>-5.7057057057056999E-2</v>
      </c>
      <c r="E10">
        <v>7.0000000000000007E-2</v>
      </c>
      <c r="F10">
        <v>2.3364485981308401E-3</v>
      </c>
      <c r="H10">
        <v>5.7057057057056999E-2</v>
      </c>
      <c r="I10">
        <v>6.9333333333333302E-2</v>
      </c>
      <c r="K10">
        <v>9.0666666666666604E-2</v>
      </c>
      <c r="L10">
        <v>-6.0000000000000001E-3</v>
      </c>
      <c r="N10">
        <v>0.114666666666666</v>
      </c>
      <c r="O10">
        <v>5.0666666666666603E-2</v>
      </c>
      <c r="Q10">
        <v>8.7999999999999995E-2</v>
      </c>
      <c r="R10">
        <v>0.197333333333333</v>
      </c>
      <c r="T10">
        <v>0.12121212121212099</v>
      </c>
      <c r="U10">
        <v>-6.6066066066066007E-2</v>
      </c>
      <c r="W10">
        <v>0.14133333333333301</v>
      </c>
      <c r="X10">
        <v>-4.6620046620046603E-2</v>
      </c>
      <c r="Z10">
        <v>9.8802395209580798E-2</v>
      </c>
      <c r="AA10">
        <v>3.7333333333333302E-2</v>
      </c>
      <c r="AC10">
        <v>0.14933333333333301</v>
      </c>
      <c r="AD10">
        <v>2.09790209790209E-2</v>
      </c>
      <c r="AF10">
        <v>0.23200000000000001</v>
      </c>
      <c r="AG10">
        <v>-0.18862275449101701</v>
      </c>
      <c r="AI10">
        <v>0.18181818181818099</v>
      </c>
      <c r="AJ10">
        <v>1.2E-2</v>
      </c>
      <c r="AL10">
        <v>0.15733333333333299</v>
      </c>
      <c r="AM10">
        <v>2.1333333333333301E-2</v>
      </c>
      <c r="AO10">
        <v>8.66666666666666E-2</v>
      </c>
      <c r="AP10">
        <v>4.1916167664670601E-2</v>
      </c>
      <c r="AR10">
        <v>0.16816816816816799</v>
      </c>
      <c r="AS10">
        <v>-3.73831775700934E-2</v>
      </c>
      <c r="AU10">
        <v>2.4E-2</v>
      </c>
      <c r="AV10">
        <v>8.4000000000000005E-2</v>
      </c>
      <c r="AX10">
        <v>5.8275058275058203E-2</v>
      </c>
      <c r="AY10">
        <v>4.8000000000000001E-2</v>
      </c>
      <c r="BA10">
        <v>0.13519813519813501</v>
      </c>
      <c r="BB10">
        <v>0.16</v>
      </c>
      <c r="BD10">
        <v>0.20979020979020899</v>
      </c>
      <c r="BE10">
        <v>-0.13600000000000001</v>
      </c>
      <c r="BG10">
        <v>9.0666666666666604E-2</v>
      </c>
      <c r="BH10">
        <v>9.6000000000000002E-2</v>
      </c>
      <c r="BJ10">
        <v>0.151869158878504</v>
      </c>
      <c r="BK10">
        <v>-0.10256410256410201</v>
      </c>
      <c r="BM10">
        <v>-2.6666666666666599E-2</v>
      </c>
      <c r="BN10">
        <v>0.13866666666666599</v>
      </c>
      <c r="BP10">
        <v>0.06</v>
      </c>
      <c r="BQ10">
        <v>0.128</v>
      </c>
      <c r="BS10">
        <v>6.9333333333333302E-2</v>
      </c>
      <c r="BT10">
        <v>4.1916167664670601E-2</v>
      </c>
      <c r="BV10">
        <v>7.8078078078077998E-2</v>
      </c>
      <c r="BW10">
        <v>0.10666666666666599</v>
      </c>
      <c r="BY10">
        <v>0.13053613053613</v>
      </c>
      <c r="BZ10">
        <v>-5.8666666666666603E-2</v>
      </c>
      <c r="CB10">
        <v>9.6000000000000002E-2</v>
      </c>
      <c r="CC10">
        <v>3.4000000000000002E-2</v>
      </c>
      <c r="CE10">
        <v>0.15654205607476601</v>
      </c>
      <c r="CF10">
        <v>-6.5268065268065195E-2</v>
      </c>
      <c r="CH10">
        <v>-1.8666666666666599E-2</v>
      </c>
      <c r="CI10">
        <v>0.15151515151515099</v>
      </c>
      <c r="CK10">
        <v>9.6000000000000002E-2</v>
      </c>
      <c r="CL10">
        <v>-3.9039039039038999E-2</v>
      </c>
      <c r="CN10">
        <v>0.14933333333333301</v>
      </c>
      <c r="CO10">
        <v>-6.9930069930069904E-3</v>
      </c>
      <c r="CQ10">
        <v>9.6096096096096095E-2</v>
      </c>
      <c r="CR10">
        <v>0.163170163170163</v>
      </c>
      <c r="CT10">
        <v>5.8666666666666603E-2</v>
      </c>
      <c r="CU10">
        <v>4.4392523364485903E-2</v>
      </c>
      <c r="CW10">
        <v>0.15</v>
      </c>
      <c r="CX10">
        <v>-8.1585081585081501E-2</v>
      </c>
      <c r="CZ10">
        <v>0.193925233644859</v>
      </c>
      <c r="DA10">
        <v>-0.101333333333333</v>
      </c>
      <c r="DC10">
        <v>0.140718562874251</v>
      </c>
      <c r="DD10">
        <v>3.4666666666666603E-2</v>
      </c>
      <c r="DF10">
        <v>0.26806526806526798</v>
      </c>
      <c r="DG10">
        <v>-0.171171171171171</v>
      </c>
      <c r="DI10">
        <v>0.14918414918414899</v>
      </c>
      <c r="DJ10">
        <v>1.49700598802395E-2</v>
      </c>
      <c r="DL10">
        <v>6.9930069930069904E-3</v>
      </c>
      <c r="DM10">
        <v>6.0606060606060601E-2</v>
      </c>
      <c r="DO10">
        <v>5.5944055944055902E-2</v>
      </c>
      <c r="DP10">
        <v>1.8666666666666599E-2</v>
      </c>
      <c r="DR10">
        <v>0.24924924924924899</v>
      </c>
      <c r="DS10">
        <v>-8.4000000000000005E-2</v>
      </c>
      <c r="DU10">
        <v>0.133333333333333</v>
      </c>
      <c r="DV10">
        <v>1.6E-2</v>
      </c>
      <c r="DX10">
        <v>0.36</v>
      </c>
      <c r="DY10">
        <v>-0.269461077844311</v>
      </c>
      <c r="EA10">
        <v>0.10210210210210199</v>
      </c>
      <c r="EB10">
        <v>4.8000000000000001E-2</v>
      </c>
      <c r="ED10">
        <v>0.21962616822429901</v>
      </c>
      <c r="EE10">
        <v>-0.123123123123123</v>
      </c>
      <c r="EG10">
        <v>0.123123123123123</v>
      </c>
      <c r="EH10">
        <v>6.9333333333333302E-2</v>
      </c>
      <c r="EJ10">
        <v>0.13084112149532701</v>
      </c>
      <c r="EK10">
        <v>-1.79640718562874E-2</v>
      </c>
      <c r="EM10">
        <v>6.4000000000000001E-2</v>
      </c>
      <c r="EN10">
        <v>4.8951048951048903E-2</v>
      </c>
      <c r="EP10">
        <v>5.3333333333333302E-2</v>
      </c>
      <c r="EQ10">
        <v>7.2072072072072002E-2</v>
      </c>
      <c r="ES10">
        <v>8.1081081081081002E-2</v>
      </c>
      <c r="ET10">
        <v>-1.8666666666666599E-2</v>
      </c>
      <c r="EV10">
        <f t="shared" si="1"/>
        <v>4.0823810790405396E-2</v>
      </c>
      <c r="EW10">
        <f t="shared" si="2"/>
        <v>8.6793582774729913E-2</v>
      </c>
      <c r="EX10">
        <f t="shared" si="3"/>
        <v>0.15701976951720639</v>
      </c>
      <c r="EZ10">
        <v>-5.7057057057056999E-2</v>
      </c>
    </row>
    <row r="11" spans="1:156" x14ac:dyDescent="0.25">
      <c r="A11">
        <f t="shared" si="0"/>
        <v>0.27262615483952146</v>
      </c>
      <c r="B11">
        <v>0.22166666666666601</v>
      </c>
      <c r="C11">
        <v>-0.11</v>
      </c>
      <c r="E11">
        <v>9.5808383233532898E-2</v>
      </c>
      <c r="F11">
        <v>-2.33333333333333E-2</v>
      </c>
      <c r="H11">
        <v>-1.16822429906542E-2</v>
      </c>
      <c r="I11">
        <v>0.117333333333333</v>
      </c>
      <c r="K11">
        <v>0.112</v>
      </c>
      <c r="L11">
        <v>0.23529411764705799</v>
      </c>
      <c r="N11">
        <v>6.9930069930069894E-2</v>
      </c>
      <c r="O11">
        <v>4.4392523364485903E-2</v>
      </c>
      <c r="Q11">
        <v>1.16822429906542E-2</v>
      </c>
      <c r="R11">
        <v>0.116822429906542</v>
      </c>
      <c r="T11">
        <v>0.224</v>
      </c>
      <c r="U11">
        <v>-0.12</v>
      </c>
      <c r="W11">
        <v>0.13800000000000001</v>
      </c>
      <c r="X11">
        <v>-2.8000000000000001E-2</v>
      </c>
      <c r="Z11">
        <v>6.9930069930069894E-2</v>
      </c>
      <c r="AA11">
        <v>1.7999999999999999E-2</v>
      </c>
      <c r="AC11">
        <v>9.8666666666666597E-2</v>
      </c>
      <c r="AD11">
        <v>2.6666666666666599E-2</v>
      </c>
      <c r="AF11">
        <v>0.26933333333333298</v>
      </c>
      <c r="AG11">
        <v>5.7692307692307598E-2</v>
      </c>
      <c r="AI11">
        <v>0.114114114114114</v>
      </c>
      <c r="AJ11">
        <v>-4.6620046620046603E-2</v>
      </c>
      <c r="AL11">
        <v>0.128205128205128</v>
      </c>
      <c r="AM11">
        <v>-7.0093457943925198E-3</v>
      </c>
      <c r="AO11">
        <v>0.163170163170163</v>
      </c>
      <c r="AP11">
        <v>-6.2E-2</v>
      </c>
      <c r="AR11">
        <v>0.104</v>
      </c>
      <c r="AS11">
        <v>4.8000000000000001E-2</v>
      </c>
      <c r="AU11">
        <v>1.8333333333333299E-2</v>
      </c>
      <c r="AV11">
        <v>3.2710280373831703E-2</v>
      </c>
      <c r="AX11">
        <v>9.3333333333333296E-2</v>
      </c>
      <c r="AY11">
        <v>9.4E-2</v>
      </c>
      <c r="BA11">
        <v>9.0909090909090898E-2</v>
      </c>
      <c r="BB11">
        <v>3.4666666666666603E-2</v>
      </c>
      <c r="BD11">
        <v>0.23776223776223701</v>
      </c>
      <c r="BE11">
        <v>-0.13084112149532701</v>
      </c>
      <c r="BG11">
        <v>0.12012012012011999</v>
      </c>
      <c r="BH11">
        <v>8.2666666666666597E-2</v>
      </c>
      <c r="BJ11">
        <v>0.14599999999999999</v>
      </c>
      <c r="BK11">
        <v>-0.13600000000000001</v>
      </c>
      <c r="BM11">
        <v>-3.7296037296037199E-2</v>
      </c>
      <c r="BN11">
        <v>0.152</v>
      </c>
      <c r="BP11">
        <v>2.9940119760479E-3</v>
      </c>
      <c r="BQ11">
        <v>0.124</v>
      </c>
      <c r="BS11">
        <v>8.8578088578088507E-2</v>
      </c>
      <c r="BT11">
        <v>-3.7296037296037199E-2</v>
      </c>
      <c r="BV11">
        <v>0.156156156156156</v>
      </c>
      <c r="BW11">
        <v>7.7333333333333296E-2</v>
      </c>
      <c r="BY11">
        <v>0.132867132867132</v>
      </c>
      <c r="BZ11">
        <v>-6.5420560747663503E-2</v>
      </c>
      <c r="CB11">
        <v>0.109813084112149</v>
      </c>
      <c r="CC11">
        <v>0.15384615384615299</v>
      </c>
      <c r="CE11">
        <v>0.134730538922155</v>
      </c>
      <c r="CF11">
        <v>-0.13600000000000001</v>
      </c>
      <c r="CH11">
        <v>-5.6074766355140103E-2</v>
      </c>
      <c r="CI11">
        <v>0.13725490196078399</v>
      </c>
      <c r="CK11">
        <v>0.152</v>
      </c>
      <c r="CL11">
        <v>5.3333333333333297E-3</v>
      </c>
      <c r="CN11">
        <v>0.114219114219114</v>
      </c>
      <c r="CO11">
        <v>6.6666666666666596E-2</v>
      </c>
      <c r="CQ11">
        <v>3.4666666666666603E-2</v>
      </c>
      <c r="CR11">
        <v>0.11888111888111801</v>
      </c>
      <c r="CT11">
        <v>4.8048048048047999E-2</v>
      </c>
      <c r="CU11">
        <v>9.1999999999999998E-2</v>
      </c>
      <c r="CW11">
        <v>0.112</v>
      </c>
      <c r="CX11">
        <v>-3.0030030030029999E-3</v>
      </c>
      <c r="CZ11">
        <v>0.216</v>
      </c>
      <c r="DA11">
        <v>-9.3240093240093205E-2</v>
      </c>
      <c r="DC11">
        <v>0.104</v>
      </c>
      <c r="DD11">
        <v>2.6666666666666601E-3</v>
      </c>
      <c r="DF11">
        <v>0.45098039215686198</v>
      </c>
      <c r="DG11">
        <v>-5.1282051282051197E-2</v>
      </c>
      <c r="DI11">
        <v>9.8130841121495296E-2</v>
      </c>
      <c r="DJ11">
        <v>5.0666666666666603E-2</v>
      </c>
      <c r="DL11">
        <v>3.5999999999999997E-2</v>
      </c>
      <c r="DM11">
        <v>3.2000000000000001E-2</v>
      </c>
      <c r="DO11">
        <v>0.105105105105105</v>
      </c>
      <c r="DP11">
        <v>-3.7333333333333302E-2</v>
      </c>
      <c r="DR11">
        <v>0.24333333333333301</v>
      </c>
      <c r="DS11">
        <v>-9.11214953271028E-2</v>
      </c>
      <c r="DU11">
        <v>0.165501165501165</v>
      </c>
      <c r="DV11">
        <v>6.9333333333333302E-2</v>
      </c>
      <c r="DX11">
        <v>0.42666666666666597</v>
      </c>
      <c r="DY11">
        <v>-9.8039215686274495E-2</v>
      </c>
      <c r="EA11">
        <v>9.0909090909090898E-2</v>
      </c>
      <c r="EB11">
        <v>6.1333333333333302E-2</v>
      </c>
      <c r="ED11">
        <v>0.30069930069930001</v>
      </c>
      <c r="EE11">
        <v>-0.19819819819819801</v>
      </c>
      <c r="EG11">
        <v>0.10210210210210199</v>
      </c>
      <c r="EH11">
        <v>3.3333333333333301E-3</v>
      </c>
      <c r="EJ11">
        <v>0.132867132867132</v>
      </c>
      <c r="EK11">
        <v>-0.08</v>
      </c>
      <c r="EM11">
        <v>3.29341317365269E-2</v>
      </c>
      <c r="EN11">
        <v>7.7333333333333296E-2</v>
      </c>
      <c r="EP11">
        <v>4.67289719626168E-2</v>
      </c>
      <c r="EQ11">
        <v>-6.0000000000000001E-3</v>
      </c>
      <c r="ES11">
        <v>0.06</v>
      </c>
      <c r="ET11">
        <v>5.6000000000000001E-2</v>
      </c>
      <c r="EV11">
        <f t="shared" si="1"/>
        <v>4.55964127984958E-2</v>
      </c>
      <c r="EW11">
        <f t="shared" si="2"/>
        <v>8.9352233489751992E-2</v>
      </c>
      <c r="EX11">
        <f t="shared" si="3"/>
        <v>0.15701976951720639</v>
      </c>
      <c r="EZ11">
        <v>-0.11</v>
      </c>
    </row>
    <row r="12" spans="1:156" x14ac:dyDescent="0.25">
      <c r="A12">
        <f t="shared" si="0"/>
        <v>0.27262615483952146</v>
      </c>
      <c r="B12">
        <v>0.192</v>
      </c>
      <c r="C12">
        <v>-9.8802395209580798E-2</v>
      </c>
      <c r="E12">
        <v>7.8078078078077998E-2</v>
      </c>
      <c r="F12">
        <v>5.8411214953271E-2</v>
      </c>
      <c r="H12">
        <v>-1.06666666666666E-2</v>
      </c>
      <c r="I12">
        <v>0.109813084112149</v>
      </c>
      <c r="K12">
        <v>-3.6036036036036001E-2</v>
      </c>
      <c r="L12">
        <v>8.5000000000000006E-2</v>
      </c>
      <c r="N12">
        <v>0.18933333333333299</v>
      </c>
      <c r="O12">
        <v>3.9039039039038999E-2</v>
      </c>
      <c r="Q12">
        <v>6.9069069069068997E-2</v>
      </c>
      <c r="R12">
        <v>8.7999999999999995E-2</v>
      </c>
      <c r="T12">
        <v>0.19158878504672799</v>
      </c>
      <c r="U12">
        <v>-1.7999999999999999E-2</v>
      </c>
      <c r="W12">
        <v>0.165333333333333</v>
      </c>
      <c r="X12">
        <v>-5.3333333333333302E-2</v>
      </c>
      <c r="Z12">
        <v>7.7333333333333296E-2</v>
      </c>
      <c r="AA12">
        <v>3.03738317757009E-2</v>
      </c>
      <c r="AC12">
        <v>0.11915887850467199</v>
      </c>
      <c r="AD12">
        <v>0</v>
      </c>
      <c r="AF12">
        <v>0.30030030030030003</v>
      </c>
      <c r="AG12">
        <v>-0.19158878504672799</v>
      </c>
      <c r="AI12">
        <v>0.140350877192982</v>
      </c>
      <c r="AJ12">
        <v>7.9439252336448593E-2</v>
      </c>
      <c r="AL12">
        <v>0.114666666666666</v>
      </c>
      <c r="AM12">
        <v>8.3916083916083906E-2</v>
      </c>
      <c r="AO12">
        <v>0.144859813084112</v>
      </c>
      <c r="AP12">
        <v>-3.4965034965034898E-2</v>
      </c>
      <c r="AR12">
        <v>0.152</v>
      </c>
      <c r="AS12">
        <v>5.7057057057056999E-2</v>
      </c>
      <c r="AU12">
        <v>6.5420560747663503E-2</v>
      </c>
      <c r="AV12">
        <v>0.203703703703703</v>
      </c>
      <c r="AX12">
        <v>-1.16666666666666E-2</v>
      </c>
      <c r="AY12">
        <v>4.5333333333333302E-2</v>
      </c>
      <c r="BA12">
        <v>0.14452214452214401</v>
      </c>
      <c r="BB12">
        <v>-6.3084112149532703E-2</v>
      </c>
      <c r="BD12">
        <v>0.24533333333333299</v>
      </c>
      <c r="BE12">
        <v>-0.17482517482517401</v>
      </c>
      <c r="BG12">
        <v>0.117117117117117</v>
      </c>
      <c r="BH12">
        <v>0.12533333333333299</v>
      </c>
      <c r="BJ12">
        <v>0.261072261072261</v>
      </c>
      <c r="BK12">
        <v>-0.13800000000000001</v>
      </c>
      <c r="BM12">
        <v>-0.08</v>
      </c>
      <c r="BN12">
        <v>0.226107226107226</v>
      </c>
      <c r="BP12">
        <v>6.0000000000000001E-3</v>
      </c>
      <c r="BQ12">
        <v>0.15915915915915901</v>
      </c>
      <c r="BS12">
        <v>0.17799999999999999</v>
      </c>
      <c r="BT12">
        <v>-7.00934579439252E-2</v>
      </c>
      <c r="BV12">
        <v>7.3999999999999996E-2</v>
      </c>
      <c r="BW12">
        <v>5.1051051051050997E-2</v>
      </c>
      <c r="BY12">
        <v>0.126126126126126</v>
      </c>
      <c r="BZ12">
        <v>1.6317016317016299E-2</v>
      </c>
      <c r="CB12">
        <v>0.126</v>
      </c>
      <c r="CC12">
        <v>-4.2056074766355103E-2</v>
      </c>
      <c r="CE12">
        <v>0.109333333333333</v>
      </c>
      <c r="CF12">
        <v>-0.14219114219114201</v>
      </c>
      <c r="CH12">
        <v>-0.08</v>
      </c>
      <c r="CI12">
        <v>0.106</v>
      </c>
      <c r="CK12">
        <v>9.0909090909090898E-2</v>
      </c>
      <c r="CL12">
        <v>0.04</v>
      </c>
      <c r="CN12">
        <v>4.4392523364485903E-2</v>
      </c>
      <c r="CO12">
        <v>0.128</v>
      </c>
      <c r="CQ12">
        <v>-2E-3</v>
      </c>
      <c r="CR12">
        <v>6.1333333333333302E-2</v>
      </c>
      <c r="CT12">
        <v>5.3333333333333297E-3</v>
      </c>
      <c r="CU12">
        <v>0.14933333333333301</v>
      </c>
      <c r="CW12">
        <v>0.134615384615384</v>
      </c>
      <c r="CX12">
        <v>-9.8802395209580798E-2</v>
      </c>
      <c r="CZ12">
        <v>0.23400000000000001</v>
      </c>
      <c r="DA12">
        <v>-3.2634032634032598E-2</v>
      </c>
      <c r="DC12">
        <v>0.135514018691588</v>
      </c>
      <c r="DD12">
        <v>-1.8648018648018599E-2</v>
      </c>
      <c r="DF12">
        <v>0.28000000000000003</v>
      </c>
      <c r="DG12">
        <v>0.113207547169811</v>
      </c>
      <c r="DI12">
        <v>0.13317757009345699</v>
      </c>
      <c r="DJ12">
        <v>-7.4666666666666603E-2</v>
      </c>
      <c r="DL12">
        <v>7.69230769230769E-2</v>
      </c>
      <c r="DM12">
        <v>2.4E-2</v>
      </c>
      <c r="DO12">
        <v>0.12121212121212099</v>
      </c>
      <c r="DP12">
        <v>-2.33644859813084E-2</v>
      </c>
      <c r="DR12">
        <v>0.22522522522522501</v>
      </c>
      <c r="DS12">
        <v>-6.2666666666666607E-2</v>
      </c>
      <c r="DU12">
        <v>0.154</v>
      </c>
      <c r="DV12">
        <v>0.115384615384615</v>
      </c>
      <c r="DX12">
        <v>0.37866666666666599</v>
      </c>
      <c r="DY12">
        <v>-0.26600000000000001</v>
      </c>
      <c r="EA12">
        <v>4.5333333333333302E-2</v>
      </c>
      <c r="EB12">
        <v>3.7333333333333302E-2</v>
      </c>
      <c r="ED12">
        <v>0.254</v>
      </c>
      <c r="EE12">
        <v>-9.4E-2</v>
      </c>
      <c r="EG12">
        <v>6.6666666666666596E-2</v>
      </c>
      <c r="EH12">
        <v>9.3240093240093205E-3</v>
      </c>
      <c r="EJ12">
        <v>0.191142191142191</v>
      </c>
      <c r="EK12">
        <v>-7.2072072072072002E-2</v>
      </c>
      <c r="EM12">
        <v>-4.6728971962616802E-3</v>
      </c>
      <c r="EN12">
        <v>0.11600000000000001</v>
      </c>
      <c r="EP12">
        <v>8.5333333333333303E-2</v>
      </c>
      <c r="EQ12">
        <v>7.8078078078077998E-2</v>
      </c>
      <c r="ES12">
        <v>6.5268065268065195E-2</v>
      </c>
      <c r="ET12">
        <v>4.5333333333333302E-2</v>
      </c>
      <c r="EV12">
        <f t="shared" si="1"/>
        <v>4.5301460909404484E-2</v>
      </c>
      <c r="EW12">
        <f t="shared" si="2"/>
        <v>8.660365508224023E-2</v>
      </c>
      <c r="EX12">
        <f t="shared" si="3"/>
        <v>0.15701976951720639</v>
      </c>
      <c r="EZ12">
        <v>-9.8802395209580798E-2</v>
      </c>
    </row>
    <row r="13" spans="1:156" x14ac:dyDescent="0.25">
      <c r="A13">
        <f t="shared" si="0"/>
        <v>0.27262615483952146</v>
      </c>
      <c r="B13">
        <v>0.30933333333333302</v>
      </c>
      <c r="C13">
        <v>-0.124</v>
      </c>
      <c r="E13">
        <v>0.106</v>
      </c>
      <c r="F13">
        <v>4.8000000000000001E-2</v>
      </c>
      <c r="H13">
        <v>-2.6666666666666601E-3</v>
      </c>
      <c r="I13">
        <v>0.11888111888111801</v>
      </c>
      <c r="K13">
        <v>7.7333333333333296E-2</v>
      </c>
      <c r="L13">
        <v>4.4289044289044198E-2</v>
      </c>
      <c r="N13">
        <v>0.13866666666666599</v>
      </c>
      <c r="O13">
        <v>5.5944055944055902E-2</v>
      </c>
      <c r="Q13">
        <v>0.156</v>
      </c>
      <c r="R13">
        <v>-6.75990675990676E-2</v>
      </c>
      <c r="T13">
        <v>0.107226107226107</v>
      </c>
      <c r="U13">
        <v>3.7333333333333302E-2</v>
      </c>
      <c r="W13">
        <v>0.141666666666666</v>
      </c>
      <c r="X13">
        <v>-4.4392523364485903E-2</v>
      </c>
      <c r="Z13">
        <v>0.126126126126126</v>
      </c>
      <c r="AA13">
        <v>1.06666666666666E-2</v>
      </c>
      <c r="AC13">
        <v>0.112</v>
      </c>
      <c r="AD13">
        <v>-3.9627039627039597E-2</v>
      </c>
      <c r="AF13">
        <v>0.28199999999999997</v>
      </c>
      <c r="AG13">
        <v>-0.17599999999999999</v>
      </c>
      <c r="AI13">
        <v>5.3613053613053602E-2</v>
      </c>
      <c r="AJ13">
        <v>0.2</v>
      </c>
      <c r="AL13">
        <v>6.2E-2</v>
      </c>
      <c r="AM13">
        <v>2.9333333333333302E-2</v>
      </c>
      <c r="AO13">
        <v>0.13772455089820301</v>
      </c>
      <c r="AP13">
        <v>-3.5000000000000003E-2</v>
      </c>
      <c r="AR13">
        <v>8.6247086247086199E-2</v>
      </c>
      <c r="AS13">
        <v>5.8275058275058203E-2</v>
      </c>
      <c r="AU13">
        <v>0.14670658682634699</v>
      </c>
      <c r="AV13">
        <v>-5.1999999999999998E-2</v>
      </c>
      <c r="AX13">
        <v>2.5641025641025599E-2</v>
      </c>
      <c r="AY13">
        <v>3.7296037296037199E-2</v>
      </c>
      <c r="BA13">
        <v>0.145454545454545</v>
      </c>
      <c r="BB13">
        <v>4.0000000000000001E-3</v>
      </c>
      <c r="BD13">
        <v>0.31934731934731903</v>
      </c>
      <c r="BE13">
        <v>-0.18862275449101701</v>
      </c>
      <c r="BG13">
        <v>7.4666666666666603E-2</v>
      </c>
      <c r="BH13">
        <v>9.5571095571095499E-2</v>
      </c>
      <c r="BJ13">
        <v>0.26133333333333297</v>
      </c>
      <c r="BK13">
        <v>0.27777777777777701</v>
      </c>
      <c r="BM13">
        <v>-0.109333333333333</v>
      </c>
      <c r="BN13">
        <v>0.27738927738927699</v>
      </c>
      <c r="BP13">
        <v>-2.6666666666666599E-2</v>
      </c>
      <c r="BQ13">
        <v>0.14719626168224201</v>
      </c>
      <c r="BS13">
        <v>0.156177156177156</v>
      </c>
      <c r="BT13">
        <v>-6.3084112149532703E-2</v>
      </c>
      <c r="BV13">
        <v>5.83333333333333E-2</v>
      </c>
      <c r="BW13">
        <v>3.03738317757009E-2</v>
      </c>
      <c r="BY13">
        <v>0.106</v>
      </c>
      <c r="BZ13">
        <v>0.108</v>
      </c>
      <c r="CB13">
        <v>0.11</v>
      </c>
      <c r="CC13">
        <v>-1.5015015015014999E-2</v>
      </c>
      <c r="CE13">
        <v>0.13200000000000001</v>
      </c>
      <c r="CF13">
        <v>-4.8333333333333298E-2</v>
      </c>
      <c r="CH13">
        <v>8.0000000000000002E-3</v>
      </c>
      <c r="CI13">
        <v>0.114</v>
      </c>
      <c r="CK13">
        <v>5.0666666666666603E-2</v>
      </c>
      <c r="CL13">
        <v>6.75990675990676E-2</v>
      </c>
      <c r="CN13">
        <v>-0.06</v>
      </c>
      <c r="CO13">
        <v>0.13519813519813501</v>
      </c>
      <c r="CQ13">
        <v>3.8333333333333303E-2</v>
      </c>
      <c r="CR13">
        <v>6.0606060606060601E-2</v>
      </c>
      <c r="CT13">
        <v>3.4000000000000002E-2</v>
      </c>
      <c r="CU13">
        <v>0.100467289719626</v>
      </c>
      <c r="CW13">
        <v>0.12616822429906499</v>
      </c>
      <c r="CX13">
        <v>-5.8411214953271E-2</v>
      </c>
      <c r="CZ13">
        <v>0.21</v>
      </c>
      <c r="DA13">
        <v>-5.3333333333333302E-2</v>
      </c>
      <c r="DC13">
        <v>0.116822429906542</v>
      </c>
      <c r="DD13">
        <v>0.06</v>
      </c>
      <c r="DF13">
        <v>0.18018018018018001</v>
      </c>
      <c r="DG13">
        <v>-9.3333333333333296E-2</v>
      </c>
      <c r="DI13">
        <v>0.114666666666666</v>
      </c>
      <c r="DJ13">
        <v>2.3364485981308401E-3</v>
      </c>
      <c r="DL13">
        <v>0.109557109557109</v>
      </c>
      <c r="DM13">
        <v>8.4000000000000005E-2</v>
      </c>
      <c r="DO13">
        <v>0.14133333333333301</v>
      </c>
      <c r="DP13">
        <v>3.4000000000000002E-2</v>
      </c>
      <c r="DR13">
        <v>0.13600000000000001</v>
      </c>
      <c r="DS13">
        <v>-2.09790209790209E-2</v>
      </c>
      <c r="DU13">
        <v>0.15733333333333299</v>
      </c>
      <c r="DV13">
        <v>7.2727272727272696E-2</v>
      </c>
      <c r="DX13">
        <v>0.57407407407407396</v>
      </c>
      <c r="DY13">
        <v>-1.8333333333333299E-2</v>
      </c>
      <c r="EA13">
        <v>1.16822429906542E-2</v>
      </c>
      <c r="EB13">
        <v>0.17199999999999999</v>
      </c>
      <c r="ED13">
        <v>0.29833333333333301</v>
      </c>
      <c r="EE13">
        <v>-5.3738317757009303E-2</v>
      </c>
      <c r="EG13">
        <v>3.7333333333333302E-2</v>
      </c>
      <c r="EH13">
        <v>3.4965034965034898E-2</v>
      </c>
      <c r="EJ13">
        <v>0.186</v>
      </c>
      <c r="EK13">
        <v>-0.101333333333333</v>
      </c>
      <c r="EM13">
        <v>1.7999999999999999E-2</v>
      </c>
      <c r="EN13">
        <v>6.6666666666666596E-2</v>
      </c>
      <c r="EP13">
        <v>5.0666666666666603E-2</v>
      </c>
      <c r="EQ13">
        <v>7.1999999999999995E-2</v>
      </c>
      <c r="ES13">
        <v>6.9930069930069904E-3</v>
      </c>
      <c r="ET13">
        <v>0.16</v>
      </c>
      <c r="EV13">
        <f t="shared" si="1"/>
        <v>5.4387925109325191E-2</v>
      </c>
      <c r="EW13">
        <f t="shared" si="2"/>
        <v>9.3668700782345557E-2</v>
      </c>
      <c r="EX13">
        <f t="shared" si="3"/>
        <v>0.15701976951720639</v>
      </c>
      <c r="EZ13">
        <v>-0.124</v>
      </c>
    </row>
    <row r="14" spans="1:156" x14ac:dyDescent="0.25">
      <c r="A14">
        <f t="shared" si="0"/>
        <v>0.27262615483952146</v>
      </c>
      <c r="B14">
        <v>0.26347305389221498</v>
      </c>
      <c r="C14">
        <v>-0.13866666666666599</v>
      </c>
      <c r="E14">
        <v>9.1999999999999998E-2</v>
      </c>
      <c r="F14">
        <v>7.5075075075075007E-2</v>
      </c>
      <c r="H14">
        <v>-5.3613053613053602E-2</v>
      </c>
      <c r="I14">
        <v>0.132867132867132</v>
      </c>
      <c r="K14">
        <v>0.12533333333333299</v>
      </c>
      <c r="L14">
        <v>0.122</v>
      </c>
      <c r="N14">
        <v>3.7296037296037199E-2</v>
      </c>
      <c r="O14">
        <v>5.3999999999999999E-2</v>
      </c>
      <c r="Q14">
        <v>0.13519813519813501</v>
      </c>
      <c r="R14">
        <v>-1.86915887850467E-2</v>
      </c>
      <c r="T14">
        <v>0.10489510489510399</v>
      </c>
      <c r="U14">
        <v>0.112</v>
      </c>
      <c r="W14">
        <v>0.112</v>
      </c>
      <c r="X14">
        <v>0.08</v>
      </c>
      <c r="Z14">
        <v>0.109557109557109</v>
      </c>
      <c r="AA14">
        <v>0.13600000000000001</v>
      </c>
      <c r="AC14">
        <v>0.13600000000000001</v>
      </c>
      <c r="AD14">
        <v>3.2710280373831703E-2</v>
      </c>
      <c r="AF14">
        <v>0.27972027972027902</v>
      </c>
      <c r="AG14">
        <v>-0.210666666666666</v>
      </c>
      <c r="AI14">
        <v>-3.5999999999999997E-2</v>
      </c>
      <c r="AJ14">
        <v>0.118333333333333</v>
      </c>
      <c r="AL14">
        <v>8.1775700934579407E-2</v>
      </c>
      <c r="AM14">
        <v>8.7999999999999995E-2</v>
      </c>
      <c r="AO14">
        <v>0.128</v>
      </c>
      <c r="AP14">
        <v>-3.4965034965034898E-2</v>
      </c>
      <c r="AR14">
        <v>0.12266666666666599</v>
      </c>
      <c r="AS14">
        <v>-3.2710280373831703E-2</v>
      </c>
      <c r="AU14">
        <v>0.133333333333333</v>
      </c>
      <c r="AV14">
        <v>-0.06</v>
      </c>
      <c r="AX14">
        <v>0.01</v>
      </c>
      <c r="AY14">
        <v>9.34579439252336E-2</v>
      </c>
      <c r="BA14">
        <v>0.12</v>
      </c>
      <c r="BB14">
        <v>-2.6666666666666601E-3</v>
      </c>
      <c r="BD14">
        <v>0.33200000000000002</v>
      </c>
      <c r="BE14">
        <v>-0.23076923076923</v>
      </c>
      <c r="BG14">
        <v>6.0606060606060601E-2</v>
      </c>
      <c r="BH14">
        <v>0.124</v>
      </c>
      <c r="BJ14">
        <v>0.41</v>
      </c>
      <c r="BK14">
        <v>-0.29799999999999999</v>
      </c>
      <c r="BM14">
        <v>-0.11600000000000001</v>
      </c>
      <c r="BN14">
        <v>0.23200000000000001</v>
      </c>
      <c r="BP14">
        <v>1.06666666666666E-2</v>
      </c>
      <c r="BQ14">
        <v>0.111666666666666</v>
      </c>
      <c r="BS14">
        <v>0.15</v>
      </c>
      <c r="BT14">
        <v>-4.8048048048047999E-2</v>
      </c>
      <c r="BV14">
        <v>0.117333333333333</v>
      </c>
      <c r="BW14">
        <v>4.5333333333333302E-2</v>
      </c>
      <c r="BY14">
        <v>0.145454545454545</v>
      </c>
      <c r="BZ14">
        <v>7.2429906542056E-2</v>
      </c>
      <c r="CB14">
        <v>0.16</v>
      </c>
      <c r="CC14">
        <v>5.5E-2</v>
      </c>
      <c r="CE14">
        <v>0.12121212121212099</v>
      </c>
      <c r="CF14">
        <v>-1.16822429906542E-2</v>
      </c>
      <c r="CH14">
        <v>-5.9880239520958001E-2</v>
      </c>
      <c r="CI14">
        <v>0.13866666666666599</v>
      </c>
      <c r="CK14">
        <v>3.4965034965034898E-2</v>
      </c>
      <c r="CL14">
        <v>6.0000000000000001E-3</v>
      </c>
      <c r="CN14">
        <v>-7.2261072261072201E-2</v>
      </c>
      <c r="CO14">
        <v>0.14000000000000001</v>
      </c>
      <c r="CQ14">
        <v>0.158</v>
      </c>
      <c r="CR14">
        <v>-1.7999999999999999E-2</v>
      </c>
      <c r="CT14">
        <v>0.03</v>
      </c>
      <c r="CU14">
        <v>0.155</v>
      </c>
      <c r="CW14">
        <v>0.13800000000000001</v>
      </c>
      <c r="CX14">
        <v>-2.8333333333333301E-2</v>
      </c>
      <c r="CZ14">
        <v>0.165501165501165</v>
      </c>
      <c r="DA14">
        <v>-3.6036036036036001E-2</v>
      </c>
      <c r="DC14">
        <v>5.1999999999999998E-2</v>
      </c>
      <c r="DD14">
        <v>0.107476635514018</v>
      </c>
      <c r="DF14">
        <v>0.24242424242424199</v>
      </c>
      <c r="DG14">
        <v>0.22413793103448201</v>
      </c>
      <c r="DI14">
        <v>0.13</v>
      </c>
      <c r="DJ14">
        <v>-2.4E-2</v>
      </c>
      <c r="DL14">
        <v>3.4000000000000002E-2</v>
      </c>
      <c r="DM14">
        <v>0.105140186915887</v>
      </c>
      <c r="DO14">
        <v>5.6000000000000001E-2</v>
      </c>
      <c r="DP14">
        <v>4.2056074766355103E-2</v>
      </c>
      <c r="DR14">
        <v>0.20533333333333301</v>
      </c>
      <c r="DS14">
        <v>-6.6666666666666596E-2</v>
      </c>
      <c r="DU14">
        <v>0.192</v>
      </c>
      <c r="DV14">
        <v>-8.3916083916083906E-2</v>
      </c>
      <c r="DX14">
        <v>0.12</v>
      </c>
      <c r="DY14">
        <v>0.16393442622950799</v>
      </c>
      <c r="EA14">
        <v>-9.6000000000000002E-2</v>
      </c>
      <c r="EB14">
        <v>0.23130841121495299</v>
      </c>
      <c r="ED14">
        <v>0.29066666666666602</v>
      </c>
      <c r="EE14">
        <v>0.22413793103448201</v>
      </c>
      <c r="EG14">
        <v>0.109557109557109</v>
      </c>
      <c r="EH14">
        <v>-2.4E-2</v>
      </c>
      <c r="EJ14">
        <v>0.18414918414918399</v>
      </c>
      <c r="EK14">
        <v>-9.5571095571095499E-2</v>
      </c>
      <c r="EM14">
        <v>3.9719626168224297E-2</v>
      </c>
      <c r="EN14">
        <v>0.01</v>
      </c>
      <c r="EP14">
        <v>2.3310023310023301E-2</v>
      </c>
      <c r="EQ14">
        <v>9.0666666666666604E-2</v>
      </c>
      <c r="ES14">
        <v>8.6448598130841103E-2</v>
      </c>
      <c r="ET14">
        <v>3.5999999999999997E-2</v>
      </c>
      <c r="EV14">
        <f t="shared" si="1"/>
        <v>6.3375002810972039E-2</v>
      </c>
      <c r="EW14">
        <f t="shared" si="2"/>
        <v>8.1682018421325442E-2</v>
      </c>
      <c r="EX14">
        <f t="shared" si="3"/>
        <v>0.15701976951720639</v>
      </c>
      <c r="EZ14">
        <v>-0.13866666666666599</v>
      </c>
    </row>
    <row r="15" spans="1:156" x14ac:dyDescent="0.25">
      <c r="A15">
        <f t="shared" si="0"/>
        <v>0.27262615483952146</v>
      </c>
      <c r="B15">
        <v>0.286713286713286</v>
      </c>
      <c r="C15">
        <v>-0.15733333333333299</v>
      </c>
      <c r="E15">
        <v>5.6000000000000001E-2</v>
      </c>
      <c r="F15">
        <v>9.6000000000000002E-2</v>
      </c>
      <c r="H15">
        <v>-1.3333333333333299E-2</v>
      </c>
      <c r="I15">
        <v>0.13600000000000001</v>
      </c>
      <c r="K15">
        <v>0.123076923076923</v>
      </c>
      <c r="L15">
        <v>8.5999999999999993E-2</v>
      </c>
      <c r="N15">
        <v>1.16550116550116E-2</v>
      </c>
      <c r="O15">
        <v>0.169491525423728</v>
      </c>
      <c r="Q15">
        <v>0.11</v>
      </c>
      <c r="R15">
        <v>-2.7972027972027899E-2</v>
      </c>
      <c r="T15">
        <v>5.1401869158878503E-2</v>
      </c>
      <c r="U15">
        <v>6.6000000000000003E-2</v>
      </c>
      <c r="W15">
        <v>8.2000000000000003E-2</v>
      </c>
      <c r="X15">
        <v>-0.05</v>
      </c>
      <c r="Z15">
        <v>5.6000000000000001E-2</v>
      </c>
      <c r="AA15">
        <v>7.2072072072072002E-2</v>
      </c>
      <c r="AC15">
        <v>0.11</v>
      </c>
      <c r="AD15">
        <v>-6.6666666666666602E-3</v>
      </c>
      <c r="AF15">
        <v>0.46200000000000002</v>
      </c>
      <c r="AG15">
        <v>-0.34799999999999998</v>
      </c>
      <c r="AI15">
        <v>2.1999999999999999E-2</v>
      </c>
      <c r="AJ15">
        <v>4.5045045045045001E-2</v>
      </c>
      <c r="AL15">
        <v>0.11600000000000001</v>
      </c>
      <c r="AM15">
        <v>0.112</v>
      </c>
      <c r="AO15">
        <v>0.15466666666666601</v>
      </c>
      <c r="AP15">
        <v>-7.9254079254079193E-2</v>
      </c>
      <c r="AR15">
        <v>0.14599999999999999</v>
      </c>
      <c r="AS15">
        <v>0.115</v>
      </c>
      <c r="AU15">
        <v>0.12</v>
      </c>
      <c r="AV15">
        <v>-9.6000000000000002E-2</v>
      </c>
      <c r="AX15">
        <v>-5.6000000000000001E-2</v>
      </c>
      <c r="AY15">
        <v>0.13200000000000001</v>
      </c>
      <c r="BA15">
        <v>0.165501165501165</v>
      </c>
      <c r="BB15">
        <v>0.18333333333333299</v>
      </c>
      <c r="BD15">
        <v>0.39339339339339302</v>
      </c>
      <c r="BE15">
        <v>-0.184</v>
      </c>
      <c r="BG15">
        <v>3.03738317757009E-2</v>
      </c>
      <c r="BH15">
        <v>0.17</v>
      </c>
      <c r="BJ15">
        <v>0.60344827586206895</v>
      </c>
      <c r="BK15">
        <v>-0.57640750670241203</v>
      </c>
      <c r="BM15">
        <v>-6.9069069069068997E-2</v>
      </c>
      <c r="BN15">
        <v>0.21866666666666601</v>
      </c>
      <c r="BP15">
        <v>0.111666666666666</v>
      </c>
      <c r="BQ15">
        <v>0.13600000000000001</v>
      </c>
      <c r="BS15">
        <v>0.154</v>
      </c>
      <c r="BT15">
        <v>-5.5E-2</v>
      </c>
      <c r="BV15">
        <v>5.6074766355140103E-2</v>
      </c>
      <c r="BW15">
        <v>7.9254079254079193E-2</v>
      </c>
      <c r="BY15">
        <v>3.03738317757009E-2</v>
      </c>
      <c r="BZ15">
        <v>9.6000000000000002E-2</v>
      </c>
      <c r="CB15">
        <v>7.5075075075075007E-2</v>
      </c>
      <c r="CC15">
        <v>5.3333333333333302E-2</v>
      </c>
      <c r="CE15">
        <v>0.13</v>
      </c>
      <c r="CF15">
        <v>0.15625</v>
      </c>
      <c r="CH15">
        <v>-0.03</v>
      </c>
      <c r="CI15">
        <v>6.8333333333333302E-2</v>
      </c>
      <c r="CK15">
        <v>8.4084084084083993E-2</v>
      </c>
      <c r="CL15">
        <v>4.4910179640718501E-2</v>
      </c>
      <c r="CN15">
        <v>-0.01</v>
      </c>
      <c r="CO15">
        <v>0.13</v>
      </c>
      <c r="CQ15">
        <v>0.104</v>
      </c>
      <c r="CR15">
        <v>0.194029850746268</v>
      </c>
      <c r="CT15">
        <v>-4.2666666666666603E-2</v>
      </c>
      <c r="CU15">
        <v>0.177570093457943</v>
      </c>
      <c r="CW15">
        <v>9.0666666666666604E-2</v>
      </c>
      <c r="CX15">
        <v>3.7296037296037199E-2</v>
      </c>
      <c r="CZ15">
        <v>0.19466666666666599</v>
      </c>
      <c r="DA15">
        <v>-2.8000000000000001E-2</v>
      </c>
      <c r="DC15">
        <v>4.6620046620046603E-2</v>
      </c>
      <c r="DD15">
        <v>1.6E-2</v>
      </c>
      <c r="DF15">
        <v>0.14953271028037299</v>
      </c>
      <c r="DG15">
        <v>-9.6000000000000002E-2</v>
      </c>
      <c r="DI15">
        <v>0.15151515151515099</v>
      </c>
      <c r="DJ15">
        <v>-3.9627039627039597E-2</v>
      </c>
      <c r="DL15">
        <v>5.3999999999999999E-2</v>
      </c>
      <c r="DM15">
        <v>0.11864406779661001</v>
      </c>
      <c r="DO15">
        <v>0.12616822429906499</v>
      </c>
      <c r="DP15">
        <v>2.10280373831775E-2</v>
      </c>
      <c r="DR15">
        <v>0.19859813084112099</v>
      </c>
      <c r="DS15">
        <v>-1.4E-2</v>
      </c>
      <c r="DU15">
        <v>0.125</v>
      </c>
      <c r="DV15">
        <v>0.35384615384615298</v>
      </c>
      <c r="DX15">
        <v>4.7904191616766401E-2</v>
      </c>
      <c r="DY15">
        <v>9.6000000000000002E-2</v>
      </c>
      <c r="EA15">
        <v>-0.111888111888111</v>
      </c>
      <c r="EB15">
        <v>0.30599999999999999</v>
      </c>
      <c r="ED15">
        <v>-4.4999999999999998E-2</v>
      </c>
      <c r="EE15">
        <v>0.101333333333333</v>
      </c>
      <c r="EG15">
        <v>9.3333333333333296E-2</v>
      </c>
      <c r="EH15">
        <v>-6.5268065268065195E-2</v>
      </c>
      <c r="EJ15">
        <v>0.152</v>
      </c>
      <c r="EK15">
        <v>-8.2000000000000003E-2</v>
      </c>
      <c r="EM15">
        <v>0.15151515151515099</v>
      </c>
      <c r="EN15">
        <v>2.57009345794392E-2</v>
      </c>
      <c r="EP15">
        <v>2.33333333333333E-2</v>
      </c>
      <c r="EQ15">
        <v>-6.9930069930069904E-3</v>
      </c>
      <c r="ES15">
        <v>2.5999999999999999E-2</v>
      </c>
      <c r="ET15">
        <v>7.9439252336448593E-2</v>
      </c>
      <c r="EV15">
        <f t="shared" si="1"/>
        <v>4.7524717736963061E-2</v>
      </c>
      <c r="EW15">
        <f t="shared" si="2"/>
        <v>9.4044419794063736E-2</v>
      </c>
      <c r="EX15">
        <f t="shared" si="3"/>
        <v>0.15701976951720639</v>
      </c>
      <c r="EZ15">
        <v>-0.15733333333333299</v>
      </c>
    </row>
    <row r="16" spans="1:156" x14ac:dyDescent="0.25">
      <c r="A16">
        <f t="shared" si="0"/>
        <v>0.27262615483952146</v>
      </c>
      <c r="B16">
        <v>0.36599999999999999</v>
      </c>
      <c r="C16">
        <v>-0.116550116550116</v>
      </c>
      <c r="E16">
        <v>3.03030303030303E-2</v>
      </c>
      <c r="F16">
        <v>6.7757009345794303E-2</v>
      </c>
      <c r="H16">
        <v>-3.2000000000000001E-2</v>
      </c>
      <c r="I16">
        <v>0.114754098360655</v>
      </c>
      <c r="K16">
        <v>0.14705882352941099</v>
      </c>
      <c r="L16">
        <v>0.21212121212121199</v>
      </c>
      <c r="N16">
        <v>-0.123333333333333</v>
      </c>
      <c r="O16">
        <v>0.108</v>
      </c>
      <c r="Q16">
        <v>0.18</v>
      </c>
      <c r="R16">
        <v>-0.01</v>
      </c>
      <c r="T16">
        <v>0.27868852459016302</v>
      </c>
      <c r="U16">
        <v>0.11448598130841101</v>
      </c>
      <c r="W16">
        <v>0.16176470588235201</v>
      </c>
      <c r="X16">
        <v>-4.67289719626168E-2</v>
      </c>
      <c r="Z16">
        <v>0.109557109557109</v>
      </c>
      <c r="AA16">
        <v>0.14705882352941099</v>
      </c>
      <c r="AC16">
        <v>7.4666666666666603E-2</v>
      </c>
      <c r="AD16">
        <v>0.46200000000000002</v>
      </c>
      <c r="AF16">
        <v>0.44500000000000001</v>
      </c>
      <c r="AG16">
        <v>-0.1</v>
      </c>
      <c r="AI16">
        <v>0.1</v>
      </c>
      <c r="AJ16">
        <v>8.1666666666666596E-2</v>
      </c>
      <c r="AL16">
        <v>3.7999999999999999E-2</v>
      </c>
      <c r="AM16">
        <v>7.5999999999999998E-2</v>
      </c>
      <c r="AO16">
        <v>0.128</v>
      </c>
      <c r="AP16">
        <v>2.6666666666666599E-2</v>
      </c>
      <c r="AR16">
        <v>0.14000000000000001</v>
      </c>
      <c r="AS16">
        <v>4.4289044289044198E-2</v>
      </c>
      <c r="AU16">
        <v>0.13317757009345699</v>
      </c>
      <c r="AV16">
        <v>0.14285714285714199</v>
      </c>
      <c r="AX16">
        <v>-6.1333333333333302E-2</v>
      </c>
      <c r="AY16">
        <v>0.14516129032257999</v>
      </c>
      <c r="BA16">
        <v>4.2666666666666603E-2</v>
      </c>
      <c r="BB16">
        <v>8.2000000000000003E-2</v>
      </c>
      <c r="BD16">
        <v>0.36599999999999999</v>
      </c>
      <c r="BE16">
        <v>-0.22600000000000001</v>
      </c>
      <c r="BG16">
        <v>-9.3240093240093205E-3</v>
      </c>
      <c r="BH16">
        <v>5.3613053613053602E-2</v>
      </c>
      <c r="BJ16">
        <v>0.69392523364485903</v>
      </c>
      <c r="BK16">
        <v>-0.56266666666666598</v>
      </c>
      <c r="BM16">
        <v>0.28358208955223801</v>
      </c>
      <c r="BN16">
        <v>-0.24242424242424199</v>
      </c>
      <c r="BP16">
        <v>0.21875</v>
      </c>
      <c r="BQ16">
        <v>0.14399999999999999</v>
      </c>
      <c r="BS16">
        <v>0.112</v>
      </c>
      <c r="BT16">
        <v>8.0000000000000002E-3</v>
      </c>
      <c r="BV16">
        <v>6.6000000000000003E-2</v>
      </c>
      <c r="BW16">
        <v>0.18333333333333299</v>
      </c>
      <c r="BY16">
        <v>0.156</v>
      </c>
      <c r="BZ16">
        <v>-1.6666666666666601E-2</v>
      </c>
      <c r="CB16">
        <v>4.8000000000000001E-2</v>
      </c>
      <c r="CC16">
        <v>9.3240093240093205E-2</v>
      </c>
      <c r="CE16">
        <v>0.18933333333333299</v>
      </c>
      <c r="CF16">
        <v>0</v>
      </c>
      <c r="CH16">
        <v>-5.1282051282051197E-2</v>
      </c>
      <c r="CI16">
        <v>0.16166666666666599</v>
      </c>
      <c r="CK16">
        <v>0.13666666666666599</v>
      </c>
      <c r="CL16">
        <v>-5.1999999999999998E-2</v>
      </c>
      <c r="CN16">
        <v>5.1051051051050997E-2</v>
      </c>
      <c r="CO16">
        <v>0.13800000000000001</v>
      </c>
      <c r="CQ16">
        <v>-8.0000000000000002E-3</v>
      </c>
      <c r="CR16">
        <v>0.146666666666666</v>
      </c>
      <c r="CT16">
        <v>0.138333333333333</v>
      </c>
      <c r="CU16">
        <v>-0.04</v>
      </c>
      <c r="CW16">
        <v>0.11799999999999999</v>
      </c>
      <c r="CX16">
        <v>2.9333333333333302E-2</v>
      </c>
      <c r="CZ16">
        <v>5.3999999999999999E-2</v>
      </c>
      <c r="DA16">
        <v>4.6620046620046603E-3</v>
      </c>
      <c r="DC16">
        <v>0.10199999999999999</v>
      </c>
      <c r="DD16">
        <v>0.08</v>
      </c>
      <c r="DF16">
        <v>0.26573426573426501</v>
      </c>
      <c r="DG16">
        <v>-4.5999999999999999E-2</v>
      </c>
      <c r="DI16">
        <v>0.124</v>
      </c>
      <c r="DJ16">
        <v>6.5573770491803199E-2</v>
      </c>
      <c r="DL16">
        <v>0.114666666666666</v>
      </c>
      <c r="DM16">
        <v>0.18032786885245899</v>
      </c>
      <c r="DO16">
        <v>0.122</v>
      </c>
      <c r="DP16">
        <v>0.17599999999999999</v>
      </c>
      <c r="DR16">
        <v>0.17599999999999999</v>
      </c>
      <c r="DS16">
        <v>-3.9719626168224297E-2</v>
      </c>
      <c r="DU16">
        <v>-8.7999999999999995E-2</v>
      </c>
      <c r="DV16">
        <v>0.20046620046620001</v>
      </c>
      <c r="DX16">
        <v>0.221445221445221</v>
      </c>
      <c r="DY16">
        <v>-9.3240093240093205E-2</v>
      </c>
      <c r="EA16">
        <v>-4.4776119402985003E-2</v>
      </c>
      <c r="EB16">
        <v>0.14799999999999999</v>
      </c>
      <c r="ED16">
        <v>4.8951048951048903E-2</v>
      </c>
      <c r="EE16">
        <v>3.7999999999999999E-2</v>
      </c>
      <c r="EG16">
        <v>0.16166666666666599</v>
      </c>
      <c r="EH16">
        <v>-4.4289044289044198E-2</v>
      </c>
      <c r="EJ16">
        <v>0.16600000000000001</v>
      </c>
      <c r="EK16">
        <v>-5.0000000000000001E-3</v>
      </c>
      <c r="EM16">
        <v>4.1666666666666602E-2</v>
      </c>
      <c r="EN16">
        <v>0.1</v>
      </c>
      <c r="EP16">
        <v>0.08</v>
      </c>
      <c r="EQ16">
        <v>1.3986013986013899E-2</v>
      </c>
      <c r="ES16">
        <v>0.104</v>
      </c>
      <c r="ET16">
        <v>6.8000000000000005E-2</v>
      </c>
      <c r="EV16">
        <f t="shared" si="1"/>
        <v>5.9524829464514602E-2</v>
      </c>
      <c r="EW16">
        <f t="shared" si="2"/>
        <v>0.11113533067821932</v>
      </c>
      <c r="EX16">
        <f t="shared" si="3"/>
        <v>0.15701976951720639</v>
      </c>
      <c r="EZ16">
        <v>-0.116550116550116</v>
      </c>
    </row>
    <row r="17" spans="1:156" x14ac:dyDescent="0.25">
      <c r="A17">
        <f t="shared" si="0"/>
        <v>0.27262615483952146</v>
      </c>
      <c r="B17">
        <v>0.21833333333333299</v>
      </c>
      <c r="C17">
        <v>4.4117647058823498E-2</v>
      </c>
      <c r="E17">
        <v>6.1333333333333302E-2</v>
      </c>
      <c r="F17">
        <v>0.12</v>
      </c>
      <c r="H17">
        <v>0.16266666666666599</v>
      </c>
      <c r="I17">
        <v>0.03</v>
      </c>
      <c r="K17">
        <v>-0.14333333333333301</v>
      </c>
      <c r="L17">
        <v>0.30536130536130501</v>
      </c>
      <c r="N17">
        <v>2.5999999999999999E-2</v>
      </c>
      <c r="O17">
        <v>1.33333333333333E-3</v>
      </c>
      <c r="Q17">
        <v>0.16083916083916</v>
      </c>
      <c r="R17">
        <v>-0.03</v>
      </c>
      <c r="T17">
        <v>1.06666666666666E-2</v>
      </c>
      <c r="U17">
        <v>7.0000000000000007E-2</v>
      </c>
      <c r="W17">
        <v>0.14457831325301199</v>
      </c>
      <c r="X17">
        <v>0.31395348837209303</v>
      </c>
      <c r="Z17">
        <v>-3.5999999999999997E-2</v>
      </c>
      <c r="AA17">
        <v>0.13600000000000001</v>
      </c>
      <c r="AC17">
        <v>-0.185714285714285</v>
      </c>
      <c r="AD17">
        <v>0.43</v>
      </c>
      <c r="AF17">
        <v>0.31231231231231199</v>
      </c>
      <c r="AG17">
        <v>-0.158508158508158</v>
      </c>
      <c r="AI17">
        <v>2.09580838323353E-2</v>
      </c>
      <c r="AJ17">
        <v>0.17333333333333301</v>
      </c>
      <c r="AL17">
        <v>6.6666666666666596E-2</v>
      </c>
      <c r="AM17">
        <v>7.5999999999999998E-2</v>
      </c>
      <c r="AO17">
        <v>0.11</v>
      </c>
      <c r="AP17">
        <v>2.9333333333333302E-2</v>
      </c>
      <c r="AR17">
        <v>9.11214953271028E-2</v>
      </c>
      <c r="AS17">
        <v>2.8000000000000001E-2</v>
      </c>
      <c r="AU17">
        <v>0.16666666666666599</v>
      </c>
      <c r="AV17">
        <v>0.16266666666666599</v>
      </c>
      <c r="AX17">
        <v>-2.8333333333333301E-2</v>
      </c>
      <c r="AY17">
        <v>0.138461538461538</v>
      </c>
      <c r="BA17">
        <v>8.66666666666666E-2</v>
      </c>
      <c r="BB17">
        <v>0.35384615384615298</v>
      </c>
      <c r="BD17">
        <v>0.38933333333333298</v>
      </c>
      <c r="BE17">
        <v>-0.221445221445221</v>
      </c>
      <c r="BG17">
        <v>0.18833333333333299</v>
      </c>
      <c r="BH17">
        <v>-0.125874125874125</v>
      </c>
      <c r="BJ17">
        <v>0.70166666666666599</v>
      </c>
      <c r="BK17">
        <v>-0.63800000000000001</v>
      </c>
      <c r="BM17">
        <v>0.192</v>
      </c>
      <c r="BN17">
        <v>-2.53164556962025E-2</v>
      </c>
      <c r="BP17">
        <v>6.5000000000000002E-2</v>
      </c>
      <c r="BQ17">
        <v>5.3333333333333302E-2</v>
      </c>
      <c r="BS17">
        <v>8.2000000000000003E-2</v>
      </c>
      <c r="BT17">
        <v>4.33333333333333E-2</v>
      </c>
      <c r="BV17">
        <v>-0.101333333333333</v>
      </c>
      <c r="BW17">
        <v>0.14399999999999999</v>
      </c>
      <c r="BY17">
        <v>0.13800000000000001</v>
      </c>
      <c r="BZ17">
        <v>1.2012012012012E-2</v>
      </c>
      <c r="CB17">
        <v>1.8666666666666599E-2</v>
      </c>
      <c r="CC17">
        <v>7.7333333333333296E-2</v>
      </c>
      <c r="CE17">
        <v>0.13519813519813501</v>
      </c>
      <c r="CF17">
        <v>4.3999999999999997E-2</v>
      </c>
      <c r="CH17">
        <v>-0.10489510489510399</v>
      </c>
      <c r="CI17">
        <v>9.8666666666666597E-2</v>
      </c>
      <c r="CK17">
        <v>0.163333333333333</v>
      </c>
      <c r="CL17">
        <v>-6.6666666666666596E-2</v>
      </c>
      <c r="CN17">
        <v>4.2042042042041997E-2</v>
      </c>
      <c r="CO17">
        <v>0.13500000000000001</v>
      </c>
      <c r="CQ17">
        <v>0.14685314685314599</v>
      </c>
      <c r="CR17">
        <v>-3.5000000000000003E-2</v>
      </c>
      <c r="CT17">
        <v>0.16</v>
      </c>
      <c r="CU17">
        <v>-9.3333333333333296E-2</v>
      </c>
      <c r="CW17">
        <v>2.9333333333333302E-2</v>
      </c>
      <c r="CX17">
        <v>5.6074766355140103E-2</v>
      </c>
      <c r="CZ17">
        <v>0.109333333333333</v>
      </c>
      <c r="DA17">
        <v>6.5420560747663503E-2</v>
      </c>
      <c r="DC17">
        <v>1.16666666666666E-2</v>
      </c>
      <c r="DD17">
        <v>0.112</v>
      </c>
      <c r="DF17">
        <v>0.36799999999999999</v>
      </c>
      <c r="DG17">
        <v>-6.1666666666666599E-2</v>
      </c>
      <c r="DI17">
        <v>0.19</v>
      </c>
      <c r="DJ17">
        <v>-0.13166666666666599</v>
      </c>
      <c r="DL17">
        <v>5.5944055944055902E-2</v>
      </c>
      <c r="DM17">
        <v>-1.6666666666666601E-2</v>
      </c>
      <c r="DO17">
        <v>-0.1</v>
      </c>
      <c r="DP17">
        <v>0.453125</v>
      </c>
      <c r="DR17">
        <v>0.28358208955223801</v>
      </c>
      <c r="DS17">
        <v>6.2E-2</v>
      </c>
      <c r="DU17">
        <v>6.3291139240506306E-2</v>
      </c>
      <c r="DV17">
        <v>7.2429906542056E-2</v>
      </c>
      <c r="DX17">
        <v>0.188811188811188</v>
      </c>
      <c r="DY17">
        <v>-0.128</v>
      </c>
      <c r="EA17">
        <v>-6.07476635514018E-2</v>
      </c>
      <c r="EB17">
        <v>0.152</v>
      </c>
      <c r="ED17">
        <v>0.13084112149532701</v>
      </c>
      <c r="EE17">
        <v>1.33333333333333E-3</v>
      </c>
      <c r="EG17">
        <v>8.66666666666666E-2</v>
      </c>
      <c r="EH17">
        <v>0</v>
      </c>
      <c r="EJ17">
        <v>0.112</v>
      </c>
      <c r="EK17">
        <v>-7.4999999999999997E-2</v>
      </c>
      <c r="EM17">
        <v>2.39520958083832E-2</v>
      </c>
      <c r="EN17">
        <v>8.2666666666666597E-2</v>
      </c>
      <c r="EP17">
        <v>0.15</v>
      </c>
      <c r="EQ17">
        <v>0.125874125874125</v>
      </c>
      <c r="ES17">
        <v>6.9930069930069904E-3</v>
      </c>
      <c r="ET17">
        <v>0.112</v>
      </c>
      <c r="EV17">
        <f t="shared" si="1"/>
        <v>3.2262432498815351E-2</v>
      </c>
      <c r="EW17">
        <f t="shared" si="2"/>
        <v>0.12012075836348515</v>
      </c>
      <c r="EX17">
        <f t="shared" si="3"/>
        <v>0.15701976951720639</v>
      </c>
      <c r="EZ17">
        <v>4.4117647058823498E-2</v>
      </c>
    </row>
    <row r="18" spans="1:156" x14ac:dyDescent="0.25">
      <c r="A18">
        <f t="shared" si="0"/>
        <v>0.27262615483952146</v>
      </c>
      <c r="B18">
        <v>0.26133333333333297</v>
      </c>
      <c r="C18">
        <v>-7.00934579439252E-2</v>
      </c>
      <c r="E18">
        <v>0.234375</v>
      </c>
      <c r="F18">
        <v>0.150684931506849</v>
      </c>
      <c r="H18">
        <v>0.36486486486486402</v>
      </c>
      <c r="I18">
        <v>-0.1</v>
      </c>
      <c r="K18">
        <v>-0.33733333333333299</v>
      </c>
      <c r="L18">
        <v>0.67857142857142805</v>
      </c>
      <c r="N18">
        <v>0.14799999999999999</v>
      </c>
      <c r="O18">
        <v>-5.5E-2</v>
      </c>
      <c r="Q18">
        <v>0.114</v>
      </c>
      <c r="R18">
        <v>7.4999999999999997E-2</v>
      </c>
      <c r="T18">
        <v>-5.0000000000000001E-3</v>
      </c>
      <c r="U18">
        <v>1.16822429906542E-2</v>
      </c>
      <c r="W18">
        <v>-0.25233644859812998</v>
      </c>
      <c r="X18">
        <v>0.45066666666666599</v>
      </c>
      <c r="Z18">
        <v>-9.83333333333333E-2</v>
      </c>
      <c r="AA18">
        <v>0.123831775700934</v>
      </c>
      <c r="AC18">
        <v>-0.326340326340326</v>
      </c>
      <c r="AD18">
        <v>0.46133333333333298</v>
      </c>
      <c r="AF18">
        <v>0.28599999999999998</v>
      </c>
      <c r="AG18">
        <v>-0.158508158508158</v>
      </c>
      <c r="AI18">
        <v>1.6E-2</v>
      </c>
      <c r="AJ18">
        <v>0.121495327102803</v>
      </c>
      <c r="AL18">
        <v>0.35499999999999998</v>
      </c>
      <c r="AM18">
        <v>-0.193925233644859</v>
      </c>
      <c r="AO18">
        <v>8.3916083916083906E-2</v>
      </c>
      <c r="AP18">
        <v>4.5999999999999999E-2</v>
      </c>
      <c r="AR18">
        <v>8.1666666666666596E-2</v>
      </c>
      <c r="AS18">
        <v>7.5999999999999998E-2</v>
      </c>
      <c r="AU18">
        <v>-3.0030030030029999E-2</v>
      </c>
      <c r="AV18">
        <v>0.16783216783216701</v>
      </c>
      <c r="AX18">
        <v>-6.6666666666666602E-3</v>
      </c>
      <c r="AY18">
        <v>0.14705882352941099</v>
      </c>
      <c r="BA18">
        <v>-0.188</v>
      </c>
      <c r="BB18">
        <v>0.31166666666666598</v>
      </c>
      <c r="BD18">
        <v>0.30499999999999999</v>
      </c>
      <c r="BE18">
        <v>-0.19</v>
      </c>
      <c r="BG18">
        <v>0.13</v>
      </c>
      <c r="BH18">
        <v>-0.108</v>
      </c>
      <c r="BJ18">
        <v>0.86419753086419704</v>
      </c>
      <c r="BK18">
        <v>-0.78269617706237404</v>
      </c>
      <c r="BM18">
        <v>0.172839506172839</v>
      </c>
      <c r="BN18">
        <v>-8.6448598130841103E-2</v>
      </c>
      <c r="BP18">
        <v>0.137850467289719</v>
      </c>
      <c r="BQ18">
        <v>4.1000000000000002E-2</v>
      </c>
      <c r="BS18">
        <v>0.155</v>
      </c>
      <c r="BT18">
        <v>-0.10666666666666599</v>
      </c>
      <c r="BV18">
        <v>4.90654205607476E-2</v>
      </c>
      <c r="BW18">
        <v>7.0000000000000007E-2</v>
      </c>
      <c r="BY18">
        <v>6.8000000000000005E-2</v>
      </c>
      <c r="BZ18">
        <v>3.4666666666666603E-2</v>
      </c>
      <c r="CB18">
        <v>0.189873417721519</v>
      </c>
      <c r="CC18">
        <v>7.3999999999999996E-2</v>
      </c>
      <c r="CE18">
        <v>0.14685314685314599</v>
      </c>
      <c r="CF18">
        <v>1.16666666666666E-2</v>
      </c>
      <c r="CH18">
        <v>-5.3738317757009303E-2</v>
      </c>
      <c r="CI18">
        <v>0.114</v>
      </c>
      <c r="CK18">
        <v>0.14599999999999999</v>
      </c>
      <c r="CL18">
        <v>-6.5268065268065195E-2</v>
      </c>
      <c r="CN18">
        <v>-1.2E-2</v>
      </c>
      <c r="CO18">
        <v>0.101333333333333</v>
      </c>
      <c r="CQ18">
        <v>0.178666666666666</v>
      </c>
      <c r="CR18">
        <v>9.34579439252336E-2</v>
      </c>
      <c r="CT18">
        <v>0.15868263473053801</v>
      </c>
      <c r="CU18">
        <v>-6.1333333333333302E-2</v>
      </c>
      <c r="CW18">
        <v>0.16049382716049301</v>
      </c>
      <c r="CX18">
        <v>0.24199999999999999</v>
      </c>
      <c r="CZ18">
        <v>9.6666666666666595E-2</v>
      </c>
      <c r="DA18">
        <v>3.7296037296037199E-2</v>
      </c>
      <c r="DC18">
        <v>0.06</v>
      </c>
      <c r="DD18">
        <v>5.8666666666666603E-2</v>
      </c>
      <c r="DF18">
        <v>0.193473193473193</v>
      </c>
      <c r="DG18">
        <v>-0.14199999999999999</v>
      </c>
      <c r="DI18">
        <v>0.12</v>
      </c>
      <c r="DJ18">
        <v>-0.123333333333333</v>
      </c>
      <c r="DL18">
        <v>0.108</v>
      </c>
      <c r="DM18">
        <v>-0.06</v>
      </c>
      <c r="DO18">
        <v>-3.6666666666666597E-2</v>
      </c>
      <c r="DP18">
        <v>0.20399999999999999</v>
      </c>
      <c r="DR18">
        <v>-2.6666666666666601E-3</v>
      </c>
      <c r="DS18">
        <v>0.13053613053613</v>
      </c>
      <c r="DU18">
        <v>5.6000000000000001E-2</v>
      </c>
      <c r="DV18">
        <v>-0.01</v>
      </c>
      <c r="DX18">
        <v>0.316</v>
      </c>
      <c r="DY18">
        <v>-0.19500000000000001</v>
      </c>
      <c r="EA18">
        <v>-4.90654205607476E-2</v>
      </c>
      <c r="EB18">
        <v>6.6666666666666596E-2</v>
      </c>
      <c r="ED18">
        <v>7.8E-2</v>
      </c>
      <c r="EE18">
        <v>0.16470588235294101</v>
      </c>
      <c r="EG18">
        <v>0.114</v>
      </c>
      <c r="EH18">
        <v>-2.4E-2</v>
      </c>
      <c r="EJ18">
        <v>0.32876712328767099</v>
      </c>
      <c r="EK18">
        <v>9.3023255813953404E-2</v>
      </c>
      <c r="EM18">
        <v>1.2E-2</v>
      </c>
      <c r="EN18">
        <v>0.09</v>
      </c>
      <c r="EP18">
        <v>0.14399999999999999</v>
      </c>
      <c r="EQ18">
        <v>3.7999999999999999E-2</v>
      </c>
      <c r="ES18">
        <v>8.1775700934579407E-2</v>
      </c>
      <c r="ET18">
        <v>7.5999999999999998E-2</v>
      </c>
      <c r="EV18">
        <f t="shared" si="1"/>
        <v>8.8117654470636617E-4</v>
      </c>
      <c r="EW18">
        <f t="shared" si="2"/>
        <v>0.14209389607816691</v>
      </c>
      <c r="EX18">
        <f t="shared" si="3"/>
        <v>0.15701976951720639</v>
      </c>
      <c r="EZ18">
        <v>-7.00934579439252E-2</v>
      </c>
    </row>
    <row r="19" spans="1:156" x14ac:dyDescent="0.25">
      <c r="A19">
        <f t="shared" si="0"/>
        <v>0.27262615483952146</v>
      </c>
      <c r="B19">
        <v>0.261072261072261</v>
      </c>
      <c r="C19">
        <v>-0.05</v>
      </c>
      <c r="E19">
        <v>0.133333333333333</v>
      </c>
      <c r="F19">
        <v>3.5999999999999997E-2</v>
      </c>
      <c r="H19">
        <v>0.36599999999999999</v>
      </c>
      <c r="I19">
        <v>0.18681318681318601</v>
      </c>
      <c r="K19">
        <v>-0.37</v>
      </c>
      <c r="L19">
        <v>0.57575757575757502</v>
      </c>
      <c r="N19">
        <v>0.15887850467289699</v>
      </c>
      <c r="O19">
        <v>-7.8E-2</v>
      </c>
      <c r="Q19">
        <v>-3.2634032634032598E-2</v>
      </c>
      <c r="R19">
        <v>0.20333333333333301</v>
      </c>
      <c r="T19">
        <v>-4.0000000000000001E-3</v>
      </c>
      <c r="U19">
        <v>0.19400000000000001</v>
      </c>
      <c r="W19">
        <v>-0.26400000000000001</v>
      </c>
      <c r="X19">
        <v>1</v>
      </c>
      <c r="Z19">
        <v>2.3310023310023301E-3</v>
      </c>
      <c r="AA19">
        <v>0.14772727272727201</v>
      </c>
      <c r="AC19">
        <v>-0.23529411764705799</v>
      </c>
      <c r="AD19">
        <v>0.49</v>
      </c>
      <c r="AF19">
        <v>0.30133333333333301</v>
      </c>
      <c r="AG19">
        <v>-0.18925233644859801</v>
      </c>
      <c r="AI19">
        <v>-2.6666666666666601E-3</v>
      </c>
      <c r="AJ19">
        <v>0.24009324009324001</v>
      </c>
      <c r="AL19">
        <v>0.34200000000000003</v>
      </c>
      <c r="AM19">
        <v>-0.15333333333333299</v>
      </c>
      <c r="AO19">
        <v>0.126</v>
      </c>
      <c r="AP19">
        <v>0.152</v>
      </c>
      <c r="AR19">
        <v>-2.3364485981308401E-3</v>
      </c>
      <c r="AS19">
        <v>0.14000000000000001</v>
      </c>
      <c r="AU19">
        <v>-4.2000000000000003E-2</v>
      </c>
      <c r="AV19">
        <v>8.1000000000000003E-2</v>
      </c>
      <c r="AX19">
        <v>-0.13</v>
      </c>
      <c r="AY19">
        <v>0.13519813519813501</v>
      </c>
      <c r="BA19">
        <v>-0.18666666666666601</v>
      </c>
      <c r="BB19">
        <v>0.28799999999999998</v>
      </c>
      <c r="BD19">
        <v>0.26333333333333298</v>
      </c>
      <c r="BE19">
        <v>-0.17199999999999999</v>
      </c>
      <c r="BG19">
        <v>0.122</v>
      </c>
      <c r="BH19">
        <v>5.1666666666666597E-2</v>
      </c>
      <c r="BJ19">
        <v>0.89600000000000002</v>
      </c>
      <c r="BK19">
        <v>-0.79666666666666597</v>
      </c>
      <c r="BM19">
        <v>0.155</v>
      </c>
      <c r="BN19">
        <v>2.8333333333333301E-2</v>
      </c>
      <c r="BP19">
        <v>0.12121212121212099</v>
      </c>
      <c r="BQ19">
        <v>8.5999999999999993E-2</v>
      </c>
      <c r="BS19">
        <v>0.13317757009345699</v>
      </c>
      <c r="BT19">
        <v>0.116666666666666</v>
      </c>
      <c r="BV19">
        <v>-4.6620046620046603E-3</v>
      </c>
      <c r="BW19">
        <v>0.182</v>
      </c>
      <c r="BY19">
        <v>4.8333333333333298E-2</v>
      </c>
      <c r="BZ19">
        <v>4.2000000000000003E-2</v>
      </c>
      <c r="CB19">
        <v>0.25</v>
      </c>
      <c r="CC19">
        <v>0.12666666666666601</v>
      </c>
      <c r="CE19">
        <v>0.13</v>
      </c>
      <c r="CF19">
        <v>-1.4E-2</v>
      </c>
      <c r="CH19">
        <v>0.18518518518518501</v>
      </c>
      <c r="CI19">
        <v>9.4E-2</v>
      </c>
      <c r="CK19">
        <v>0.13800000000000001</v>
      </c>
      <c r="CL19">
        <v>-0.104</v>
      </c>
      <c r="CN19">
        <v>6.1666666666666599E-2</v>
      </c>
      <c r="CO19">
        <v>2.1333333333333301E-2</v>
      </c>
      <c r="CQ19">
        <v>0.15384615384615299</v>
      </c>
      <c r="CR19">
        <v>0.61666666666666603</v>
      </c>
      <c r="CT19">
        <v>0.43209876543209802</v>
      </c>
      <c r="CU19">
        <v>-0.14452214452214401</v>
      </c>
      <c r="CW19">
        <v>0.22</v>
      </c>
      <c r="CX19">
        <v>6.8000000000000005E-2</v>
      </c>
      <c r="CZ19">
        <v>0.2</v>
      </c>
      <c r="DA19">
        <v>-5.1282051282051197E-2</v>
      </c>
      <c r="DC19">
        <v>7.1999999999999995E-2</v>
      </c>
      <c r="DD19">
        <v>0.158508158508158</v>
      </c>
      <c r="DF19">
        <v>0.23543123543123501</v>
      </c>
      <c r="DG19">
        <v>-4.67289719626168E-2</v>
      </c>
      <c r="DI19">
        <v>0.107476635514018</v>
      </c>
      <c r="DJ19">
        <v>-0.13800000000000001</v>
      </c>
      <c r="DL19">
        <v>0.28999999999999998</v>
      </c>
      <c r="DM19">
        <v>-8.6448598130841103E-2</v>
      </c>
      <c r="DO19">
        <v>0.16</v>
      </c>
      <c r="DP19">
        <v>0.318</v>
      </c>
      <c r="DR19">
        <v>-4.4999999999999998E-2</v>
      </c>
      <c r="DS19">
        <v>6.2E-2</v>
      </c>
      <c r="DU19">
        <v>0.14452214452214401</v>
      </c>
      <c r="DV19">
        <v>0.29906542056074698</v>
      </c>
      <c r="DX19">
        <v>0.43589743589743501</v>
      </c>
      <c r="DY19">
        <v>-0.30266666666666597</v>
      </c>
      <c r="EA19">
        <v>-2.3310023310023301E-3</v>
      </c>
      <c r="EB19">
        <v>0.25700000000000001</v>
      </c>
      <c r="ED19">
        <v>-0.05</v>
      </c>
      <c r="EE19">
        <v>0.14285714285714199</v>
      </c>
      <c r="EG19">
        <v>0.10199999999999999</v>
      </c>
      <c r="EH19">
        <v>2.5000000000000001E-2</v>
      </c>
      <c r="EJ19">
        <v>0.138333333333333</v>
      </c>
      <c r="EK19">
        <v>-2.57009345794392E-2</v>
      </c>
      <c r="EM19">
        <v>0.03</v>
      </c>
      <c r="EN19">
        <v>4.3999999999999997E-2</v>
      </c>
      <c r="EP19">
        <v>-4.2000000000000003E-2</v>
      </c>
      <c r="EQ19">
        <v>0.107226107226107</v>
      </c>
      <c r="ES19">
        <v>2.1999999999999999E-2</v>
      </c>
      <c r="ET19">
        <v>5.3333333333333302E-2</v>
      </c>
      <c r="EV19">
        <f t="shared" si="1"/>
        <v>7.8263365185299773E-3</v>
      </c>
      <c r="EW19">
        <f t="shared" si="2"/>
        <v>0.19102398239120966</v>
      </c>
      <c r="EX19">
        <f t="shared" si="3"/>
        <v>0.15701976951720639</v>
      </c>
      <c r="EZ19">
        <v>-0.05</v>
      </c>
    </row>
    <row r="20" spans="1:156" x14ac:dyDescent="0.25">
      <c r="A20">
        <f t="shared" si="0"/>
        <v>0.27262615483952146</v>
      </c>
      <c r="B20">
        <v>0.23599999999999999</v>
      </c>
      <c r="C20">
        <v>-0.14833333333333301</v>
      </c>
      <c r="E20">
        <v>0.10256410256410201</v>
      </c>
      <c r="F20">
        <v>6.2E-2</v>
      </c>
      <c r="H20">
        <v>-1.8333333333333299E-2</v>
      </c>
      <c r="I20">
        <v>0.13519813519813501</v>
      </c>
      <c r="K20">
        <v>-0.47599999999999998</v>
      </c>
      <c r="L20">
        <v>0.73873873873873797</v>
      </c>
      <c r="N20">
        <v>0.14000000000000001</v>
      </c>
      <c r="O20">
        <v>-0.12666666666666601</v>
      </c>
      <c r="Q20">
        <v>0.28571428571428498</v>
      </c>
      <c r="R20">
        <v>-5.1282051282051197E-2</v>
      </c>
      <c r="T20">
        <v>6.9767441860465101E-2</v>
      </c>
      <c r="U20">
        <v>8.66666666666666E-2</v>
      </c>
      <c r="Z20">
        <v>0.266666666666666</v>
      </c>
      <c r="AA20">
        <v>-0.01</v>
      </c>
      <c r="AC20">
        <v>-0.25874125874125797</v>
      </c>
      <c r="AD20">
        <v>0.42399999999999999</v>
      </c>
      <c r="AF20">
        <v>0.60439560439560402</v>
      </c>
      <c r="AG20">
        <v>-0.30666666666666598</v>
      </c>
      <c r="AI20">
        <v>-2.5641025641025599E-2</v>
      </c>
      <c r="AJ20">
        <v>1</v>
      </c>
      <c r="AL20">
        <v>0.31</v>
      </c>
      <c r="AM20">
        <v>-0.16822429906542</v>
      </c>
      <c r="AO20">
        <v>-5.3738317757009303E-2</v>
      </c>
      <c r="AP20">
        <v>0.168333333333333</v>
      </c>
      <c r="AR20">
        <v>-2.1999999999999999E-2</v>
      </c>
      <c r="AS20">
        <v>0.168333333333333</v>
      </c>
      <c r="AU20">
        <v>2.4666666666666601E-2</v>
      </c>
      <c r="AV20">
        <v>5.3333333333333302E-2</v>
      </c>
      <c r="AX20">
        <v>0.16</v>
      </c>
      <c r="AY20">
        <v>-2.1333333333333301E-2</v>
      </c>
      <c r="BA20">
        <v>-2.27272727272727E-2</v>
      </c>
      <c r="BB20">
        <v>0.4</v>
      </c>
      <c r="BD20">
        <v>0.26533333333333298</v>
      </c>
      <c r="BE20">
        <v>-0.13986013986013901</v>
      </c>
      <c r="BG20">
        <v>3.3333333333333301E-3</v>
      </c>
      <c r="BH20">
        <v>4.3999999999999997E-2</v>
      </c>
      <c r="BJ20">
        <v>0.83599999999999997</v>
      </c>
      <c r="BK20">
        <v>-0.78088578088577998</v>
      </c>
      <c r="BM20">
        <v>0.15</v>
      </c>
      <c r="BN20">
        <v>0.432</v>
      </c>
      <c r="BP20">
        <v>0.14252336448598099</v>
      </c>
      <c r="BQ20">
        <v>-5.1999999999999998E-2</v>
      </c>
      <c r="BS20">
        <v>4.2000000000000003E-2</v>
      </c>
      <c r="BT20">
        <v>6.6666666666666596E-2</v>
      </c>
      <c r="BV20">
        <v>2.19780219780219E-2</v>
      </c>
      <c r="BW20">
        <v>0.15</v>
      </c>
      <c r="BY20">
        <v>0.23</v>
      </c>
      <c r="BZ20">
        <v>6.9930069930069894E-2</v>
      </c>
      <c r="CB20">
        <v>0.3</v>
      </c>
      <c r="CC20">
        <v>0.213592233009708</v>
      </c>
      <c r="CE20">
        <v>0.18133333333333301</v>
      </c>
      <c r="CF20">
        <v>-4.4999999999999998E-2</v>
      </c>
      <c r="CH20">
        <v>0.04</v>
      </c>
      <c r="CI20">
        <v>7.6666666666666605E-2</v>
      </c>
      <c r="CK20">
        <v>0.117333333333333</v>
      </c>
      <c r="CL20">
        <v>-3.8333333333333303E-2</v>
      </c>
      <c r="CN20">
        <v>9.3240093240093205E-2</v>
      </c>
      <c r="CO20">
        <v>-1.16666666666666E-2</v>
      </c>
      <c r="CQ20">
        <v>-0.58933333333333304</v>
      </c>
      <c r="CR20">
        <v>0.90076335877862501</v>
      </c>
      <c r="CT20">
        <v>0.33100233100233101</v>
      </c>
      <c r="CU20">
        <v>-0.17599999999999999</v>
      </c>
      <c r="CW20">
        <v>0.15887850467289699</v>
      </c>
      <c r="CX20">
        <v>0.28000000000000003</v>
      </c>
      <c r="CZ20">
        <v>0.17399999999999999</v>
      </c>
      <c r="DA20">
        <v>1.2E-2</v>
      </c>
      <c r="DC20">
        <v>0.12676056338028099</v>
      </c>
      <c r="DD20">
        <v>0.26829268292682901</v>
      </c>
      <c r="DF20">
        <v>0.246</v>
      </c>
      <c r="DG20">
        <v>-0.16500000000000001</v>
      </c>
      <c r="DI20">
        <v>0.120481927710843</v>
      </c>
      <c r="DJ20">
        <v>0.10280373831775701</v>
      </c>
      <c r="DL20">
        <v>0.56382978723404198</v>
      </c>
      <c r="DM20">
        <v>-5.0505050505050497E-2</v>
      </c>
      <c r="DO20">
        <v>-0.14000000000000001</v>
      </c>
      <c r="DP20">
        <v>0.48148148148148101</v>
      </c>
      <c r="DR20">
        <v>0.22</v>
      </c>
      <c r="DS20">
        <v>8.3333333333333301E-2</v>
      </c>
      <c r="DU20">
        <v>-8.0000000000000002E-3</v>
      </c>
      <c r="DV20">
        <v>8.8333333333333305E-2</v>
      </c>
      <c r="DX20">
        <v>0.65</v>
      </c>
      <c r="DY20">
        <v>-0.48795180722891501</v>
      </c>
      <c r="EA20">
        <v>-0.23200000000000001</v>
      </c>
      <c r="EB20">
        <v>0.27833333333333299</v>
      </c>
      <c r="ED20">
        <v>-8.1666666666666596E-2</v>
      </c>
      <c r="EE20">
        <v>8.6999999999999994E-2</v>
      </c>
      <c r="EG20">
        <v>0.08</v>
      </c>
      <c r="EH20">
        <v>-9.3240093240093205E-3</v>
      </c>
      <c r="EJ20">
        <v>0.25806451612903197</v>
      </c>
      <c r="EK20">
        <v>0.20618556701030899</v>
      </c>
      <c r="EM20">
        <v>9.0909090909090898E-2</v>
      </c>
      <c r="EN20">
        <v>1.3986013986013899E-2</v>
      </c>
      <c r="EP20">
        <v>0.116666666666666</v>
      </c>
      <c r="EQ20">
        <v>-1.06666666666666E-2</v>
      </c>
      <c r="ES20">
        <v>0.05</v>
      </c>
      <c r="ET20">
        <v>0.43209876543209802</v>
      </c>
      <c r="EV20">
        <f t="shared" si="1"/>
        <v>-2.957981084484437E-2</v>
      </c>
      <c r="EW20">
        <f t="shared" si="2"/>
        <v>0.24169246565288899</v>
      </c>
      <c r="EX20">
        <f t="shared" si="3"/>
        <v>0.15701976951720639</v>
      </c>
      <c r="EZ20">
        <v>-0.14833333333333301</v>
      </c>
    </row>
    <row r="21" spans="1:156" x14ac:dyDescent="0.25">
      <c r="A21">
        <f t="shared" si="0"/>
        <v>0.27262615483952146</v>
      </c>
      <c r="B21">
        <v>0.407407407407407</v>
      </c>
      <c r="C21">
        <v>-0.20833333333333301</v>
      </c>
      <c r="E21">
        <v>0.20399999999999999</v>
      </c>
      <c r="F21">
        <v>-0.02</v>
      </c>
      <c r="H21">
        <v>1.6E-2</v>
      </c>
      <c r="I21">
        <v>0.104</v>
      </c>
      <c r="K21">
        <v>-0.358333333333333</v>
      </c>
      <c r="L21">
        <v>0.74825174825174801</v>
      </c>
      <c r="N21">
        <v>0.19859813084112099</v>
      </c>
      <c r="O21">
        <v>1.2E-2</v>
      </c>
      <c r="Q21">
        <v>0.12962962962962901</v>
      </c>
      <c r="R21">
        <v>0.4375</v>
      </c>
      <c r="T21">
        <v>0.14000000000000001</v>
      </c>
      <c r="U21">
        <v>2.5000000000000001E-2</v>
      </c>
      <c r="Z21">
        <v>0.22429906542056</v>
      </c>
      <c r="AA21">
        <v>5.1999999999999998E-2</v>
      </c>
      <c r="AC21">
        <v>-0.41799999999999998</v>
      </c>
      <c r="AD21">
        <v>0.45166666666666599</v>
      </c>
      <c r="AF21">
        <v>1</v>
      </c>
      <c r="AL21">
        <v>0.33733333333333299</v>
      </c>
      <c r="AM21">
        <v>-0.14018691588785001</v>
      </c>
      <c r="AO21">
        <v>-3.16666666666666E-2</v>
      </c>
      <c r="AP21">
        <v>0.14399999999999999</v>
      </c>
      <c r="AR21">
        <v>-6.2E-2</v>
      </c>
      <c r="AS21">
        <v>0.14117647058823499</v>
      </c>
      <c r="AU21">
        <v>-3.7333333333333302E-2</v>
      </c>
      <c r="AV21">
        <v>0.198333333333333</v>
      </c>
      <c r="AX21">
        <v>0.252</v>
      </c>
      <c r="AY21">
        <v>-0.108</v>
      </c>
      <c r="BA21">
        <v>-0.22666666666666599</v>
      </c>
      <c r="BB21">
        <v>0.48799999999999999</v>
      </c>
      <c r="BD21">
        <v>0.432</v>
      </c>
      <c r="BE21">
        <v>-0.20437956204379501</v>
      </c>
      <c r="BG21">
        <v>6.6666666666666602E-3</v>
      </c>
      <c r="BH21">
        <v>0.19166666666666601</v>
      </c>
      <c r="BJ21">
        <v>0.78800000000000003</v>
      </c>
      <c r="BK21">
        <v>-0.50485436893203794</v>
      </c>
      <c r="BM21">
        <v>0.32824427480916002</v>
      </c>
      <c r="BN21">
        <v>0.35766423357664201</v>
      </c>
      <c r="BP21">
        <v>0.13600000000000001</v>
      </c>
      <c r="BQ21">
        <v>-4.6666666666666599E-2</v>
      </c>
      <c r="BS21">
        <v>0.19800000000000001</v>
      </c>
      <c r="BT21">
        <v>-0.121</v>
      </c>
      <c r="BV21">
        <v>-0.115</v>
      </c>
      <c r="BW21">
        <v>0.118333333333333</v>
      </c>
      <c r="BY21">
        <v>0.214</v>
      </c>
      <c r="BZ21">
        <v>0.03</v>
      </c>
      <c r="CB21">
        <v>-0.10256410256410201</v>
      </c>
      <c r="CC21">
        <v>0.14799999999999999</v>
      </c>
      <c r="CE21">
        <v>0.133333333333333</v>
      </c>
      <c r="CF21">
        <v>0.77906976744185996</v>
      </c>
      <c r="CH21">
        <v>8.3000000000000004E-2</v>
      </c>
      <c r="CI21">
        <v>0.20333333333333301</v>
      </c>
      <c r="CK21">
        <v>0.106</v>
      </c>
      <c r="CL21">
        <v>2.33644859813084E-2</v>
      </c>
      <c r="CN21">
        <v>0.104</v>
      </c>
      <c r="CO21">
        <v>-2.3310023310023301E-2</v>
      </c>
      <c r="CQ21">
        <v>-0.82550335570469802</v>
      </c>
      <c r="CR21">
        <v>0.93066666666666598</v>
      </c>
      <c r="CT21">
        <v>0.246</v>
      </c>
      <c r="CU21">
        <v>-0.13600000000000001</v>
      </c>
      <c r="CW21">
        <v>-3.5000000000000003E-2</v>
      </c>
      <c r="CX21">
        <v>0.16800000000000001</v>
      </c>
      <c r="CZ21">
        <v>0.16500000000000001</v>
      </c>
      <c r="DA21">
        <v>0.15463917525773099</v>
      </c>
      <c r="DC21">
        <v>0.16867469879517999</v>
      </c>
      <c r="DD21">
        <v>-5.3333333333333297E-3</v>
      </c>
      <c r="DF21">
        <v>0.47599999999999998</v>
      </c>
      <c r="DG21">
        <v>-0.37466666666666598</v>
      </c>
      <c r="DI21">
        <v>-3.0666666666666599E-2</v>
      </c>
      <c r="DJ21">
        <v>0.21621621621621601</v>
      </c>
      <c r="DL21">
        <v>0.49199999999999999</v>
      </c>
      <c r="DM21">
        <v>-0.04</v>
      </c>
      <c r="DO21">
        <v>0.108433734939759</v>
      </c>
      <c r="DP21">
        <v>0.31333333333333302</v>
      </c>
      <c r="DR21">
        <v>5.8666666666666603E-2</v>
      </c>
      <c r="DS21">
        <v>0.141666666666666</v>
      </c>
      <c r="DU21">
        <v>0.108333333333333</v>
      </c>
      <c r="DV21">
        <v>0.117333333333333</v>
      </c>
      <c r="DX21">
        <v>1</v>
      </c>
      <c r="EA21">
        <v>-0.20200000000000001</v>
      </c>
      <c r="EB21">
        <v>0.33400000000000002</v>
      </c>
      <c r="ED21">
        <v>-2.7972027972027899E-2</v>
      </c>
      <c r="EE21">
        <v>0.14452214452214401</v>
      </c>
      <c r="EG21">
        <v>7.3999999999999996E-2</v>
      </c>
      <c r="EH21">
        <v>3.7999999999999999E-2</v>
      </c>
      <c r="EJ21">
        <v>4.3478260869565202E-2</v>
      </c>
      <c r="EK21">
        <v>4.5333333333333302E-2</v>
      </c>
      <c r="EM21">
        <v>0.112</v>
      </c>
      <c r="EN21">
        <v>0.14000000000000001</v>
      </c>
      <c r="EP21">
        <v>0.39361702127659498</v>
      </c>
      <c r="EQ21">
        <v>0</v>
      </c>
      <c r="ES21">
        <v>-0.18</v>
      </c>
      <c r="ET21">
        <v>0.30933333333333302</v>
      </c>
      <c r="EV21">
        <f t="shared" si="1"/>
        <v>-1.9004948613398E-2</v>
      </c>
      <c r="EW21">
        <f t="shared" si="2"/>
        <v>0.25911860413493776</v>
      </c>
      <c r="EX21">
        <f t="shared" si="3"/>
        <v>0.15701976951720639</v>
      </c>
      <c r="EZ21">
        <v>-0.20833333333333301</v>
      </c>
    </row>
    <row r="22" spans="1:156" x14ac:dyDescent="0.25">
      <c r="A22">
        <f t="shared" si="0"/>
        <v>0.27262615483952146</v>
      </c>
      <c r="B22">
        <v>0.372</v>
      </c>
      <c r="C22">
        <v>-0.146666666666666</v>
      </c>
      <c r="E22">
        <v>0.13592233009708701</v>
      </c>
      <c r="F22">
        <v>0.05</v>
      </c>
      <c r="H22">
        <v>1</v>
      </c>
      <c r="K22">
        <v>-0.56999999999999995</v>
      </c>
      <c r="L22">
        <v>0.936708860759493</v>
      </c>
      <c r="N22">
        <v>0.13600000000000001</v>
      </c>
      <c r="O22">
        <v>-0.08</v>
      </c>
      <c r="Q22">
        <v>-0.160583941605839</v>
      </c>
      <c r="R22">
        <v>0.72027972027971998</v>
      </c>
      <c r="T22">
        <v>0.70103092783505105</v>
      </c>
      <c r="U22">
        <v>-6.3063063063063002E-2</v>
      </c>
      <c r="Z22">
        <v>0.39333333333333298</v>
      </c>
      <c r="AA22">
        <v>-0.25666666666666599</v>
      </c>
      <c r="AC22">
        <v>-0.336666666666666</v>
      </c>
      <c r="AD22">
        <v>0.74</v>
      </c>
      <c r="AL22">
        <v>0.32833333333333298</v>
      </c>
      <c r="AM22">
        <v>-0.150666666666666</v>
      </c>
      <c r="AO22">
        <v>-7.1999999999999995E-2</v>
      </c>
      <c r="AP22">
        <v>0.22266666666666601</v>
      </c>
      <c r="AR22">
        <v>-1.7333333333333301E-2</v>
      </c>
      <c r="AS22">
        <v>0.14333333333333301</v>
      </c>
      <c r="AU22">
        <v>-7.1666666666666601E-2</v>
      </c>
      <c r="AV22">
        <v>0.29310344827586199</v>
      </c>
      <c r="AX22">
        <v>0.28199999999999997</v>
      </c>
      <c r="AY22">
        <v>9.1666666666666605E-2</v>
      </c>
      <c r="BA22">
        <v>-0.3</v>
      </c>
      <c r="BB22">
        <v>0.39</v>
      </c>
      <c r="BD22">
        <v>1</v>
      </c>
      <c r="BG22">
        <v>-9.8000000000000004E-2</v>
      </c>
      <c r="BH22">
        <v>0.65979381443298901</v>
      </c>
      <c r="BJ22">
        <v>1</v>
      </c>
      <c r="BM22">
        <v>-0.118333333333333</v>
      </c>
      <c r="BN22">
        <v>0.51666666666666605</v>
      </c>
      <c r="BP22">
        <v>0.27</v>
      </c>
      <c r="BQ22">
        <v>-0.201333333333333</v>
      </c>
      <c r="BS22">
        <v>0.123333333333333</v>
      </c>
      <c r="BT22">
        <v>-0.111888111888111</v>
      </c>
      <c r="BV22">
        <v>-4.4289044289044198E-2</v>
      </c>
      <c r="BW22">
        <v>0.14018691588785001</v>
      </c>
      <c r="BY22">
        <v>0.19230769230769201</v>
      </c>
      <c r="BZ22">
        <v>0.253164556962025</v>
      </c>
      <c r="CB22">
        <v>0.27826086956521701</v>
      </c>
      <c r="CC22">
        <v>-0.20533333333333301</v>
      </c>
      <c r="CE22">
        <v>-0.760067114093959</v>
      </c>
      <c r="CF22">
        <v>0.875</v>
      </c>
      <c r="CH22">
        <v>-0.13</v>
      </c>
      <c r="CI22">
        <v>0.125</v>
      </c>
      <c r="CK22">
        <v>5.6000000000000001E-2</v>
      </c>
      <c r="CL22">
        <v>-1.8333333333333299E-2</v>
      </c>
      <c r="CN22">
        <v>0.108</v>
      </c>
      <c r="CO22">
        <v>8.0000000000000002E-3</v>
      </c>
      <c r="CQ22">
        <v>-0.74</v>
      </c>
      <c r="CR22">
        <v>1</v>
      </c>
      <c r="CT22">
        <v>0.163333333333333</v>
      </c>
      <c r="CU22">
        <v>-0.09</v>
      </c>
      <c r="CW22">
        <v>-6.5000000000000002E-2</v>
      </c>
      <c r="CX22">
        <v>0.21333333333333299</v>
      </c>
      <c r="CZ22">
        <v>2.6666666666666601E-3</v>
      </c>
      <c r="DA22">
        <v>0.134615384615384</v>
      </c>
      <c r="DC22">
        <v>9.1666666666666605E-2</v>
      </c>
      <c r="DD22">
        <v>4.1000000000000002E-2</v>
      </c>
      <c r="DF22">
        <v>1</v>
      </c>
      <c r="DI22">
        <v>-0.18933333333333299</v>
      </c>
      <c r="DJ22">
        <v>0.3</v>
      </c>
      <c r="DL22">
        <v>0.29866666666666603</v>
      </c>
      <c r="DM22">
        <v>0.17599999999999999</v>
      </c>
      <c r="DO22">
        <v>-0.13</v>
      </c>
      <c r="DP22">
        <v>0.67961165048543604</v>
      </c>
      <c r="DR22">
        <v>0.30769230769230699</v>
      </c>
      <c r="DS22">
        <v>0.17647058823529399</v>
      </c>
      <c r="DU22">
        <v>7.63358778625954E-3</v>
      </c>
      <c r="DV22">
        <v>0.15833333333333299</v>
      </c>
      <c r="EA22">
        <v>-0.198333333333333</v>
      </c>
      <c r="EB22">
        <v>0.23200000000000001</v>
      </c>
      <c r="ED22">
        <v>0.2</v>
      </c>
      <c r="EE22">
        <v>0.05</v>
      </c>
      <c r="EG22">
        <v>0.155</v>
      </c>
      <c r="EH22">
        <v>1</v>
      </c>
      <c r="EJ22">
        <v>1.6317016317016299E-2</v>
      </c>
      <c r="EK22">
        <v>0.15333333333333299</v>
      </c>
      <c r="EM22">
        <v>5.3333333333333302E-2</v>
      </c>
      <c r="EN22">
        <v>4.8000000000000001E-2</v>
      </c>
      <c r="EP22">
        <v>0.30399999999999999</v>
      </c>
      <c r="EQ22">
        <v>-0.22800000000000001</v>
      </c>
      <c r="ES22">
        <v>-4.1666666666666602E-2</v>
      </c>
      <c r="ET22">
        <v>0.36666666666666597</v>
      </c>
      <c r="EV22">
        <f t="shared" si="1"/>
        <v>-6.5191552396665825E-2</v>
      </c>
      <c r="EW22">
        <f t="shared" si="2"/>
        <v>0.35072238699522573</v>
      </c>
      <c r="EX22">
        <f t="shared" si="3"/>
        <v>0.15701976951720639</v>
      </c>
      <c r="EZ22">
        <v>-0.146666666666666</v>
      </c>
    </row>
    <row r="23" spans="1:156" x14ac:dyDescent="0.25">
      <c r="A23">
        <f t="shared" si="0"/>
        <v>0.27262615483952146</v>
      </c>
      <c r="B23">
        <v>0.32500000000000001</v>
      </c>
      <c r="C23">
        <v>-0.06</v>
      </c>
      <c r="E23">
        <v>-2.6666666666666599E-2</v>
      </c>
      <c r="F23">
        <v>0.16166666666666599</v>
      </c>
      <c r="K23">
        <v>-0.66237288135593198</v>
      </c>
      <c r="L23">
        <v>0.94</v>
      </c>
      <c r="N23">
        <v>0.27102803738317699</v>
      </c>
      <c r="O23">
        <v>-0.22800000000000001</v>
      </c>
      <c r="Q23">
        <v>-0.36305732484076397</v>
      </c>
      <c r="R23">
        <v>0.61599999999999999</v>
      </c>
      <c r="T23">
        <v>0.316</v>
      </c>
      <c r="U23">
        <v>7.4999999999999997E-2</v>
      </c>
      <c r="Z23">
        <v>1</v>
      </c>
      <c r="AC23">
        <v>-0.54</v>
      </c>
      <c r="AD23">
        <v>1</v>
      </c>
      <c r="AL23">
        <v>1</v>
      </c>
      <c r="AO23">
        <v>-0.15384615384615299</v>
      </c>
      <c r="AP23">
        <v>0.40869565217391302</v>
      </c>
      <c r="AR23">
        <v>-3.2000000000000001E-2</v>
      </c>
      <c r="AS23">
        <v>0.163333333333333</v>
      </c>
      <c r="AU23">
        <v>-7.7102803738317696E-2</v>
      </c>
      <c r="AV23">
        <v>0.51200000000000001</v>
      </c>
      <c r="AX23">
        <v>0.61599999999999999</v>
      </c>
      <c r="AY23">
        <v>0.28169014084506999</v>
      </c>
      <c r="BA23">
        <v>-0.12676056338028099</v>
      </c>
      <c r="BB23">
        <v>0.32500000000000001</v>
      </c>
      <c r="BG23">
        <v>-0.42016806722688999</v>
      </c>
      <c r="BH23">
        <v>1</v>
      </c>
      <c r="BM23">
        <v>-0.133333333333333</v>
      </c>
      <c r="BN23">
        <v>1</v>
      </c>
      <c r="BP23">
        <v>0.62637362637362604</v>
      </c>
      <c r="BQ23">
        <v>-0.43</v>
      </c>
      <c r="BS23">
        <v>0.147826086956521</v>
      </c>
      <c r="BT23">
        <v>3.03030303030303E-2</v>
      </c>
      <c r="BV23">
        <v>0.18333333333333299</v>
      </c>
      <c r="BW23">
        <v>-2.33333333333333E-2</v>
      </c>
      <c r="BY23">
        <v>-5.8666666666666603E-2</v>
      </c>
      <c r="BZ23">
        <v>1</v>
      </c>
      <c r="CB23">
        <v>0.47666666666666602</v>
      </c>
      <c r="CC23">
        <v>-0.33400000000000002</v>
      </c>
      <c r="CE23">
        <v>-0.84543010752688097</v>
      </c>
      <c r="CF23">
        <v>0.94199999999999995</v>
      </c>
      <c r="CH23">
        <v>0.43356643356643298</v>
      </c>
      <c r="CI23">
        <v>-0.22600000000000001</v>
      </c>
      <c r="CK23">
        <v>9.6666666666666595E-2</v>
      </c>
      <c r="CL23">
        <v>-1.8333333333333299E-2</v>
      </c>
      <c r="CN23">
        <v>7.6666666666666605E-2</v>
      </c>
      <c r="CO23">
        <v>1.6666666666666601E-3</v>
      </c>
      <c r="CT23">
        <v>0.38834951456310601</v>
      </c>
      <c r="CU23">
        <v>0.14953271028037299</v>
      </c>
      <c r="CW23">
        <v>-0.14533333333333301</v>
      </c>
      <c r="CX23">
        <v>0.54545454545454497</v>
      </c>
      <c r="CZ23">
        <v>3.5000000000000003E-2</v>
      </c>
      <c r="DA23">
        <v>9.6666666666666595E-2</v>
      </c>
      <c r="DC23">
        <v>0.105140186915887</v>
      </c>
      <c r="DD23">
        <v>0.1</v>
      </c>
      <c r="DI23">
        <v>6.6666666666666602E-3</v>
      </c>
      <c r="DJ23">
        <v>0</v>
      </c>
      <c r="DL23">
        <v>-5.6000000000000001E-2</v>
      </c>
      <c r="DM23">
        <v>5.3333333333333302E-2</v>
      </c>
      <c r="DO23">
        <v>-0.56000000000000005</v>
      </c>
      <c r="DP23">
        <v>0.82517482517482499</v>
      </c>
      <c r="DR23">
        <v>0.107</v>
      </c>
      <c r="DS23">
        <v>0.19230769230769201</v>
      </c>
      <c r="DU23">
        <v>3.2000000000000001E-2</v>
      </c>
      <c r="DV23">
        <v>0.30933333333333302</v>
      </c>
      <c r="EA23">
        <v>-1.03092783505154E-2</v>
      </c>
      <c r="EB23">
        <v>0.21962616822429901</v>
      </c>
      <c r="ED23">
        <v>0.349333333333333</v>
      </c>
      <c r="EE23">
        <v>0.21199999999999999</v>
      </c>
      <c r="EJ23">
        <v>0.37579617834394902</v>
      </c>
      <c r="EK23">
        <v>5.7142857142857099E-3</v>
      </c>
      <c r="EM23">
        <v>0.118333333333333</v>
      </c>
      <c r="EN23">
        <v>-0.03</v>
      </c>
      <c r="EP23">
        <v>0.318</v>
      </c>
      <c r="EQ23">
        <v>-0.22500000000000001</v>
      </c>
      <c r="ES23">
        <v>-0.16083916083916</v>
      </c>
      <c r="ET23">
        <v>0.19400000000000001</v>
      </c>
      <c r="EV23">
        <f t="shared" si="1"/>
        <v>-8.1446838095034654E-2</v>
      </c>
      <c r="EW23">
        <f t="shared" si="2"/>
        <v>0.33782069356455147</v>
      </c>
      <c r="EX23">
        <f t="shared" si="3"/>
        <v>0.15701976951720639</v>
      </c>
      <c r="EZ23">
        <v>-0.06</v>
      </c>
    </row>
    <row r="24" spans="1:156" x14ac:dyDescent="0.25">
      <c r="A24">
        <f t="shared" si="0"/>
        <v>0.27262615483952146</v>
      </c>
      <c r="B24">
        <v>0.56200000000000006</v>
      </c>
      <c r="C24">
        <v>-0.25925925925925902</v>
      </c>
      <c r="E24">
        <v>0.186440677966101</v>
      </c>
      <c r="F24">
        <v>1</v>
      </c>
      <c r="K24">
        <v>0.32642487046632102</v>
      </c>
      <c r="L24">
        <v>1</v>
      </c>
      <c r="N24">
        <v>0.241666666666666</v>
      </c>
      <c r="O24">
        <v>-0.12</v>
      </c>
      <c r="Q24">
        <v>-0.316</v>
      </c>
      <c r="R24">
        <v>0.46833333333333299</v>
      </c>
      <c r="T24">
        <v>3.0666666666666599E-2</v>
      </c>
      <c r="U24">
        <v>9.1666666666666605E-2</v>
      </c>
      <c r="AO24">
        <v>-0.153284671532846</v>
      </c>
      <c r="AP24">
        <v>0.308</v>
      </c>
      <c r="AR24">
        <v>0.2</v>
      </c>
      <c r="AS24">
        <v>7.4999999999999997E-2</v>
      </c>
      <c r="AU24">
        <v>0.2</v>
      </c>
      <c r="AV24">
        <v>0.34558823529411697</v>
      </c>
      <c r="AX24">
        <v>0.913333333333333</v>
      </c>
      <c r="AY24">
        <v>0.29993275050437102</v>
      </c>
      <c r="BA24">
        <v>5.7324840764331197E-2</v>
      </c>
      <c r="BB24">
        <v>0.69879518072289104</v>
      </c>
      <c r="BP24">
        <v>0.51466666666666605</v>
      </c>
      <c r="BQ24">
        <v>-0.11</v>
      </c>
      <c r="BS24">
        <v>0.42533333333333301</v>
      </c>
      <c r="BT24">
        <v>0.26</v>
      </c>
      <c r="BV24">
        <v>8.1333333333333299E-2</v>
      </c>
      <c r="BW24">
        <v>1.4E-2</v>
      </c>
      <c r="CB24">
        <v>0.64666666666666595</v>
      </c>
      <c r="CC24">
        <v>-8.5106382978723402E-2</v>
      </c>
      <c r="CE24">
        <v>-0.76719576719576699</v>
      </c>
      <c r="CF24">
        <v>0.940119760479041</v>
      </c>
      <c r="CH24">
        <v>0.4</v>
      </c>
      <c r="CI24">
        <v>-2.10280373831775E-2</v>
      </c>
      <c r="CK24">
        <v>0.15</v>
      </c>
      <c r="CL24">
        <v>-5.3333333333333302E-2</v>
      </c>
      <c r="CN24">
        <v>5.6666666666666601E-2</v>
      </c>
      <c r="CO24">
        <v>8.0000000000000002E-3</v>
      </c>
      <c r="CT24">
        <v>0.36936936936936898</v>
      </c>
      <c r="CU24">
        <v>-0.33800000000000002</v>
      </c>
      <c r="CW24">
        <v>-0.41899999999999998</v>
      </c>
      <c r="CX24">
        <v>0.61299999999999999</v>
      </c>
      <c r="CZ24">
        <v>-5.3333333333333297E-3</v>
      </c>
      <c r="DA24">
        <v>0.15</v>
      </c>
      <c r="DC24">
        <v>0.184</v>
      </c>
      <c r="DD24">
        <v>-1.16666666666666E-2</v>
      </c>
      <c r="DI24">
        <v>1.4018691588785E-2</v>
      </c>
      <c r="DJ24">
        <v>0</v>
      </c>
      <c r="DL24">
        <v>0.20886075949367</v>
      </c>
      <c r="DM24">
        <v>0.19161676646706499</v>
      </c>
      <c r="DO24">
        <v>-0.72666666666666602</v>
      </c>
      <c r="DP24">
        <v>1</v>
      </c>
      <c r="DR24">
        <v>0.48295454545454503</v>
      </c>
      <c r="DS24">
        <v>-0.28000000000000003</v>
      </c>
      <c r="DU24">
        <v>3.2000000000000001E-2</v>
      </c>
      <c r="DV24">
        <v>0.63166666666666604</v>
      </c>
      <c r="EA24">
        <v>5.83333333333333E-2</v>
      </c>
      <c r="EB24">
        <v>0.112</v>
      </c>
      <c r="ED24">
        <v>0.46400000000000002</v>
      </c>
      <c r="EE24">
        <v>0.102666666666666</v>
      </c>
      <c r="EJ24">
        <v>1</v>
      </c>
      <c r="EM24">
        <v>0.135135135135135</v>
      </c>
      <c r="EN24">
        <v>0.176666666666666</v>
      </c>
      <c r="EP24">
        <v>0.25333333333333302</v>
      </c>
      <c r="EQ24">
        <v>5.6000000000000001E-2</v>
      </c>
      <c r="ES24">
        <v>-0.110666666666666</v>
      </c>
      <c r="ET24">
        <v>0.181666666666666</v>
      </c>
      <c r="EV24">
        <f t="shared" si="1"/>
        <v>-1.8966274375819932E-2</v>
      </c>
      <c r="EW24">
        <f t="shared" si="2"/>
        <v>0.2818204236829393</v>
      </c>
      <c r="EX24">
        <f t="shared" si="3"/>
        <v>0.15701976951720639</v>
      </c>
      <c r="EZ24">
        <v>1</v>
      </c>
    </row>
    <row r="25" spans="1:156" x14ac:dyDescent="0.25">
      <c r="A25">
        <f t="shared" si="0"/>
        <v>0.27262615483952146</v>
      </c>
      <c r="B25">
        <v>1</v>
      </c>
      <c r="N25">
        <v>0.41538461538461502</v>
      </c>
      <c r="O25">
        <v>-0.26300000000000001</v>
      </c>
      <c r="Q25">
        <v>-6.3829787234042507E-2</v>
      </c>
      <c r="R25">
        <v>0.51082251082250996</v>
      </c>
      <c r="T25">
        <v>0.12666666666666601</v>
      </c>
      <c r="U25">
        <v>4.4999999999999998E-2</v>
      </c>
      <c r="AO25">
        <v>-0.245</v>
      </c>
      <c r="AP25">
        <v>0.51</v>
      </c>
      <c r="AR25">
        <v>0.13200000000000001</v>
      </c>
      <c r="AS25">
        <v>9.3333333333333296E-2</v>
      </c>
      <c r="AU25">
        <v>-0.34599999999999997</v>
      </c>
      <c r="AV25">
        <v>0.39800000000000002</v>
      </c>
      <c r="AX25">
        <v>1</v>
      </c>
      <c r="BA25">
        <v>-0.47499999999999998</v>
      </c>
      <c r="BB25">
        <v>0.58699999999999997</v>
      </c>
      <c r="BP25">
        <v>0.34699999999999998</v>
      </c>
      <c r="BQ25">
        <v>-0.11214953271028</v>
      </c>
      <c r="BS25">
        <v>-3.7234042553191397E-2</v>
      </c>
      <c r="BT25">
        <v>0.2</v>
      </c>
      <c r="BV25">
        <v>0.62711864406779605</v>
      </c>
      <c r="BW25">
        <v>-0.23376623376623301</v>
      </c>
      <c r="CB25">
        <v>0.51466666666666605</v>
      </c>
      <c r="CC25">
        <v>0.116822429906542</v>
      </c>
      <c r="CE25">
        <v>-0.87733333333333297</v>
      </c>
      <c r="CF25">
        <v>1</v>
      </c>
      <c r="CH25">
        <v>0.70093457943925197</v>
      </c>
      <c r="CI25">
        <v>0.16017316017316</v>
      </c>
      <c r="CK25">
        <v>0.187</v>
      </c>
      <c r="CL25">
        <v>0.33566433566433501</v>
      </c>
      <c r="CN25">
        <v>0.109333333333333</v>
      </c>
      <c r="CO25">
        <v>-2.2666666666666599E-2</v>
      </c>
      <c r="CT25">
        <v>0.51166666666666605</v>
      </c>
      <c r="CU25">
        <v>-0.124031007751937</v>
      </c>
      <c r="CW25">
        <v>-0.137333333333333</v>
      </c>
      <c r="CX25">
        <v>1</v>
      </c>
      <c r="CZ25">
        <v>0.20799999999999999</v>
      </c>
      <c r="DA25">
        <v>0.27692307692307599</v>
      </c>
      <c r="DC25">
        <v>0.12266666666666599</v>
      </c>
      <c r="DD25">
        <v>0.16588785046728899</v>
      </c>
      <c r="DI25">
        <v>1.2E-2</v>
      </c>
      <c r="DJ25">
        <v>0</v>
      </c>
      <c r="DL25">
        <v>0.26136363636363602</v>
      </c>
      <c r="DM25">
        <v>-3.7999999999999999E-2</v>
      </c>
      <c r="DR25">
        <v>0.62637362637362604</v>
      </c>
      <c r="DS25">
        <v>-0.31333333333333302</v>
      </c>
      <c r="DU25">
        <v>0.14000000000000001</v>
      </c>
      <c r="DV25">
        <v>1</v>
      </c>
      <c r="EA25">
        <v>9.5000000000000001E-2</v>
      </c>
      <c r="EB25">
        <v>-3.1E-2</v>
      </c>
      <c r="ED25">
        <v>1</v>
      </c>
      <c r="EM25">
        <v>-0.14000000000000001</v>
      </c>
      <c r="EN25">
        <v>0.23066666666666599</v>
      </c>
      <c r="EP25">
        <v>0.308</v>
      </c>
      <c r="EQ25">
        <v>0.109333333333333</v>
      </c>
      <c r="ES25">
        <v>-0.151</v>
      </c>
      <c r="ET25">
        <v>0.49</v>
      </c>
      <c r="EV25">
        <f t="shared" si="1"/>
        <v>-4.4428505406924786E-2</v>
      </c>
      <c r="EW25">
        <f t="shared" si="2"/>
        <v>0.28571099597166116</v>
      </c>
      <c r="EX25">
        <f t="shared" si="3"/>
        <v>0.15701976951720639</v>
      </c>
      <c r="EZ25">
        <v>-0.151</v>
      </c>
    </row>
    <row r="26" spans="1:156" x14ac:dyDescent="0.25">
      <c r="N26">
        <v>0.49</v>
      </c>
      <c r="O26">
        <v>-0.244680851063829</v>
      </c>
      <c r="Q26">
        <v>-0.23733333333333301</v>
      </c>
      <c r="R26">
        <v>1</v>
      </c>
      <c r="T26">
        <v>0.71</v>
      </c>
      <c r="U26">
        <v>0.583666666666666</v>
      </c>
      <c r="AO26">
        <v>-0.37066666666666598</v>
      </c>
      <c r="AP26">
        <v>0.50166666666666604</v>
      </c>
      <c r="AR26">
        <v>4.1000000000000002E-2</v>
      </c>
      <c r="AS26">
        <v>8.1585081585081501E-2</v>
      </c>
      <c r="AU26">
        <v>-0.27272727272727199</v>
      </c>
      <c r="AV26">
        <v>0.38</v>
      </c>
      <c r="BA26">
        <v>-0.55266666666666597</v>
      </c>
      <c r="BB26">
        <v>0.78800000000000003</v>
      </c>
      <c r="BP26">
        <v>0.26266666666666599</v>
      </c>
      <c r="BQ26">
        <v>-0.24199999999999999</v>
      </c>
      <c r="BS26">
        <v>0.15384615384615299</v>
      </c>
      <c r="BT26">
        <v>0.54978354978354904</v>
      </c>
      <c r="BV26">
        <v>1</v>
      </c>
      <c r="CB26">
        <v>0.748</v>
      </c>
      <c r="CC26">
        <v>0.26200000000000001</v>
      </c>
      <c r="CH26">
        <v>1</v>
      </c>
      <c r="CK26">
        <v>-0.13466666666666599</v>
      </c>
      <c r="CL26">
        <v>1</v>
      </c>
      <c r="CN26">
        <v>0.245</v>
      </c>
      <c r="CO26">
        <v>-7.3333333333333306E-2</v>
      </c>
      <c r="CT26">
        <v>0.44666666666666599</v>
      </c>
      <c r="CU26">
        <v>-0.215</v>
      </c>
      <c r="CZ26">
        <v>0.17799999999999999</v>
      </c>
      <c r="DA26">
        <v>0.15384615384615299</v>
      </c>
      <c r="DC26">
        <v>0.20300000000000001</v>
      </c>
      <c r="DD26">
        <v>0.20399999999999999</v>
      </c>
      <c r="DI26">
        <v>0</v>
      </c>
      <c r="DJ26">
        <v>0</v>
      </c>
      <c r="DL26">
        <v>0.64500000000000002</v>
      </c>
      <c r="DM26">
        <v>0.12933333333333299</v>
      </c>
      <c r="DR26">
        <v>1</v>
      </c>
      <c r="EA26">
        <v>9.4666666666666593E-2</v>
      </c>
      <c r="EB26">
        <v>0.19251336898395699</v>
      </c>
      <c r="EM26">
        <v>-1.33333333333333E-3</v>
      </c>
      <c r="EN26">
        <v>0.32</v>
      </c>
      <c r="EP26">
        <v>1</v>
      </c>
      <c r="ES26">
        <v>0</v>
      </c>
      <c r="EV26">
        <f t="shared" si="1"/>
        <v>-1.3649281356940908E-2</v>
      </c>
      <c r="EW26">
        <f t="shared" si="2"/>
        <v>0.25404593837535006</v>
      </c>
      <c r="EX26">
        <f t="shared" si="3"/>
        <v>0.15701976951720639</v>
      </c>
    </row>
    <row r="27" spans="1:156" x14ac:dyDescent="0.25">
      <c r="N27">
        <v>0.68</v>
      </c>
      <c r="O27">
        <v>-0.51600000000000001</v>
      </c>
      <c r="T27">
        <v>1</v>
      </c>
      <c r="AO27">
        <v>-0.34399999999999997</v>
      </c>
      <c r="AP27">
        <v>0.96333333333333304</v>
      </c>
      <c r="AR27">
        <v>0.387850467289719</v>
      </c>
      <c r="AS27">
        <v>-0.272666666666666</v>
      </c>
      <c r="AU27">
        <v>-0.30533333333333301</v>
      </c>
      <c r="AV27">
        <v>0.75</v>
      </c>
      <c r="BA27">
        <v>-0.70933333333333304</v>
      </c>
      <c r="BB27">
        <v>1</v>
      </c>
      <c r="BP27">
        <v>0.45</v>
      </c>
      <c r="BQ27">
        <v>-0.22</v>
      </c>
      <c r="BS27">
        <v>-8.7999999999999995E-2</v>
      </c>
      <c r="BT27">
        <v>0.61866666666666603</v>
      </c>
      <c r="CB27">
        <v>1</v>
      </c>
      <c r="CH27" t="s">
        <v>6</v>
      </c>
      <c r="CN27">
        <v>0.36799999999999999</v>
      </c>
      <c r="CO27">
        <v>0.30199999999999999</v>
      </c>
      <c r="CT27">
        <v>0.96521739130434703</v>
      </c>
      <c r="CU27">
        <v>-0.81606765327695496</v>
      </c>
      <c r="CZ27">
        <v>0.33866666666666601</v>
      </c>
      <c r="DA27">
        <v>0.21333333333333299</v>
      </c>
      <c r="DC27">
        <v>0.25925925925925902</v>
      </c>
      <c r="DD27">
        <v>0.62133333333333296</v>
      </c>
      <c r="DI27">
        <v>0</v>
      </c>
      <c r="DJ27">
        <v>0</v>
      </c>
      <c r="DL27">
        <v>1</v>
      </c>
      <c r="EA27">
        <v>-9.6000000000000002E-2</v>
      </c>
      <c r="EB27">
        <v>0.177570093457943</v>
      </c>
      <c r="EM27">
        <v>4.2056074766355103E-2</v>
      </c>
      <c r="EN27">
        <v>0</v>
      </c>
      <c r="EV27">
        <f>SUMIFS($A27:$ET27,A$2:ET$2,EV$2)/COUNTIF(A$2:ET$2,EV$2)</f>
        <v>-5.101504638502681E-2</v>
      </c>
      <c r="EW27">
        <f t="shared" si="2"/>
        <v>0.20641275904104017</v>
      </c>
      <c r="EX27">
        <f t="shared" si="3"/>
        <v>0.15701976951720639</v>
      </c>
    </row>
    <row r="28" spans="1:156" x14ac:dyDescent="0.25">
      <c r="N28">
        <v>0.64066666666666605</v>
      </c>
      <c r="O28">
        <v>-0.41</v>
      </c>
      <c r="AO28">
        <v>-3.8306451612903199E-2</v>
      </c>
      <c r="AP28">
        <v>0.97599999999999998</v>
      </c>
      <c r="AR28">
        <v>0.68</v>
      </c>
      <c r="AS28">
        <v>0.18833333333333299</v>
      </c>
      <c r="AU28">
        <v>-0.10666666666666599</v>
      </c>
      <c r="AV28">
        <v>1</v>
      </c>
      <c r="BP28">
        <v>0.50381679389312894</v>
      </c>
      <c r="BQ28">
        <v>-0.254</v>
      </c>
      <c r="BS28">
        <v>0</v>
      </c>
      <c r="BT28">
        <v>0</v>
      </c>
      <c r="CN28">
        <v>1</v>
      </c>
      <c r="CT28">
        <v>1</v>
      </c>
      <c r="CZ28">
        <v>1</v>
      </c>
      <c r="DC28">
        <v>0.48148148148148101</v>
      </c>
      <c r="DD28">
        <v>1</v>
      </c>
      <c r="DI28">
        <v>0</v>
      </c>
      <c r="DJ28">
        <v>0</v>
      </c>
      <c r="EA28">
        <v>-0.117333333333333</v>
      </c>
      <c r="EB28">
        <v>0.16800000000000001</v>
      </c>
      <c r="EM28">
        <v>0</v>
      </c>
      <c r="EN28">
        <v>0</v>
      </c>
      <c r="EV28">
        <f>SUMIFS($A28:$ET28,A$2:ET$2,EV$2)/COUNTIF(A$2:ET$2,EV$2)</f>
        <v>-5.1298327359617637E-3</v>
      </c>
      <c r="EW28">
        <f t="shared" si="2"/>
        <v>0.15936966921119589</v>
      </c>
      <c r="EX28">
        <f t="shared" si="3"/>
        <v>0.15701976951720639</v>
      </c>
    </row>
    <row r="29" spans="1:156" x14ac:dyDescent="0.25">
      <c r="N29">
        <v>0.57799999999999996</v>
      </c>
      <c r="O29">
        <v>0</v>
      </c>
      <c r="AO29">
        <v>0</v>
      </c>
      <c r="AP29">
        <v>0</v>
      </c>
      <c r="AR29">
        <v>1</v>
      </c>
      <c r="BP29">
        <v>0.31666666666666599</v>
      </c>
      <c r="BQ29">
        <v>-0.23166666666666599</v>
      </c>
      <c r="BS29">
        <v>0</v>
      </c>
      <c r="EA29">
        <v>0</v>
      </c>
      <c r="EB29">
        <v>0</v>
      </c>
      <c r="EM29">
        <v>0</v>
      </c>
      <c r="EN29">
        <v>0</v>
      </c>
    </row>
    <row r="30" spans="1:156" x14ac:dyDescent="0.25">
      <c r="N30">
        <v>0</v>
      </c>
      <c r="O30">
        <v>0</v>
      </c>
      <c r="BP30">
        <v>0.563291139240506</v>
      </c>
      <c r="BQ30">
        <v>-0.46400000000000002</v>
      </c>
      <c r="EA30">
        <v>0</v>
      </c>
      <c r="EB30">
        <v>0</v>
      </c>
      <c r="EM30">
        <v>0</v>
      </c>
      <c r="EN30">
        <v>0</v>
      </c>
    </row>
    <row r="31" spans="1:156" x14ac:dyDescent="0.25">
      <c r="N31">
        <v>0</v>
      </c>
      <c r="BP31">
        <v>0.59799999999999998</v>
      </c>
      <c r="BQ31">
        <v>-6.0606060606060601E-2</v>
      </c>
      <c r="EA31">
        <v>0</v>
      </c>
      <c r="EB31">
        <v>0</v>
      </c>
    </row>
    <row r="32" spans="1:156" x14ac:dyDescent="0.25">
      <c r="BP32">
        <v>0.67600000000000005</v>
      </c>
      <c r="BQ32">
        <v>-0.45600000000000002</v>
      </c>
      <c r="EA32">
        <v>0</v>
      </c>
      <c r="EB32">
        <v>0</v>
      </c>
    </row>
    <row r="33" spans="68:69" x14ac:dyDescent="0.25">
      <c r="BP33">
        <v>0.83133333333333304</v>
      </c>
      <c r="BQ33">
        <v>-0.26933333333333298</v>
      </c>
    </row>
    <row r="34" spans="68:69" x14ac:dyDescent="0.25">
      <c r="BP34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X150"/>
  <sheetViews>
    <sheetView topLeftCell="EM6" workbookViewId="0">
      <selection activeCell="EV2" sqref="EV2:EX28"/>
    </sheetView>
  </sheetViews>
  <sheetFormatPr defaultRowHeight="15" x14ac:dyDescent="0.25"/>
  <cols>
    <col min="152" max="152" width="9.85546875" customWidth="1"/>
  </cols>
  <sheetData>
    <row r="1" spans="1:154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4" x14ac:dyDescent="0.25">
      <c r="B2" t="s">
        <v>7</v>
      </c>
      <c r="C2" t="s">
        <v>4</v>
      </c>
      <c r="E2" t="s">
        <v>4</v>
      </c>
      <c r="F2" t="s">
        <v>7</v>
      </c>
      <c r="H2" t="s">
        <v>7</v>
      </c>
      <c r="I2" t="s">
        <v>4</v>
      </c>
      <c r="K2" t="s">
        <v>4</v>
      </c>
      <c r="L2" t="s">
        <v>7</v>
      </c>
      <c r="N2" t="s">
        <v>7</v>
      </c>
      <c r="O2" t="s">
        <v>4</v>
      </c>
      <c r="Q2" t="s">
        <v>4</v>
      </c>
      <c r="R2" t="s">
        <v>7</v>
      </c>
      <c r="T2" t="s">
        <v>7</v>
      </c>
      <c r="U2" t="s">
        <v>4</v>
      </c>
      <c r="W2" t="s">
        <v>4</v>
      </c>
      <c r="X2" t="s">
        <v>7</v>
      </c>
      <c r="Z2" t="s">
        <v>7</v>
      </c>
      <c r="AA2" t="s">
        <v>4</v>
      </c>
      <c r="AC2" t="s">
        <v>4</v>
      </c>
      <c r="AD2" t="s">
        <v>7</v>
      </c>
      <c r="AF2" t="s">
        <v>7</v>
      </c>
      <c r="AG2" t="s">
        <v>4</v>
      </c>
      <c r="AI2" t="s">
        <v>4</v>
      </c>
      <c r="AJ2" t="s">
        <v>7</v>
      </c>
      <c r="AL2" t="s">
        <v>7</v>
      </c>
      <c r="AM2" t="s">
        <v>4</v>
      </c>
      <c r="AO2" t="s">
        <v>4</v>
      </c>
      <c r="AP2" t="s">
        <v>7</v>
      </c>
      <c r="AR2" t="s">
        <v>7</v>
      </c>
      <c r="AS2" t="s">
        <v>4</v>
      </c>
      <c r="AU2" t="s">
        <v>4</v>
      </c>
      <c r="AV2" t="s">
        <v>7</v>
      </c>
      <c r="AX2" t="s">
        <v>7</v>
      </c>
      <c r="AY2" t="s">
        <v>4</v>
      </c>
      <c r="BA2" t="s">
        <v>4</v>
      </c>
      <c r="BB2" t="s">
        <v>7</v>
      </c>
      <c r="BD2" t="s">
        <v>7</v>
      </c>
      <c r="BE2" t="s">
        <v>4</v>
      </c>
      <c r="BG2" t="s">
        <v>4</v>
      </c>
      <c r="BH2" t="s">
        <v>7</v>
      </c>
      <c r="BJ2" t="s">
        <v>7</v>
      </c>
      <c r="BK2" t="s">
        <v>4</v>
      </c>
      <c r="BM2" t="s">
        <v>4</v>
      </c>
      <c r="BN2" t="s">
        <v>7</v>
      </c>
      <c r="BP2" t="s">
        <v>7</v>
      </c>
      <c r="BQ2" t="s">
        <v>4</v>
      </c>
      <c r="BS2" t="s">
        <v>4</v>
      </c>
      <c r="BT2" t="s">
        <v>7</v>
      </c>
      <c r="BV2" t="s">
        <v>7</v>
      </c>
      <c r="BW2" t="s">
        <v>4</v>
      </c>
      <c r="BY2" t="s">
        <v>4</v>
      </c>
      <c r="BZ2" t="s">
        <v>7</v>
      </c>
      <c r="CB2" t="s">
        <v>7</v>
      </c>
      <c r="CC2" t="s">
        <v>4</v>
      </c>
      <c r="CE2" t="s">
        <v>4</v>
      </c>
      <c r="CF2" t="s">
        <v>7</v>
      </c>
      <c r="CH2" t="s">
        <v>7</v>
      </c>
      <c r="CI2" t="s">
        <v>4</v>
      </c>
      <c r="CK2" t="s">
        <v>4</v>
      </c>
      <c r="CL2" t="s">
        <v>7</v>
      </c>
      <c r="CN2" t="s">
        <v>7</v>
      </c>
      <c r="CO2" t="s">
        <v>4</v>
      </c>
      <c r="CQ2" t="s">
        <v>4</v>
      </c>
      <c r="CR2" t="s">
        <v>7</v>
      </c>
      <c r="CT2" t="s">
        <v>7</v>
      </c>
      <c r="CU2" t="s">
        <v>4</v>
      </c>
      <c r="CW2" t="s">
        <v>4</v>
      </c>
      <c r="CX2" t="s">
        <v>7</v>
      </c>
      <c r="CZ2" t="s">
        <v>7</v>
      </c>
      <c r="DA2" t="s">
        <v>4</v>
      </c>
      <c r="DC2" t="s">
        <v>4</v>
      </c>
      <c r="DD2" t="s">
        <v>7</v>
      </c>
      <c r="DF2" t="s">
        <v>7</v>
      </c>
      <c r="DG2" t="s">
        <v>4</v>
      </c>
      <c r="DI2" t="s">
        <v>4</v>
      </c>
      <c r="DJ2" t="s">
        <v>7</v>
      </c>
      <c r="DL2" t="s">
        <v>7</v>
      </c>
      <c r="DM2" t="s">
        <v>4</v>
      </c>
      <c r="DO2" t="s">
        <v>4</v>
      </c>
      <c r="DP2" t="s">
        <v>7</v>
      </c>
      <c r="DR2" t="s">
        <v>7</v>
      </c>
      <c r="DS2" t="s">
        <v>4</v>
      </c>
      <c r="DU2" t="s">
        <v>4</v>
      </c>
      <c r="DV2" t="s">
        <v>7</v>
      </c>
      <c r="DX2" t="s">
        <v>7</v>
      </c>
      <c r="DY2" t="s">
        <v>4</v>
      </c>
      <c r="EA2" t="s">
        <v>4</v>
      </c>
      <c r="EB2" t="s">
        <v>7</v>
      </c>
      <c r="ED2" t="s">
        <v>7</v>
      </c>
      <c r="EE2" t="s">
        <v>4</v>
      </c>
      <c r="EG2" t="s">
        <v>4</v>
      </c>
      <c r="EH2" t="s">
        <v>7</v>
      </c>
      <c r="EJ2" t="s">
        <v>7</v>
      </c>
      <c r="EK2" t="s">
        <v>4</v>
      </c>
      <c r="EM2" t="s">
        <v>4</v>
      </c>
      <c r="EN2" t="s">
        <v>7</v>
      </c>
      <c r="EP2" t="s">
        <v>7</v>
      </c>
      <c r="EQ2" t="s">
        <v>4</v>
      </c>
      <c r="ES2" t="s">
        <v>4</v>
      </c>
      <c r="ET2" t="s">
        <v>7</v>
      </c>
      <c r="EV2" t="s">
        <v>4</v>
      </c>
      <c r="EW2" t="s">
        <v>7</v>
      </c>
      <c r="EX2" t="s">
        <v>79</v>
      </c>
    </row>
    <row r="3" spans="1:154" x14ac:dyDescent="0.25">
      <c r="B3">
        <v>0.105263157894736</v>
      </c>
      <c r="C3">
        <v>3.3033033033033003E-2</v>
      </c>
      <c r="E3">
        <v>0.29729729729729698</v>
      </c>
      <c r="F3">
        <v>-2.7027027027027001E-2</v>
      </c>
      <c r="H3">
        <v>8.1081081081081002E-2</v>
      </c>
      <c r="I3">
        <v>6.0060060060059997E-2</v>
      </c>
      <c r="K3">
        <v>0.24324324324324301</v>
      </c>
      <c r="L3">
        <v>-9.0090090090090003E-3</v>
      </c>
      <c r="N3">
        <v>-5.4054054054054002E-2</v>
      </c>
      <c r="O3">
        <v>6.0060060060059999E-3</v>
      </c>
      <c r="Q3">
        <v>0.24324324324324301</v>
      </c>
      <c r="R3">
        <v>-5.9880239520958001E-2</v>
      </c>
      <c r="T3">
        <v>0</v>
      </c>
      <c r="U3">
        <v>3.0030030030029999E-3</v>
      </c>
      <c r="W3">
        <v>0.27027027027027001</v>
      </c>
      <c r="X3">
        <v>9.0090090090090003E-3</v>
      </c>
      <c r="Z3">
        <v>-8.1081081081081002E-2</v>
      </c>
      <c r="AA3">
        <v>3.89221556886227E-2</v>
      </c>
      <c r="AC3">
        <v>0.27027027027027001</v>
      </c>
      <c r="AD3">
        <v>-4.1916167664670601E-2</v>
      </c>
      <c r="AF3">
        <v>-2.7027027027027001E-2</v>
      </c>
      <c r="AG3">
        <v>1.6E-2</v>
      </c>
      <c r="AI3">
        <v>0.24324324324324301</v>
      </c>
      <c r="AJ3">
        <v>-1.5015015015014999E-2</v>
      </c>
      <c r="AL3">
        <v>-0.108108108108108</v>
      </c>
      <c r="AM3">
        <v>5.3333333333333297E-3</v>
      </c>
      <c r="AO3">
        <v>0.27027027027027001</v>
      </c>
      <c r="AP3">
        <v>-1.79640718562874E-2</v>
      </c>
      <c r="AR3">
        <v>-2.7027027027027001E-2</v>
      </c>
      <c r="AS3">
        <v>6.0060060060059999E-3</v>
      </c>
      <c r="AU3">
        <v>0.27027027027027001</v>
      </c>
      <c r="AV3">
        <v>-4.5045045045045001E-2</v>
      </c>
      <c r="AX3">
        <v>-8.1081081081081002E-2</v>
      </c>
      <c r="AY3">
        <v>1.8666666666666599E-2</v>
      </c>
      <c r="BA3">
        <v>0.27027027027027001</v>
      </c>
      <c r="BB3">
        <v>-9.3093093093092993E-2</v>
      </c>
      <c r="BD3">
        <v>-0.135135135135135</v>
      </c>
      <c r="BE3">
        <v>2.4024024024024E-2</v>
      </c>
      <c r="BG3">
        <v>0.27027027027027001</v>
      </c>
      <c r="BH3">
        <v>-2.39520958083832E-2</v>
      </c>
      <c r="BJ3">
        <v>0.18918918918918901</v>
      </c>
      <c r="BK3">
        <v>6.0060060060059999E-3</v>
      </c>
      <c r="BM3">
        <v>0.29729729729729698</v>
      </c>
      <c r="BN3">
        <v>-5.3892215568862201E-2</v>
      </c>
      <c r="BP3">
        <v>0.162162162162162</v>
      </c>
      <c r="BQ3">
        <v>1.5015015015014999E-2</v>
      </c>
      <c r="BS3">
        <v>0.27027027027027001</v>
      </c>
      <c r="BT3">
        <v>7.4850299401197598E-2</v>
      </c>
      <c r="BV3">
        <v>-0.108108108108108</v>
      </c>
      <c r="BW3">
        <v>3.9039039039038999E-2</v>
      </c>
      <c r="BY3">
        <v>0.27027027027027001</v>
      </c>
      <c r="BZ3">
        <v>1.2012012012012E-2</v>
      </c>
      <c r="CB3">
        <v>-0.135135135135135</v>
      </c>
      <c r="CC3">
        <v>1.5015015015014999E-2</v>
      </c>
      <c r="CE3">
        <v>0.27027027027027001</v>
      </c>
      <c r="CF3">
        <v>-6.3063063063063002E-2</v>
      </c>
      <c r="CH3">
        <v>2.7027027027027001E-2</v>
      </c>
      <c r="CI3">
        <v>2.09580838323353E-2</v>
      </c>
      <c r="CK3">
        <v>0.27027027027027001</v>
      </c>
      <c r="CL3">
        <v>2.4024024024024E-2</v>
      </c>
      <c r="CN3">
        <v>-2.7027027027027001E-2</v>
      </c>
      <c r="CO3">
        <v>6.4000000000000001E-2</v>
      </c>
      <c r="CQ3">
        <v>0.27027027027027001</v>
      </c>
      <c r="CR3">
        <v>-5.6886227544910101E-2</v>
      </c>
      <c r="CT3">
        <v>2.7027027027027001E-2</v>
      </c>
      <c r="CU3">
        <v>6.0060060060059999E-3</v>
      </c>
      <c r="CW3">
        <v>0.27027027027027001</v>
      </c>
      <c r="CX3">
        <v>-6.6066066066066007E-2</v>
      </c>
      <c r="CZ3">
        <v>-8.1081081081081002E-2</v>
      </c>
      <c r="DA3">
        <v>3.6036036036036001E-2</v>
      </c>
      <c r="DC3">
        <v>0.27027027027027001</v>
      </c>
      <c r="DD3">
        <v>-2.6666666666666599E-2</v>
      </c>
      <c r="DF3">
        <v>-2.6315789473684199E-2</v>
      </c>
      <c r="DG3">
        <v>2.4024024024024E-2</v>
      </c>
      <c r="DI3">
        <v>0.27027027027027001</v>
      </c>
      <c r="DJ3">
        <v>-7.1999999999999995E-2</v>
      </c>
      <c r="DL3">
        <v>2.7027027027027001E-2</v>
      </c>
      <c r="DM3">
        <v>4.2042042042041997E-2</v>
      </c>
      <c r="DO3">
        <v>8.1081081081081002E-2</v>
      </c>
      <c r="DP3">
        <v>-9.6096096096096095E-2</v>
      </c>
      <c r="DR3" s="1">
        <v>2.7027027027027001E-2</v>
      </c>
      <c r="DS3">
        <v>-5.9880239520958001E-3</v>
      </c>
      <c r="DU3">
        <v>0.29729729729729698</v>
      </c>
      <c r="DV3">
        <v>-8.4084084084083993E-2</v>
      </c>
      <c r="DX3">
        <v>0.18918918918918901</v>
      </c>
      <c r="DY3">
        <v>3.3033033033033003E-2</v>
      </c>
      <c r="EA3">
        <v>0.27027027027027001</v>
      </c>
      <c r="EB3">
        <v>-7.4850299401197598E-2</v>
      </c>
      <c r="ED3">
        <v>0.27027027027027001</v>
      </c>
      <c r="EE3">
        <v>-1.8018018018018001E-2</v>
      </c>
      <c r="EG3">
        <v>0.27027027027027001</v>
      </c>
      <c r="EH3">
        <v>-3.9039039039038999E-2</v>
      </c>
      <c r="EJ3">
        <v>0.27027027027027001</v>
      </c>
      <c r="EK3">
        <v>6.0060060060059997E-2</v>
      </c>
      <c r="EM3">
        <v>0.27027027027027001</v>
      </c>
      <c r="EN3">
        <v>-0.140718562874251</v>
      </c>
      <c r="EP3">
        <v>0.162162162162162</v>
      </c>
      <c r="EQ3">
        <v>5.1051051051050997E-2</v>
      </c>
      <c r="ES3">
        <v>0.26315789473684198</v>
      </c>
      <c r="ET3">
        <v>-6.6066066066066007E-2</v>
      </c>
      <c r="EV3">
        <f>SUMIFS($A3:$ET3,A$2:ET$2,EV$2)/COUNTIF(A$2:ET$2,EV$2)</f>
        <v>0.14319577698088876</v>
      </c>
      <c r="EW3">
        <f>SUMIFS($A3:$ET3,A$2:ET$2,EW$2)/COUNTIF(A$2:ET$2,EW$2)</f>
        <v>-8.1183974014985682E-3</v>
      </c>
      <c r="EX3">
        <f>AVERAGE(EW$3:EW$28)</f>
        <v>7.3027097054410156E-2</v>
      </c>
    </row>
    <row r="4" spans="1:154" x14ac:dyDescent="0.25">
      <c r="B4">
        <v>-9.0090090090090003E-3</v>
      </c>
      <c r="C4">
        <v>-6.0060060060059999E-3</v>
      </c>
      <c r="E4">
        <v>9.8802395209580798E-2</v>
      </c>
      <c r="F4">
        <v>-6.0060060060059997E-2</v>
      </c>
      <c r="H4">
        <v>2.9333333333333302E-2</v>
      </c>
      <c r="I4">
        <v>7.2072072072072002E-2</v>
      </c>
      <c r="K4">
        <v>7.8078078078077998E-2</v>
      </c>
      <c r="L4">
        <v>-6.9069069069068997E-2</v>
      </c>
      <c r="N4">
        <v>0.08</v>
      </c>
      <c r="O4">
        <v>-3.0030030030029999E-3</v>
      </c>
      <c r="Q4">
        <v>4.7904191616766401E-2</v>
      </c>
      <c r="R4">
        <v>-9.90990990990991E-2</v>
      </c>
      <c r="T4">
        <v>3.9039039039038999E-2</v>
      </c>
      <c r="U4">
        <v>8.1081081081081002E-2</v>
      </c>
      <c r="W4">
        <v>6.3063063063063002E-2</v>
      </c>
      <c r="X4">
        <v>-8.1081081081081002E-2</v>
      </c>
      <c r="Z4">
        <v>0.14399999999999999</v>
      </c>
      <c r="AA4">
        <v>4.8048048048047999E-2</v>
      </c>
      <c r="AC4">
        <v>6.2874251497005901E-2</v>
      </c>
      <c r="AD4">
        <v>-0.101333333333333</v>
      </c>
      <c r="AF4">
        <v>1.8018018018018001E-2</v>
      </c>
      <c r="AG4">
        <v>-2.4E-2</v>
      </c>
      <c r="AI4">
        <v>4.2666666666666603E-2</v>
      </c>
      <c r="AJ4">
        <v>-5.7057057057056999E-2</v>
      </c>
      <c r="AL4">
        <v>7.2072072072072002E-2</v>
      </c>
      <c r="AM4">
        <v>2.09790209790209E-2</v>
      </c>
      <c r="AO4">
        <v>6.9333333333333302E-2</v>
      </c>
      <c r="AP4">
        <v>-9.3093093093092993E-2</v>
      </c>
      <c r="AR4">
        <v>-2.6666666666666601E-3</v>
      </c>
      <c r="AS4">
        <v>2.1021021021020998E-2</v>
      </c>
      <c r="AU4">
        <v>5.3892215568862201E-2</v>
      </c>
      <c r="AV4">
        <v>-1.8018018018018001E-2</v>
      </c>
      <c r="AX4">
        <v>1.49700598802395E-2</v>
      </c>
      <c r="AY4">
        <v>5.4054054054054002E-2</v>
      </c>
      <c r="BA4">
        <v>5.4054054054054002E-2</v>
      </c>
      <c r="BB4">
        <v>-8.9820359281437098E-2</v>
      </c>
      <c r="BD4">
        <v>4.2666666666666603E-2</v>
      </c>
      <c r="BE4">
        <v>5.7057057057056999E-2</v>
      </c>
      <c r="BG4">
        <v>6.3063063063063002E-2</v>
      </c>
      <c r="BH4">
        <v>-1.49700598802395E-2</v>
      </c>
      <c r="BJ4">
        <v>7.2072072072072002E-2</v>
      </c>
      <c r="BK4">
        <v>4.8000000000000001E-2</v>
      </c>
      <c r="BM4">
        <v>5.6886227544910101E-2</v>
      </c>
      <c r="BN4">
        <v>-6.0060060060059999E-3</v>
      </c>
      <c r="BP4">
        <v>-2.9940119760479E-3</v>
      </c>
      <c r="BQ4">
        <v>4.5333333333333302E-2</v>
      </c>
      <c r="BS4">
        <v>9.0090090090090003E-2</v>
      </c>
      <c r="BT4">
        <v>5.9880239520958001E-3</v>
      </c>
      <c r="BV4">
        <v>-1.2012012012012E-2</v>
      </c>
      <c r="BW4">
        <v>9.0090090090090003E-3</v>
      </c>
      <c r="BY4">
        <v>7.1999999999999995E-2</v>
      </c>
      <c r="BZ4">
        <v>-4.8048048048047999E-2</v>
      </c>
      <c r="CB4">
        <v>6.9069069069068997E-2</v>
      </c>
      <c r="CC4">
        <v>3.59281437125748E-2</v>
      </c>
      <c r="CE4">
        <v>5.9880239520958001E-2</v>
      </c>
      <c r="CF4">
        <v>-5.3333333333333297E-3</v>
      </c>
      <c r="CH4">
        <v>0.04</v>
      </c>
      <c r="CI4">
        <v>5.4054054054054002E-2</v>
      </c>
      <c r="CK4">
        <v>7.4850299401197598E-2</v>
      </c>
      <c r="CL4">
        <v>-7.4850299401197598E-2</v>
      </c>
      <c r="CN4">
        <v>1.5015015015014999E-2</v>
      </c>
      <c r="CO4">
        <v>6.2874251497005901E-2</v>
      </c>
      <c r="CQ4">
        <v>6.3063063063063002E-2</v>
      </c>
      <c r="CR4">
        <v>0</v>
      </c>
      <c r="CT4">
        <v>5.3892215568862201E-2</v>
      </c>
      <c r="CU4">
        <v>3.29341317365269E-2</v>
      </c>
      <c r="CW4">
        <v>6.2874251497005901E-2</v>
      </c>
      <c r="CX4">
        <v>-0.116766467065868</v>
      </c>
      <c r="CZ4">
        <v>9.2814371257484998E-2</v>
      </c>
      <c r="DA4">
        <v>3.2000000000000001E-2</v>
      </c>
      <c r="DC4">
        <v>5.4054054054054002E-2</v>
      </c>
      <c r="DD4">
        <v>1.5015015015014999E-2</v>
      </c>
      <c r="DF4">
        <v>7.1856287425149698E-2</v>
      </c>
      <c r="DG4">
        <v>-5.9880239520958001E-3</v>
      </c>
      <c r="DI4">
        <v>5.0898203592814301E-2</v>
      </c>
      <c r="DJ4">
        <v>-0.11111111111111099</v>
      </c>
      <c r="DL4">
        <v>0.10210210210210199</v>
      </c>
      <c r="DM4">
        <v>1.8666666666666599E-2</v>
      </c>
      <c r="DO4">
        <v>4.2042042042041997E-2</v>
      </c>
      <c r="DP4">
        <v>-0.04</v>
      </c>
      <c r="DR4">
        <v>0.17664670658682599</v>
      </c>
      <c r="DS4">
        <v>-2.09580838323353E-2</v>
      </c>
      <c r="DU4">
        <v>5.9880239520958001E-2</v>
      </c>
      <c r="DV4">
        <v>-0.08</v>
      </c>
      <c r="DX4">
        <v>5.4054054054054002E-2</v>
      </c>
      <c r="DY4">
        <v>2.6666666666666601E-3</v>
      </c>
      <c r="EA4">
        <v>5.3892215568862201E-2</v>
      </c>
      <c r="EB4">
        <v>-9.3333333333333296E-2</v>
      </c>
      <c r="ED4">
        <v>0.201201201201201</v>
      </c>
      <c r="EE4">
        <v>-4.2042042042041997E-2</v>
      </c>
      <c r="EG4">
        <v>6.6066066066066007E-2</v>
      </c>
      <c r="EH4">
        <v>2.6666666666666599E-2</v>
      </c>
      <c r="EJ4">
        <v>4.2042042042041997E-2</v>
      </c>
      <c r="EK4">
        <v>2.6666666666666599E-2</v>
      </c>
      <c r="EM4">
        <v>4.8000000000000001E-2</v>
      </c>
      <c r="EN4">
        <v>-4.1916167664670601E-2</v>
      </c>
      <c r="EP4">
        <v>3.0030030030029999E-2</v>
      </c>
      <c r="EQ4">
        <v>4.2042042042041997E-2</v>
      </c>
      <c r="ES4">
        <v>6.0060060060059997E-2</v>
      </c>
      <c r="ET4">
        <v>-0.101796407185628</v>
      </c>
      <c r="EV4">
        <f t="shared" ref="EV4:EV26" si="0">SUMIFS($A4:$ET4,A$2:ET$2,EV$2)/COUNTIF(A$2:ET$2,EV$2)</f>
        <v>4.421517050067944E-2</v>
      </c>
      <c r="EW4">
        <f t="shared" ref="EW4:EW28" si="1">SUMIFS($A4:$ET4,A$2:ET$2,EW$2)/COUNTIF(A$2:ET$2,EW$2)</f>
        <v>1.5823991656327121E-3</v>
      </c>
      <c r="EX4">
        <f t="shared" ref="EX4:EX28" si="2">AVERAGE(EW$3:EW$28)</f>
        <v>7.3027097054410156E-2</v>
      </c>
    </row>
    <row r="5" spans="1:154" x14ac:dyDescent="0.25">
      <c r="B5">
        <v>-1.06666666666666E-2</v>
      </c>
      <c r="C5">
        <v>2.1021021021020998E-2</v>
      </c>
      <c r="E5">
        <v>8.0838323353293398E-2</v>
      </c>
      <c r="F5">
        <v>-4.2042042042041997E-2</v>
      </c>
      <c r="H5">
        <v>-8.1081081081081002E-2</v>
      </c>
      <c r="I5">
        <v>5.3892215568862201E-2</v>
      </c>
      <c r="K5">
        <v>5.3333333333333302E-2</v>
      </c>
      <c r="L5">
        <v>-1.06666666666666E-2</v>
      </c>
      <c r="N5">
        <v>-4.5333333333333302E-2</v>
      </c>
      <c r="O5">
        <v>2.9940119760479E-3</v>
      </c>
      <c r="Q5">
        <v>3.9039039039038999E-2</v>
      </c>
      <c r="R5">
        <v>-4.5045045045045001E-2</v>
      </c>
      <c r="T5">
        <v>3.0030030030029999E-3</v>
      </c>
      <c r="U5">
        <v>9.8802395209580798E-2</v>
      </c>
      <c r="W5">
        <v>6.3063063063063002E-2</v>
      </c>
      <c r="X5">
        <v>-0.14399999999999999</v>
      </c>
      <c r="Z5">
        <v>3.9039039039038999E-2</v>
      </c>
      <c r="AA5">
        <v>-6.0060060060059999E-3</v>
      </c>
      <c r="AC5">
        <v>5.1051051051050997E-2</v>
      </c>
      <c r="AD5">
        <v>-6.1333333333333302E-2</v>
      </c>
      <c r="AF5">
        <v>0.184579439252336</v>
      </c>
      <c r="AG5">
        <v>-5.6886227544910101E-2</v>
      </c>
      <c r="AI5">
        <v>5.7057057057056999E-2</v>
      </c>
      <c r="AJ5">
        <v>0.14371257485029901</v>
      </c>
      <c r="AL5">
        <v>3.59281437125748E-2</v>
      </c>
      <c r="AM5">
        <v>2.1333333333333301E-2</v>
      </c>
      <c r="AO5">
        <v>4.1916167664670601E-2</v>
      </c>
      <c r="AP5">
        <v>-6.5420560747663503E-2</v>
      </c>
      <c r="AR5">
        <v>3.3033033033033003E-2</v>
      </c>
      <c r="AS5">
        <v>-4.6728971962616802E-3</v>
      </c>
      <c r="AU5">
        <v>7.7333333333333296E-2</v>
      </c>
      <c r="AV5">
        <v>-5.3333333333333297E-3</v>
      </c>
      <c r="AX5">
        <v>4.1916167664670601E-2</v>
      </c>
      <c r="AY5">
        <v>-1.49700598802395E-2</v>
      </c>
      <c r="BA5">
        <v>7.2072072072072002E-2</v>
      </c>
      <c r="BB5">
        <v>-0.14933333333333301</v>
      </c>
      <c r="BD5">
        <v>7.8078078078077998E-2</v>
      </c>
      <c r="BE5">
        <v>5.3333333333333297E-3</v>
      </c>
      <c r="BG5">
        <v>6.5868263473053898E-2</v>
      </c>
      <c r="BH5">
        <v>2.6666666666666601E-3</v>
      </c>
      <c r="BJ5">
        <v>2.7027027027027001E-2</v>
      </c>
      <c r="BK5">
        <v>5.3738317757009303E-2</v>
      </c>
      <c r="BM5">
        <v>6.9333333333333302E-2</v>
      </c>
      <c r="BN5">
        <v>-0.116766467065868</v>
      </c>
      <c r="BP5">
        <v>-6.9069069069068997E-2</v>
      </c>
      <c r="BQ5">
        <v>3.59281437125748E-2</v>
      </c>
      <c r="BS5">
        <v>6.4000000000000001E-2</v>
      </c>
      <c r="BT5">
        <v>6.1333333333333302E-2</v>
      </c>
      <c r="BV5">
        <v>0.15466666666666601</v>
      </c>
      <c r="BW5">
        <v>3.9039039039038999E-2</v>
      </c>
      <c r="BY5">
        <v>3.9719626168224297E-2</v>
      </c>
      <c r="BZ5">
        <v>-4.8048048048047999E-2</v>
      </c>
      <c r="CB5">
        <v>8.0838323353293398E-2</v>
      </c>
      <c r="CC5">
        <v>1.3333333333333299E-2</v>
      </c>
      <c r="CE5">
        <v>7.2072072072072002E-2</v>
      </c>
      <c r="CF5">
        <v>2.9940119760479E-3</v>
      </c>
      <c r="CH5">
        <v>5.3892215568862201E-2</v>
      </c>
      <c r="CI5">
        <v>1.06666666666666E-2</v>
      </c>
      <c r="CK5">
        <v>6.4000000000000001E-2</v>
      </c>
      <c r="CL5">
        <v>-3.0030030030029999E-2</v>
      </c>
      <c r="CN5">
        <v>1.2012012012012E-2</v>
      </c>
      <c r="CO5">
        <v>-1.4018691588785E-2</v>
      </c>
      <c r="CQ5">
        <v>6.9333333333333302E-2</v>
      </c>
      <c r="CR5">
        <v>-5.3892215568862201E-2</v>
      </c>
      <c r="CT5">
        <v>1.8666666666666599E-2</v>
      </c>
      <c r="CU5">
        <v>5.8666666666666603E-2</v>
      </c>
      <c r="CW5">
        <v>4.5333333333333302E-2</v>
      </c>
      <c r="CX5">
        <v>-9.90990990990991E-2</v>
      </c>
      <c r="CZ5">
        <v>4.8048048048047999E-2</v>
      </c>
      <c r="DA5">
        <v>-3.0030030030029999E-3</v>
      </c>
      <c r="DC5">
        <v>7.1999999999999995E-2</v>
      </c>
      <c r="DD5">
        <v>-2.09790209790209E-2</v>
      </c>
      <c r="DF5">
        <v>0</v>
      </c>
      <c r="DG5">
        <v>5.4054054054054002E-2</v>
      </c>
      <c r="DI5">
        <v>4.1916167664670601E-2</v>
      </c>
      <c r="DJ5">
        <v>-3.2000000000000001E-2</v>
      </c>
      <c r="DL5">
        <v>3.6036036036036001E-2</v>
      </c>
      <c r="DM5">
        <v>6.0060060060059997E-2</v>
      </c>
      <c r="DO5">
        <v>7.5075075075075007E-2</v>
      </c>
      <c r="DP5">
        <v>-2.09580838323353E-2</v>
      </c>
      <c r="DR5">
        <v>0.114666666666666</v>
      </c>
      <c r="DS5">
        <v>-2.3310023310023301E-2</v>
      </c>
      <c r="DU5">
        <v>4.8048048048047999E-2</v>
      </c>
      <c r="DV5">
        <v>-9.6000000000000002E-2</v>
      </c>
      <c r="DX5">
        <v>0.105105105105105</v>
      </c>
      <c r="DY5">
        <v>-1.6E-2</v>
      </c>
      <c r="EA5">
        <v>6.3063063063063002E-2</v>
      </c>
      <c r="EB5">
        <v>-7.5075075075075007E-2</v>
      </c>
      <c r="ED5">
        <v>0.123123123123123</v>
      </c>
      <c r="EE5">
        <v>-5.0666666666666603E-2</v>
      </c>
      <c r="EG5">
        <v>7.1999999999999995E-2</v>
      </c>
      <c r="EH5">
        <v>-6.9333333333333302E-2</v>
      </c>
      <c r="EJ5">
        <v>6.3063063063063002E-2</v>
      </c>
      <c r="EK5">
        <v>1.49700598802395E-2</v>
      </c>
      <c r="EM5">
        <v>6.9333333333333302E-2</v>
      </c>
      <c r="EN5">
        <v>-0.125748502994011</v>
      </c>
      <c r="EP5">
        <v>4.8000000000000001E-2</v>
      </c>
      <c r="EQ5">
        <v>2.6666666666666601E-3</v>
      </c>
      <c r="ES5">
        <v>3.7333333333333302E-2</v>
      </c>
      <c r="ET5">
        <v>-5.8666666666666603E-2</v>
      </c>
      <c r="EV5">
        <f t="shared" si="0"/>
        <v>3.7221963305607578E-2</v>
      </c>
      <c r="EW5">
        <f t="shared" si="1"/>
        <v>-1.2898512679653327E-3</v>
      </c>
      <c r="EX5">
        <f t="shared" si="2"/>
        <v>7.3027097054410156E-2</v>
      </c>
    </row>
    <row r="6" spans="1:154" x14ac:dyDescent="0.25">
      <c r="B6">
        <v>-2.39520958083832E-2</v>
      </c>
      <c r="C6">
        <v>-3.7333333333333302E-2</v>
      </c>
      <c r="E6">
        <v>7.5075075075075007E-2</v>
      </c>
      <c r="F6">
        <v>-2.1333333333333301E-2</v>
      </c>
      <c r="H6">
        <v>-3.3033033033033003E-2</v>
      </c>
      <c r="I6">
        <v>6.9333333333333302E-2</v>
      </c>
      <c r="K6">
        <v>4.5333333333333302E-2</v>
      </c>
      <c r="L6">
        <v>-4.6728971962616802E-3</v>
      </c>
      <c r="N6">
        <v>4.5045045045045001E-2</v>
      </c>
      <c r="O6">
        <v>1.3333333333333299E-2</v>
      </c>
      <c r="Q6">
        <v>4.5333333333333302E-2</v>
      </c>
      <c r="R6">
        <v>-0.13600000000000001</v>
      </c>
      <c r="T6">
        <v>2.6666666666666601E-3</v>
      </c>
      <c r="U6">
        <v>4.5333333333333302E-2</v>
      </c>
      <c r="W6">
        <v>1.49700598802395E-2</v>
      </c>
      <c r="X6">
        <v>-4.5333333333333302E-2</v>
      </c>
      <c r="Z6">
        <v>0.16</v>
      </c>
      <c r="AA6">
        <v>8.0000000000000002E-3</v>
      </c>
      <c r="AC6">
        <v>5.8666666666666603E-2</v>
      </c>
      <c r="AD6">
        <v>-4.5333333333333302E-2</v>
      </c>
      <c r="AF6">
        <v>8.1081081081081002E-2</v>
      </c>
      <c r="AG6">
        <v>1.7999999999999999E-2</v>
      </c>
      <c r="AI6">
        <v>4.5045045045045001E-2</v>
      </c>
      <c r="AJ6">
        <v>2.69461077844311E-2</v>
      </c>
      <c r="AL6">
        <v>8.7087087087086998E-2</v>
      </c>
      <c r="AM6">
        <v>4.8048048048047999E-2</v>
      </c>
      <c r="AO6">
        <v>6.4000000000000001E-2</v>
      </c>
      <c r="AP6">
        <v>-0.101796407185628</v>
      </c>
      <c r="AR6">
        <v>-2.1021021021020998E-2</v>
      </c>
      <c r="AS6">
        <v>5.4054054054054002E-2</v>
      </c>
      <c r="AU6">
        <v>6.3063063063063002E-2</v>
      </c>
      <c r="AV6">
        <v>2.1021021021020998E-2</v>
      </c>
      <c r="AX6">
        <v>0.12533333333333299</v>
      </c>
      <c r="AY6">
        <v>7.2072072072072002E-2</v>
      </c>
      <c r="BA6">
        <v>7.2261072261072201E-2</v>
      </c>
      <c r="BB6">
        <v>-0.108108108108108</v>
      </c>
      <c r="BD6">
        <v>5.3333333333333302E-2</v>
      </c>
      <c r="BE6">
        <v>4.5045045045045001E-2</v>
      </c>
      <c r="BG6">
        <v>4.8048048048047999E-2</v>
      </c>
      <c r="BH6">
        <v>2.1333333333333301E-2</v>
      </c>
      <c r="BJ6">
        <v>4.8048048048047999E-2</v>
      </c>
      <c r="BK6">
        <v>6.0060060060059999E-3</v>
      </c>
      <c r="BM6">
        <v>4.5333333333333302E-2</v>
      </c>
      <c r="BN6">
        <v>-2.10280373831775E-2</v>
      </c>
      <c r="BP6">
        <v>-3.3033033033033003E-2</v>
      </c>
      <c r="BQ6">
        <v>4.2666666666666603E-2</v>
      </c>
      <c r="BS6">
        <v>9.8802395209580798E-2</v>
      </c>
      <c r="BT6">
        <v>5.0666666666666603E-2</v>
      </c>
      <c r="BV6">
        <v>6.9333333333333302E-2</v>
      </c>
      <c r="BW6">
        <v>-1.4018691588785E-2</v>
      </c>
      <c r="BY6">
        <v>6.9069069069068997E-2</v>
      </c>
      <c r="BZ6">
        <v>8.0000000000000002E-3</v>
      </c>
      <c r="CB6">
        <v>0.109333333333333</v>
      </c>
      <c r="CC6">
        <v>-1.06666666666666E-2</v>
      </c>
      <c r="CE6">
        <v>5.3738317757009303E-2</v>
      </c>
      <c r="CF6">
        <v>-0.12</v>
      </c>
      <c r="CH6">
        <v>-2.4024024024024E-2</v>
      </c>
      <c r="CI6">
        <v>3.7333333333333302E-2</v>
      </c>
      <c r="CK6">
        <v>6.6066066066066007E-2</v>
      </c>
      <c r="CL6">
        <v>-4.2666666666666603E-2</v>
      </c>
      <c r="CN6">
        <v>9.6000000000000002E-2</v>
      </c>
      <c r="CO6">
        <v>4.3999999999999997E-2</v>
      </c>
      <c r="CQ6">
        <v>9.0090090090090003E-2</v>
      </c>
      <c r="CR6">
        <v>-0.11377245508981999</v>
      </c>
      <c r="CT6">
        <v>-4.7904191616766401E-2</v>
      </c>
      <c r="CU6">
        <v>4.6620046620046603E-2</v>
      </c>
      <c r="CW6">
        <v>4.5045045045045001E-2</v>
      </c>
      <c r="CX6">
        <v>-2.4E-2</v>
      </c>
      <c r="CZ6">
        <v>-2.4024024024024E-2</v>
      </c>
      <c r="DA6">
        <v>2.1021021021020998E-2</v>
      </c>
      <c r="DC6">
        <v>8.1081081081081002E-2</v>
      </c>
      <c r="DD6">
        <v>-9.3240093240093205E-3</v>
      </c>
      <c r="DF6">
        <v>1.6E-2</v>
      </c>
      <c r="DG6">
        <v>4.5045045045045001E-2</v>
      </c>
      <c r="DI6">
        <v>5.4054054054054002E-2</v>
      </c>
      <c r="DJ6">
        <v>-6.4000000000000001E-2</v>
      </c>
      <c r="DL6">
        <v>0.11111111111111099</v>
      </c>
      <c r="DM6">
        <v>5.3333333333333302E-2</v>
      </c>
      <c r="DO6">
        <v>6.1333333333333302E-2</v>
      </c>
      <c r="DP6">
        <v>-0.13066666666666599</v>
      </c>
      <c r="DR6">
        <v>0.123123123123123</v>
      </c>
      <c r="DS6">
        <v>1.79640718562874E-2</v>
      </c>
      <c r="DU6">
        <v>5.7057057057056999E-2</v>
      </c>
      <c r="DV6">
        <v>2.1021021021020998E-2</v>
      </c>
      <c r="DX6">
        <v>0.1002331002331</v>
      </c>
      <c r="DY6">
        <v>6.8862275449101798E-2</v>
      </c>
      <c r="EA6">
        <v>6.2874251497005901E-2</v>
      </c>
      <c r="EB6">
        <v>-8.5333333333333303E-2</v>
      </c>
      <c r="ED6">
        <v>7.8078078078077998E-2</v>
      </c>
      <c r="EE6">
        <v>-3.2000000000000001E-2</v>
      </c>
      <c r="EG6">
        <v>6.5868263473053898E-2</v>
      </c>
      <c r="EH6">
        <v>2.1021021021020998E-2</v>
      </c>
      <c r="EJ6">
        <v>3.0030030030029999E-2</v>
      </c>
      <c r="EK6">
        <v>2.3310023310023301E-2</v>
      </c>
      <c r="EM6">
        <v>3.03738317757009E-2</v>
      </c>
      <c r="EN6">
        <v>-8.7087087087086998E-2</v>
      </c>
      <c r="EP6">
        <v>2.7027027027027001E-2</v>
      </c>
      <c r="EQ6">
        <v>5.4054054054054002E-2</v>
      </c>
      <c r="ES6">
        <v>6.3063063063063002E-2</v>
      </c>
      <c r="ET6">
        <v>-0.117333333333333</v>
      </c>
      <c r="EV6">
        <f t="shared" si="0"/>
        <v>4.4301227058715399E-2</v>
      </c>
      <c r="EW6">
        <f t="shared" si="1"/>
        <v>9.6184955553696742E-4</v>
      </c>
      <c r="EX6">
        <f t="shared" si="2"/>
        <v>7.3027097054410156E-2</v>
      </c>
    </row>
    <row r="7" spans="1:154" x14ac:dyDescent="0.25">
      <c r="B7">
        <v>0.1002331002331</v>
      </c>
      <c r="C7">
        <v>-1.8666666666666599E-2</v>
      </c>
      <c r="E7">
        <v>6.9069069069068997E-2</v>
      </c>
      <c r="F7">
        <v>-4.2042042042041997E-2</v>
      </c>
      <c r="H7">
        <v>4.6620046620046603E-2</v>
      </c>
      <c r="I7">
        <v>7.4666666666666603E-2</v>
      </c>
      <c r="K7">
        <v>6.0060060060059997E-2</v>
      </c>
      <c r="L7">
        <v>-5.1999999999999998E-2</v>
      </c>
      <c r="N7">
        <v>6.0606060606060601E-2</v>
      </c>
      <c r="O7">
        <v>-3.89221556886227E-2</v>
      </c>
      <c r="Q7">
        <v>2.09580838323353E-2</v>
      </c>
      <c r="R7">
        <v>-6.9333333333333302E-2</v>
      </c>
      <c r="T7">
        <v>3.6036036036036001E-2</v>
      </c>
      <c r="U7">
        <v>5.6000000000000001E-2</v>
      </c>
      <c r="W7">
        <v>4.5045045045045001E-2</v>
      </c>
      <c r="X7">
        <v>-5.1282051282051197E-2</v>
      </c>
      <c r="Z7">
        <v>4.8048048048047999E-2</v>
      </c>
      <c r="AA7">
        <v>1.06666666666666E-2</v>
      </c>
      <c r="AC7">
        <v>6.2937062937062901E-2</v>
      </c>
      <c r="AD7">
        <v>-4.2042042042041997E-2</v>
      </c>
      <c r="AF7">
        <v>4.5045045045045001E-2</v>
      </c>
      <c r="AG7">
        <v>7.8078078078077998E-2</v>
      </c>
      <c r="AI7">
        <v>2.9940119760479E-2</v>
      </c>
      <c r="AJ7">
        <v>3.7333333333333302E-2</v>
      </c>
      <c r="AL7">
        <v>-6.4000000000000001E-2</v>
      </c>
      <c r="AM7">
        <v>9.0090090090090003E-3</v>
      </c>
      <c r="AO7">
        <v>4.8000000000000001E-2</v>
      </c>
      <c r="AP7">
        <v>-6.3063063063063002E-2</v>
      </c>
      <c r="AR7">
        <v>2.9333333333333302E-2</v>
      </c>
      <c r="AS7">
        <v>8.7087087087086998E-2</v>
      </c>
      <c r="AU7">
        <v>7.2072072072072002E-2</v>
      </c>
      <c r="AV7">
        <v>9.3457943925233603E-3</v>
      </c>
      <c r="AX7">
        <v>6.6666666666666596E-2</v>
      </c>
      <c r="AY7">
        <v>6.2874251497005901E-2</v>
      </c>
      <c r="BA7">
        <v>3.6036036036036001E-2</v>
      </c>
      <c r="BB7">
        <v>-7.5999999999999998E-2</v>
      </c>
      <c r="BD7">
        <v>5.1401869158878503E-2</v>
      </c>
      <c r="BE7">
        <v>3.4000000000000002E-2</v>
      </c>
      <c r="BG7">
        <v>7.2261072261072201E-2</v>
      </c>
      <c r="BH7">
        <v>-1.6E-2</v>
      </c>
      <c r="BJ7">
        <v>0.10199999999999999</v>
      </c>
      <c r="BK7">
        <v>-5.9880239520958001E-3</v>
      </c>
      <c r="BM7">
        <v>6.5868263473053898E-2</v>
      </c>
      <c r="BN7">
        <v>0</v>
      </c>
      <c r="BP7">
        <v>-8.0000000000000002E-3</v>
      </c>
      <c r="BQ7">
        <v>4.7904191616766401E-2</v>
      </c>
      <c r="BS7">
        <v>7.7844311377245498E-2</v>
      </c>
      <c r="BT7">
        <v>0</v>
      </c>
      <c r="BV7">
        <v>-3.03030303030303E-2</v>
      </c>
      <c r="BW7">
        <v>5.7057057057056999E-2</v>
      </c>
      <c r="BY7">
        <v>3.29341317365269E-2</v>
      </c>
      <c r="BZ7">
        <v>6.4000000000000001E-2</v>
      </c>
      <c r="CB7">
        <v>0.128504672897196</v>
      </c>
      <c r="CC7">
        <v>-2.1021021021020998E-2</v>
      </c>
      <c r="CE7">
        <v>6.0060060060059997E-2</v>
      </c>
      <c r="CF7">
        <v>-6.6066066066066007E-2</v>
      </c>
      <c r="CH7">
        <v>8.0838323353293398E-2</v>
      </c>
      <c r="CI7">
        <v>4.8048048048047999E-2</v>
      </c>
      <c r="CK7">
        <v>5.7057057057056999E-2</v>
      </c>
      <c r="CL7">
        <v>-9.8666666666666597E-2</v>
      </c>
      <c r="CN7">
        <v>9.0090090090090003E-2</v>
      </c>
      <c r="CO7">
        <v>8.1081081081081002E-2</v>
      </c>
      <c r="CQ7">
        <v>5.0666666666666603E-2</v>
      </c>
      <c r="CR7">
        <v>-0.10280373831775701</v>
      </c>
      <c r="CT7">
        <v>1.06666666666666E-2</v>
      </c>
      <c r="CU7">
        <v>6.4000000000000001E-2</v>
      </c>
      <c r="CW7">
        <v>7.7333333333333296E-2</v>
      </c>
      <c r="CX7">
        <v>-6.4000000000000001E-2</v>
      </c>
      <c r="CZ7">
        <v>4.5333333333333302E-2</v>
      </c>
      <c r="DA7">
        <v>9.0090090090090003E-3</v>
      </c>
      <c r="DC7">
        <v>5.8666666666666603E-2</v>
      </c>
      <c r="DD7">
        <v>1.5015015015014999E-2</v>
      </c>
      <c r="DF7">
        <v>-2.6666666666666601E-3</v>
      </c>
      <c r="DG7">
        <v>6.4000000000000001E-2</v>
      </c>
      <c r="DI7">
        <v>3.6036036036036001E-2</v>
      </c>
      <c r="DJ7">
        <v>-9.34579439252336E-2</v>
      </c>
      <c r="DL7">
        <v>5.6000000000000001E-2</v>
      </c>
      <c r="DM7">
        <v>-7.2261072261072201E-2</v>
      </c>
      <c r="DO7">
        <v>3.4666666666666603E-2</v>
      </c>
      <c r="DP7">
        <v>-1.8018018018018001E-2</v>
      </c>
      <c r="DR7">
        <v>1.79640718562874E-2</v>
      </c>
      <c r="DS7">
        <v>-1.06666666666666E-2</v>
      </c>
      <c r="DU7">
        <v>8.7087087087086998E-2</v>
      </c>
      <c r="DV7">
        <v>-0.04</v>
      </c>
      <c r="DX7">
        <v>-3.7333333333333302E-2</v>
      </c>
      <c r="DY7">
        <v>2.4024024024024E-2</v>
      </c>
      <c r="EA7">
        <v>5.6886227544910101E-2</v>
      </c>
      <c r="EB7">
        <v>-2.5641025641025599E-2</v>
      </c>
      <c r="ED7">
        <v>6.4000000000000001E-2</v>
      </c>
      <c r="EE7">
        <v>-6.0606060606060601E-2</v>
      </c>
      <c r="EG7">
        <v>8.4084084084083993E-2</v>
      </c>
      <c r="EH7">
        <v>-0.144144144144144</v>
      </c>
      <c r="EJ7">
        <v>9.90990990990991E-2</v>
      </c>
      <c r="EK7">
        <v>4.5333333333333302E-2</v>
      </c>
      <c r="EM7">
        <v>4.5333333333333302E-2</v>
      </c>
      <c r="EN7">
        <v>-0.10280373831775701</v>
      </c>
      <c r="EP7">
        <v>0</v>
      </c>
      <c r="EQ7">
        <v>7.5075075075075007E-2</v>
      </c>
      <c r="ES7">
        <v>4.67289719626168E-2</v>
      </c>
      <c r="ET7">
        <v>-5.4054054054054002E-2</v>
      </c>
      <c r="EV7">
        <f t="shared" si="0"/>
        <v>4.1748268590905531E-2</v>
      </c>
      <c r="EW7">
        <f t="shared" si="1"/>
        <v>-1.1908070286446315E-3</v>
      </c>
      <c r="EX7">
        <f t="shared" si="2"/>
        <v>7.3027097054410156E-2</v>
      </c>
    </row>
    <row r="8" spans="1:154" x14ac:dyDescent="0.25">
      <c r="B8">
        <v>9.90990990990991E-2</v>
      </c>
      <c r="C8">
        <v>-8.0838323353293398E-2</v>
      </c>
      <c r="E8">
        <v>3.73831775700934E-2</v>
      </c>
      <c r="F8">
        <v>-3.7333333333333302E-2</v>
      </c>
      <c r="H8">
        <v>1.19760479041916E-2</v>
      </c>
      <c r="I8">
        <v>3.0030030030029999E-2</v>
      </c>
      <c r="K8">
        <v>5.4054054054054002E-2</v>
      </c>
      <c r="L8">
        <v>0.15384615384615299</v>
      </c>
      <c r="N8">
        <v>0.114666666666666</v>
      </c>
      <c r="O8">
        <v>3.0030030030029999E-3</v>
      </c>
      <c r="Q8">
        <v>3.2000000000000001E-2</v>
      </c>
      <c r="R8">
        <v>-4.67289719626168E-2</v>
      </c>
      <c r="T8">
        <v>8.3832335329341298E-2</v>
      </c>
      <c r="U8">
        <v>1.4018691588785E-2</v>
      </c>
      <c r="W8">
        <v>3.7296037296037199E-2</v>
      </c>
      <c r="X8">
        <v>5.8000000000000003E-2</v>
      </c>
      <c r="Z8">
        <v>0.104</v>
      </c>
      <c r="AA8">
        <v>-7.2072072072072002E-2</v>
      </c>
      <c r="AC8">
        <v>4.3999999999999997E-2</v>
      </c>
      <c r="AD8">
        <v>-4.1958041958041897E-2</v>
      </c>
      <c r="AF8">
        <v>-1.16666666666666E-2</v>
      </c>
      <c r="AG8">
        <v>7.1856287425149698E-2</v>
      </c>
      <c r="AI8">
        <v>2.8037383177569999E-2</v>
      </c>
      <c r="AJ8">
        <v>3.0030030030029999E-2</v>
      </c>
      <c r="AL8">
        <v>7.3999999999999996E-2</v>
      </c>
      <c r="AM8">
        <v>2.4024024024024E-2</v>
      </c>
      <c r="AO8">
        <v>6.3063063063063002E-2</v>
      </c>
      <c r="AP8">
        <v>-7.8078078078077998E-2</v>
      </c>
      <c r="AR8">
        <v>4.7904191616766401E-2</v>
      </c>
      <c r="AS8">
        <v>4.2042042042041997E-2</v>
      </c>
      <c r="AU8">
        <v>6.6000000000000003E-2</v>
      </c>
      <c r="AV8">
        <v>-6.0060060060059999E-3</v>
      </c>
      <c r="AX8">
        <v>7.7333333333333296E-2</v>
      </c>
      <c r="AY8">
        <v>8.0000000000000002E-3</v>
      </c>
      <c r="BA8">
        <v>5.0666666666666603E-2</v>
      </c>
      <c r="BB8">
        <v>3.6036036036036001E-2</v>
      </c>
      <c r="BD8">
        <v>6.0060060060059997E-2</v>
      </c>
      <c r="BE8">
        <v>-7.0093457943925198E-3</v>
      </c>
      <c r="BG8">
        <v>3.2000000000000001E-2</v>
      </c>
      <c r="BH8">
        <v>0.1002331002331</v>
      </c>
      <c r="BJ8">
        <v>6.4000000000000001E-2</v>
      </c>
      <c r="BK8">
        <v>-1.06666666666666E-2</v>
      </c>
      <c r="BM8">
        <v>6.9333333333333302E-2</v>
      </c>
      <c r="BN8">
        <v>-0.123543123543123</v>
      </c>
      <c r="BP8">
        <v>-7.8078078078077998E-2</v>
      </c>
      <c r="BQ8">
        <v>5.6886227544910101E-2</v>
      </c>
      <c r="BS8">
        <v>6.4000000000000001E-2</v>
      </c>
      <c r="BT8">
        <v>-3.3033033033033003E-2</v>
      </c>
      <c r="BV8">
        <v>6.1333333333333302E-2</v>
      </c>
      <c r="BW8">
        <v>1.06666666666666E-2</v>
      </c>
      <c r="BY8">
        <v>2.1333333333333301E-2</v>
      </c>
      <c r="BZ8">
        <v>0.11111111111111099</v>
      </c>
      <c r="CB8">
        <v>0.15733333333333299</v>
      </c>
      <c r="CC8">
        <v>-1.8018018018018001E-2</v>
      </c>
      <c r="CE8">
        <v>6.1333333333333302E-2</v>
      </c>
      <c r="CF8">
        <v>-7.8078078078077998E-2</v>
      </c>
      <c r="CH8">
        <v>4.1916167664670601E-2</v>
      </c>
      <c r="CI8">
        <v>5.3333333333333302E-2</v>
      </c>
      <c r="CK8">
        <v>5.7057057057056999E-2</v>
      </c>
      <c r="CL8">
        <v>-0.15733333333333299</v>
      </c>
      <c r="CN8">
        <v>-3.3033033033033003E-2</v>
      </c>
      <c r="CO8">
        <v>6.4000000000000001E-2</v>
      </c>
      <c r="CQ8">
        <v>4.5333333333333302E-2</v>
      </c>
      <c r="CR8">
        <v>-0.12266666666666599</v>
      </c>
      <c r="CT8">
        <v>0.154205607476635</v>
      </c>
      <c r="CU8">
        <v>-2.4024024024024E-2</v>
      </c>
      <c r="CW8">
        <v>5.6000000000000001E-2</v>
      </c>
      <c r="CX8">
        <v>-6.7757009345794303E-2</v>
      </c>
      <c r="CZ8">
        <v>6.6666666666666596E-2</v>
      </c>
      <c r="DA8">
        <v>4.2666666666666603E-2</v>
      </c>
      <c r="DC8">
        <v>4.5045045045045001E-2</v>
      </c>
      <c r="DD8">
        <v>6.9333333333333302E-2</v>
      </c>
      <c r="DF8">
        <v>-8.1585081585081501E-2</v>
      </c>
      <c r="DG8">
        <v>6.5268065268065195E-2</v>
      </c>
      <c r="DI8">
        <v>3.4965034965034898E-2</v>
      </c>
      <c r="DJ8">
        <v>9.5794392523364399E-2</v>
      </c>
      <c r="DL8">
        <v>0.13173652694610699</v>
      </c>
      <c r="DM8">
        <v>-6.4000000000000001E-2</v>
      </c>
      <c r="DO8">
        <v>7.2072072072072002E-2</v>
      </c>
      <c r="DP8">
        <v>-1.8666666666666599E-2</v>
      </c>
      <c r="DR8">
        <v>6.6666666666666596E-2</v>
      </c>
      <c r="DS8">
        <v>5.1999999999999998E-2</v>
      </c>
      <c r="DU8">
        <v>6.4000000000000001E-2</v>
      </c>
      <c r="DV8">
        <v>4.4289044289044198E-2</v>
      </c>
      <c r="DX8">
        <v>0.10666666666666599</v>
      </c>
      <c r="DY8">
        <v>0.107226107226107</v>
      </c>
      <c r="EA8">
        <v>6.2E-2</v>
      </c>
      <c r="EB8">
        <v>-7.1999999999999995E-2</v>
      </c>
      <c r="ED8">
        <v>0.23123123123123099</v>
      </c>
      <c r="EE8">
        <v>-5.1401869158878503E-2</v>
      </c>
      <c r="EG8">
        <v>6.0606060606060601E-2</v>
      </c>
      <c r="EH8">
        <v>2.1333333333333301E-2</v>
      </c>
      <c r="EJ8">
        <v>-4.2666666666666603E-2</v>
      </c>
      <c r="EK8">
        <v>7.7333333333333296E-2</v>
      </c>
      <c r="EM8">
        <v>5.0898203592814301E-2</v>
      </c>
      <c r="EN8">
        <v>8.0000000000000002E-3</v>
      </c>
      <c r="EP8">
        <v>1.8666666666666599E-2</v>
      </c>
      <c r="EQ8">
        <v>4.5045045045045001E-2</v>
      </c>
      <c r="ES8">
        <v>6.0060060060059997E-2</v>
      </c>
      <c r="ET8">
        <v>-0.109333333333333</v>
      </c>
      <c r="EV8">
        <f t="shared" si="0"/>
        <v>3.4158129053375549E-2</v>
      </c>
      <c r="EW8">
        <f t="shared" si="1"/>
        <v>2.5235118680586203E-2</v>
      </c>
      <c r="EX8">
        <f t="shared" si="2"/>
        <v>7.3027097054410156E-2</v>
      </c>
    </row>
    <row r="9" spans="1:154" x14ac:dyDescent="0.25">
      <c r="B9">
        <v>0.18918918918918901</v>
      </c>
      <c r="C9">
        <v>-9.8666666666666597E-2</v>
      </c>
      <c r="E9">
        <v>7.2429906542056E-2</v>
      </c>
      <c r="F9">
        <v>0.1</v>
      </c>
      <c r="H9">
        <v>-5.6000000000000001E-2</v>
      </c>
      <c r="I9">
        <v>4.2000000000000003E-2</v>
      </c>
      <c r="K9">
        <v>8.3333333333333301E-2</v>
      </c>
      <c r="L9">
        <v>0.30666666666666598</v>
      </c>
      <c r="N9">
        <v>-1.19760479041916E-2</v>
      </c>
      <c r="O9">
        <v>4.2056074766355103E-2</v>
      </c>
      <c r="Q9">
        <v>4.5333333333333302E-2</v>
      </c>
      <c r="R9">
        <v>0.06</v>
      </c>
      <c r="T9">
        <v>0</v>
      </c>
      <c r="U9">
        <v>4.5333333333333302E-2</v>
      </c>
      <c r="W9">
        <v>-6.0060060060059999E-3</v>
      </c>
      <c r="X9">
        <v>6.6666666666666596E-2</v>
      </c>
      <c r="Z9">
        <v>0.161214953271028</v>
      </c>
      <c r="AA9">
        <v>-1.3333333333333299E-2</v>
      </c>
      <c r="AC9">
        <v>5.3333333333333302E-2</v>
      </c>
      <c r="AD9">
        <v>-3.6036036036036001E-2</v>
      </c>
      <c r="AF9">
        <v>6.0060060060059999E-3</v>
      </c>
      <c r="AG9">
        <v>2.69461077844311E-2</v>
      </c>
      <c r="AI9">
        <v>1.8666666666666599E-2</v>
      </c>
      <c r="AJ9">
        <v>2.10280373831775E-2</v>
      </c>
      <c r="AL9">
        <v>0.12266666666666599</v>
      </c>
      <c r="AM9">
        <v>-4.5045045045045001E-2</v>
      </c>
      <c r="AO9">
        <v>4.8000000000000001E-2</v>
      </c>
      <c r="AP9">
        <v>-6.6666666666666596E-2</v>
      </c>
      <c r="AR9">
        <v>1.6E-2</v>
      </c>
      <c r="AS9">
        <v>4.2666666666666603E-2</v>
      </c>
      <c r="AU9">
        <v>5.9880239520958001E-2</v>
      </c>
      <c r="AV9">
        <v>8.0000000000000002E-3</v>
      </c>
      <c r="AX9">
        <v>-3.03030303030303E-2</v>
      </c>
      <c r="AY9">
        <v>5.4054054054054002E-2</v>
      </c>
      <c r="BA9">
        <v>8.8785046728971903E-2</v>
      </c>
      <c r="BB9">
        <v>-0.108108108108108</v>
      </c>
      <c r="BD9">
        <v>7.8078078078077998E-2</v>
      </c>
      <c r="BE9">
        <v>5.1401869158878503E-2</v>
      </c>
      <c r="BG9">
        <v>8.5106382978723402E-2</v>
      </c>
      <c r="BH9">
        <v>0.12266666666666599</v>
      </c>
      <c r="BJ9">
        <v>0.17523364485981299</v>
      </c>
      <c r="BK9">
        <v>-0.12</v>
      </c>
      <c r="BM9">
        <v>4.8048048048047999E-2</v>
      </c>
      <c r="BN9">
        <v>-6.6666666666666596E-2</v>
      </c>
      <c r="BP9">
        <v>-2.1333333333333301E-2</v>
      </c>
      <c r="BQ9">
        <v>7.2429906542056E-2</v>
      </c>
      <c r="BS9">
        <v>6.8862275449101798E-2</v>
      </c>
      <c r="BT9">
        <v>-2.6666666666666601E-3</v>
      </c>
      <c r="BV9">
        <v>3.29341317365269E-2</v>
      </c>
      <c r="BW9">
        <v>2.1333333333333301E-2</v>
      </c>
      <c r="BY9">
        <v>1.19760479041916E-2</v>
      </c>
      <c r="BZ9">
        <v>9.11214953271028E-2</v>
      </c>
      <c r="CB9">
        <v>9.8666666666666597E-2</v>
      </c>
      <c r="CC9">
        <v>-5.3333333333333297E-3</v>
      </c>
      <c r="CE9">
        <v>5.1282051282051197E-2</v>
      </c>
      <c r="CF9">
        <v>-7.0000000000000007E-2</v>
      </c>
      <c r="CH9">
        <v>1.4018691588785E-2</v>
      </c>
      <c r="CI9">
        <v>5.3333333333333302E-2</v>
      </c>
      <c r="CK9">
        <v>3.7333333333333302E-2</v>
      </c>
      <c r="CL9">
        <v>-4.1958041958041897E-2</v>
      </c>
      <c r="CN9">
        <v>-1.86915887850467E-2</v>
      </c>
      <c r="CO9">
        <v>0.03</v>
      </c>
      <c r="CQ9">
        <v>3.9039039039038999E-2</v>
      </c>
      <c r="CR9">
        <v>-0.12266666666666599</v>
      </c>
      <c r="CT9">
        <v>9.3093093093092993E-2</v>
      </c>
      <c r="CU9">
        <v>5.1282051282051197E-2</v>
      </c>
      <c r="CW9">
        <v>4.7904191616766401E-2</v>
      </c>
      <c r="CX9">
        <v>-6.3063063063063002E-2</v>
      </c>
      <c r="CZ9">
        <v>-1.19760479041916E-2</v>
      </c>
      <c r="DA9">
        <v>5.3613053613053602E-2</v>
      </c>
      <c r="DC9">
        <v>9.6000000000000002E-2</v>
      </c>
      <c r="DD9">
        <v>6.0060060060059999E-3</v>
      </c>
      <c r="DF9">
        <v>-1.6E-2</v>
      </c>
      <c r="DG9">
        <v>6.6066066066066007E-2</v>
      </c>
      <c r="DI9">
        <v>-1.4E-2</v>
      </c>
      <c r="DJ9">
        <v>0.13866666666666599</v>
      </c>
      <c r="DL9">
        <v>0.14933333333333301</v>
      </c>
      <c r="DM9">
        <v>-1.16822429906542E-2</v>
      </c>
      <c r="DO9">
        <v>5.9880239520958001E-2</v>
      </c>
      <c r="DP9">
        <v>-3.6036036036036001E-2</v>
      </c>
      <c r="DR9">
        <v>-9.0909090909090898E-2</v>
      </c>
      <c r="DS9">
        <v>7.8333333333333297E-2</v>
      </c>
      <c r="DU9">
        <v>7.7102803738317696E-2</v>
      </c>
      <c r="DV9">
        <v>-2.33644859813084E-2</v>
      </c>
      <c r="DX9">
        <v>-5.3333333333333302E-2</v>
      </c>
      <c r="DY9">
        <v>3.89221556886227E-2</v>
      </c>
      <c r="EA9">
        <v>5.3333333333333302E-2</v>
      </c>
      <c r="EB9">
        <v>-5.3333333333333297E-3</v>
      </c>
      <c r="ED9">
        <v>0.21</v>
      </c>
      <c r="EE9">
        <v>-0.108108108108108</v>
      </c>
      <c r="EG9">
        <v>7.4666666666666603E-2</v>
      </c>
      <c r="EH9">
        <v>-7.8078078078077998E-2</v>
      </c>
      <c r="EJ9">
        <v>3.2000000000000001E-2</v>
      </c>
      <c r="EK9">
        <v>9.5794392523364399E-2</v>
      </c>
      <c r="EM9">
        <v>9.0666666666666604E-2</v>
      </c>
      <c r="EN9">
        <v>-5.8275058275058203E-2</v>
      </c>
      <c r="EP9">
        <v>-8.7999999999999995E-2</v>
      </c>
      <c r="EQ9">
        <v>3.7296037296037199E-2</v>
      </c>
      <c r="ES9">
        <v>4.8000000000000001E-2</v>
      </c>
      <c r="ET9">
        <v>-2.6666666666666601E-3</v>
      </c>
      <c r="EV9">
        <f t="shared" si="0"/>
        <v>3.6792999446553454E-2</v>
      </c>
      <c r="EW9">
        <f t="shared" si="1"/>
        <v>2.2382972263950456E-2</v>
      </c>
      <c r="EX9">
        <f t="shared" si="2"/>
        <v>7.3027097054410156E-2</v>
      </c>
    </row>
    <row r="10" spans="1:154" x14ac:dyDescent="0.25">
      <c r="B10">
        <v>9.8666666666666597E-2</v>
      </c>
      <c r="C10">
        <v>-0.117333333333333</v>
      </c>
      <c r="E10">
        <v>5.6000000000000001E-2</v>
      </c>
      <c r="F10">
        <v>1.8648018648018599E-2</v>
      </c>
      <c r="H10">
        <v>1.49700598802395E-2</v>
      </c>
      <c r="I10">
        <v>2.1333333333333301E-2</v>
      </c>
      <c r="K10">
        <v>0.113207547169811</v>
      </c>
      <c r="L10">
        <v>0.152542372881355</v>
      </c>
      <c r="N10">
        <v>4.08163265306122E-2</v>
      </c>
      <c r="O10">
        <v>6.75990675990676E-2</v>
      </c>
      <c r="Q10">
        <v>3.4666666666666603E-2</v>
      </c>
      <c r="R10">
        <v>8.16326530612244E-2</v>
      </c>
      <c r="T10">
        <v>2E-3</v>
      </c>
      <c r="U10">
        <v>4.5333333333333302E-2</v>
      </c>
      <c r="W10">
        <v>7.4074074074074001E-2</v>
      </c>
      <c r="X10">
        <v>-5.4545454545454501E-2</v>
      </c>
      <c r="Z10">
        <v>0.15654205607476601</v>
      </c>
      <c r="AA10">
        <v>-6.4000000000000001E-2</v>
      </c>
      <c r="AC10">
        <v>5.4054054054054002E-2</v>
      </c>
      <c r="AD10">
        <v>-4.4910179640718501E-2</v>
      </c>
      <c r="AF10">
        <v>-0.04</v>
      </c>
      <c r="AG10">
        <v>6.4000000000000001E-2</v>
      </c>
      <c r="AI10">
        <v>2.6666666666666599E-2</v>
      </c>
      <c r="AJ10">
        <v>6.2937062937062901E-2</v>
      </c>
      <c r="AL10">
        <v>0.15466666666666601</v>
      </c>
      <c r="AM10">
        <v>-1.6E-2</v>
      </c>
      <c r="AO10">
        <v>6.2874251497005901E-2</v>
      </c>
      <c r="AP10">
        <v>0.11448598130841101</v>
      </c>
      <c r="AR10">
        <v>6.6666666666666596E-2</v>
      </c>
      <c r="AS10">
        <v>6.9333333333333302E-2</v>
      </c>
      <c r="AU10">
        <v>7.4666666666666603E-2</v>
      </c>
      <c r="AV10">
        <v>5.0000000000000001E-3</v>
      </c>
      <c r="AX10">
        <v>-5.3333333333333297E-3</v>
      </c>
      <c r="AY10">
        <v>4.4289044289044198E-2</v>
      </c>
      <c r="BA10">
        <v>5.83333333333333E-2</v>
      </c>
      <c r="BB10">
        <v>-2.1333333333333301E-2</v>
      </c>
      <c r="BD10">
        <v>8.2666666666666597E-2</v>
      </c>
      <c r="BE10">
        <v>8.0000000000000002E-3</v>
      </c>
      <c r="BG10">
        <v>-3.2634032634032598E-2</v>
      </c>
      <c r="BH10">
        <v>2.4E-2</v>
      </c>
      <c r="BJ10">
        <v>0.174174174174174</v>
      </c>
      <c r="BK10">
        <v>-9.6000000000000002E-2</v>
      </c>
      <c r="BM10">
        <v>6.4000000000000001E-2</v>
      </c>
      <c r="BN10">
        <v>-6.9930069930069894E-2</v>
      </c>
      <c r="BP10">
        <v>-2.9333333333333302E-2</v>
      </c>
      <c r="BQ10">
        <v>6.9333333333333302E-2</v>
      </c>
      <c r="BS10">
        <v>4.90654205607476E-2</v>
      </c>
      <c r="BT10">
        <v>8.7999999999999995E-2</v>
      </c>
      <c r="BV10">
        <v>-2.4E-2</v>
      </c>
      <c r="BW10">
        <v>0.06</v>
      </c>
      <c r="BY10">
        <v>1.8666666666666599E-2</v>
      </c>
      <c r="BZ10">
        <v>7.4766355140186896E-2</v>
      </c>
      <c r="CB10">
        <v>9.6000000000000002E-2</v>
      </c>
      <c r="CC10">
        <v>-5.3999999999999999E-2</v>
      </c>
      <c r="CE10">
        <v>5.83333333333333E-2</v>
      </c>
      <c r="CF10">
        <v>-2.6666666666666601E-3</v>
      </c>
      <c r="CH10">
        <v>-1.3986013986013899E-2</v>
      </c>
      <c r="CI10">
        <v>4.2056074766355103E-2</v>
      </c>
      <c r="CK10">
        <v>5.6074766355140103E-2</v>
      </c>
      <c r="CL10">
        <v>3.4666666666666603E-2</v>
      </c>
      <c r="CN10">
        <v>2.6666666666666599E-2</v>
      </c>
      <c r="CO10">
        <v>5.3333333333333302E-2</v>
      </c>
      <c r="CQ10">
        <v>4.6620046620046603E-2</v>
      </c>
      <c r="CR10">
        <v>-0.12266666666666599</v>
      </c>
      <c r="CT10">
        <v>-9.8000000000000004E-2</v>
      </c>
      <c r="CU10">
        <v>5.3333333333333302E-2</v>
      </c>
      <c r="CW10">
        <v>4.2056074766355103E-2</v>
      </c>
      <c r="CX10">
        <v>-4.8000000000000001E-2</v>
      </c>
      <c r="CZ10">
        <v>-7.1999999999999995E-2</v>
      </c>
      <c r="DA10">
        <v>6.0606060606060601E-2</v>
      </c>
      <c r="DC10">
        <v>7.7844311377245498E-2</v>
      </c>
      <c r="DD10">
        <v>0.08</v>
      </c>
      <c r="DF10">
        <v>-0.125748502994011</v>
      </c>
      <c r="DG10">
        <v>4.8000000000000001E-2</v>
      </c>
      <c r="DI10">
        <v>-5.0666666666666603E-2</v>
      </c>
      <c r="DJ10">
        <v>5.8275058275058203E-2</v>
      </c>
      <c r="DL10">
        <v>0.123543123543123</v>
      </c>
      <c r="DM10">
        <v>3.4666666666666603E-2</v>
      </c>
      <c r="DO10">
        <v>6.4000000000000001E-2</v>
      </c>
      <c r="DP10">
        <v>-6.1333333333333302E-2</v>
      </c>
      <c r="DR10">
        <v>-2.4E-2</v>
      </c>
      <c r="DS10">
        <v>6.6066066066066007E-2</v>
      </c>
      <c r="DU10">
        <v>6.9069069069068997E-2</v>
      </c>
      <c r="DV10">
        <v>-6.6000000000000003E-2</v>
      </c>
      <c r="DX10">
        <v>-2.1021021021020998E-2</v>
      </c>
      <c r="DY10">
        <v>6.6066066066066007E-2</v>
      </c>
      <c r="EA10">
        <v>6.6066066066066007E-2</v>
      </c>
      <c r="EB10">
        <v>-0.132867132867132</v>
      </c>
      <c r="ED10">
        <v>0.18933333333333299</v>
      </c>
      <c r="EE10">
        <v>-0.101333333333333</v>
      </c>
      <c r="EG10">
        <v>0.06</v>
      </c>
      <c r="EH10">
        <v>-0.17066666666666599</v>
      </c>
      <c r="EJ10">
        <v>-0.104</v>
      </c>
      <c r="EK10">
        <v>5.7057057057056999E-2</v>
      </c>
      <c r="EM10">
        <v>6.2874251497005901E-2</v>
      </c>
      <c r="EN10">
        <v>-7.1999999999999995E-2</v>
      </c>
      <c r="EP10">
        <v>8.3916083916083906E-2</v>
      </c>
      <c r="EQ10">
        <v>8.0838323353293398E-2</v>
      </c>
      <c r="ES10">
        <v>8.1775700934579407E-2</v>
      </c>
      <c r="ET10">
        <v>2.6666666666666601E-3</v>
      </c>
      <c r="EV10">
        <f t="shared" si="0"/>
        <v>3.7005320557536886E-2</v>
      </c>
      <c r="EW10">
        <f t="shared" si="1"/>
        <v>1.367815236105123E-2</v>
      </c>
      <c r="EX10">
        <f t="shared" si="2"/>
        <v>7.3027097054410156E-2</v>
      </c>
    </row>
    <row r="11" spans="1:154" x14ac:dyDescent="0.25">
      <c r="B11">
        <v>0.33333333333333298</v>
      </c>
      <c r="C11">
        <v>-0.20512820512820501</v>
      </c>
      <c r="E11">
        <v>6.1333333333333302E-2</v>
      </c>
      <c r="F11">
        <v>1.06666666666666E-2</v>
      </c>
      <c r="H11">
        <v>8.6247086247086199E-2</v>
      </c>
      <c r="I11">
        <v>2.57009345794392E-2</v>
      </c>
      <c r="K11">
        <v>4.2042042042041997E-2</v>
      </c>
      <c r="L11">
        <v>6.5573770491803199E-2</v>
      </c>
      <c r="N11">
        <v>5.3333333333333297E-3</v>
      </c>
      <c r="O11">
        <v>3.73831775700934E-2</v>
      </c>
      <c r="Q11">
        <v>0</v>
      </c>
      <c r="R11">
        <v>0.198135198135198</v>
      </c>
      <c r="T11">
        <v>2.09790209790209E-2</v>
      </c>
      <c r="U11">
        <v>3.3033033033033003E-2</v>
      </c>
      <c r="W11">
        <v>-2.9333333333333302E-2</v>
      </c>
      <c r="X11">
        <v>6.6066066066066007E-2</v>
      </c>
      <c r="Z11">
        <v>0.123123123123123</v>
      </c>
      <c r="AA11">
        <v>-4.6728971962616802E-3</v>
      </c>
      <c r="AC11">
        <v>0.06</v>
      </c>
      <c r="AD11">
        <v>-0.01</v>
      </c>
      <c r="AF11">
        <v>-0.109333333333333</v>
      </c>
      <c r="AG11">
        <v>3.7333333333333302E-2</v>
      </c>
      <c r="AI11">
        <v>2.8000000000000001E-2</v>
      </c>
      <c r="AJ11">
        <v>-5.6000000000000001E-2</v>
      </c>
      <c r="AL11">
        <v>7.9439252336448593E-2</v>
      </c>
      <c r="AM11">
        <v>-5.3333333333333302E-2</v>
      </c>
      <c r="AO11">
        <v>-2.6666666666666599E-2</v>
      </c>
      <c r="AP11">
        <v>0.170560747663551</v>
      </c>
      <c r="AR11">
        <v>2.7972027972027899E-2</v>
      </c>
      <c r="AS11">
        <v>0</v>
      </c>
      <c r="AU11">
        <v>5.1282051282051197E-2</v>
      </c>
      <c r="AV11">
        <v>2.4E-2</v>
      </c>
      <c r="AX11">
        <v>2.5641025641025599E-2</v>
      </c>
      <c r="AY11">
        <v>9.90990990990991E-2</v>
      </c>
      <c r="BA11">
        <v>5.8666666666666603E-2</v>
      </c>
      <c r="BB11">
        <v>-2.57009345794392E-2</v>
      </c>
      <c r="BD11">
        <v>0.101333333333333</v>
      </c>
      <c r="BE11">
        <v>6.8000000000000005E-2</v>
      </c>
      <c r="BG11">
        <v>2.7972027972027899E-2</v>
      </c>
      <c r="BH11">
        <v>2.5641025641025599E-2</v>
      </c>
      <c r="BJ11">
        <v>0.188811188811188</v>
      </c>
      <c r="BK11">
        <v>-0.08</v>
      </c>
      <c r="BM11">
        <v>6.4000000000000001E-2</v>
      </c>
      <c r="BN11">
        <v>-3.9039039039038999E-2</v>
      </c>
      <c r="BP11">
        <v>-5.8411214953271E-2</v>
      </c>
      <c r="BQ11">
        <v>5.8411214953271E-2</v>
      </c>
      <c r="BS11">
        <v>4.7904191616766401E-2</v>
      </c>
      <c r="BT11">
        <v>0.109557109557109</v>
      </c>
      <c r="BV11">
        <v>-3.0030030030029999E-2</v>
      </c>
      <c r="BW11">
        <v>7.7333333333333296E-2</v>
      </c>
      <c r="BY11">
        <v>-1.06666666666666E-2</v>
      </c>
      <c r="BZ11">
        <v>3.7296037296037199E-2</v>
      </c>
      <c r="CB11">
        <v>4.8048048048047999E-2</v>
      </c>
      <c r="CC11">
        <v>5.4054054054054002E-2</v>
      </c>
      <c r="CE11">
        <v>6.9333333333333302E-2</v>
      </c>
      <c r="CF11">
        <v>-4.5045045045045001E-2</v>
      </c>
      <c r="CH11">
        <v>5.8666666666666603E-2</v>
      </c>
      <c r="CI11">
        <v>6.3084112149532703E-2</v>
      </c>
      <c r="CK11">
        <v>5.7057057057056999E-2</v>
      </c>
      <c r="CL11">
        <v>5.8000000000000003E-2</v>
      </c>
      <c r="CN11">
        <v>-8.1585081585081501E-2</v>
      </c>
      <c r="CO11">
        <v>7.2429906542056E-2</v>
      </c>
      <c r="CQ11">
        <v>6.6666666666666596E-2</v>
      </c>
      <c r="CR11">
        <v>-0.10199999999999999</v>
      </c>
      <c r="CT11">
        <v>-0.09</v>
      </c>
      <c r="CU11">
        <v>5.4054054054054002E-2</v>
      </c>
      <c r="CW11">
        <v>6.3084112149532703E-2</v>
      </c>
      <c r="CX11">
        <v>-1.7999999999999999E-2</v>
      </c>
      <c r="CZ11">
        <v>4.8000000000000001E-2</v>
      </c>
      <c r="DA11">
        <v>8.8578088578088507E-2</v>
      </c>
      <c r="DC11">
        <v>-1.3986013986013899E-2</v>
      </c>
      <c r="DD11">
        <v>-1.8666666666666599E-2</v>
      </c>
      <c r="DF11">
        <v>4.8000000000000001E-2</v>
      </c>
      <c r="DG11">
        <v>7.2072072072072002E-2</v>
      </c>
      <c r="DI11">
        <v>8.9820359281437105E-3</v>
      </c>
      <c r="DJ11">
        <v>-5.0898203592814301E-2</v>
      </c>
      <c r="DL11">
        <v>3.9215686274509803E-2</v>
      </c>
      <c r="DM11">
        <v>7.5075075075075007E-2</v>
      </c>
      <c r="DO11">
        <v>5.0666666666666603E-2</v>
      </c>
      <c r="DP11">
        <v>-0.116550116550116</v>
      </c>
      <c r="DR11">
        <v>-2.7972027972027899E-2</v>
      </c>
      <c r="DS11">
        <v>6.2E-2</v>
      </c>
      <c r="DU11">
        <v>6.6000000000000003E-2</v>
      </c>
      <c r="DV11">
        <v>-0.12266666666666599</v>
      </c>
      <c r="DX11">
        <v>-7.7333333333333296E-2</v>
      </c>
      <c r="DY11">
        <v>4.5333333333333302E-2</v>
      </c>
      <c r="EA11">
        <v>2.5641025641025599E-2</v>
      </c>
      <c r="EB11">
        <v>-5.3333333333333302E-2</v>
      </c>
      <c r="ED11">
        <v>0.193925233644859</v>
      </c>
      <c r="EE11">
        <v>-7.1999999999999995E-2</v>
      </c>
      <c r="EG11">
        <v>6.6666666666666596E-2</v>
      </c>
      <c r="EH11">
        <v>-1.7333333333333301E-2</v>
      </c>
      <c r="EJ11">
        <v>1.7999999999999999E-2</v>
      </c>
      <c r="EK11">
        <v>7.4666666666666603E-2</v>
      </c>
      <c r="EM11">
        <v>6.07476635514018E-2</v>
      </c>
      <c r="EN11">
        <v>-8.4084084084083993E-2</v>
      </c>
      <c r="EP11">
        <v>-3.2000000000000001E-2</v>
      </c>
      <c r="EQ11">
        <v>5.8666666666666603E-2</v>
      </c>
      <c r="ES11">
        <v>5.6000000000000001E-2</v>
      </c>
      <c r="ET11">
        <v>-7.4766355140186896E-2</v>
      </c>
      <c r="EV11">
        <f t="shared" si="0"/>
        <v>3.3851331587122037E-2</v>
      </c>
      <c r="EW11">
        <f t="shared" si="1"/>
        <v>1.7416323640473189E-2</v>
      </c>
      <c r="EX11">
        <f t="shared" si="2"/>
        <v>7.3027097054410156E-2</v>
      </c>
    </row>
    <row r="12" spans="1:154" x14ac:dyDescent="0.25">
      <c r="B12">
        <v>0.26168224299065401</v>
      </c>
      <c r="C12">
        <v>-0.16</v>
      </c>
      <c r="E12">
        <v>6.4000000000000001E-2</v>
      </c>
      <c r="F12">
        <v>-9.0666666666666604E-2</v>
      </c>
      <c r="H12">
        <v>-4.2666666666666603E-2</v>
      </c>
      <c r="I12">
        <v>4.5333333333333302E-2</v>
      </c>
      <c r="K12">
        <v>7.9365079365079305E-2</v>
      </c>
      <c r="L12">
        <v>-3.89221556886227E-2</v>
      </c>
      <c r="N12">
        <v>-0.17307692307692299</v>
      </c>
      <c r="O12">
        <v>1.6E-2</v>
      </c>
      <c r="Q12">
        <v>-3.03738317757009E-2</v>
      </c>
      <c r="R12">
        <v>0.30239520958083799</v>
      </c>
      <c r="T12">
        <v>5.0666666666666603E-2</v>
      </c>
      <c r="U12">
        <v>5.83333333333333E-2</v>
      </c>
      <c r="W12">
        <v>-8.8785046728971903E-2</v>
      </c>
      <c r="X12">
        <v>9.6000000000000002E-2</v>
      </c>
      <c r="Z12">
        <v>6.6666666666666596E-2</v>
      </c>
      <c r="AA12">
        <v>-3.2634032634032598E-2</v>
      </c>
      <c r="AC12">
        <v>6.3063063063063002E-2</v>
      </c>
      <c r="AD12">
        <v>5.7692307692307598E-2</v>
      </c>
      <c r="AF12">
        <v>2.6666666666666601E-3</v>
      </c>
      <c r="AG12">
        <v>2.4E-2</v>
      </c>
      <c r="AI12">
        <v>6.6666666666666596E-2</v>
      </c>
      <c r="AJ12">
        <v>-0.13400000000000001</v>
      </c>
      <c r="AL12">
        <v>0.17948717948717899</v>
      </c>
      <c r="AM12">
        <v>-9.3240093240093205E-2</v>
      </c>
      <c r="AO12">
        <v>2.5641025641025599E-2</v>
      </c>
      <c r="AP12">
        <v>0.128</v>
      </c>
      <c r="AR12">
        <v>-4.8000000000000001E-2</v>
      </c>
      <c r="AS12">
        <v>5.5944055944055902E-2</v>
      </c>
      <c r="AU12">
        <v>-1.06666666666666E-2</v>
      </c>
      <c r="AV12">
        <v>0.08</v>
      </c>
      <c r="AX12">
        <v>6.9333333333333302E-2</v>
      </c>
      <c r="AY12">
        <v>5.1401869158878503E-2</v>
      </c>
      <c r="BA12">
        <v>5.8666666666666603E-2</v>
      </c>
      <c r="BB12">
        <v>-0.12</v>
      </c>
      <c r="BD12">
        <v>6.2937062937062901E-2</v>
      </c>
      <c r="BE12">
        <v>-6.0060060060059999E-3</v>
      </c>
      <c r="BG12">
        <v>4.7904191616766401E-2</v>
      </c>
      <c r="BH12">
        <v>7.3999999999999996E-2</v>
      </c>
      <c r="BJ12">
        <v>0.48076923076923</v>
      </c>
      <c r="BK12">
        <v>-0.51733333333333298</v>
      </c>
      <c r="BM12">
        <v>7.2261072261072201E-2</v>
      </c>
      <c r="BN12">
        <v>-3.9719626168224297E-2</v>
      </c>
      <c r="BP12">
        <v>5.6000000000000001E-2</v>
      </c>
      <c r="BQ12">
        <v>1.6317016317016299E-2</v>
      </c>
      <c r="BS12">
        <v>3.4666666666666603E-2</v>
      </c>
      <c r="BT12">
        <v>3.2000000000000001E-2</v>
      </c>
      <c r="BV12">
        <v>1.6317016317016299E-2</v>
      </c>
      <c r="BW12">
        <v>6.7757009345794303E-2</v>
      </c>
      <c r="BY12">
        <v>8.0000000000000002E-3</v>
      </c>
      <c r="BZ12">
        <v>0</v>
      </c>
      <c r="CB12">
        <v>-2.4E-2</v>
      </c>
      <c r="CC12">
        <v>5.6666666666666601E-2</v>
      </c>
      <c r="CE12">
        <v>9.6000000000000002E-2</v>
      </c>
      <c r="CF12">
        <v>-0.116550116550116</v>
      </c>
      <c r="CH12">
        <v>-1.5015015015014999E-2</v>
      </c>
      <c r="CI12">
        <v>3.7333333333333302E-2</v>
      </c>
      <c r="CK12">
        <v>7.69230769230769E-2</v>
      </c>
      <c r="CL12">
        <v>0.13600000000000001</v>
      </c>
      <c r="CN12">
        <v>0.02</v>
      </c>
      <c r="CO12">
        <v>6.07476635514018E-2</v>
      </c>
      <c r="CQ12">
        <v>4.1958041958041897E-2</v>
      </c>
      <c r="CR12">
        <v>0.20499999999999999</v>
      </c>
      <c r="CT12">
        <v>-0.14933333333333301</v>
      </c>
      <c r="CU12">
        <v>3.7735849056603703E-2</v>
      </c>
      <c r="CW12">
        <v>5.3333333333333302E-2</v>
      </c>
      <c r="CX12">
        <v>0.09</v>
      </c>
      <c r="CZ12">
        <v>-8.7999999999999995E-2</v>
      </c>
      <c r="DA12">
        <v>4.5333333333333302E-2</v>
      </c>
      <c r="DC12">
        <v>9.1999999999999998E-2</v>
      </c>
      <c r="DD12">
        <v>2.9940119760479E-3</v>
      </c>
      <c r="DF12">
        <v>5.5944055944055902E-2</v>
      </c>
      <c r="DG12">
        <v>4.4999999999999998E-2</v>
      </c>
      <c r="DI12">
        <v>4.2666666666666603E-2</v>
      </c>
      <c r="DJ12">
        <v>0.19600000000000001</v>
      </c>
      <c r="DL12">
        <v>-9.8000000000000004E-2</v>
      </c>
      <c r="DM12">
        <v>6.07476635514018E-2</v>
      </c>
      <c r="DO12">
        <v>4.67289719626168E-2</v>
      </c>
      <c r="DP12">
        <v>-7.00934579439252E-2</v>
      </c>
      <c r="DR12">
        <v>-3.9039039039038999E-2</v>
      </c>
      <c r="DS12">
        <v>9.8000000000000004E-2</v>
      </c>
      <c r="DU12">
        <v>7.1666666666666601E-2</v>
      </c>
      <c r="DV12">
        <v>-5.7057057057056999E-2</v>
      </c>
      <c r="DX12">
        <v>-1.2E-2</v>
      </c>
      <c r="DY12">
        <v>5.3999999999999999E-2</v>
      </c>
      <c r="EA12">
        <v>0.06</v>
      </c>
      <c r="EB12">
        <v>-8.7087087087086998E-2</v>
      </c>
      <c r="ED12">
        <v>0.25874125874125797</v>
      </c>
      <c r="EE12">
        <v>-0.18933333333333299</v>
      </c>
      <c r="EG12">
        <v>6.1333333333333302E-2</v>
      </c>
      <c r="EH12">
        <v>2.09580838323353E-2</v>
      </c>
      <c r="EJ12">
        <v>-3.2634032634032598E-2</v>
      </c>
      <c r="EK12">
        <v>6.5268065268065195E-2</v>
      </c>
      <c r="EM12">
        <v>6.0060060060059997E-2</v>
      </c>
      <c r="EN12">
        <v>-1.3333333333333299E-2</v>
      </c>
      <c r="EP12">
        <v>2.3310023310023301E-2</v>
      </c>
      <c r="EQ12">
        <v>0.06</v>
      </c>
      <c r="ES12">
        <v>6.0606060606060601E-2</v>
      </c>
      <c r="ET12">
        <v>-1.16550116550116E-2</v>
      </c>
      <c r="EV12">
        <f t="shared" si="0"/>
        <v>2.2221149838638848E-2</v>
      </c>
      <c r="EW12">
        <f t="shared" si="1"/>
        <v>3.049422989992577E-2</v>
      </c>
      <c r="EX12">
        <f t="shared" si="2"/>
        <v>7.3027097054410156E-2</v>
      </c>
    </row>
    <row r="13" spans="1:154" x14ac:dyDescent="0.25">
      <c r="B13">
        <v>0.1002331002331</v>
      </c>
      <c r="C13">
        <v>3.2258064516128997E-2</v>
      </c>
      <c r="E13">
        <v>4.33333333333333E-2</v>
      </c>
      <c r="F13">
        <v>4.8951048951048903E-2</v>
      </c>
      <c r="H13">
        <v>-1.3333333333333299E-2</v>
      </c>
      <c r="I13">
        <v>4.6620046620046603E-2</v>
      </c>
      <c r="K13">
        <v>5.6000000000000001E-2</v>
      </c>
      <c r="L13">
        <v>-8.5333333333333303E-2</v>
      </c>
      <c r="N13">
        <v>0</v>
      </c>
      <c r="O13">
        <v>6.9333333333333302E-2</v>
      </c>
      <c r="Q13">
        <v>-0.16600000000000001</v>
      </c>
      <c r="R13">
        <v>6.3063063063063002E-2</v>
      </c>
      <c r="T13">
        <v>-0.17333333333333301</v>
      </c>
      <c r="U13">
        <v>0.12</v>
      </c>
      <c r="W13">
        <v>-2E-3</v>
      </c>
      <c r="X13">
        <v>0.18666666666666601</v>
      </c>
      <c r="Z13">
        <v>3.2634032634032598E-2</v>
      </c>
      <c r="AA13">
        <v>-4.6728971962616802E-3</v>
      </c>
      <c r="AC13">
        <v>3.4666666666666603E-2</v>
      </c>
      <c r="AD13">
        <v>9.0666666666666604E-2</v>
      </c>
      <c r="AF13">
        <v>-0.12121212121212099</v>
      </c>
      <c r="AG13">
        <v>7.0999999999999994E-2</v>
      </c>
      <c r="AI13">
        <v>0.04</v>
      </c>
      <c r="AJ13">
        <v>3.9719626168224297E-2</v>
      </c>
      <c r="AL13">
        <v>0.123543123543123</v>
      </c>
      <c r="AM13">
        <v>-0.13400000000000001</v>
      </c>
      <c r="AO13">
        <v>3.7333333333333302E-2</v>
      </c>
      <c r="AP13">
        <v>-2.4E-2</v>
      </c>
      <c r="AR13">
        <v>2.6666666666666601E-3</v>
      </c>
      <c r="AS13">
        <v>8.2000000000000003E-2</v>
      </c>
      <c r="AU13">
        <v>1.8666666666666599E-2</v>
      </c>
      <c r="AV13">
        <v>0.123543123543123</v>
      </c>
      <c r="AX13">
        <v>-5.0666666666666603E-2</v>
      </c>
      <c r="AY13">
        <v>2.1999999999999999E-2</v>
      </c>
      <c r="BA13">
        <v>8.8578088578088507E-2</v>
      </c>
      <c r="BB13">
        <v>-3.5714285714285698E-2</v>
      </c>
      <c r="BD13">
        <v>3.7333333333333302E-2</v>
      </c>
      <c r="BE13">
        <v>-4.6666666666666599E-2</v>
      </c>
      <c r="BG13">
        <v>4.5999999999999999E-2</v>
      </c>
      <c r="BH13">
        <v>-2.94117647058823E-2</v>
      </c>
      <c r="BJ13">
        <v>0.56287425149700598</v>
      </c>
      <c r="BK13">
        <v>-0.477855477855477</v>
      </c>
      <c r="BM13">
        <v>5.6000000000000001E-2</v>
      </c>
      <c r="BN13">
        <v>2.6666666666666599E-2</v>
      </c>
      <c r="BP13">
        <v>-4.5333333333333302E-2</v>
      </c>
      <c r="BQ13">
        <v>5.8275058275058203E-2</v>
      </c>
      <c r="BS13">
        <v>7.4666666666666603E-2</v>
      </c>
      <c r="BT13">
        <v>-1.3333333333333299E-2</v>
      </c>
      <c r="BV13">
        <v>-0.109333333333333</v>
      </c>
      <c r="BW13">
        <v>6.6666666666666596E-2</v>
      </c>
      <c r="BY13">
        <v>1.6666666666666601E-2</v>
      </c>
      <c r="BZ13">
        <v>0.109333333333333</v>
      </c>
      <c r="CB13">
        <v>0</v>
      </c>
      <c r="CC13">
        <v>4.8951048951048903E-2</v>
      </c>
      <c r="CE13">
        <v>5.8666666666666603E-2</v>
      </c>
      <c r="CF13">
        <v>-0.116822429906542</v>
      </c>
      <c r="CH13">
        <v>-8.4000000000000005E-2</v>
      </c>
      <c r="CI13">
        <v>6.8000000000000005E-2</v>
      </c>
      <c r="CK13">
        <v>2.10280373831775E-2</v>
      </c>
      <c r="CL13">
        <v>0.21199999999999999</v>
      </c>
      <c r="CN13">
        <v>-7.2072072072072002E-2</v>
      </c>
      <c r="CO13">
        <v>4.5333333333333302E-2</v>
      </c>
      <c r="CQ13">
        <v>-0.14219114219114201</v>
      </c>
      <c r="CR13">
        <v>0.23543123543123501</v>
      </c>
      <c r="CT13">
        <v>8.4112149532710206E-2</v>
      </c>
      <c r="CU13">
        <v>4.90654205607476E-2</v>
      </c>
      <c r="CW13">
        <v>5.8275058275058203E-2</v>
      </c>
      <c r="CX13">
        <v>3.2000000000000001E-2</v>
      </c>
      <c r="CZ13">
        <v>-7.2261072261072201E-2</v>
      </c>
      <c r="DA13">
        <v>4.8000000000000001E-2</v>
      </c>
      <c r="DC13">
        <v>7.4592074592074495E-2</v>
      </c>
      <c r="DD13">
        <v>-4.2000000000000003E-2</v>
      </c>
      <c r="DF13">
        <v>-0.04</v>
      </c>
      <c r="DG13">
        <v>5.0666666666666603E-2</v>
      </c>
      <c r="DI13">
        <v>-0.14133333333333301</v>
      </c>
      <c r="DJ13">
        <v>0.25066666666666598</v>
      </c>
      <c r="DL13">
        <v>-0.16393442622950799</v>
      </c>
      <c r="DM13">
        <v>4.1666666666666602E-2</v>
      </c>
      <c r="DO13">
        <v>5.5944055944055902E-2</v>
      </c>
      <c r="DP13">
        <v>-3.2000000000000001E-2</v>
      </c>
      <c r="DR13">
        <v>-2.9333333333333302E-2</v>
      </c>
      <c r="DS13">
        <v>6.6666666666666596E-2</v>
      </c>
      <c r="DU13">
        <v>7.0000000000000007E-2</v>
      </c>
      <c r="DV13">
        <v>-9.0666666666666604E-2</v>
      </c>
      <c r="DX13">
        <v>-3.03738317757009E-2</v>
      </c>
      <c r="DY13">
        <v>7.69230769230769E-2</v>
      </c>
      <c r="EA13">
        <v>5.6000000000000001E-2</v>
      </c>
      <c r="EB13">
        <v>-8.6247086247086199E-2</v>
      </c>
      <c r="ED13">
        <v>0.17990654205607401</v>
      </c>
      <c r="EE13">
        <v>-0.23776223776223701</v>
      </c>
      <c r="EG13">
        <v>7.4766355140186896E-2</v>
      </c>
      <c r="EH13">
        <v>-9.8130841121495296E-2</v>
      </c>
      <c r="EJ13">
        <v>-8.5333333333333303E-2</v>
      </c>
      <c r="EK13">
        <v>6.2874251497005901E-2</v>
      </c>
      <c r="EM13">
        <v>6.07476635514018E-2</v>
      </c>
      <c r="EN13">
        <v>-5.8275058275058203E-2</v>
      </c>
      <c r="EP13">
        <v>5.8411214953271E-2</v>
      </c>
      <c r="EQ13">
        <v>0.04</v>
      </c>
      <c r="ES13">
        <v>8.3832335329341298E-2</v>
      </c>
      <c r="ET13">
        <v>7.1999999999999995E-2</v>
      </c>
      <c r="EV13">
        <f t="shared" si="0"/>
        <v>1.8791644289294265E-2</v>
      </c>
      <c r="EW13">
        <f t="shared" si="1"/>
        <v>1.7399350441703727E-2</v>
      </c>
      <c r="EX13">
        <f t="shared" si="2"/>
        <v>7.3027097054410156E-2</v>
      </c>
    </row>
    <row r="14" spans="1:154" x14ac:dyDescent="0.25">
      <c r="B14">
        <v>-2.77777777777777E-2</v>
      </c>
      <c r="C14">
        <v>0.112</v>
      </c>
      <c r="E14">
        <v>6.6000000000000003E-2</v>
      </c>
      <c r="F14">
        <v>3.2000000000000001E-2</v>
      </c>
      <c r="H14">
        <v>-8.0000000000000002E-3</v>
      </c>
      <c r="I14">
        <v>3.7296037296037199E-2</v>
      </c>
      <c r="K14">
        <v>3.9719626168224297E-2</v>
      </c>
      <c r="L14">
        <v>-0.19859813084112099</v>
      </c>
      <c r="N14">
        <v>-0.171875</v>
      </c>
      <c r="O14">
        <v>1.4999999999999999E-2</v>
      </c>
      <c r="Q14">
        <v>0.1002331002331</v>
      </c>
      <c r="R14">
        <v>-0.18933333333333299</v>
      </c>
      <c r="T14">
        <v>5.0666666666666603E-2</v>
      </c>
      <c r="U14">
        <v>7.9254079254079193E-2</v>
      </c>
      <c r="W14">
        <v>-0.13066666666666599</v>
      </c>
      <c r="X14">
        <v>0.20833333333333301</v>
      </c>
      <c r="Z14">
        <v>0.13</v>
      </c>
      <c r="AA14">
        <v>0.03</v>
      </c>
      <c r="AC14">
        <v>9.5238095238095205E-2</v>
      </c>
      <c r="AD14">
        <v>9.11214953271028E-2</v>
      </c>
      <c r="AF14">
        <v>-0.128205128205128</v>
      </c>
      <c r="AG14">
        <v>5.1999999999999998E-2</v>
      </c>
      <c r="AI14">
        <v>7.69230769230769E-2</v>
      </c>
      <c r="AJ14">
        <v>-0.15466666666666601</v>
      </c>
      <c r="AL14">
        <v>0.41</v>
      </c>
      <c r="AM14">
        <v>-0.36799999999999999</v>
      </c>
      <c r="AO14">
        <v>3.2710280373831703E-2</v>
      </c>
      <c r="AP14">
        <v>-5.8275058275058203E-2</v>
      </c>
      <c r="AR14">
        <v>-7.1999999999999995E-2</v>
      </c>
      <c r="AS14">
        <v>5.3333333333333302E-2</v>
      </c>
      <c r="AU14">
        <v>-4.8951048951048903E-2</v>
      </c>
      <c r="AV14">
        <v>0.16800000000000001</v>
      </c>
      <c r="AX14">
        <v>-3.2634032634032598E-2</v>
      </c>
      <c r="AY14">
        <v>3.2710280373831703E-2</v>
      </c>
      <c r="BA14">
        <v>6.25E-2</v>
      </c>
      <c r="BB14">
        <v>-0.104</v>
      </c>
      <c r="BD14">
        <v>0.162162162162162</v>
      </c>
      <c r="BE14">
        <v>-5.7333333333333299E-2</v>
      </c>
      <c r="BG14">
        <v>4.5333333333333302E-2</v>
      </c>
      <c r="BH14">
        <v>-7.00934579439252E-2</v>
      </c>
      <c r="BJ14">
        <v>0.53600000000000003</v>
      </c>
      <c r="BK14">
        <v>-0.45967741935483802</v>
      </c>
      <c r="BM14">
        <v>4.3999999999999997E-2</v>
      </c>
      <c r="BN14">
        <v>0</v>
      </c>
      <c r="BP14">
        <v>8.7999999999999995E-2</v>
      </c>
      <c r="BQ14">
        <v>-4.8000000000000001E-2</v>
      </c>
      <c r="BS14">
        <v>6.5420560747663503E-2</v>
      </c>
      <c r="BT14">
        <v>-4.90654205607476E-2</v>
      </c>
      <c r="BV14">
        <v>-0.128504672897196</v>
      </c>
      <c r="BW14">
        <v>6.8000000000000005E-2</v>
      </c>
      <c r="BY14">
        <v>-3.50467289719626E-2</v>
      </c>
      <c r="BZ14">
        <v>5.3613053613053602E-2</v>
      </c>
      <c r="CB14">
        <v>-4.8951048951048903E-2</v>
      </c>
      <c r="CC14">
        <v>3.4666666666666603E-2</v>
      </c>
      <c r="CE14">
        <v>3.2634032634032598E-2</v>
      </c>
      <c r="CF14">
        <v>1.06666666666666E-2</v>
      </c>
      <c r="CH14">
        <v>8.8578088578088507E-2</v>
      </c>
      <c r="CI14">
        <v>3.2634032634032598E-2</v>
      </c>
      <c r="CK14">
        <v>-1.4E-2</v>
      </c>
      <c r="CL14">
        <v>-3.2258064516128997E-2</v>
      </c>
      <c r="CN14">
        <v>2.8000000000000001E-2</v>
      </c>
      <c r="CO14">
        <v>1.8648018648018599E-2</v>
      </c>
      <c r="CQ14">
        <v>-0.14199999999999999</v>
      </c>
      <c r="CR14">
        <v>0.24590163934426201</v>
      </c>
      <c r="CT14">
        <v>2.6666666666666601E-3</v>
      </c>
      <c r="CU14">
        <v>7.3999999999999996E-2</v>
      </c>
      <c r="CW14">
        <v>9.5238095238095205E-2</v>
      </c>
      <c r="CX14">
        <v>5.83333333333333E-2</v>
      </c>
      <c r="CZ14">
        <v>8.8785046728971903E-2</v>
      </c>
      <c r="DA14">
        <v>-5.3333333333333302E-2</v>
      </c>
      <c r="DC14">
        <v>8.8578088578088507E-2</v>
      </c>
      <c r="DD14">
        <v>-0.11</v>
      </c>
      <c r="DF14">
        <v>5.3613053613053602E-2</v>
      </c>
      <c r="DG14">
        <v>6.3084112149532703E-2</v>
      </c>
      <c r="DI14">
        <v>-0.193925233644859</v>
      </c>
      <c r="DJ14">
        <v>0.27200000000000002</v>
      </c>
      <c r="DL14">
        <v>1.3333333333333299E-2</v>
      </c>
      <c r="DM14">
        <v>7.69230769230769E-2</v>
      </c>
      <c r="DO14">
        <v>1.8648018648018599E-2</v>
      </c>
      <c r="DP14">
        <v>4.6620046620046603E-3</v>
      </c>
      <c r="DR14">
        <v>-1.3333333333333299E-2</v>
      </c>
      <c r="DS14">
        <v>3.5999999999999997E-2</v>
      </c>
      <c r="DU14">
        <v>4.6620046620046603E-2</v>
      </c>
      <c r="DV14">
        <v>9.73333333333333E-2</v>
      </c>
      <c r="DX14">
        <v>9.0909090909090898E-2</v>
      </c>
      <c r="DY14">
        <v>8.5999999999999993E-2</v>
      </c>
      <c r="EA14">
        <v>6.1333333333333302E-2</v>
      </c>
      <c r="EB14">
        <v>5.1282051282051197E-2</v>
      </c>
      <c r="ED14">
        <v>0.44</v>
      </c>
      <c r="EE14">
        <v>-0.329439252336448</v>
      </c>
      <c r="EG14">
        <v>5.1282051282051197E-2</v>
      </c>
      <c r="EH14">
        <v>-1.06666666666666E-2</v>
      </c>
      <c r="EJ14">
        <v>-8.2000000000000003E-2</v>
      </c>
      <c r="EK14">
        <v>7.4592074592074495E-2</v>
      </c>
      <c r="EM14">
        <v>6.4000000000000001E-2</v>
      </c>
      <c r="EN14">
        <v>3.5999999999999997E-2</v>
      </c>
      <c r="EP14">
        <v>3.4666666666666603E-2</v>
      </c>
      <c r="EQ14">
        <v>0.06</v>
      </c>
      <c r="ES14">
        <v>6.8333333333333302E-2</v>
      </c>
      <c r="ET14">
        <v>-6.07476635514018E-2</v>
      </c>
      <c r="EV14">
        <f t="shared" si="0"/>
        <v>6.2102753592503702E-3</v>
      </c>
      <c r="EW14">
        <f t="shared" si="1"/>
        <v>3.5912844601325516E-2</v>
      </c>
      <c r="EX14">
        <f t="shared" si="2"/>
        <v>7.3027097054410156E-2</v>
      </c>
    </row>
    <row r="15" spans="1:154" x14ac:dyDescent="0.25">
      <c r="B15">
        <v>-2.3529411764705799E-2</v>
      </c>
      <c r="C15">
        <v>6.75990675990676E-2</v>
      </c>
      <c r="E15">
        <v>6.8333333333333302E-2</v>
      </c>
      <c r="F15">
        <v>2.4E-2</v>
      </c>
      <c r="H15">
        <v>0.248</v>
      </c>
      <c r="I15">
        <v>-0.15654205607476601</v>
      </c>
      <c r="K15">
        <v>0.14133333333333301</v>
      </c>
      <c r="L15">
        <v>-3.7333333333333302E-2</v>
      </c>
      <c r="N15">
        <v>-0.11111111111111099</v>
      </c>
      <c r="O15">
        <v>2.94117647058823E-2</v>
      </c>
      <c r="Q15">
        <v>0</v>
      </c>
      <c r="R15">
        <v>-0.17199999999999999</v>
      </c>
      <c r="T15">
        <v>9.1999999999999998E-2</v>
      </c>
      <c r="U15">
        <v>-4.67289719626168E-2</v>
      </c>
      <c r="W15">
        <v>-6.9930069930069904E-3</v>
      </c>
      <c r="X15">
        <v>8.6448598130841103E-2</v>
      </c>
      <c r="Z15">
        <v>0.23076923076923</v>
      </c>
      <c r="AA15">
        <v>6.6000000000000003E-2</v>
      </c>
      <c r="AC15">
        <v>2.6666666666666599E-2</v>
      </c>
      <c r="AD15">
        <v>0.125874125874125</v>
      </c>
      <c r="AF15">
        <v>-3.7333333333333302E-2</v>
      </c>
      <c r="AG15">
        <v>5.6074766355140103E-2</v>
      </c>
      <c r="AI15">
        <v>0.103333333333333</v>
      </c>
      <c r="AJ15">
        <v>1.6949152542372801E-2</v>
      </c>
      <c r="AL15">
        <v>0.50833333333333297</v>
      </c>
      <c r="AM15">
        <v>-0.45045045045045001</v>
      </c>
      <c r="AO15">
        <v>6.07476635514018E-2</v>
      </c>
      <c r="AP15">
        <v>0</v>
      </c>
      <c r="AR15">
        <v>-9.3240093240093205E-3</v>
      </c>
      <c r="AS15">
        <v>7.7102803738317696E-2</v>
      </c>
      <c r="AU15">
        <v>-8.2666666666666597E-2</v>
      </c>
      <c r="AV15">
        <v>0.26600000000000001</v>
      </c>
      <c r="AX15">
        <v>-0.11600000000000001</v>
      </c>
      <c r="AY15">
        <v>4.2000000000000003E-2</v>
      </c>
      <c r="BA15">
        <v>5.46666666666666E-2</v>
      </c>
      <c r="BB15">
        <v>7.8E-2</v>
      </c>
      <c r="BD15">
        <v>0.31166666666666598</v>
      </c>
      <c r="BE15">
        <v>-0.21678321678321599</v>
      </c>
      <c r="BG15">
        <v>3.9039039039038999E-2</v>
      </c>
      <c r="BH15">
        <v>-3.4666666666666603E-2</v>
      </c>
      <c r="BJ15">
        <v>0.52803738317756999</v>
      </c>
      <c r="BK15">
        <v>-0.49</v>
      </c>
      <c r="BM15">
        <v>6.9930069930069894E-2</v>
      </c>
      <c r="BN15">
        <v>7.5999999999999998E-2</v>
      </c>
      <c r="BP15">
        <v>7.7333333333333296E-2</v>
      </c>
      <c r="BQ15">
        <v>-0.08</v>
      </c>
      <c r="BS15">
        <v>4.8000000000000001E-2</v>
      </c>
      <c r="BT15">
        <v>4.8951048951048903E-2</v>
      </c>
      <c r="BV15">
        <v>-0.02</v>
      </c>
      <c r="BW15">
        <v>5.1401869158878503E-2</v>
      </c>
      <c r="BY15">
        <v>-5.8000000000000003E-2</v>
      </c>
      <c r="BZ15">
        <v>9.6000000000000002E-2</v>
      </c>
      <c r="CB15">
        <v>4.4392523364485903E-2</v>
      </c>
      <c r="CC15">
        <v>-2.6666666666666601E-3</v>
      </c>
      <c r="CE15">
        <v>8.5999999999999993E-2</v>
      </c>
      <c r="CF15">
        <v>-0.135514018691588</v>
      </c>
      <c r="CH15">
        <v>-6.2E-2</v>
      </c>
      <c r="CI15">
        <v>6.3333333333333297E-2</v>
      </c>
      <c r="CK15">
        <v>7.1428571428571397E-2</v>
      </c>
      <c r="CL15">
        <v>2.1666666666666601E-2</v>
      </c>
      <c r="CN15">
        <v>-5.0898203592814301E-2</v>
      </c>
      <c r="CO15">
        <v>5.3333333333333302E-2</v>
      </c>
      <c r="CQ15">
        <v>-0.228228228228228</v>
      </c>
      <c r="CR15">
        <v>0.29205607476635498</v>
      </c>
      <c r="CT15">
        <v>0.08</v>
      </c>
      <c r="CU15">
        <v>2.4024024024024E-2</v>
      </c>
      <c r="CW15">
        <v>2.09790209790209E-2</v>
      </c>
      <c r="CX15">
        <v>-1.8666666666666599E-2</v>
      </c>
      <c r="CZ15">
        <v>8.8578088578088507E-2</v>
      </c>
      <c r="DA15">
        <v>3.5999999999999997E-2</v>
      </c>
      <c r="DC15">
        <v>6.6666666666666596E-2</v>
      </c>
      <c r="DD15">
        <v>0.18666666666666601</v>
      </c>
      <c r="DF15">
        <v>0.03</v>
      </c>
      <c r="DG15">
        <v>0.1</v>
      </c>
      <c r="DI15">
        <v>-5.3613053613053602E-2</v>
      </c>
      <c r="DJ15">
        <v>0.261072261072261</v>
      </c>
      <c r="DL15">
        <v>4.2000000000000003E-2</v>
      </c>
      <c r="DM15">
        <v>1.6E-2</v>
      </c>
      <c r="DO15">
        <v>7.1999999999999995E-2</v>
      </c>
      <c r="DP15">
        <v>-8.3916083916083906E-2</v>
      </c>
      <c r="DR15">
        <v>9.3240093240093205E-3</v>
      </c>
      <c r="DS15">
        <v>3.7296037296037199E-2</v>
      </c>
      <c r="DU15">
        <v>-0.109333333333333</v>
      </c>
      <c r="DV15">
        <v>0.165501165501165</v>
      </c>
      <c r="DX15">
        <v>0.163333333333333</v>
      </c>
      <c r="DY15">
        <v>-9.0666666666666604E-2</v>
      </c>
      <c r="EA15">
        <v>6.4000000000000001E-2</v>
      </c>
      <c r="EB15">
        <v>8.5333333333333303E-2</v>
      </c>
      <c r="ED15">
        <v>0.63076923076922997</v>
      </c>
      <c r="EE15">
        <v>-0.50600000000000001</v>
      </c>
      <c r="EG15">
        <v>7.9254079254079193E-2</v>
      </c>
      <c r="EH15">
        <v>9.3240093240093205E-3</v>
      </c>
      <c r="EJ15">
        <v>0.114</v>
      </c>
      <c r="EK15">
        <v>-2.4E-2</v>
      </c>
      <c r="EM15">
        <v>9.375E-2</v>
      </c>
      <c r="EN15">
        <v>-1.06666666666666E-2</v>
      </c>
      <c r="EP15">
        <v>-0.14018691588785001</v>
      </c>
      <c r="EQ15">
        <v>5.6666666666666601E-2</v>
      </c>
      <c r="ES15">
        <v>0.11</v>
      </c>
      <c r="ET15">
        <v>0.115</v>
      </c>
      <c r="EV15">
        <f t="shared" si="0"/>
        <v>-1.1006004140916167E-2</v>
      </c>
      <c r="EW15">
        <f t="shared" si="1"/>
        <v>8.1804676290465894E-2</v>
      </c>
      <c r="EX15">
        <f t="shared" si="2"/>
        <v>7.3027097054410156E-2</v>
      </c>
    </row>
    <row r="16" spans="1:154" x14ac:dyDescent="0.25">
      <c r="B16">
        <v>-5.4945054945054903E-2</v>
      </c>
      <c r="C16">
        <v>5.4054054054054002E-2</v>
      </c>
      <c r="E16">
        <v>5.3333333333333302E-2</v>
      </c>
      <c r="F16">
        <v>-0.105140186915887</v>
      </c>
      <c r="H16">
        <v>0.23400000000000001</v>
      </c>
      <c r="I16">
        <v>-0.242990654205607</v>
      </c>
      <c r="K16">
        <v>4.8000000000000001E-2</v>
      </c>
      <c r="L16">
        <v>0.11214953271028</v>
      </c>
      <c r="N16">
        <v>-2.3310023310023301E-3</v>
      </c>
      <c r="O16">
        <v>6.07476635514018E-2</v>
      </c>
      <c r="Q16">
        <v>8.3333333333333297E-3</v>
      </c>
      <c r="R16">
        <v>0.188811188811188</v>
      </c>
      <c r="T16">
        <v>0.14219114219114201</v>
      </c>
      <c r="U16">
        <v>5.5944055944055902E-2</v>
      </c>
      <c r="W16">
        <v>7.9545454545454503E-2</v>
      </c>
      <c r="X16">
        <v>0.08</v>
      </c>
      <c r="Z16">
        <v>-8.5000000000000006E-2</v>
      </c>
      <c r="AA16">
        <v>3.2000000000000001E-2</v>
      </c>
      <c r="AC16">
        <v>6.4000000000000001E-2</v>
      </c>
      <c r="AD16">
        <v>-7.0093457943925198E-3</v>
      </c>
      <c r="AF16">
        <v>6.7757009345794303E-2</v>
      </c>
      <c r="AG16">
        <v>5.5944055944055902E-2</v>
      </c>
      <c r="AI16">
        <v>7.5757575757575704E-2</v>
      </c>
      <c r="AJ16">
        <v>2.5641025641025599E-2</v>
      </c>
      <c r="AL16">
        <v>0.54794520547945202</v>
      </c>
      <c r="AM16">
        <v>-0.16666666666666599</v>
      </c>
      <c r="AO16">
        <v>5.3333333333333297E-3</v>
      </c>
      <c r="AP16">
        <v>-7.1999999999999995E-2</v>
      </c>
      <c r="AR16">
        <v>0.271666666666666</v>
      </c>
      <c r="AS16">
        <v>0.28799999999999998</v>
      </c>
      <c r="AU16">
        <v>-0.107476635514018</v>
      </c>
      <c r="AV16">
        <v>0.14918414918414899</v>
      </c>
      <c r="AX16">
        <v>-5.3333333333333302E-2</v>
      </c>
      <c r="AY16">
        <v>0.11333333333333299</v>
      </c>
      <c r="BA16">
        <v>8.5714285714285701E-2</v>
      </c>
      <c r="BB16">
        <v>-0.12345679012345601</v>
      </c>
      <c r="BD16">
        <v>0.338028169014084</v>
      </c>
      <c r="BE16">
        <v>-0.184</v>
      </c>
      <c r="BG16">
        <v>4.3999999999999997E-2</v>
      </c>
      <c r="BH16">
        <v>0.151898734177215</v>
      </c>
      <c r="BJ16">
        <v>0.76623376623376604</v>
      </c>
      <c r="BK16">
        <v>-0.496</v>
      </c>
      <c r="BM16">
        <v>2.4E-2</v>
      </c>
      <c r="BN16">
        <v>0.15</v>
      </c>
      <c r="BP16">
        <v>0.138333333333333</v>
      </c>
      <c r="BQ16">
        <v>-7.3999999999999996E-2</v>
      </c>
      <c r="BS16">
        <v>0.1</v>
      </c>
      <c r="BT16">
        <v>0.19</v>
      </c>
      <c r="BV16">
        <v>-5.3613053613053602E-2</v>
      </c>
      <c r="BW16">
        <v>7.8E-2</v>
      </c>
      <c r="BY16">
        <v>1.6E-2</v>
      </c>
      <c r="BZ16">
        <v>0.18</v>
      </c>
      <c r="CB16">
        <v>0.156</v>
      </c>
      <c r="CC16">
        <v>0</v>
      </c>
      <c r="CE16">
        <v>3.7999999999999999E-2</v>
      </c>
      <c r="CF16">
        <v>-8.0000000000000002E-3</v>
      </c>
      <c r="CH16">
        <v>-4.5333333333333302E-2</v>
      </c>
      <c r="CI16">
        <v>5.8275058275058203E-2</v>
      </c>
      <c r="CK16">
        <v>9.0666666666666604E-2</v>
      </c>
      <c r="CL16">
        <v>-3.03030303030303E-2</v>
      </c>
      <c r="CN16">
        <v>-4.8000000000000001E-2</v>
      </c>
      <c r="CO16">
        <v>3.9627039627039597E-2</v>
      </c>
      <c r="CQ16">
        <v>0.10958904109589</v>
      </c>
      <c r="CR16">
        <v>9.3333333333333296E-2</v>
      </c>
      <c r="CT16">
        <v>-2.1999999999999999E-2</v>
      </c>
      <c r="CU16">
        <v>4.0000000000000001E-3</v>
      </c>
      <c r="CW16">
        <v>8.6247086247086199E-2</v>
      </c>
      <c r="CX16">
        <v>-7.1999999999999995E-2</v>
      </c>
      <c r="CZ16">
        <v>8.5333333333333303E-2</v>
      </c>
      <c r="DA16">
        <v>5.3738317757009303E-2</v>
      </c>
      <c r="DC16">
        <v>-0.20599999999999999</v>
      </c>
      <c r="DD16">
        <v>8.3333333333333301E-2</v>
      </c>
      <c r="DF16">
        <v>-3.6666666666666597E-2</v>
      </c>
      <c r="DG16">
        <v>6.0606060606060601E-2</v>
      </c>
      <c r="DI16">
        <v>-0.156</v>
      </c>
      <c r="DJ16">
        <v>0.23833333333333301</v>
      </c>
      <c r="DL16">
        <v>-2.1333333333333301E-2</v>
      </c>
      <c r="DM16">
        <v>6.1728395061728301E-2</v>
      </c>
      <c r="DO16">
        <v>5.6000000000000001E-2</v>
      </c>
      <c r="DP16">
        <v>0.04</v>
      </c>
      <c r="DR16">
        <v>8.7999999999999995E-2</v>
      </c>
      <c r="DS16">
        <v>-3.2000000000000001E-2</v>
      </c>
      <c r="DU16">
        <v>-0.21199999999999999</v>
      </c>
      <c r="DV16">
        <v>0.17799999999999999</v>
      </c>
      <c r="DX16">
        <v>5.5944055944055902E-2</v>
      </c>
      <c r="DY16">
        <v>5.1666666666666597E-2</v>
      </c>
      <c r="EA16">
        <v>0.114219114219114</v>
      </c>
      <c r="EB16">
        <v>0.30399999999999999</v>
      </c>
      <c r="ED16">
        <v>0.52800000000000002</v>
      </c>
      <c r="EE16">
        <v>-0.49399999999999999</v>
      </c>
      <c r="EG16">
        <v>3.2000000000000001E-2</v>
      </c>
      <c r="EH16">
        <v>-0.38571428571428501</v>
      </c>
      <c r="EJ16">
        <v>0</v>
      </c>
      <c r="EK16">
        <v>7.1999999999999995E-2</v>
      </c>
      <c r="EM16">
        <v>5.1401869158878503E-2</v>
      </c>
      <c r="EN16">
        <v>-9.6000000000000002E-2</v>
      </c>
      <c r="EP16">
        <v>4.0000000000000001E-3</v>
      </c>
      <c r="EQ16">
        <v>3.2710280373831703E-2</v>
      </c>
      <c r="ES16">
        <v>-2.4E-2</v>
      </c>
      <c r="ET16">
        <v>9.6000000000000002E-2</v>
      </c>
      <c r="EV16">
        <f t="shared" si="0"/>
        <v>-8.1235763574089449E-4</v>
      </c>
      <c r="EW16">
        <f t="shared" si="1"/>
        <v>8.7238757913173093E-2</v>
      </c>
      <c r="EX16">
        <f t="shared" si="2"/>
        <v>7.3027097054410156E-2</v>
      </c>
    </row>
    <row r="17" spans="2:154" x14ac:dyDescent="0.25">
      <c r="B17">
        <v>5.6666666666666601E-2</v>
      </c>
      <c r="C17">
        <v>4.1666666666666602E-2</v>
      </c>
      <c r="E17">
        <v>2.3529411764705799E-2</v>
      </c>
      <c r="F17">
        <v>-1.86915887850467E-2</v>
      </c>
      <c r="H17">
        <v>0.34200000000000003</v>
      </c>
      <c r="I17">
        <v>-0.26166666666666599</v>
      </c>
      <c r="K17">
        <v>7.5268817204300995E-2</v>
      </c>
      <c r="L17">
        <v>-0.08</v>
      </c>
      <c r="N17">
        <v>0.21621621621621601</v>
      </c>
      <c r="O17">
        <v>3.7333333333333302E-2</v>
      </c>
      <c r="Q17">
        <v>4.8951048951048903E-2</v>
      </c>
      <c r="R17">
        <v>0.22</v>
      </c>
      <c r="T17">
        <v>2.8169014084507001E-2</v>
      </c>
      <c r="U17">
        <v>4.2056074766355103E-2</v>
      </c>
      <c r="W17">
        <v>4.2056074766355103E-2</v>
      </c>
      <c r="X17">
        <v>0.02</v>
      </c>
      <c r="Z17">
        <v>9.0090090090090003E-3</v>
      </c>
      <c r="AA17">
        <v>2.9333333333333302E-2</v>
      </c>
      <c r="AC17">
        <v>3.9627039627039597E-2</v>
      </c>
      <c r="AD17">
        <v>-0.12621359223300899</v>
      </c>
      <c r="AF17">
        <v>4.1958041958041897E-2</v>
      </c>
      <c r="AG17">
        <v>7.3999999999999996E-2</v>
      </c>
      <c r="AI17">
        <v>7.1428571428571397E-2</v>
      </c>
      <c r="AJ17">
        <v>0.13800000000000001</v>
      </c>
      <c r="AL17">
        <v>0.31818181818181801</v>
      </c>
      <c r="AM17">
        <v>0.15384615384615299</v>
      </c>
      <c r="AO17">
        <v>4.2056074766355103E-2</v>
      </c>
      <c r="AP17">
        <v>-0.16</v>
      </c>
      <c r="AR17">
        <v>-0.182</v>
      </c>
      <c r="AS17">
        <v>3.4782608695652098E-2</v>
      </c>
      <c r="AU17">
        <v>1.6666666666666601E-2</v>
      </c>
      <c r="AV17">
        <v>2.3310023310023301E-3</v>
      </c>
      <c r="AX17">
        <v>-0.16800000000000001</v>
      </c>
      <c r="AY17">
        <v>7.4999999999999997E-2</v>
      </c>
      <c r="BA17">
        <v>3.7333333333333302E-2</v>
      </c>
      <c r="BB17">
        <v>0.18446601941747501</v>
      </c>
      <c r="BD17">
        <v>0.61538461538461497</v>
      </c>
      <c r="BE17">
        <v>-0.23684210526315699</v>
      </c>
      <c r="BG17">
        <v>0.12903225806451599</v>
      </c>
      <c r="BH17">
        <v>8.2474226804123696E-2</v>
      </c>
      <c r="BJ17">
        <v>0.52336448598130803</v>
      </c>
      <c r="BK17">
        <v>-0.29166666666666602</v>
      </c>
      <c r="BM17">
        <v>-3.73831775700934E-2</v>
      </c>
      <c r="BN17">
        <v>4.8000000000000001E-2</v>
      </c>
      <c r="BP17">
        <v>3.03738317757009E-2</v>
      </c>
      <c r="BQ17">
        <v>7.5949367088607597E-2</v>
      </c>
      <c r="BS17">
        <v>-2.09790209790209E-2</v>
      </c>
      <c r="BT17">
        <v>0.20799999999999999</v>
      </c>
      <c r="BV17">
        <v>-4.8951048951048903E-2</v>
      </c>
      <c r="BW17">
        <v>4.1666666666666602E-2</v>
      </c>
      <c r="BY17">
        <v>-2.5641025641025599E-2</v>
      </c>
      <c r="BZ17">
        <v>0.15887850467289699</v>
      </c>
      <c r="CB17">
        <v>6.8000000000000005E-2</v>
      </c>
      <c r="CC17">
        <v>0.15833333333333299</v>
      </c>
      <c r="CE17">
        <v>8.2000000000000003E-2</v>
      </c>
      <c r="CF17">
        <v>5.1999999999999998E-2</v>
      </c>
      <c r="CH17">
        <v>4.4999999999999998E-2</v>
      </c>
      <c r="CI17">
        <v>7.0000000000000007E-2</v>
      </c>
      <c r="CK17">
        <v>6.1333333333333302E-2</v>
      </c>
      <c r="CL17">
        <v>0.14606741573033699</v>
      </c>
      <c r="CN17">
        <v>-6.2E-2</v>
      </c>
      <c r="CO17">
        <v>9.6666666666666595E-2</v>
      </c>
      <c r="CQ17">
        <v>-7.4766355140186896E-2</v>
      </c>
      <c r="CR17">
        <v>0.13986013986013901</v>
      </c>
      <c r="CT17">
        <v>0.155</v>
      </c>
      <c r="CU17">
        <v>-6.9333333333333302E-2</v>
      </c>
      <c r="CW17">
        <v>1.6355140186915799E-2</v>
      </c>
      <c r="CX17">
        <v>-8.4000000000000005E-2</v>
      </c>
      <c r="CZ17">
        <v>-0.08</v>
      </c>
      <c r="DA17">
        <v>0.05</v>
      </c>
      <c r="DC17">
        <v>-0.15151515151515099</v>
      </c>
      <c r="DD17">
        <v>0.23799999999999999</v>
      </c>
      <c r="DF17">
        <v>2.4E-2</v>
      </c>
      <c r="DG17">
        <v>7.9254079254079193E-2</v>
      </c>
      <c r="DI17">
        <v>-0.12874251497005901</v>
      </c>
      <c r="DJ17">
        <v>0.206666666666666</v>
      </c>
      <c r="DL17">
        <v>0.53012048192771</v>
      </c>
      <c r="DM17">
        <v>-0.55688622754491002</v>
      </c>
      <c r="DO17">
        <v>-3.3333333333333301E-3</v>
      </c>
      <c r="DP17">
        <v>2.3310023310023301E-2</v>
      </c>
      <c r="DR17">
        <v>2.1333333333333301E-2</v>
      </c>
      <c r="DS17">
        <v>2.5641025641025599E-2</v>
      </c>
      <c r="DU17">
        <v>-0.14018691588785001</v>
      </c>
      <c r="DV17">
        <v>0.14399999999999999</v>
      </c>
      <c r="DX17">
        <v>-0.02</v>
      </c>
      <c r="DY17">
        <v>5.0632911392405E-2</v>
      </c>
      <c r="EA17">
        <v>-0.13053613053613</v>
      </c>
      <c r="EB17">
        <v>0.19166666666666601</v>
      </c>
      <c r="ED17">
        <v>0.52666666666666595</v>
      </c>
      <c r="EE17">
        <v>-0.41141141141141102</v>
      </c>
      <c r="EG17">
        <v>-3.2710280373831703E-2</v>
      </c>
      <c r="EH17">
        <v>0.19800000000000001</v>
      </c>
      <c r="EJ17">
        <v>-0.123831775700934</v>
      </c>
      <c r="EK17">
        <v>0.05</v>
      </c>
      <c r="EM17">
        <v>8.2000000000000003E-2</v>
      </c>
      <c r="EN17">
        <v>-7.0000000000000007E-2</v>
      </c>
      <c r="EP17">
        <v>-1.46666666666666E-2</v>
      </c>
      <c r="EQ17">
        <v>7.2463768115942004E-2</v>
      </c>
      <c r="ES17">
        <v>7.4999999999999997E-2</v>
      </c>
      <c r="ET17">
        <v>-0.116822429906542</v>
      </c>
      <c r="EV17">
        <f t="shared" si="0"/>
        <v>-9.4467311587892837E-3</v>
      </c>
      <c r="EW17">
        <f t="shared" si="1"/>
        <v>9.1959754888033471E-2</v>
      </c>
      <c r="EX17">
        <f t="shared" si="2"/>
        <v>7.3027097054410156E-2</v>
      </c>
    </row>
    <row r="18" spans="2:154" x14ac:dyDescent="0.25">
      <c r="B18">
        <v>1</v>
      </c>
      <c r="E18">
        <v>4.3956043956043897E-2</v>
      </c>
      <c r="F18">
        <v>1.0638297872340399E-2</v>
      </c>
      <c r="H18">
        <v>0.24</v>
      </c>
      <c r="I18">
        <v>4.4776119402985003E-2</v>
      </c>
      <c r="K18">
        <v>0.05</v>
      </c>
      <c r="L18">
        <v>-3.5000000000000003E-2</v>
      </c>
      <c r="N18">
        <v>5.6000000000000001E-2</v>
      </c>
      <c r="O18">
        <v>4.2666666666666603E-2</v>
      </c>
      <c r="Q18">
        <v>-4.8951048951048903E-2</v>
      </c>
      <c r="R18">
        <v>0.14199999999999999</v>
      </c>
      <c r="T18">
        <v>-2.8000000000000001E-2</v>
      </c>
      <c r="U18">
        <v>4.3956043956043897E-2</v>
      </c>
      <c r="W18">
        <v>6.3063063063063002E-2</v>
      </c>
      <c r="X18">
        <v>-4.3103448275862002E-2</v>
      </c>
      <c r="Z18">
        <v>-9.0909090909090898E-2</v>
      </c>
      <c r="AA18">
        <v>0.11</v>
      </c>
      <c r="AC18">
        <v>1.53846153846153E-2</v>
      </c>
      <c r="AD18">
        <v>4.8000000000000001E-2</v>
      </c>
      <c r="AF18">
        <v>-2.6666666666666601E-3</v>
      </c>
      <c r="AG18">
        <v>5.6338028169014003E-2</v>
      </c>
      <c r="AI18">
        <v>0.114219114219114</v>
      </c>
      <c r="AJ18">
        <v>0.08</v>
      </c>
      <c r="AL18">
        <v>-0.188811188811188</v>
      </c>
      <c r="AM18">
        <v>0.112</v>
      </c>
      <c r="AO18">
        <v>0.08</v>
      </c>
      <c r="AP18">
        <v>-0.21333333333333299</v>
      </c>
      <c r="AR18">
        <v>-0.05</v>
      </c>
      <c r="AS18">
        <v>6.4000000000000001E-2</v>
      </c>
      <c r="AU18">
        <v>6.9444444444444406E-2</v>
      </c>
      <c r="AV18">
        <v>8.0000000000000002E-3</v>
      </c>
      <c r="AX18">
        <v>-0.18518518518518501</v>
      </c>
      <c r="AY18">
        <v>0.03</v>
      </c>
      <c r="BA18">
        <v>0.11111111111111099</v>
      </c>
      <c r="BB18">
        <v>1</v>
      </c>
      <c r="BD18">
        <v>0.40799999999999997</v>
      </c>
      <c r="BE18">
        <v>8.8235294117646995E-2</v>
      </c>
      <c r="BG18">
        <v>7.0000000000000007E-2</v>
      </c>
      <c r="BH18">
        <v>-1.2E-2</v>
      </c>
      <c r="BJ18">
        <v>0.38144329896907198</v>
      </c>
      <c r="BK18">
        <v>0.2</v>
      </c>
      <c r="BM18">
        <v>6.5000000000000002E-2</v>
      </c>
      <c r="BN18">
        <v>9.5571095571095499E-2</v>
      </c>
      <c r="BP18">
        <v>-3.7037037037037E-2</v>
      </c>
      <c r="BQ18">
        <v>9.6666666666666595E-2</v>
      </c>
      <c r="BS18">
        <v>-7.2429906542056E-2</v>
      </c>
      <c r="BT18">
        <v>9.7902097902097904E-2</v>
      </c>
      <c r="BV18">
        <v>0</v>
      </c>
      <c r="BW18">
        <v>9.4E-2</v>
      </c>
      <c r="BY18">
        <v>2.3255813953488299E-2</v>
      </c>
      <c r="BZ18">
        <v>3.9039039039038999E-2</v>
      </c>
      <c r="CB18">
        <v>-0.16783216783216701</v>
      </c>
      <c r="CC18">
        <v>4.3956043956043897E-2</v>
      </c>
      <c r="CE18">
        <v>7.6666666666666605E-2</v>
      </c>
      <c r="CF18">
        <v>-0.14953271028037299</v>
      </c>
      <c r="CH18">
        <v>0.103333333333333</v>
      </c>
      <c r="CI18">
        <v>4.5999999999999999E-2</v>
      </c>
      <c r="CK18">
        <v>0.121495327102803</v>
      </c>
      <c r="CL18">
        <v>0.184579439252336</v>
      </c>
      <c r="CN18">
        <v>-1.06666666666666E-2</v>
      </c>
      <c r="CO18">
        <v>7.00934579439252E-2</v>
      </c>
      <c r="CQ18">
        <v>-4.3999999999999997E-2</v>
      </c>
      <c r="CR18">
        <v>3.2000000000000001E-2</v>
      </c>
      <c r="CT18">
        <v>8.4112149532710206E-2</v>
      </c>
      <c r="CU18">
        <v>-4.9333333333333299E-2</v>
      </c>
      <c r="CW18">
        <v>6.0240963855421603E-2</v>
      </c>
      <c r="CX18">
        <v>8.1395348837209294E-2</v>
      </c>
      <c r="CZ18">
        <v>1.4999999999999999E-2</v>
      </c>
      <c r="DA18">
        <v>7.0000000000000007E-2</v>
      </c>
      <c r="DC18">
        <v>0.18666666666666601</v>
      </c>
      <c r="DD18">
        <v>-0.23733333333333301</v>
      </c>
      <c r="DF18">
        <v>0.08</v>
      </c>
      <c r="DG18">
        <v>5.5944055944055902E-2</v>
      </c>
      <c r="DI18">
        <v>0.118279569892473</v>
      </c>
      <c r="DJ18">
        <v>0.18018018018018001</v>
      </c>
      <c r="DL18">
        <v>0.64333333333333298</v>
      </c>
      <c r="DM18">
        <v>-0.56799999999999995</v>
      </c>
      <c r="DO18">
        <v>6.4000000000000001E-2</v>
      </c>
      <c r="DP18">
        <v>0.12833333333333299</v>
      </c>
      <c r="DR18">
        <v>6.4000000000000001E-2</v>
      </c>
      <c r="DS18">
        <v>6.9930069930069894E-2</v>
      </c>
      <c r="DU18">
        <v>-8.6247086247086199E-2</v>
      </c>
      <c r="DV18">
        <v>0.05</v>
      </c>
      <c r="DX18">
        <v>-3.7296037296037199E-2</v>
      </c>
      <c r="DY18">
        <v>6.0240963855421603E-2</v>
      </c>
      <c r="EA18">
        <v>-0.109557109557109</v>
      </c>
      <c r="EB18">
        <v>7.7777777777777696E-2</v>
      </c>
      <c r="ED18">
        <v>0.48266666666666602</v>
      </c>
      <c r="EE18">
        <v>-0.32</v>
      </c>
      <c r="EG18">
        <v>5.3999999999999999E-2</v>
      </c>
      <c r="EH18">
        <v>0.146666666666666</v>
      </c>
      <c r="EJ18">
        <v>0.28846153846153799</v>
      </c>
      <c r="EK18">
        <v>7.1999999999999995E-2</v>
      </c>
      <c r="EM18">
        <v>6.3333333333333297E-2</v>
      </c>
      <c r="EN18">
        <v>-3.7333333333333302E-2</v>
      </c>
      <c r="EP18">
        <v>-0.01</v>
      </c>
      <c r="EQ18">
        <v>0.101333333333333</v>
      </c>
      <c r="ES18">
        <v>9.5000000000000001E-2</v>
      </c>
      <c r="ET18">
        <v>0.114114114114114</v>
      </c>
      <c r="EV18">
        <f t="shared" si="0"/>
        <v>3.6374699859209644E-2</v>
      </c>
      <c r="EW18">
        <f t="shared" si="1"/>
        <v>9.6530150237651394E-2</v>
      </c>
      <c r="EX18">
        <f t="shared" si="2"/>
        <v>7.3027097054410156E-2</v>
      </c>
    </row>
    <row r="19" spans="2:154" x14ac:dyDescent="0.25">
      <c r="E19">
        <v>1.7999999999999999E-2</v>
      </c>
      <c r="F19">
        <v>0.226635514018691</v>
      </c>
      <c r="H19">
        <v>-0.123543123543123</v>
      </c>
      <c r="I19">
        <v>5.3333333333333302E-2</v>
      </c>
      <c r="K19">
        <v>0.04</v>
      </c>
      <c r="L19">
        <v>1</v>
      </c>
      <c r="N19">
        <v>-0.05</v>
      </c>
      <c r="O19">
        <v>6.7307692307692304E-2</v>
      </c>
      <c r="Q19">
        <v>4.4289044289044198E-2</v>
      </c>
      <c r="R19">
        <v>1</v>
      </c>
      <c r="T19">
        <v>0.12903225806451599</v>
      </c>
      <c r="U19">
        <v>0.06</v>
      </c>
      <c r="W19">
        <v>3.9627039627039597E-2</v>
      </c>
      <c r="X19">
        <v>8.0000000000000002E-3</v>
      </c>
      <c r="Z19">
        <v>-8.1585081585081501E-2</v>
      </c>
      <c r="AA19">
        <v>3.8461538461538401E-2</v>
      </c>
      <c r="AC19">
        <v>7.69230769230769E-2</v>
      </c>
      <c r="AD19">
        <v>6.1666666666666599E-2</v>
      </c>
      <c r="AF19">
        <v>-0.04</v>
      </c>
      <c r="AG19">
        <v>8.3333333333333301E-2</v>
      </c>
      <c r="AI19">
        <v>4.8951048951048903E-2</v>
      </c>
      <c r="AJ19">
        <v>-0.222</v>
      </c>
      <c r="AL19">
        <v>-0.132867132867132</v>
      </c>
      <c r="AM19">
        <v>4.67289719626168E-2</v>
      </c>
      <c r="AO19">
        <v>2.2900763358778602E-2</v>
      </c>
      <c r="AP19">
        <v>0.27007299270072899</v>
      </c>
      <c r="AR19">
        <v>-0.31833333333333302</v>
      </c>
      <c r="AS19">
        <v>2.94117647058823E-2</v>
      </c>
      <c r="AU19">
        <v>7.3999999999999996E-2</v>
      </c>
      <c r="AV19">
        <v>-3.3333333333333298E-2</v>
      </c>
      <c r="AX19">
        <v>0.19800000000000001</v>
      </c>
      <c r="AY19">
        <v>3.03738317757009E-2</v>
      </c>
      <c r="BD19">
        <v>9.11214953271028E-2</v>
      </c>
      <c r="BE19">
        <v>7.69230769230769E-2</v>
      </c>
      <c r="BG19">
        <v>6.4000000000000001E-2</v>
      </c>
      <c r="BH19">
        <v>-8.8578088578088507E-2</v>
      </c>
      <c r="BJ19">
        <v>1</v>
      </c>
      <c r="BM19">
        <v>8.5714285714285701E-2</v>
      </c>
      <c r="BN19">
        <v>0.11111111111111099</v>
      </c>
      <c r="BP19">
        <v>-0.23831775700934499</v>
      </c>
      <c r="BQ19">
        <v>0.03</v>
      </c>
      <c r="BS19">
        <v>3.4090909090908998E-2</v>
      </c>
      <c r="BT19">
        <v>-5.4945054945054903E-2</v>
      </c>
      <c r="BV19">
        <v>1.4999999999999999E-2</v>
      </c>
      <c r="BW19">
        <v>8.5000000000000006E-2</v>
      </c>
      <c r="BY19">
        <v>7.5999999999999998E-2</v>
      </c>
      <c r="BZ19">
        <v>1</v>
      </c>
      <c r="CB19">
        <v>0.222</v>
      </c>
      <c r="CC19">
        <v>0.170560747663551</v>
      </c>
      <c r="CE19">
        <v>2.6666666666666599E-2</v>
      </c>
      <c r="CF19">
        <v>-0.29599999999999999</v>
      </c>
      <c r="CH19">
        <v>0.133333333333333</v>
      </c>
      <c r="CI19">
        <v>0</v>
      </c>
      <c r="CK19">
        <v>-4.6728971962616802E-3</v>
      </c>
      <c r="CL19">
        <v>0.20200000000000001</v>
      </c>
      <c r="CN19">
        <v>1.33333333333333E-3</v>
      </c>
      <c r="CO19">
        <v>5.3333333333333297E-3</v>
      </c>
      <c r="CQ19">
        <v>0.05</v>
      </c>
      <c r="CR19">
        <v>2.09790209790209E-2</v>
      </c>
      <c r="CT19">
        <v>-8.3333333333333297E-3</v>
      </c>
      <c r="CU19">
        <v>5.8823529411764698E-2</v>
      </c>
      <c r="CW19">
        <v>-0.11</v>
      </c>
      <c r="CX19">
        <v>-0.01</v>
      </c>
      <c r="CZ19">
        <v>0.38834951456310601</v>
      </c>
      <c r="DA19">
        <v>-0.24333333333333301</v>
      </c>
      <c r="DC19">
        <v>0</v>
      </c>
      <c r="DD19">
        <v>0.29499999999999998</v>
      </c>
      <c r="DF19">
        <v>-6.0000000000000001E-3</v>
      </c>
      <c r="DG19">
        <v>6.6666666666666596E-2</v>
      </c>
      <c r="DI19">
        <v>-3.3333333333333301E-3</v>
      </c>
      <c r="DJ19">
        <v>-4.5999999999999999E-2</v>
      </c>
      <c r="DL19">
        <v>0.58644859813084105</v>
      </c>
      <c r="DM19">
        <v>-0.50166666666666604</v>
      </c>
      <c r="DO19">
        <v>0.108108108108108</v>
      </c>
      <c r="DP19">
        <v>0.161333333333333</v>
      </c>
      <c r="DR19">
        <v>-9.3240093240093205E-3</v>
      </c>
      <c r="DS19">
        <v>0.123333333333333</v>
      </c>
      <c r="DU19">
        <v>-0.09</v>
      </c>
      <c r="DV19">
        <v>5.6666666666666601E-2</v>
      </c>
      <c r="DX19">
        <v>0.32166666666666599</v>
      </c>
      <c r="DY19">
        <v>-0.202666666666666</v>
      </c>
      <c r="EA19">
        <v>0.116550116550116</v>
      </c>
      <c r="EB19">
        <v>-0.24137931034482701</v>
      </c>
      <c r="ED19">
        <v>0.53333333333333299</v>
      </c>
      <c r="EE19">
        <v>5.8275058275058203E-2</v>
      </c>
      <c r="EG19">
        <v>9.34579439252336E-2</v>
      </c>
      <c r="EH19">
        <v>1</v>
      </c>
      <c r="EJ19">
        <v>1</v>
      </c>
      <c r="EM19">
        <v>4.2666666666666603E-2</v>
      </c>
      <c r="EN19">
        <v>0.28155339805825202</v>
      </c>
      <c r="EP19">
        <v>-1.6355140186915799E-2</v>
      </c>
      <c r="EQ19">
        <v>0.09</v>
      </c>
      <c r="ES19">
        <v>0.102666666666666</v>
      </c>
      <c r="ET19">
        <v>2.09790209790209E-2</v>
      </c>
      <c r="EV19">
        <f t="shared" si="0"/>
        <v>2.365611301656521E-2</v>
      </c>
      <c r="EW19">
        <f t="shared" si="1"/>
        <v>0.16637443117764295</v>
      </c>
      <c r="EX19">
        <f t="shared" si="2"/>
        <v>7.3027097054410156E-2</v>
      </c>
    </row>
    <row r="20" spans="2:154" x14ac:dyDescent="0.25">
      <c r="E20">
        <v>-1.6E-2</v>
      </c>
      <c r="F20">
        <v>0.24666666666666601</v>
      </c>
      <c r="H20">
        <v>-0.101666666666666</v>
      </c>
      <c r="I20">
        <v>8.66666666666666E-2</v>
      </c>
      <c r="N20">
        <v>-2.7972027972027899E-2</v>
      </c>
      <c r="O20">
        <v>6.1333333333333302E-2</v>
      </c>
      <c r="T20">
        <v>-5.83333333333333E-2</v>
      </c>
      <c r="U20">
        <v>-5.83333333333333E-2</v>
      </c>
      <c r="W20">
        <v>-3.3333333333333301E-3</v>
      </c>
      <c r="X20">
        <v>0.20212765957446799</v>
      </c>
      <c r="Z20">
        <v>-0.25600000000000001</v>
      </c>
      <c r="AA20">
        <v>0</v>
      </c>
      <c r="AC20">
        <v>7.69230769230769E-2</v>
      </c>
      <c r="AD20">
        <v>-1.86915887850467E-2</v>
      </c>
      <c r="AF20">
        <v>-0.112</v>
      </c>
      <c r="AG20">
        <v>7.9254079254079193E-2</v>
      </c>
      <c r="AI20">
        <v>4.8333333333333298E-2</v>
      </c>
      <c r="AJ20">
        <v>-0.14432989690721601</v>
      </c>
      <c r="AL20">
        <v>-8.2000000000000003E-2</v>
      </c>
      <c r="AM20">
        <v>3.7037037037037E-2</v>
      </c>
      <c r="AO20">
        <v>-7.2261072261072201E-2</v>
      </c>
      <c r="AP20">
        <v>1</v>
      </c>
      <c r="AR20">
        <v>8.0213903743315496E-2</v>
      </c>
      <c r="AS20">
        <v>0.125</v>
      </c>
      <c r="AU20">
        <v>6.3291139240506306E-2</v>
      </c>
      <c r="AV20">
        <v>0.14199999999999999</v>
      </c>
      <c r="AX20">
        <v>7.69230769230769E-2</v>
      </c>
      <c r="AY20">
        <v>2.33644859813084E-2</v>
      </c>
      <c r="BD20">
        <v>1</v>
      </c>
      <c r="BG20">
        <v>5.83333333333333E-2</v>
      </c>
      <c r="BH20">
        <v>-5.6000000000000001E-2</v>
      </c>
      <c r="BM20">
        <v>-7.2429906542056E-2</v>
      </c>
      <c r="BN20">
        <v>0.52800000000000002</v>
      </c>
      <c r="BP20">
        <v>-7.5999999999999998E-2</v>
      </c>
      <c r="BQ20">
        <v>4.5999999999999999E-2</v>
      </c>
      <c r="BS20">
        <v>5.4054054054054002E-2</v>
      </c>
      <c r="BT20">
        <v>-5.3333333333333302E-2</v>
      </c>
      <c r="BV20">
        <v>0.19587628865979301</v>
      </c>
      <c r="BW20">
        <v>0.18</v>
      </c>
      <c r="CB20">
        <v>-0.106</v>
      </c>
      <c r="CC20">
        <v>2.7972027972027899E-2</v>
      </c>
      <c r="CE20">
        <v>0.101333333333333</v>
      </c>
      <c r="CF20">
        <v>-5.31914893617021E-2</v>
      </c>
      <c r="CH20">
        <v>0.34285714285714203</v>
      </c>
      <c r="CI20">
        <v>-2.8000000000000001E-2</v>
      </c>
      <c r="CK20">
        <v>0.104</v>
      </c>
      <c r="CL20">
        <v>-0.16600000000000001</v>
      </c>
      <c r="CN20">
        <v>0.13666666666666599</v>
      </c>
      <c r="CO20">
        <v>5.3333333333333297E-3</v>
      </c>
      <c r="CQ20">
        <v>3.5999999999999997E-2</v>
      </c>
      <c r="CR20">
        <v>0.138333333333333</v>
      </c>
      <c r="CT20">
        <v>-4.0000000000000001E-3</v>
      </c>
      <c r="CU20">
        <v>5.7333333333333299E-2</v>
      </c>
      <c r="CW20">
        <v>0.124</v>
      </c>
      <c r="CX20">
        <v>-0.16083916083916</v>
      </c>
      <c r="CZ20">
        <v>1</v>
      </c>
      <c r="DC20">
        <v>-0.16200000000000001</v>
      </c>
      <c r="DD20">
        <v>0.23</v>
      </c>
      <c r="DF20">
        <v>0.15466666666666601</v>
      </c>
      <c r="DG20">
        <v>-6.4000000000000001E-2</v>
      </c>
      <c r="DI20">
        <v>2.4E-2</v>
      </c>
      <c r="DJ20">
        <v>7.69230769230769E-2</v>
      </c>
      <c r="DL20">
        <v>0.60833333333333295</v>
      </c>
      <c r="DM20">
        <v>-0.56266666666666598</v>
      </c>
      <c r="DO20">
        <v>9.0909090909090898E-2</v>
      </c>
      <c r="DP20">
        <v>0.27800000000000002</v>
      </c>
      <c r="DR20">
        <v>0.16800000000000001</v>
      </c>
      <c r="DS20">
        <v>0.26</v>
      </c>
      <c r="DU20">
        <v>0.16</v>
      </c>
      <c r="DV20">
        <v>-4.5333333333333302E-2</v>
      </c>
      <c r="DX20">
        <v>0.394230769230769</v>
      </c>
      <c r="DY20">
        <v>-0.33100233100233101</v>
      </c>
      <c r="EA20">
        <v>-5.0666666666666603E-2</v>
      </c>
      <c r="EB20">
        <v>-0.108</v>
      </c>
      <c r="ED20">
        <v>0.2</v>
      </c>
      <c r="EE20">
        <v>0.15384615384615299</v>
      </c>
      <c r="EM20">
        <v>7.69230769230769E-2</v>
      </c>
      <c r="EN20">
        <v>1</v>
      </c>
      <c r="EP20">
        <v>0.11799999999999999</v>
      </c>
      <c r="EQ20">
        <v>8.5106382978723402E-2</v>
      </c>
      <c r="ES20">
        <v>8.2666666666666597E-2</v>
      </c>
      <c r="ET20">
        <v>0.29032258064516098</v>
      </c>
      <c r="EV20">
        <f t="shared" si="0"/>
        <v>1.8166412572940157E-2</v>
      </c>
      <c r="EW20">
        <f t="shared" si="1"/>
        <v>0.13956900669383299</v>
      </c>
      <c r="EX20">
        <f t="shared" si="2"/>
        <v>7.3027097054410156E-2</v>
      </c>
    </row>
    <row r="21" spans="2:154" x14ac:dyDescent="0.25">
      <c r="E21">
        <v>0.16355140186915801</v>
      </c>
      <c r="F21">
        <v>0.19466666666666599</v>
      </c>
      <c r="H21">
        <v>-0.128</v>
      </c>
      <c r="I21">
        <v>4.8000000000000001E-2</v>
      </c>
      <c r="N21">
        <v>-9.1603053435114504E-2</v>
      </c>
      <c r="O21">
        <v>2.4E-2</v>
      </c>
      <c r="T21">
        <v>0.25874125874125797</v>
      </c>
      <c r="U21">
        <v>0.10666666666666599</v>
      </c>
      <c r="W21">
        <v>0.06</v>
      </c>
      <c r="X21">
        <v>1.3333333333333299E-2</v>
      </c>
      <c r="Z21">
        <v>-0.16</v>
      </c>
      <c r="AA21">
        <v>8.3333333333333301E-2</v>
      </c>
      <c r="AC21">
        <v>3.8461538461538401E-2</v>
      </c>
      <c r="AD21">
        <v>0.38461538461538403</v>
      </c>
      <c r="AF21">
        <v>0.10638297872340401</v>
      </c>
      <c r="AG21">
        <v>-5.7333333333333299E-2</v>
      </c>
      <c r="AI21">
        <v>3.3333333333333298E-2</v>
      </c>
      <c r="AJ21">
        <v>-2.5000000000000001E-2</v>
      </c>
      <c r="AL21">
        <v>-7.69230769230769E-2</v>
      </c>
      <c r="AM21">
        <v>4.3478260869565202E-2</v>
      </c>
      <c r="AR21">
        <v>7.4666666666666603E-2</v>
      </c>
      <c r="AS21">
        <v>0.37066666666666598</v>
      </c>
      <c r="AU21">
        <v>-2.5000000000000001E-2</v>
      </c>
      <c r="AV21">
        <v>0.08</v>
      </c>
      <c r="AX21">
        <v>1</v>
      </c>
      <c r="BG21">
        <v>4.8128342245989303E-2</v>
      </c>
      <c r="BH21">
        <v>0.03</v>
      </c>
      <c r="BM21">
        <v>-0.31166666666666598</v>
      </c>
      <c r="BN21">
        <v>0.46833333333333299</v>
      </c>
      <c r="BP21">
        <v>-0.03</v>
      </c>
      <c r="BQ21">
        <v>0.115</v>
      </c>
      <c r="BS21">
        <v>6.4000000000000001E-2</v>
      </c>
      <c r="BT21">
        <v>0.35</v>
      </c>
      <c r="BV21">
        <v>1</v>
      </c>
      <c r="CB21">
        <v>-0.188</v>
      </c>
      <c r="CC21">
        <v>4.4117647058823498E-2</v>
      </c>
      <c r="CE21">
        <v>0.04</v>
      </c>
      <c r="CF21">
        <v>-7.3999999999999996E-2</v>
      </c>
      <c r="CH21">
        <v>0.17333333333333301</v>
      </c>
      <c r="CI21">
        <v>8.6021505376343996E-2</v>
      </c>
      <c r="CK21">
        <v>3.6764705882352901E-2</v>
      </c>
      <c r="CL21">
        <v>-0.20979020979020899</v>
      </c>
      <c r="CN21">
        <v>0.19400000000000001</v>
      </c>
      <c r="CO21">
        <v>0.14772727272727201</v>
      </c>
      <c r="CQ21">
        <v>9.5588235294117599E-2</v>
      </c>
      <c r="CR21">
        <v>0.27272727272727199</v>
      </c>
      <c r="CT21">
        <v>0.04</v>
      </c>
      <c r="CU21">
        <v>0.13600000000000001</v>
      </c>
      <c r="CW21">
        <v>0.05</v>
      </c>
      <c r="CX21">
        <v>-1.06666666666666E-2</v>
      </c>
      <c r="DC21">
        <v>0.31</v>
      </c>
      <c r="DD21">
        <v>-0.30841121495327101</v>
      </c>
      <c r="DF21">
        <v>0.16400000000000001</v>
      </c>
      <c r="DG21">
        <v>0.11</v>
      </c>
      <c r="DI21">
        <v>8.2666666666666597E-2</v>
      </c>
      <c r="DJ21">
        <v>-0.186</v>
      </c>
      <c r="DL21">
        <v>0.54439252336448596</v>
      </c>
      <c r="DM21">
        <v>-0.38235294117647001</v>
      </c>
      <c r="DO21">
        <v>-0.23200000000000001</v>
      </c>
      <c r="DP21">
        <v>0.54400000000000004</v>
      </c>
      <c r="DR21">
        <v>0.108108108108108</v>
      </c>
      <c r="DS21">
        <v>0.1002331002331</v>
      </c>
      <c r="DU21">
        <v>0.05</v>
      </c>
      <c r="DV21">
        <v>0.20879120879120799</v>
      </c>
      <c r="DX21">
        <v>0.62595419847328204</v>
      </c>
      <c r="DY21">
        <v>-0.60981308411214896</v>
      </c>
      <c r="EA21">
        <v>0.23599999999999999</v>
      </c>
      <c r="EB21">
        <v>2.27272727272727E-2</v>
      </c>
      <c r="ED21">
        <v>1</v>
      </c>
      <c r="EP21">
        <v>0.25225225225225201</v>
      </c>
      <c r="EQ21">
        <v>0.11799999999999999</v>
      </c>
      <c r="ES21">
        <v>0.198275862068965</v>
      </c>
      <c r="ET21">
        <v>-0.14399999999999999</v>
      </c>
      <c r="EV21">
        <f t="shared" si="0"/>
        <v>2.8436970269305469E-2</v>
      </c>
      <c r="EW21">
        <f t="shared" si="1"/>
        <v>0.12957263140177841</v>
      </c>
      <c r="EX21">
        <f t="shared" si="2"/>
        <v>7.3027097054410156E-2</v>
      </c>
    </row>
    <row r="22" spans="2:154" x14ac:dyDescent="0.25">
      <c r="E22">
        <v>0.23076923076923</v>
      </c>
      <c r="F22">
        <v>0.30379746835443</v>
      </c>
      <c r="H22">
        <v>5.1546391752577303E-2</v>
      </c>
      <c r="I22">
        <v>7.2072072072072002E-2</v>
      </c>
      <c r="N22">
        <v>5.1999999999999998E-2</v>
      </c>
      <c r="O22">
        <v>-0.01</v>
      </c>
      <c r="T22">
        <v>0.233333333333333</v>
      </c>
      <c r="U22">
        <v>0.12</v>
      </c>
      <c r="W22">
        <v>8.22510822510822E-2</v>
      </c>
      <c r="X22">
        <v>1</v>
      </c>
      <c r="Z22">
        <v>-8.2666666666666597E-2</v>
      </c>
      <c r="AA22">
        <v>0.12</v>
      </c>
      <c r="AC22">
        <v>0.39600000000000002</v>
      </c>
      <c r="AD22">
        <v>1</v>
      </c>
      <c r="AF22">
        <v>0.391666666666666</v>
      </c>
      <c r="AG22">
        <v>-0.22</v>
      </c>
      <c r="AI22">
        <v>3.3333333333333298E-2</v>
      </c>
      <c r="AJ22">
        <v>-4.0000000000000001E-3</v>
      </c>
      <c r="AL22">
        <v>1</v>
      </c>
      <c r="AR22">
        <v>1</v>
      </c>
      <c r="AU22">
        <v>0.05</v>
      </c>
      <c r="AV22">
        <v>0.216</v>
      </c>
      <c r="BG22">
        <v>0</v>
      </c>
      <c r="BH22">
        <v>0</v>
      </c>
      <c r="BM22">
        <v>-6.6666666666666596E-2</v>
      </c>
      <c r="BN22">
        <v>0.33566433566433501</v>
      </c>
      <c r="BP22">
        <v>5.0847457627118599E-2</v>
      </c>
      <c r="BQ22">
        <v>5.31914893617021E-2</v>
      </c>
      <c r="BS22">
        <v>0.20886075949367</v>
      </c>
      <c r="BT22">
        <v>-0.117021276595744</v>
      </c>
      <c r="CB22">
        <v>-0.29599999999999999</v>
      </c>
      <c r="CC22">
        <v>4.4999999999999998E-2</v>
      </c>
      <c r="CE22">
        <v>0.53600000000000003</v>
      </c>
      <c r="CF22">
        <v>1</v>
      </c>
      <c r="CH22">
        <v>0.46</v>
      </c>
      <c r="CI22">
        <v>-0.104</v>
      </c>
      <c r="CK22">
        <v>0</v>
      </c>
      <c r="CL22">
        <v>0.31135531135531103</v>
      </c>
      <c r="CN22">
        <v>0.28799999999999998</v>
      </c>
      <c r="CO22">
        <v>-1.9230769230769201E-2</v>
      </c>
      <c r="CQ22">
        <v>-8.1333333333333299E-2</v>
      </c>
      <c r="CR22">
        <v>0.248</v>
      </c>
      <c r="CT22">
        <v>2.6666666666666599E-2</v>
      </c>
      <c r="CU22">
        <v>6.9930069930069894E-2</v>
      </c>
      <c r="CW22">
        <v>6.9333333333333302E-2</v>
      </c>
      <c r="CX22">
        <v>-0.126582278481012</v>
      </c>
      <c r="DC22">
        <v>0.24399999999999999</v>
      </c>
      <c r="DD22">
        <v>-0.192</v>
      </c>
      <c r="DF22">
        <v>-0.103333333333333</v>
      </c>
      <c r="DG22">
        <v>3.6666666666666597E-2</v>
      </c>
      <c r="DI22">
        <v>3.9130434782608699E-2</v>
      </c>
      <c r="DJ22">
        <v>-0.13200000000000001</v>
      </c>
      <c r="DL22">
        <v>0.35294117647058798</v>
      </c>
      <c r="DM22">
        <v>-0.206666666666666</v>
      </c>
      <c r="DO22">
        <v>-0.32</v>
      </c>
      <c r="DP22">
        <v>0.54400000000000004</v>
      </c>
      <c r="DR22">
        <v>0.20300000000000001</v>
      </c>
      <c r="DS22">
        <v>0.13666666666666599</v>
      </c>
      <c r="DU22">
        <v>0.11206896551724101</v>
      </c>
      <c r="DV22">
        <v>0.23529411764705799</v>
      </c>
      <c r="DX22">
        <v>0.58833333333333304</v>
      </c>
      <c r="DY22">
        <v>-0.41499999999999998</v>
      </c>
      <c r="EA22">
        <v>0.04</v>
      </c>
      <c r="EB22">
        <v>1</v>
      </c>
      <c r="EP22">
        <v>1</v>
      </c>
      <c r="ES22">
        <v>3.8216560509554097E-2</v>
      </c>
      <c r="ET22">
        <v>0.04</v>
      </c>
      <c r="EV22">
        <f t="shared" si="0"/>
        <v>2.581186457579589E-2</v>
      </c>
      <c r="EW22">
        <f t="shared" si="1"/>
        <v>0.21757685407589322</v>
      </c>
      <c r="EX22">
        <f t="shared" si="2"/>
        <v>7.3027097054410156E-2</v>
      </c>
    </row>
    <row r="23" spans="2:154" x14ac:dyDescent="0.25">
      <c r="E23">
        <v>-0.28299999999999997</v>
      </c>
      <c r="F23">
        <v>0.44322344322344298</v>
      </c>
      <c r="H23">
        <v>-0.121739130434782</v>
      </c>
      <c r="I23">
        <v>3.4965034965034898E-2</v>
      </c>
      <c r="N23">
        <v>1</v>
      </c>
      <c r="T23">
        <v>1</v>
      </c>
      <c r="Z23">
        <v>0.53246753246753198</v>
      </c>
      <c r="AA23">
        <v>-0.14333333333333301</v>
      </c>
      <c r="AF23">
        <v>0.288333333333333</v>
      </c>
      <c r="AG23">
        <v>5.3333333333333297E-3</v>
      </c>
      <c r="AI23">
        <v>4.1958041958041897E-2</v>
      </c>
      <c r="AJ23">
        <v>-1.6949152542372801E-2</v>
      </c>
      <c r="AU23">
        <v>0.113924050632911</v>
      </c>
      <c r="AV23">
        <v>4.0000000000000001E-3</v>
      </c>
      <c r="BG23">
        <v>0</v>
      </c>
      <c r="BM23">
        <v>9.8666666666666597E-2</v>
      </c>
      <c r="BN23">
        <v>1</v>
      </c>
      <c r="BP23">
        <v>1</v>
      </c>
      <c r="BS23">
        <v>7.0000000000000007E-2</v>
      </c>
      <c r="BT23">
        <v>1</v>
      </c>
      <c r="CB23">
        <v>-0.253164556962025</v>
      </c>
      <c r="CC23">
        <v>3.59281437125748E-2</v>
      </c>
      <c r="CH23">
        <v>0.53846153846153799</v>
      </c>
      <c r="CI23">
        <v>-0.17016317016317001</v>
      </c>
      <c r="CK23">
        <v>5.3333333333333302E-2</v>
      </c>
      <c r="CL23">
        <v>0.51466666666666605</v>
      </c>
      <c r="CN23">
        <v>-0.15384615384615299</v>
      </c>
      <c r="CO23">
        <v>3.3333333333333298E-2</v>
      </c>
      <c r="CQ23">
        <v>5.5147058823529403E-2</v>
      </c>
      <c r="CR23">
        <v>1</v>
      </c>
      <c r="CT23">
        <v>0.08</v>
      </c>
      <c r="CU23">
        <v>2.7972027972027899E-2</v>
      </c>
      <c r="CW23">
        <v>7.4074074074074001E-2</v>
      </c>
      <c r="CX23">
        <v>0.57999999999999996</v>
      </c>
      <c r="DC23">
        <v>3.0534351145038101E-2</v>
      </c>
      <c r="DD23">
        <v>0.22800000000000001</v>
      </c>
      <c r="DF23">
        <v>-0.08</v>
      </c>
      <c r="DG23">
        <v>0.01</v>
      </c>
      <c r="DI23">
        <v>5.1470588235294101E-2</v>
      </c>
      <c r="DJ23">
        <v>1</v>
      </c>
      <c r="DL23">
        <v>0.19819819819819801</v>
      </c>
      <c r="DM23">
        <v>0</v>
      </c>
      <c r="DO23">
        <v>-0.25600000000000001</v>
      </c>
      <c r="DP23">
        <v>0.4</v>
      </c>
      <c r="DR23">
        <v>1</v>
      </c>
      <c r="DU23">
        <v>0.19318181818181801</v>
      </c>
      <c r="DV23">
        <v>0.17216117216117199</v>
      </c>
      <c r="DX23">
        <v>0.335443037974683</v>
      </c>
      <c r="DY23">
        <v>0.14371257485029901</v>
      </c>
      <c r="ES23">
        <v>4.65116279069767E-3</v>
      </c>
      <c r="ET23">
        <v>0.124</v>
      </c>
      <c r="EV23">
        <f t="shared" si="0"/>
        <v>4.5137818102300867E-3</v>
      </c>
      <c r="EW23">
        <f t="shared" si="1"/>
        <v>0.23626511857402466</v>
      </c>
      <c r="EX23">
        <f t="shared" si="2"/>
        <v>7.3027097054410156E-2</v>
      </c>
    </row>
    <row r="24" spans="2:154" x14ac:dyDescent="0.25">
      <c r="E24">
        <v>0</v>
      </c>
      <c r="F24">
        <v>0</v>
      </c>
      <c r="H24">
        <v>-0.01</v>
      </c>
      <c r="I24">
        <v>7.5949367088607597E-2</v>
      </c>
      <c r="Z24">
        <v>0.75975975975975896</v>
      </c>
      <c r="AA24">
        <v>-0.25925925925925902</v>
      </c>
      <c r="AF24">
        <v>0.16400000000000001</v>
      </c>
      <c r="AG24">
        <v>-6.6666666666666602E-3</v>
      </c>
      <c r="AI24">
        <v>0.30399999999999999</v>
      </c>
      <c r="AJ24">
        <v>0.628</v>
      </c>
      <c r="AU24">
        <v>5.1999999999999998E-2</v>
      </c>
      <c r="AV24">
        <v>0.376</v>
      </c>
      <c r="CB24">
        <v>-0.105333333333333</v>
      </c>
      <c r="CC24">
        <v>-3.1E-2</v>
      </c>
      <c r="CH24">
        <v>1</v>
      </c>
      <c r="CK24">
        <v>3.7037037037037E-2</v>
      </c>
      <c r="CL24">
        <v>1</v>
      </c>
      <c r="CN24">
        <v>-0.10126582278481</v>
      </c>
      <c r="CO24">
        <v>-6.3333333333333297E-2</v>
      </c>
      <c r="CT24">
        <v>0.28915662650602397</v>
      </c>
      <c r="CU24">
        <v>-0.14399999999999999</v>
      </c>
      <c r="CW24">
        <v>-0.28571428571428498</v>
      </c>
      <c r="CX24">
        <v>0.628</v>
      </c>
      <c r="DC24">
        <v>4.33333333333333E-2</v>
      </c>
      <c r="DD24">
        <v>0.30769230769230699</v>
      </c>
      <c r="DF24">
        <v>1.86915887850467E-2</v>
      </c>
      <c r="DG24">
        <v>6.5693430656934296E-2</v>
      </c>
      <c r="DL24">
        <v>0</v>
      </c>
      <c r="DM24">
        <v>0</v>
      </c>
      <c r="DO24">
        <v>0.23376623376623301</v>
      </c>
      <c r="DP24">
        <v>-8.3333333333333301E-2</v>
      </c>
      <c r="DU24">
        <v>0.1</v>
      </c>
      <c r="DV24">
        <v>0.66400000000000003</v>
      </c>
      <c r="DX24">
        <v>-0.23200000000000001</v>
      </c>
      <c r="DY24">
        <v>0.12616822429906499</v>
      </c>
      <c r="ES24">
        <v>0.104</v>
      </c>
      <c r="ET24">
        <v>1</v>
      </c>
      <c r="EV24">
        <f t="shared" si="0"/>
        <v>7.0394816241533239E-3</v>
      </c>
      <c r="EW24">
        <f t="shared" si="1"/>
        <v>0.1260673558658332</v>
      </c>
      <c r="EX24">
        <f t="shared" si="2"/>
        <v>7.3027097054410156E-2</v>
      </c>
    </row>
    <row r="25" spans="2:154" x14ac:dyDescent="0.25">
      <c r="E25">
        <v>0</v>
      </c>
      <c r="H25">
        <v>-0.13772455089820301</v>
      </c>
      <c r="I25">
        <v>0.03</v>
      </c>
      <c r="Z25">
        <v>1</v>
      </c>
      <c r="AF25">
        <v>0.06</v>
      </c>
      <c r="AG25">
        <v>0.11</v>
      </c>
      <c r="AI25">
        <v>0.18518518518518501</v>
      </c>
      <c r="AJ25">
        <v>0.91330645161290303</v>
      </c>
      <c r="AU25">
        <v>-0.184</v>
      </c>
      <c r="AV25">
        <v>2.5641025641025599E-2</v>
      </c>
      <c r="CB25">
        <v>0.32</v>
      </c>
      <c r="CC25">
        <v>-1.7999999999999999E-2</v>
      </c>
      <c r="CN25">
        <v>1</v>
      </c>
      <c r="CT25">
        <v>0.73599999999999999</v>
      </c>
      <c r="CU25">
        <v>0.27488151658767701</v>
      </c>
      <c r="CW25">
        <v>0</v>
      </c>
      <c r="DC25">
        <v>0.15129151291512899</v>
      </c>
      <c r="DD25">
        <v>1</v>
      </c>
      <c r="DF25">
        <v>1</v>
      </c>
      <c r="DO25">
        <v>7.4850299401197598E-2</v>
      </c>
      <c r="DP25">
        <v>0.82399999999999995</v>
      </c>
      <c r="DU25">
        <v>3.7037037037037E-2</v>
      </c>
      <c r="DV25">
        <v>1</v>
      </c>
      <c r="DX25">
        <v>0.14285714285714199</v>
      </c>
      <c r="DY25">
        <v>7.6666666666666605E-2</v>
      </c>
      <c r="EV25">
        <f t="shared" si="0"/>
        <v>1.4758244355857842E-2</v>
      </c>
      <c r="EW25">
        <f t="shared" si="1"/>
        <v>0.15768160138425735</v>
      </c>
      <c r="EX25">
        <f t="shared" si="2"/>
        <v>7.3027097054410156E-2</v>
      </c>
    </row>
    <row r="26" spans="2:154" x14ac:dyDescent="0.25">
      <c r="H26">
        <v>0.27</v>
      </c>
      <c r="I26">
        <v>5.6277056277056203E-2</v>
      </c>
      <c r="AF26">
        <v>0.45300000000000001</v>
      </c>
      <c r="AG26">
        <v>2E-3</v>
      </c>
      <c r="AI26">
        <v>0.73866666666666603</v>
      </c>
      <c r="AJ26">
        <v>1</v>
      </c>
      <c r="AU26">
        <v>6.3333333333333297E-2</v>
      </c>
      <c r="AV26">
        <v>0.38666666666666599</v>
      </c>
      <c r="CB26">
        <v>0.60333333333333306</v>
      </c>
      <c r="CC26">
        <v>0.56799999999999995</v>
      </c>
      <c r="CT26">
        <v>1</v>
      </c>
      <c r="DO26">
        <v>0.374</v>
      </c>
      <c r="DP26">
        <v>1</v>
      </c>
      <c r="DX26">
        <v>0.242666666666666</v>
      </c>
      <c r="DY26">
        <v>0.12666666666666601</v>
      </c>
      <c r="EV26">
        <f t="shared" si="0"/>
        <v>3.8578874458874431E-2</v>
      </c>
      <c r="EW26">
        <f t="shared" si="1"/>
        <v>9.9113333333333303E-2</v>
      </c>
      <c r="EX26">
        <f t="shared" si="2"/>
        <v>7.3027097054410156E-2</v>
      </c>
    </row>
    <row r="27" spans="2:154" x14ac:dyDescent="0.25">
      <c r="H27">
        <v>0.18833333333333299</v>
      </c>
      <c r="I27">
        <v>5.1051051051050997E-2</v>
      </c>
      <c r="AF27">
        <v>0.53600000000000003</v>
      </c>
      <c r="AG27">
        <v>0.443</v>
      </c>
      <c r="AU27">
        <v>0.31002331002331002</v>
      </c>
      <c r="AV27">
        <v>1</v>
      </c>
      <c r="CB27">
        <v>1</v>
      </c>
      <c r="DX27">
        <v>1</v>
      </c>
      <c r="EV27">
        <f>SUMIFS($A27:$ET27,A$2:ET$2,EV$2)/COUNTIF(A$2:ET$2,EV$2)</f>
        <v>1.6081487221487219E-2</v>
      </c>
      <c r="EW27">
        <f t="shared" si="1"/>
        <v>7.4486666666666659E-2</v>
      </c>
      <c r="EX27">
        <f t="shared" si="2"/>
        <v>7.3027097054410156E-2</v>
      </c>
    </row>
    <row r="28" spans="2:154" x14ac:dyDescent="0.25">
      <c r="H28">
        <v>1</v>
      </c>
      <c r="AF28">
        <v>1</v>
      </c>
      <c r="EV28">
        <f>SUMIFS($A28:$ET28,A$2:ET$2,EV$2)/COUNTIF(A$2:ET$2,EV$2)</f>
        <v>0</v>
      </c>
      <c r="EW28">
        <f t="shared" si="1"/>
        <v>0.04</v>
      </c>
      <c r="EX28">
        <f t="shared" si="2"/>
        <v>7.3027097054410156E-2</v>
      </c>
    </row>
    <row r="122" spans="3:3" x14ac:dyDescent="0.25">
      <c r="C122" s="1"/>
    </row>
    <row r="147" spans="1:24" x14ac:dyDescent="0.25">
      <c r="B147" t="s">
        <v>4</v>
      </c>
      <c r="C147">
        <v>5.1051051051050997E-2</v>
      </c>
      <c r="D147">
        <v>4.2042042042041997E-2</v>
      </c>
      <c r="E147">
        <v>2.6666666666666601E-3</v>
      </c>
      <c r="F147">
        <v>5.4054054054054002E-2</v>
      </c>
      <c r="G147">
        <v>7.5075075075075007E-2</v>
      </c>
      <c r="H147">
        <v>4.5045045045045001E-2</v>
      </c>
      <c r="I147">
        <v>3.7296037296037199E-2</v>
      </c>
      <c r="J147">
        <v>8.0838323353293398E-2</v>
      </c>
      <c r="K147">
        <v>5.8666666666666603E-2</v>
      </c>
      <c r="L147">
        <v>0.06</v>
      </c>
      <c r="M147">
        <v>0.04</v>
      </c>
      <c r="N147">
        <v>0.06</v>
      </c>
      <c r="O147">
        <v>5.6666666666666601E-2</v>
      </c>
      <c r="P147">
        <v>3.2710280373831703E-2</v>
      </c>
      <c r="Q147">
        <v>7.2463768115942004E-2</v>
      </c>
      <c r="R147">
        <v>0.101333333333333</v>
      </c>
      <c r="S147">
        <v>0.09</v>
      </c>
      <c r="T147">
        <v>8.5106382978723402E-2</v>
      </c>
      <c r="U147">
        <v>0.11799999999999999</v>
      </c>
    </row>
    <row r="148" spans="1:24" x14ac:dyDescent="0.25">
      <c r="A148" t="str">
        <f>"Game" &amp; (ROW(A148) - 1)/3  + 1</f>
        <v>Game50</v>
      </c>
    </row>
    <row r="149" spans="1:24" x14ac:dyDescent="0.25">
      <c r="B149" t="s">
        <v>4</v>
      </c>
      <c r="C149">
        <v>0.26315789473684198</v>
      </c>
      <c r="D149">
        <v>6.0060060060059997E-2</v>
      </c>
      <c r="E149">
        <v>3.7333333333333302E-2</v>
      </c>
      <c r="F149">
        <v>6.3063063063063002E-2</v>
      </c>
      <c r="G149">
        <v>4.67289719626168E-2</v>
      </c>
      <c r="H149">
        <v>6.0060060060059997E-2</v>
      </c>
      <c r="I149">
        <v>4.8000000000000001E-2</v>
      </c>
      <c r="J149">
        <v>8.1775700934579407E-2</v>
      </c>
      <c r="K149">
        <v>5.6000000000000001E-2</v>
      </c>
      <c r="L149">
        <v>6.0606060606060601E-2</v>
      </c>
      <c r="M149">
        <v>8.3832335329341298E-2</v>
      </c>
      <c r="N149">
        <v>6.8333333333333302E-2</v>
      </c>
      <c r="O149">
        <v>0.11</v>
      </c>
      <c r="P149">
        <v>-2.4E-2</v>
      </c>
      <c r="Q149">
        <v>7.4999999999999997E-2</v>
      </c>
      <c r="R149">
        <v>9.5000000000000001E-2</v>
      </c>
      <c r="S149">
        <v>0.102666666666666</v>
      </c>
      <c r="T149">
        <v>8.2666666666666597E-2</v>
      </c>
      <c r="U149">
        <v>0.198275862068965</v>
      </c>
      <c r="V149">
        <v>3.8216560509554097E-2</v>
      </c>
      <c r="W149">
        <v>4.65116279069767E-3</v>
      </c>
      <c r="X149">
        <v>0.104</v>
      </c>
    </row>
    <row r="150" spans="1:24" x14ac:dyDescent="0.25">
      <c r="B150" t="s">
        <v>7</v>
      </c>
      <c r="C150">
        <v>-6.6066066066066007E-2</v>
      </c>
      <c r="D150">
        <v>-0.101796407185628</v>
      </c>
      <c r="E150">
        <v>-5.8666666666666603E-2</v>
      </c>
      <c r="F150">
        <v>-0.117333333333333</v>
      </c>
      <c r="G150">
        <v>-5.4054054054054002E-2</v>
      </c>
      <c r="H150">
        <v>-0.109333333333333</v>
      </c>
      <c r="I150">
        <v>-2.6666666666666601E-3</v>
      </c>
      <c r="J150">
        <v>2.6666666666666601E-3</v>
      </c>
      <c r="K150">
        <v>-7.4766355140186896E-2</v>
      </c>
      <c r="L150">
        <v>-1.16550116550116E-2</v>
      </c>
      <c r="M150">
        <v>7.1999999999999995E-2</v>
      </c>
      <c r="N150">
        <v>-6.07476635514018E-2</v>
      </c>
      <c r="O150">
        <v>0.115</v>
      </c>
      <c r="P150">
        <v>9.6000000000000002E-2</v>
      </c>
      <c r="Q150">
        <v>-0.116822429906542</v>
      </c>
      <c r="R150">
        <v>0.114114114114114</v>
      </c>
      <c r="S150">
        <v>2.09790209790209E-2</v>
      </c>
      <c r="T150">
        <v>0.29032258064516098</v>
      </c>
      <c r="U150">
        <v>-0.14399999999999999</v>
      </c>
      <c r="V150">
        <v>0.04</v>
      </c>
      <c r="W150">
        <v>0.124</v>
      </c>
      <c r="X150">
        <v>1</v>
      </c>
    </row>
  </sheetData>
  <hyperlinks>
    <hyperlink ref="DR3" r:id="rId1" display="webpack://src/app/services/game/game.service.ts" xr:uid="{00000000-0004-0000-0200-000001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T150"/>
  <sheetViews>
    <sheetView topLeftCell="EH1" workbookViewId="0">
      <selection activeCell="AN19" sqref="AN19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8</v>
      </c>
      <c r="C2" t="s">
        <v>4</v>
      </c>
      <c r="E2" t="s">
        <v>4</v>
      </c>
      <c r="F2" t="s">
        <v>8</v>
      </c>
      <c r="H2" t="s">
        <v>8</v>
      </c>
      <c r="I2" t="s">
        <v>4</v>
      </c>
      <c r="K2" t="s">
        <v>4</v>
      </c>
      <c r="L2" t="s">
        <v>8</v>
      </c>
      <c r="N2" t="s">
        <v>8</v>
      </c>
      <c r="O2" t="s">
        <v>4</v>
      </c>
      <c r="Q2" t="s">
        <v>4</v>
      </c>
      <c r="R2" t="s">
        <v>8</v>
      </c>
      <c r="T2" t="s">
        <v>8</v>
      </c>
      <c r="U2" t="s">
        <v>4</v>
      </c>
      <c r="W2" t="s">
        <v>4</v>
      </c>
      <c r="X2" t="s">
        <v>8</v>
      </c>
      <c r="Z2" t="s">
        <v>8</v>
      </c>
      <c r="AA2" t="s">
        <v>4</v>
      </c>
      <c r="AC2" t="s">
        <v>4</v>
      </c>
      <c r="AD2" t="s">
        <v>8</v>
      </c>
      <c r="AF2" t="s">
        <v>8</v>
      </c>
      <c r="AG2" t="s">
        <v>4</v>
      </c>
      <c r="AI2" t="s">
        <v>4</v>
      </c>
      <c r="AJ2" t="s">
        <v>8</v>
      </c>
      <c r="AL2" t="s">
        <v>8</v>
      </c>
      <c r="AM2" t="s">
        <v>4</v>
      </c>
      <c r="AO2" t="s">
        <v>4</v>
      </c>
      <c r="AP2" t="s">
        <v>8</v>
      </c>
      <c r="AR2" t="s">
        <v>8</v>
      </c>
      <c r="AS2" t="s">
        <v>4</v>
      </c>
      <c r="AU2" t="s">
        <v>4</v>
      </c>
      <c r="AV2" t="s">
        <v>8</v>
      </c>
      <c r="AX2" t="s">
        <v>8</v>
      </c>
      <c r="AY2" t="s">
        <v>4</v>
      </c>
      <c r="BA2" t="s">
        <v>4</v>
      </c>
      <c r="BB2" t="s">
        <v>8</v>
      </c>
      <c r="BD2" t="s">
        <v>8</v>
      </c>
      <c r="BE2" t="s">
        <v>4</v>
      </c>
      <c r="BG2" t="s">
        <v>4</v>
      </c>
      <c r="BH2" t="s">
        <v>8</v>
      </c>
      <c r="BJ2" t="s">
        <v>8</v>
      </c>
      <c r="BK2" t="s">
        <v>4</v>
      </c>
      <c r="BM2" t="s">
        <v>4</v>
      </c>
      <c r="BN2" t="s">
        <v>8</v>
      </c>
      <c r="BP2" t="s">
        <v>8</v>
      </c>
      <c r="BQ2" t="s">
        <v>4</v>
      </c>
      <c r="BS2" t="s">
        <v>4</v>
      </c>
      <c r="BT2" t="s">
        <v>8</v>
      </c>
      <c r="BV2" t="s">
        <v>8</v>
      </c>
      <c r="BW2" t="s">
        <v>4</v>
      </c>
      <c r="BY2" t="s">
        <v>4</v>
      </c>
      <c r="BZ2" t="s">
        <v>8</v>
      </c>
      <c r="CB2" t="s">
        <v>8</v>
      </c>
      <c r="CC2" t="s">
        <v>4</v>
      </c>
      <c r="CE2" t="s">
        <v>4</v>
      </c>
      <c r="CF2" t="s">
        <v>8</v>
      </c>
      <c r="CH2" t="s">
        <v>8</v>
      </c>
      <c r="CI2" t="s">
        <v>4</v>
      </c>
      <c r="CK2" t="s">
        <v>4</v>
      </c>
      <c r="CL2" t="s">
        <v>8</v>
      </c>
      <c r="CN2" t="s">
        <v>8</v>
      </c>
      <c r="CO2" t="s">
        <v>4</v>
      </c>
      <c r="CQ2" t="s">
        <v>4</v>
      </c>
      <c r="CR2" t="s">
        <v>8</v>
      </c>
      <c r="CT2" t="s">
        <v>8</v>
      </c>
      <c r="CU2" t="s">
        <v>4</v>
      </c>
      <c r="CW2" t="s">
        <v>4</v>
      </c>
      <c r="CX2" t="s">
        <v>8</v>
      </c>
      <c r="CZ2" t="s">
        <v>8</v>
      </c>
      <c r="DA2" t="s">
        <v>4</v>
      </c>
      <c r="DC2" t="s">
        <v>4</v>
      </c>
      <c r="DD2" t="s">
        <v>8</v>
      </c>
      <c r="DF2" t="s">
        <v>8</v>
      </c>
      <c r="DG2" t="s">
        <v>4</v>
      </c>
      <c r="DI2" t="s">
        <v>4</v>
      </c>
      <c r="DJ2" t="s">
        <v>8</v>
      </c>
      <c r="DL2" t="s">
        <v>8</v>
      </c>
      <c r="DM2" t="s">
        <v>4</v>
      </c>
      <c r="DO2" t="s">
        <v>4</v>
      </c>
      <c r="DP2" t="s">
        <v>8</v>
      </c>
      <c r="DR2" t="s">
        <v>8</v>
      </c>
      <c r="DS2" t="s">
        <v>4</v>
      </c>
      <c r="DU2" t="s">
        <v>4</v>
      </c>
      <c r="DV2" t="s">
        <v>8</v>
      </c>
      <c r="DX2" t="s">
        <v>8</v>
      </c>
      <c r="DY2" t="s">
        <v>4</v>
      </c>
      <c r="EA2" t="s">
        <v>4</v>
      </c>
      <c r="EB2" t="s">
        <v>8</v>
      </c>
      <c r="ED2" t="s">
        <v>8</v>
      </c>
      <c r="EE2" t="s">
        <v>4</v>
      </c>
      <c r="EG2" t="s">
        <v>4</v>
      </c>
      <c r="EH2" t="s">
        <v>8</v>
      </c>
      <c r="EJ2" t="s">
        <v>8</v>
      </c>
      <c r="EK2" t="s">
        <v>4</v>
      </c>
      <c r="EM2" t="s">
        <v>4</v>
      </c>
      <c r="EN2" t="s">
        <v>8</v>
      </c>
      <c r="EP2" t="s">
        <v>8</v>
      </c>
      <c r="EQ2" t="s">
        <v>4</v>
      </c>
      <c r="ES2" t="s">
        <v>4</v>
      </c>
      <c r="ET2" t="s">
        <v>8</v>
      </c>
    </row>
    <row r="3" spans="1:150" x14ac:dyDescent="0.25">
      <c r="B3">
        <v>0.108108108108108</v>
      </c>
      <c r="C3">
        <v>-3.89221556886227E-2</v>
      </c>
      <c r="E3">
        <v>5.2631578947368397E-2</v>
      </c>
      <c r="F3">
        <v>-5.1051051051050997E-2</v>
      </c>
      <c r="H3">
        <v>0.157894736842105</v>
      </c>
      <c r="I3">
        <v>5.3333333333333297E-3</v>
      </c>
      <c r="K3">
        <v>5.4054054054054002E-2</v>
      </c>
      <c r="L3">
        <v>-0.14714714714714699</v>
      </c>
      <c r="N3">
        <v>5.4054054054054002E-2</v>
      </c>
      <c r="O3">
        <v>3.0030030030029999E-3</v>
      </c>
      <c r="Q3">
        <v>2.7027027027027001E-2</v>
      </c>
      <c r="R3">
        <v>-2.4024024024024E-2</v>
      </c>
      <c r="T3">
        <v>0.108108108108108</v>
      </c>
      <c r="U3">
        <v>2.9333333333333302E-2</v>
      </c>
      <c r="W3">
        <v>2.7027027027027001E-2</v>
      </c>
      <c r="X3">
        <v>-8.0838323353293398E-2</v>
      </c>
      <c r="Z3">
        <v>-2.7027027027027001E-2</v>
      </c>
      <c r="AA3">
        <v>2.7027027027027001E-2</v>
      </c>
      <c r="AC3">
        <v>0.24324324324324301</v>
      </c>
      <c r="AD3">
        <v>-0.108108108108108</v>
      </c>
      <c r="AF3">
        <v>-0.108108108108108</v>
      </c>
      <c r="AG3">
        <v>-2.9940119760479E-3</v>
      </c>
      <c r="AI3">
        <v>0.23684210526315699</v>
      </c>
      <c r="AJ3">
        <v>2.9333333333333302E-2</v>
      </c>
      <c r="AL3">
        <v>2.7027027027027001E-2</v>
      </c>
      <c r="AM3">
        <v>3.0030030030029999E-3</v>
      </c>
      <c r="AO3">
        <v>0.21621621621621601</v>
      </c>
      <c r="AP3">
        <v>-0.108108108108108</v>
      </c>
      <c r="AR3">
        <v>-5.4054054054054002E-2</v>
      </c>
      <c r="AS3">
        <v>-1.8018018018018001E-2</v>
      </c>
      <c r="AU3">
        <v>2.7027027027027001E-2</v>
      </c>
      <c r="AV3">
        <v>4.8048048048047999E-2</v>
      </c>
      <c r="AX3">
        <v>-0.162162162162162</v>
      </c>
      <c r="AY3">
        <v>-6.0060060060059999E-3</v>
      </c>
      <c r="BA3">
        <v>2.7027027027027001E-2</v>
      </c>
      <c r="BB3">
        <v>-9.5808383233532898E-2</v>
      </c>
      <c r="BD3">
        <v>-0.162162162162162</v>
      </c>
      <c r="BE3">
        <v>-1.8018018018018001E-2</v>
      </c>
      <c r="BG3">
        <v>-0.162162162162162</v>
      </c>
      <c r="BH3">
        <v>6.0060060060059999E-3</v>
      </c>
      <c r="BJ3">
        <v>0.105263157894736</v>
      </c>
      <c r="BK3">
        <v>3.9039039039038999E-2</v>
      </c>
      <c r="BM3">
        <v>0.23684210526315699</v>
      </c>
      <c r="BN3">
        <v>-0.144144144144144</v>
      </c>
      <c r="BP3">
        <v>-0.24324324324324301</v>
      </c>
      <c r="BQ3">
        <v>-2.9940119760479E-3</v>
      </c>
      <c r="BS3" t="s">
        <v>9</v>
      </c>
      <c r="BT3">
        <v>-4.5045045045045001E-2</v>
      </c>
      <c r="BV3">
        <v>-2.7027027027027001E-2</v>
      </c>
      <c r="BW3">
        <v>2.69461077844311E-2</v>
      </c>
      <c r="BY3">
        <v>0.162162162162162</v>
      </c>
      <c r="BZ3">
        <v>-1.8018018018018001E-2</v>
      </c>
      <c r="CB3">
        <v>2.7027027027027001E-2</v>
      </c>
      <c r="CC3">
        <v>-9.0090090090090003E-3</v>
      </c>
      <c r="CE3">
        <v>2.7027027027027001E-2</v>
      </c>
      <c r="CF3">
        <v>-0.15269461077844301</v>
      </c>
      <c r="CH3">
        <v>-5.4054054054054002E-2</v>
      </c>
      <c r="CI3">
        <v>2.09580838323353E-2</v>
      </c>
      <c r="CK3">
        <v>2.7027027027027001E-2</v>
      </c>
      <c r="CL3">
        <v>-8.1081081081081002E-2</v>
      </c>
      <c r="CN3">
        <v>0.18918918918918901</v>
      </c>
      <c r="CO3">
        <v>2.1021021021020998E-2</v>
      </c>
      <c r="CQ3">
        <v>-0.162162162162162</v>
      </c>
      <c r="CR3">
        <v>-6.9333333333333302E-2</v>
      </c>
      <c r="CT3">
        <v>0.32432432432432401</v>
      </c>
      <c r="CU3">
        <v>1.2012012012012E-2</v>
      </c>
      <c r="CW3">
        <v>0.18421052631578899</v>
      </c>
      <c r="CX3">
        <v>9.0090090090090003E-3</v>
      </c>
      <c r="CZ3">
        <v>-0.135135135135135</v>
      </c>
      <c r="DA3">
        <v>6.0060060060059999E-3</v>
      </c>
      <c r="DC3">
        <v>0.24324324324324301</v>
      </c>
      <c r="DD3">
        <v>-2.9333333333333302E-2</v>
      </c>
      <c r="DF3">
        <v>-8.1081081081081002E-2</v>
      </c>
      <c r="DG3">
        <v>5.9880239520958001E-3</v>
      </c>
      <c r="DI3">
        <v>-0.162162162162162</v>
      </c>
      <c r="DJ3">
        <v>-4.2666666666666603E-2</v>
      </c>
      <c r="DL3">
        <v>-0.135135135135135</v>
      </c>
      <c r="DM3">
        <v>1.19760479041916E-2</v>
      </c>
      <c r="DO3">
        <v>2.7027027027027001E-2</v>
      </c>
      <c r="DP3">
        <v>-3.7333333333333302E-2</v>
      </c>
      <c r="DR3">
        <v>0</v>
      </c>
      <c r="DS3">
        <v>2.09580838323353E-2</v>
      </c>
      <c r="DU3">
        <v>2.7027027027027001E-2</v>
      </c>
      <c r="DV3">
        <v>0</v>
      </c>
      <c r="DX3">
        <v>0.162162162162162</v>
      </c>
      <c r="DY3">
        <v>-1.8018018018018001E-2</v>
      </c>
      <c r="EA3">
        <v>0.21621621621621601</v>
      </c>
      <c r="EB3">
        <v>-7.4850299401197598E-2</v>
      </c>
      <c r="ED3">
        <v>8.1081081081081002E-2</v>
      </c>
      <c r="EE3">
        <v>0</v>
      </c>
      <c r="EG3">
        <v>2.7027027027027001E-2</v>
      </c>
      <c r="EH3">
        <v>-3.6036036036036001E-2</v>
      </c>
      <c r="EJ3">
        <v>-0.108108108108108</v>
      </c>
      <c r="EK3">
        <v>6.0060060060059999E-3</v>
      </c>
      <c r="EM3">
        <v>-0.162162162162162</v>
      </c>
      <c r="EN3">
        <v>-6.6066066066066007E-2</v>
      </c>
      <c r="EP3">
        <v>2.7027027027027001E-2</v>
      </c>
      <c r="EQ3">
        <v>1.19760479041916E-2</v>
      </c>
      <c r="ES3">
        <v>-0.162162162162162</v>
      </c>
      <c r="ET3">
        <v>0</v>
      </c>
    </row>
    <row r="4" spans="1:150" x14ac:dyDescent="0.25">
      <c r="B4">
        <v>0.192192192192192</v>
      </c>
      <c r="C4">
        <v>-8.7087087087086998E-2</v>
      </c>
      <c r="E4">
        <v>2.4024024024024E-2</v>
      </c>
      <c r="F4">
        <v>-2.4E-2</v>
      </c>
      <c r="H4">
        <v>2.09580838323353E-2</v>
      </c>
      <c r="I4">
        <v>-1.16822429906542E-2</v>
      </c>
      <c r="K4">
        <v>1.49700598802395E-2</v>
      </c>
      <c r="L4">
        <v>-0.109333333333333</v>
      </c>
      <c r="N4">
        <v>-5.9880239520958001E-2</v>
      </c>
      <c r="O4">
        <v>3.0030030030029999E-2</v>
      </c>
      <c r="Q4">
        <v>2.6666666666666599E-2</v>
      </c>
      <c r="R4">
        <v>-9.90990990990991E-2</v>
      </c>
      <c r="T4">
        <v>9.8802395209580798E-2</v>
      </c>
      <c r="U4">
        <v>5.8666666666666603E-2</v>
      </c>
      <c r="W4">
        <v>1.06666666666666E-2</v>
      </c>
      <c r="X4">
        <v>5.9880239520958001E-2</v>
      </c>
      <c r="Z4">
        <v>-1.79640718562874E-2</v>
      </c>
      <c r="AA4">
        <v>-3.0030030030029999E-3</v>
      </c>
      <c r="AC4">
        <v>8.0000000000000002E-3</v>
      </c>
      <c r="AD4">
        <v>1.2012012012012E-2</v>
      </c>
      <c r="AF4">
        <v>5.1051051051050997E-2</v>
      </c>
      <c r="AG4">
        <v>-1.6E-2</v>
      </c>
      <c r="AI4">
        <v>2.7027027027027001E-2</v>
      </c>
      <c r="AJ4">
        <v>5.7057057057056999E-2</v>
      </c>
      <c r="AL4">
        <v>2.4024024024024E-2</v>
      </c>
      <c r="AM4">
        <v>1.06666666666666E-2</v>
      </c>
      <c r="AO4">
        <v>3.0030030030029999E-3</v>
      </c>
      <c r="AP4">
        <v>2.7027027027027001E-2</v>
      </c>
      <c r="AR4">
        <v>0.101796407185628</v>
      </c>
      <c r="AS4">
        <v>2.9333333333333302E-2</v>
      </c>
      <c r="AU4">
        <v>2.4024024024024E-2</v>
      </c>
      <c r="AV4">
        <v>-0.08</v>
      </c>
      <c r="AX4">
        <v>7.4666666666666603E-2</v>
      </c>
      <c r="AY4">
        <v>0</v>
      </c>
      <c r="BA4">
        <v>2.69461077844311E-2</v>
      </c>
      <c r="BB4">
        <v>-9.3333333333333296E-2</v>
      </c>
      <c r="BD4">
        <v>5.3892215568862201E-2</v>
      </c>
      <c r="BE4">
        <v>2.6666666666666599E-2</v>
      </c>
      <c r="BG4">
        <v>2.7027027027027001E-2</v>
      </c>
      <c r="BH4">
        <v>-3.3033033033033003E-2</v>
      </c>
      <c r="BJ4">
        <v>0</v>
      </c>
      <c r="BK4">
        <v>-2.7027027027027001E-2</v>
      </c>
      <c r="BM4">
        <v>0</v>
      </c>
      <c r="BN4">
        <v>-5.8666666666666603E-2</v>
      </c>
      <c r="BP4">
        <v>6.3063063063063002E-2</v>
      </c>
      <c r="BQ4">
        <v>5.6886227544910101E-2</v>
      </c>
      <c r="BT4">
        <v>-1.2012012012012E-2</v>
      </c>
      <c r="BV4">
        <v>1.2012012012012E-2</v>
      </c>
      <c r="BW4">
        <v>1.49700598802395E-2</v>
      </c>
      <c r="BY4">
        <v>2.7027027027027001E-2</v>
      </c>
      <c r="BZ4">
        <v>-1.06666666666666E-2</v>
      </c>
      <c r="CB4">
        <v>8.5333333333333303E-2</v>
      </c>
      <c r="CC4">
        <v>9.0090090090090003E-3</v>
      </c>
      <c r="CE4">
        <v>-2.9940119760479E-3</v>
      </c>
      <c r="CF4">
        <v>-4.2666666666666603E-2</v>
      </c>
      <c r="CH4">
        <v>-4.8048048048047999E-2</v>
      </c>
      <c r="CI4">
        <v>1.8666666666666599E-2</v>
      </c>
      <c r="CK4">
        <v>3.3033033033033003E-2</v>
      </c>
      <c r="CL4">
        <v>-0.08</v>
      </c>
      <c r="CN4">
        <v>9.5808383233532898E-2</v>
      </c>
      <c r="CO4">
        <v>-8.0000000000000002E-3</v>
      </c>
      <c r="CQ4">
        <v>1.5015015015014999E-2</v>
      </c>
      <c r="CR4">
        <v>-1.16822429906542E-2</v>
      </c>
      <c r="CT4">
        <v>-3.3033033033033003E-2</v>
      </c>
      <c r="CU4">
        <v>1.79640718562874E-2</v>
      </c>
      <c r="CW4">
        <v>5.9880239520958001E-2</v>
      </c>
      <c r="CX4">
        <v>-9.0090090090090003E-2</v>
      </c>
      <c r="CZ4">
        <v>-5.7057057057056999E-2</v>
      </c>
      <c r="DA4">
        <v>1.79640718562874E-2</v>
      </c>
      <c r="DC4">
        <v>1.8018018018018001E-2</v>
      </c>
      <c r="DD4">
        <v>2.09580838323353E-2</v>
      </c>
      <c r="DF4">
        <v>9.5808383233532898E-2</v>
      </c>
      <c r="DG4">
        <v>3.6036036036036001E-2</v>
      </c>
      <c r="DI4">
        <v>1.2012012012012E-2</v>
      </c>
      <c r="DJ4">
        <v>-3.0030030030029999E-3</v>
      </c>
      <c r="DL4">
        <v>7.1856287425149698E-2</v>
      </c>
      <c r="DM4">
        <v>-3.0030030030029999E-3</v>
      </c>
      <c r="DO4">
        <v>2.7027027027027001E-2</v>
      </c>
      <c r="DP4">
        <v>-5.4054054054054002E-2</v>
      </c>
      <c r="DR4">
        <v>-3.3033033033033003E-2</v>
      </c>
      <c r="DS4">
        <v>2.1021021021020998E-2</v>
      </c>
      <c r="DU4">
        <v>2.39520958083832E-2</v>
      </c>
      <c r="DV4">
        <v>-2.9333333333333302E-2</v>
      </c>
      <c r="DX4">
        <v>3.0030030030029999E-2</v>
      </c>
      <c r="DY4">
        <v>-1.8018018018018001E-2</v>
      </c>
      <c r="EA4">
        <v>2.6666666666666601E-3</v>
      </c>
      <c r="EB4">
        <v>0.156156156156156</v>
      </c>
      <c r="ED4">
        <v>0.101333333333333</v>
      </c>
      <c r="EE4">
        <v>4.8048048048047999E-2</v>
      </c>
      <c r="EG4">
        <v>1.8018018018018001E-2</v>
      </c>
      <c r="EH4">
        <v>-1.8666666666666599E-2</v>
      </c>
      <c r="EJ4">
        <v>-2.7027027027027001E-2</v>
      </c>
      <c r="EK4">
        <v>2.9333333333333302E-2</v>
      </c>
      <c r="EM4">
        <v>8.0000000000000002E-3</v>
      </c>
      <c r="EN4">
        <v>1.49700598802395E-2</v>
      </c>
      <c r="EP4">
        <v>7.5075075075075007E-2</v>
      </c>
      <c r="EQ4">
        <v>6.0060060060059997E-2</v>
      </c>
      <c r="ES4">
        <v>1.8018018018018001E-2</v>
      </c>
      <c r="ET4">
        <v>1.8018018018018001E-2</v>
      </c>
    </row>
    <row r="5" spans="1:150" x14ac:dyDescent="0.25">
      <c r="B5">
        <v>0.15466666666666601</v>
      </c>
      <c r="C5">
        <v>-6.6666666666666596E-2</v>
      </c>
      <c r="E5">
        <v>3.9039039039038999E-2</v>
      </c>
      <c r="F5">
        <v>-7.5075075075075007E-2</v>
      </c>
      <c r="H5">
        <v>4.4910179640718501E-2</v>
      </c>
      <c r="I5">
        <v>5.8666666666666603E-2</v>
      </c>
      <c r="K5">
        <v>-2.9940119760479E-3</v>
      </c>
      <c r="L5">
        <v>-2.3310023310023301E-2</v>
      </c>
      <c r="N5">
        <v>6.3063063063063002E-2</v>
      </c>
      <c r="O5">
        <v>5.6886227544910101E-2</v>
      </c>
      <c r="Q5">
        <v>1.16822429906542E-2</v>
      </c>
      <c r="R5">
        <v>-5.6886227544910101E-2</v>
      </c>
      <c r="T5">
        <v>-1.8018018018018001E-2</v>
      </c>
      <c r="U5">
        <v>3.0030030030029999E-2</v>
      </c>
      <c r="W5">
        <v>4.4910179640718501E-2</v>
      </c>
      <c r="X5">
        <v>-3.3033033033033003E-2</v>
      </c>
      <c r="Z5">
        <v>7.4850299401197598E-2</v>
      </c>
      <c r="AA5">
        <v>4.8048048048047999E-2</v>
      </c>
      <c r="AC5">
        <v>3.3033033033033003E-2</v>
      </c>
      <c r="AD5">
        <v>-0.117333333333333</v>
      </c>
      <c r="AF5">
        <v>-8.9820359281437105E-3</v>
      </c>
      <c r="AG5">
        <v>-1.06666666666666E-2</v>
      </c>
      <c r="AI5">
        <v>3.4666666666666603E-2</v>
      </c>
      <c r="AJ5">
        <v>-9.0090090090090003E-2</v>
      </c>
      <c r="AL5">
        <v>-1.8018018018018001E-2</v>
      </c>
      <c r="AM5">
        <v>5.3333333333333297E-3</v>
      </c>
      <c r="AO5">
        <v>3.6036036036036001E-2</v>
      </c>
      <c r="AP5">
        <v>-8.5333333333333303E-2</v>
      </c>
      <c r="AR5">
        <v>4.4910179640718501E-2</v>
      </c>
      <c r="AS5">
        <v>2.8037383177569999E-2</v>
      </c>
      <c r="AU5">
        <v>1.6E-2</v>
      </c>
      <c r="AV5">
        <v>-5.9880239520958001E-2</v>
      </c>
      <c r="AX5">
        <v>0.14714714714714699</v>
      </c>
      <c r="AY5">
        <v>2.6666666666666599E-2</v>
      </c>
      <c r="BA5">
        <v>8.0000000000000002E-3</v>
      </c>
      <c r="BB5">
        <v>-7.2072072072072002E-2</v>
      </c>
      <c r="BD5">
        <v>5.0666666666666603E-2</v>
      </c>
      <c r="BE5">
        <v>-3.0030030030029999E-2</v>
      </c>
      <c r="BG5">
        <v>1.3333333333333299E-2</v>
      </c>
      <c r="BH5">
        <v>3.2710280373831703E-2</v>
      </c>
      <c r="BJ5">
        <v>8.1081081081081002E-2</v>
      </c>
      <c r="BK5">
        <v>0.04</v>
      </c>
      <c r="BM5">
        <v>4.2042042042041997E-2</v>
      </c>
      <c r="BN5">
        <v>-6.3063063063063002E-2</v>
      </c>
      <c r="BP5">
        <v>-6.0060060060059999E-3</v>
      </c>
      <c r="BQ5">
        <v>1.2012012012012E-2</v>
      </c>
      <c r="BT5">
        <v>-0.04</v>
      </c>
      <c r="BV5">
        <v>6.4000000000000001E-2</v>
      </c>
      <c r="BW5">
        <v>1.8666666666666599E-2</v>
      </c>
      <c r="BY5">
        <v>3.3033033033033003E-2</v>
      </c>
      <c r="BZ5">
        <v>-6.6666666666666596E-2</v>
      </c>
      <c r="CB5">
        <v>-3.7333333333333302E-2</v>
      </c>
      <c r="CC5">
        <v>9.0090090090090003E-3</v>
      </c>
      <c r="CE5">
        <v>3.9039039039038999E-2</v>
      </c>
      <c r="CF5">
        <v>-9.0090090090090003E-2</v>
      </c>
      <c r="CH5">
        <v>4.5045045045045001E-2</v>
      </c>
      <c r="CI5">
        <v>4.6620046620046603E-2</v>
      </c>
      <c r="CK5">
        <v>0</v>
      </c>
      <c r="CL5">
        <v>1.06666666666666E-2</v>
      </c>
      <c r="CN5">
        <v>-4.6620046620046603E-3</v>
      </c>
      <c r="CO5">
        <v>3.0030030030029999E-2</v>
      </c>
      <c r="CQ5">
        <v>8.9820359281437105E-3</v>
      </c>
      <c r="CR5">
        <v>-4.8048048048047999E-2</v>
      </c>
      <c r="CT5">
        <v>5.1051051051050997E-2</v>
      </c>
      <c r="CU5">
        <v>4.8048048048047999E-2</v>
      </c>
      <c r="CW5">
        <v>9.0090090090090003E-3</v>
      </c>
      <c r="CX5">
        <v>-2.7027027027027001E-2</v>
      </c>
      <c r="CZ5">
        <v>-3.9039039039038999E-2</v>
      </c>
      <c r="DA5">
        <v>1.8666666666666599E-2</v>
      </c>
      <c r="DC5">
        <v>3.6036036036036001E-2</v>
      </c>
      <c r="DD5">
        <v>3.9039039039038999E-2</v>
      </c>
      <c r="DF5">
        <v>8.4084084084083993E-2</v>
      </c>
      <c r="DG5">
        <v>6.1333333333333302E-2</v>
      </c>
      <c r="DI5">
        <v>3.6036036036036001E-2</v>
      </c>
      <c r="DJ5">
        <v>9.5808383233532898E-2</v>
      </c>
      <c r="DL5">
        <v>-3.0030030030029999E-3</v>
      </c>
      <c r="DM5">
        <v>2.9940119760479E-2</v>
      </c>
      <c r="DO5">
        <v>2.6666666666666601E-3</v>
      </c>
      <c r="DP5">
        <v>-9.34579439252336E-2</v>
      </c>
      <c r="DR5">
        <v>-2.4E-2</v>
      </c>
      <c r="DS5">
        <v>3.2000000000000001E-2</v>
      </c>
      <c r="DU5">
        <v>4.2042042042041997E-2</v>
      </c>
      <c r="DV5">
        <v>-9.2814371257484998E-2</v>
      </c>
      <c r="DX5">
        <v>0.101333333333333</v>
      </c>
      <c r="DY5">
        <v>-4.5045045045045001E-2</v>
      </c>
      <c r="EA5">
        <v>8.1081081081081002E-2</v>
      </c>
      <c r="EB5">
        <v>-4.4910179640718501E-2</v>
      </c>
      <c r="ED5">
        <v>9.11214953271028E-2</v>
      </c>
      <c r="EE5">
        <v>6.0060060060059999E-3</v>
      </c>
      <c r="EG5">
        <v>2.4024024024024E-2</v>
      </c>
      <c r="EH5">
        <v>-5.4054054054054002E-2</v>
      </c>
      <c r="EJ5">
        <v>3.9039039039038999E-2</v>
      </c>
      <c r="EK5">
        <v>3.7333333333333302E-2</v>
      </c>
      <c r="EM5">
        <v>3.3033033033033003E-2</v>
      </c>
      <c r="EN5">
        <v>-5.0898203592814301E-2</v>
      </c>
      <c r="EP5">
        <v>2.39520958083832E-2</v>
      </c>
      <c r="EQ5">
        <v>2.1333333333333301E-2</v>
      </c>
      <c r="ES5">
        <v>3.3033033033033003E-2</v>
      </c>
      <c r="ET5">
        <v>5.0898203592814301E-2</v>
      </c>
    </row>
    <row r="6" spans="1:150" x14ac:dyDescent="0.25">
      <c r="B6">
        <v>-9.3240093240093205E-3</v>
      </c>
      <c r="C6">
        <v>7.5075075075075007E-2</v>
      </c>
      <c r="E6">
        <v>3.03030303030303E-2</v>
      </c>
      <c r="F6">
        <v>-5.8666666666666603E-2</v>
      </c>
      <c r="H6">
        <v>-2.9333333333333302E-2</v>
      </c>
      <c r="I6">
        <v>4.2042042042041997E-2</v>
      </c>
      <c r="K6">
        <v>4.5045045045045001E-2</v>
      </c>
      <c r="L6">
        <v>-0.13066666666666599</v>
      </c>
      <c r="N6">
        <v>6.1333333333333302E-2</v>
      </c>
      <c r="O6">
        <v>0</v>
      </c>
      <c r="Q6">
        <v>1.8018018018018001E-2</v>
      </c>
      <c r="R6">
        <v>1.4E-2</v>
      </c>
      <c r="T6">
        <v>0.109557109557109</v>
      </c>
      <c r="U6">
        <v>8.9820359281437105E-3</v>
      </c>
      <c r="W6">
        <v>6.0060060060059999E-3</v>
      </c>
      <c r="X6">
        <v>-3.0030030030029999E-2</v>
      </c>
      <c r="Z6">
        <v>-2.4E-2</v>
      </c>
      <c r="AA6">
        <v>1.8018018018018001E-2</v>
      </c>
      <c r="AC6">
        <v>0</v>
      </c>
      <c r="AD6">
        <v>-2.6666666666666599E-2</v>
      </c>
      <c r="AF6">
        <v>8.9820359281437105E-3</v>
      </c>
      <c r="AG6">
        <v>2.9333333333333302E-2</v>
      </c>
      <c r="AI6">
        <v>1.6E-2</v>
      </c>
      <c r="AJ6">
        <v>-7.4766355140186896E-2</v>
      </c>
      <c r="AL6">
        <v>-3.6036036036036001E-2</v>
      </c>
      <c r="AM6">
        <v>-5.3333333333333297E-3</v>
      </c>
      <c r="AO6">
        <v>5.9880239520958001E-3</v>
      </c>
      <c r="AP6">
        <v>-0.12533333333333299</v>
      </c>
      <c r="AR6">
        <v>0.11377245508981999</v>
      </c>
      <c r="AS6">
        <v>1.8018018018018001E-2</v>
      </c>
      <c r="AU6">
        <v>4.4392523364485903E-2</v>
      </c>
      <c r="AV6">
        <v>-9.90990990990991E-2</v>
      </c>
      <c r="AX6">
        <v>9.3333333333333296E-2</v>
      </c>
      <c r="AY6">
        <v>-2.9940119760479E-2</v>
      </c>
      <c r="BA6">
        <v>8.9820359281437105E-3</v>
      </c>
      <c r="BB6">
        <v>1.49700598802395E-2</v>
      </c>
      <c r="BD6">
        <v>0.123831775700934</v>
      </c>
      <c r="BE6">
        <v>4.54545454545454E-2</v>
      </c>
      <c r="BG6">
        <v>3.0030030030029999E-2</v>
      </c>
      <c r="BH6">
        <v>5.4054054054054002E-2</v>
      </c>
      <c r="BJ6">
        <v>2.6666666666666601E-3</v>
      </c>
      <c r="BK6">
        <v>2.7027027027027001E-2</v>
      </c>
      <c r="BM6">
        <v>1.8018018018018001E-2</v>
      </c>
      <c r="BN6">
        <v>-3.4666666666666603E-2</v>
      </c>
      <c r="BP6">
        <v>-5.6000000000000001E-2</v>
      </c>
      <c r="BQ6">
        <v>2.7027027027027001E-2</v>
      </c>
      <c r="BT6">
        <v>-8.7999999999999995E-2</v>
      </c>
      <c r="BV6">
        <v>3.2000000000000001E-2</v>
      </c>
      <c r="BW6">
        <v>3.59281437125748E-2</v>
      </c>
      <c r="BY6">
        <v>3.59281437125748E-2</v>
      </c>
      <c r="BZ6">
        <v>-1.5015015015014999E-2</v>
      </c>
      <c r="CB6">
        <v>0.101333333333333</v>
      </c>
      <c r="CC6">
        <v>-4.6620046620046603E-3</v>
      </c>
      <c r="CE6">
        <v>1.49700598802395E-2</v>
      </c>
      <c r="CF6">
        <v>0</v>
      </c>
      <c r="CH6">
        <v>1.79640718562874E-2</v>
      </c>
      <c r="CI6">
        <v>4.8000000000000001E-2</v>
      </c>
      <c r="CK6">
        <v>2.3310023310023301E-2</v>
      </c>
      <c r="CL6">
        <v>2.9940119760479E-2</v>
      </c>
      <c r="CN6">
        <v>-5.6886227544910101E-2</v>
      </c>
      <c r="CO6">
        <v>1.06666666666666E-2</v>
      </c>
      <c r="CQ6">
        <v>4.5045045045045001E-2</v>
      </c>
      <c r="CR6">
        <v>-3.0030030030029999E-3</v>
      </c>
      <c r="CT6">
        <v>-1.2012012012012E-2</v>
      </c>
      <c r="CU6">
        <v>2.6666666666666599E-2</v>
      </c>
      <c r="CW6">
        <v>2.4024024024024E-2</v>
      </c>
      <c r="CX6">
        <v>-8.6826347305389198E-2</v>
      </c>
      <c r="CZ6">
        <v>0</v>
      </c>
      <c r="DA6">
        <v>1.6E-2</v>
      </c>
      <c r="DC6">
        <v>4.67289719626168E-2</v>
      </c>
      <c r="DD6">
        <v>-4.5333333333333302E-2</v>
      </c>
      <c r="DF6">
        <v>-2.9940119760479E-3</v>
      </c>
      <c r="DG6">
        <v>-2.6666666666666601E-3</v>
      </c>
      <c r="DI6">
        <v>4.2042042042041997E-2</v>
      </c>
      <c r="DJ6">
        <v>-8.9820359281437105E-3</v>
      </c>
      <c r="DL6">
        <v>4.2666666666666603E-2</v>
      </c>
      <c r="DM6">
        <v>3.4666666666666603E-2</v>
      </c>
      <c r="DO6">
        <v>2.69461077844311E-2</v>
      </c>
      <c r="DP6">
        <v>-6.0060060060059997E-2</v>
      </c>
      <c r="DR6">
        <v>-4.8048048048047999E-2</v>
      </c>
      <c r="DS6">
        <v>-5.3333333333333297E-3</v>
      </c>
      <c r="DU6">
        <v>9.3240093240093205E-3</v>
      </c>
      <c r="DV6">
        <v>3.59281437125748E-2</v>
      </c>
      <c r="DX6">
        <v>9.6096096096096095E-2</v>
      </c>
      <c r="DY6">
        <v>2.1333333333333301E-2</v>
      </c>
      <c r="EA6">
        <v>5.1282051282051197E-2</v>
      </c>
      <c r="EB6">
        <v>-0.10666666666666599</v>
      </c>
      <c r="ED6">
        <v>1.8666666666666599E-2</v>
      </c>
      <c r="EE6">
        <v>3.0030030030029999E-3</v>
      </c>
      <c r="EG6">
        <v>2.69461077844311E-2</v>
      </c>
      <c r="EH6">
        <v>-2.6666666666666601E-3</v>
      </c>
      <c r="EJ6">
        <v>0.101796407185628</v>
      </c>
      <c r="EK6">
        <v>2.4024024024024E-2</v>
      </c>
      <c r="EM6">
        <v>1.49700598802395E-2</v>
      </c>
      <c r="EN6">
        <v>-6.9333333333333302E-2</v>
      </c>
      <c r="EP6">
        <v>0.12266666666666599</v>
      </c>
      <c r="EQ6">
        <v>4.8048048048047999E-2</v>
      </c>
      <c r="ES6">
        <v>3.6036036036036001E-2</v>
      </c>
      <c r="ET6">
        <v>5.3333333333333297E-3</v>
      </c>
    </row>
    <row r="7" spans="1:150" x14ac:dyDescent="0.25">
      <c r="B7">
        <v>-3.9039039039038999E-2</v>
      </c>
      <c r="C7">
        <v>2.4E-2</v>
      </c>
      <c r="E7">
        <v>1.8666666666666599E-2</v>
      </c>
      <c r="F7">
        <v>-6.0060060060059997E-2</v>
      </c>
      <c r="H7">
        <v>3.89221556886227E-2</v>
      </c>
      <c r="I7">
        <v>7.2072072072072002E-2</v>
      </c>
      <c r="K7">
        <v>1.06666666666666E-2</v>
      </c>
      <c r="L7">
        <v>-9.0090090090090003E-3</v>
      </c>
      <c r="N7">
        <v>0.04</v>
      </c>
      <c r="O7">
        <v>0.04</v>
      </c>
      <c r="Q7">
        <v>4.8000000000000001E-2</v>
      </c>
      <c r="R7">
        <v>0</v>
      </c>
      <c r="T7">
        <v>9.90990990990991E-2</v>
      </c>
      <c r="U7">
        <v>-2.4024024024024E-2</v>
      </c>
      <c r="W7">
        <v>2.9333333333333302E-2</v>
      </c>
      <c r="X7">
        <v>0</v>
      </c>
      <c r="Z7">
        <v>0.08</v>
      </c>
      <c r="AA7">
        <v>1.6E-2</v>
      </c>
      <c r="AC7">
        <v>2.6666666666666599E-2</v>
      </c>
      <c r="AD7">
        <v>2.3364485981308401E-3</v>
      </c>
      <c r="AF7">
        <v>1.06666666666666E-2</v>
      </c>
      <c r="AG7">
        <v>6.3063063063063002E-2</v>
      </c>
      <c r="AI7">
        <v>1.3333333333333299E-2</v>
      </c>
      <c r="AJ7">
        <v>-4.6620046620046603E-2</v>
      </c>
      <c r="AL7">
        <v>1.6355140186915799E-2</v>
      </c>
      <c r="AM7">
        <v>3.7296037296037199E-2</v>
      </c>
      <c r="AO7">
        <v>3.6036036036036001E-2</v>
      </c>
      <c r="AP7">
        <v>-0.114114114114114</v>
      </c>
      <c r="AR7">
        <v>0.04</v>
      </c>
      <c r="AS7">
        <v>8.0000000000000002E-3</v>
      </c>
      <c r="AU7">
        <v>0</v>
      </c>
      <c r="AV7">
        <v>1.19760479041916E-2</v>
      </c>
      <c r="AX7">
        <v>3.7333333333333302E-2</v>
      </c>
      <c r="AY7">
        <v>1.79640718562874E-2</v>
      </c>
      <c r="BA7">
        <v>2.57009345794392E-2</v>
      </c>
      <c r="BB7">
        <v>-9.6096096096096095E-2</v>
      </c>
      <c r="BD7">
        <v>-7.4666666666666603E-2</v>
      </c>
      <c r="BE7">
        <v>1.6317016317016299E-2</v>
      </c>
      <c r="BG7">
        <v>5.3333333333333302E-2</v>
      </c>
      <c r="BH7">
        <v>-6.3063063063063002E-2</v>
      </c>
      <c r="BJ7">
        <v>7.1856287425149698E-2</v>
      </c>
      <c r="BK7">
        <v>1.6E-2</v>
      </c>
      <c r="BM7">
        <v>2.69461077844311E-2</v>
      </c>
      <c r="BN7">
        <v>1.2012012012012E-2</v>
      </c>
      <c r="BP7">
        <v>4.2042042042041997E-2</v>
      </c>
      <c r="BQ7">
        <v>-1.06666666666666E-2</v>
      </c>
      <c r="BT7">
        <v>-3.3033033033033003E-2</v>
      </c>
      <c r="BV7">
        <v>2.4E-2</v>
      </c>
      <c r="BW7">
        <v>3.6036036036036001E-2</v>
      </c>
      <c r="BY7">
        <v>3.2000000000000001E-2</v>
      </c>
      <c r="BZ7">
        <v>-4.6620046620046603E-2</v>
      </c>
      <c r="CB7">
        <v>4.5045045045045001E-2</v>
      </c>
      <c r="CC7">
        <v>4.8951048951048903E-2</v>
      </c>
      <c r="CE7">
        <v>3.50467289719626E-2</v>
      </c>
      <c r="CF7">
        <v>-1.49700598802395E-2</v>
      </c>
      <c r="CH7">
        <v>1.3333333333333299E-2</v>
      </c>
      <c r="CI7">
        <v>3.7333333333333302E-2</v>
      </c>
      <c r="CK7">
        <v>5.1051051051050997E-2</v>
      </c>
      <c r="CL7">
        <v>-0.152</v>
      </c>
      <c r="CN7">
        <v>-8.7087087087086998E-2</v>
      </c>
      <c r="CO7">
        <v>1.8666666666666599E-2</v>
      </c>
      <c r="CQ7">
        <v>2.7027027027027001E-2</v>
      </c>
      <c r="CR7">
        <v>1.8018018018018001E-2</v>
      </c>
      <c r="CT7">
        <v>-3.4965034965034898E-2</v>
      </c>
      <c r="CU7">
        <v>2.6666666666666599E-2</v>
      </c>
      <c r="CW7">
        <v>1.06666666666666E-2</v>
      </c>
      <c r="CX7">
        <v>-0.104</v>
      </c>
      <c r="CZ7">
        <v>-3.89221556886227E-2</v>
      </c>
      <c r="DA7">
        <v>-1.6317016317016299E-2</v>
      </c>
      <c r="DC7">
        <v>2.7027027027027001E-2</v>
      </c>
      <c r="DD7">
        <v>1.6E-2</v>
      </c>
      <c r="DF7">
        <v>6.5420560747663503E-2</v>
      </c>
      <c r="DG7">
        <v>2.69461077844311E-2</v>
      </c>
      <c r="DI7">
        <v>2.6666666666666599E-2</v>
      </c>
      <c r="DJ7">
        <v>3.2710280373831703E-2</v>
      </c>
      <c r="DL7">
        <v>-2.33644859813084E-2</v>
      </c>
      <c r="DM7">
        <v>1.6E-2</v>
      </c>
      <c r="DO7">
        <v>1.06666666666666E-2</v>
      </c>
      <c r="DP7">
        <v>-3.7333333333333302E-2</v>
      </c>
      <c r="DR7">
        <v>2.9333333333333302E-2</v>
      </c>
      <c r="DS7">
        <v>2.57009345794392E-2</v>
      </c>
      <c r="DU7">
        <v>0.04</v>
      </c>
      <c r="DV7">
        <v>0</v>
      </c>
      <c r="DX7">
        <v>5.0666666666666603E-2</v>
      </c>
      <c r="DY7">
        <v>-4.2666666666666603E-2</v>
      </c>
      <c r="EA7">
        <v>1.79640718562874E-2</v>
      </c>
      <c r="EB7">
        <v>-5.9880239520958001E-2</v>
      </c>
      <c r="ED7">
        <v>0.174174174174174</v>
      </c>
      <c r="EE7">
        <v>-5.6000000000000001E-2</v>
      </c>
      <c r="EG7">
        <v>2.57009345794392E-2</v>
      </c>
      <c r="EH7">
        <v>-3.2000000000000001E-2</v>
      </c>
      <c r="EJ7">
        <v>0.105140186915887</v>
      </c>
      <c r="EK7">
        <v>3.9039039039038999E-2</v>
      </c>
      <c r="EM7">
        <v>-5.3333333333333297E-3</v>
      </c>
      <c r="EN7">
        <v>-6.9069069069068997E-2</v>
      </c>
      <c r="EP7">
        <v>1.3333333333333299E-2</v>
      </c>
      <c r="EQ7">
        <v>3.0030030030029999E-2</v>
      </c>
      <c r="ES7">
        <v>6.2937062937062901E-2</v>
      </c>
      <c r="ET7">
        <v>-0.08</v>
      </c>
    </row>
    <row r="8" spans="1:150" x14ac:dyDescent="0.25">
      <c r="B8">
        <v>-6.5868263473053898E-2</v>
      </c>
      <c r="C8">
        <v>3.29341317365269E-2</v>
      </c>
      <c r="E8">
        <v>2.6666666666666599E-2</v>
      </c>
      <c r="F8">
        <v>-0.105140186915887</v>
      </c>
      <c r="H8">
        <v>-2.4024024024024E-2</v>
      </c>
      <c r="I8">
        <v>4.5045045045045001E-2</v>
      </c>
      <c r="K8">
        <v>5.8666666666666603E-2</v>
      </c>
      <c r="L8">
        <v>-1.6E-2</v>
      </c>
      <c r="N8">
        <v>8.5333333333333303E-2</v>
      </c>
      <c r="O8">
        <v>-8.9820359281437105E-3</v>
      </c>
      <c r="Q8">
        <v>2.7027027027027001E-2</v>
      </c>
      <c r="R8">
        <v>9.3333333333333296E-2</v>
      </c>
      <c r="T8">
        <v>6.6666666666666596E-2</v>
      </c>
      <c r="U8">
        <v>0</v>
      </c>
      <c r="W8">
        <v>2.8037383177569999E-2</v>
      </c>
      <c r="X8">
        <v>-2.6666666666666599E-2</v>
      </c>
      <c r="Z8">
        <v>9.6096096096096095E-2</v>
      </c>
      <c r="AA8">
        <v>0.11214953271028</v>
      </c>
      <c r="AC8">
        <v>2.4E-2</v>
      </c>
      <c r="AD8">
        <v>-2.3310023310023301E-2</v>
      </c>
      <c r="AF8">
        <v>-4.4289044289044198E-2</v>
      </c>
      <c r="AG8">
        <v>1.2012012012012E-2</v>
      </c>
      <c r="AI8">
        <v>1.79640718562874E-2</v>
      </c>
      <c r="AJ8">
        <v>-7.8078078078077998E-2</v>
      </c>
      <c r="AL8">
        <v>3.59281437125748E-2</v>
      </c>
      <c r="AM8">
        <v>4.8048048048047999E-2</v>
      </c>
      <c r="AO8">
        <v>1.06666666666666E-2</v>
      </c>
      <c r="AP8">
        <v>4.2666666666666603E-2</v>
      </c>
      <c r="AR8">
        <v>0.01</v>
      </c>
      <c r="AS8">
        <v>2.1021021021020998E-2</v>
      </c>
      <c r="AU8">
        <v>3.2000000000000001E-2</v>
      </c>
      <c r="AV8">
        <v>-8.2666666666666597E-2</v>
      </c>
      <c r="AX8">
        <v>0.12616822429906499</v>
      </c>
      <c r="AY8">
        <v>9.0090090090090003E-3</v>
      </c>
      <c r="BA8">
        <v>3.0030030030029999E-3</v>
      </c>
      <c r="BB8">
        <v>-0.13600000000000001</v>
      </c>
      <c r="BD8">
        <v>-0.125748502994011</v>
      </c>
      <c r="BE8">
        <v>-5.9880239520958001E-3</v>
      </c>
      <c r="BG8">
        <v>1.3333333333333299E-2</v>
      </c>
      <c r="BH8">
        <v>-0.193473193473193</v>
      </c>
      <c r="BJ8">
        <v>0.14114114114114101</v>
      </c>
      <c r="BK8">
        <v>-2.6666666666666601E-3</v>
      </c>
      <c r="BM8">
        <v>6.07476635514018E-2</v>
      </c>
      <c r="BN8">
        <v>-2E-3</v>
      </c>
      <c r="BP8">
        <v>3.4965034965034898E-2</v>
      </c>
      <c r="BQ8">
        <v>4.2666666666666603E-2</v>
      </c>
      <c r="BT8">
        <v>9.6000000000000002E-2</v>
      </c>
      <c r="BV8">
        <v>1.79640718562874E-2</v>
      </c>
      <c r="BW8">
        <v>2.4024024024024E-2</v>
      </c>
      <c r="BY8">
        <v>2.33644859813084E-2</v>
      </c>
      <c r="BZ8">
        <v>4.2666666666666603E-2</v>
      </c>
      <c r="CB8">
        <v>-4.5333333333333302E-2</v>
      </c>
      <c r="CC8">
        <v>3.7999999999999999E-2</v>
      </c>
      <c r="CE8">
        <v>2.7027027027027001E-2</v>
      </c>
      <c r="CF8">
        <v>-6.1333333333333302E-2</v>
      </c>
      <c r="CH8">
        <v>-4.4289044289044198E-2</v>
      </c>
      <c r="CI8">
        <v>4.8000000000000001E-2</v>
      </c>
      <c r="CK8">
        <v>8.9820359281437105E-3</v>
      </c>
      <c r="CL8">
        <v>-3.4666666666666603E-2</v>
      </c>
      <c r="CN8">
        <v>-2.8037383177569999E-2</v>
      </c>
      <c r="CO8">
        <v>1.5015015015014999E-2</v>
      </c>
      <c r="CQ8">
        <v>3.7333333333333302E-2</v>
      </c>
      <c r="CR8">
        <v>-0.08</v>
      </c>
      <c r="CT8">
        <v>2.9333333333333302E-2</v>
      </c>
      <c r="CU8">
        <v>2.4E-2</v>
      </c>
      <c r="CW8">
        <v>8.0000000000000002E-3</v>
      </c>
      <c r="CX8">
        <v>-4.5333333333333302E-2</v>
      </c>
      <c r="CZ8">
        <v>-1.6E-2</v>
      </c>
      <c r="DA8">
        <v>2.1021021021020998E-2</v>
      </c>
      <c r="DC8">
        <v>2.8000000000000001E-2</v>
      </c>
      <c r="DD8">
        <v>2.4E-2</v>
      </c>
      <c r="DF8">
        <v>-5.5944055944055902E-2</v>
      </c>
      <c r="DG8">
        <v>1.49700598802395E-2</v>
      </c>
      <c r="DI8">
        <v>0.04</v>
      </c>
      <c r="DJ8">
        <v>4.5333333333333302E-2</v>
      </c>
      <c r="DL8">
        <v>6.07476635514018E-2</v>
      </c>
      <c r="DM8">
        <v>5.0666666666666603E-2</v>
      </c>
      <c r="DO8">
        <v>3.89221556886227E-2</v>
      </c>
      <c r="DP8">
        <v>-5.4054054054054002E-2</v>
      </c>
      <c r="DR8">
        <v>-7.8078078078077998E-2</v>
      </c>
      <c r="DS8">
        <v>-2.3364485981308401E-3</v>
      </c>
      <c r="DU8">
        <v>2.1999999999999999E-2</v>
      </c>
      <c r="DV8">
        <v>-3.4666666666666603E-2</v>
      </c>
      <c r="DX8">
        <v>0.165333333333333</v>
      </c>
      <c r="DY8">
        <v>-4.6620046620046603E-3</v>
      </c>
      <c r="EA8">
        <v>2.4E-2</v>
      </c>
      <c r="EB8">
        <v>-0.14133333333333301</v>
      </c>
      <c r="ED8">
        <v>9.5808383233532898E-2</v>
      </c>
      <c r="EE8">
        <v>-2.1021021021020998E-2</v>
      </c>
      <c r="EG8">
        <v>3.03030303030303E-2</v>
      </c>
      <c r="EH8">
        <v>-7.5999999999999998E-2</v>
      </c>
      <c r="EJ8">
        <v>2.6666666666666599E-2</v>
      </c>
      <c r="EK8">
        <v>3.03030303030303E-2</v>
      </c>
      <c r="EM8">
        <v>1.3333333333333299E-2</v>
      </c>
      <c r="EN8">
        <v>-8.8785046728971903E-2</v>
      </c>
      <c r="EP8">
        <v>-6.1333333333333302E-2</v>
      </c>
      <c r="EQ8">
        <v>4.8048048048047999E-2</v>
      </c>
      <c r="ES8">
        <v>1.49700598802395E-2</v>
      </c>
      <c r="ET8">
        <v>-3.4000000000000002E-2</v>
      </c>
    </row>
    <row r="9" spans="1:150" x14ac:dyDescent="0.25">
      <c r="B9">
        <v>3.2000000000000001E-2</v>
      </c>
      <c r="C9">
        <v>4.8000000000000001E-2</v>
      </c>
      <c r="E9">
        <v>1.6E-2</v>
      </c>
      <c r="F9">
        <v>-9.3240093240093205E-3</v>
      </c>
      <c r="H9">
        <v>8.1081081081081002E-2</v>
      </c>
      <c r="I9">
        <v>4.90654205607476E-2</v>
      </c>
      <c r="K9">
        <v>5.5944055944055902E-2</v>
      </c>
      <c r="L9">
        <v>1.8018018018018001E-2</v>
      </c>
      <c r="N9">
        <v>0.117333333333333</v>
      </c>
      <c r="O9">
        <v>6.9930069930069904E-3</v>
      </c>
      <c r="Q9">
        <v>4.6620046620046603E-2</v>
      </c>
      <c r="R9">
        <v>0</v>
      </c>
      <c r="T9">
        <v>4.8000000000000001E-2</v>
      </c>
      <c r="U9">
        <v>-5.3333333333333297E-3</v>
      </c>
      <c r="W9">
        <v>2.1333333333333301E-2</v>
      </c>
      <c r="X9">
        <v>0.04</v>
      </c>
      <c r="Z9">
        <v>-4.6728971962616802E-3</v>
      </c>
      <c r="AA9">
        <v>2.5999999999999999E-2</v>
      </c>
      <c r="AC9">
        <v>0.03</v>
      </c>
      <c r="AD9">
        <v>-5.6074766355140103E-2</v>
      </c>
      <c r="AF9">
        <v>-7.1999999999999995E-2</v>
      </c>
      <c r="AG9">
        <v>2.5641025641025599E-2</v>
      </c>
      <c r="AI9">
        <v>2.7027027027027001E-2</v>
      </c>
      <c r="AJ9">
        <v>-3.2000000000000001E-2</v>
      </c>
      <c r="AL9">
        <v>7.5999999999999998E-2</v>
      </c>
      <c r="AM9">
        <v>-1.6E-2</v>
      </c>
      <c r="AO9">
        <v>3.4965034965034898E-2</v>
      </c>
      <c r="AP9">
        <v>7.0093457943925198E-3</v>
      </c>
      <c r="AR9">
        <v>-5.3333333333333302E-2</v>
      </c>
      <c r="AS9">
        <v>4.6728971962616802E-3</v>
      </c>
      <c r="AU9">
        <v>1.6317016317016299E-2</v>
      </c>
      <c r="AV9">
        <v>-7.2072072072072002E-2</v>
      </c>
      <c r="AX9">
        <v>0.15384615384615299</v>
      </c>
      <c r="AY9">
        <v>3.2634032634032598E-2</v>
      </c>
      <c r="BA9">
        <v>3.2000000000000001E-2</v>
      </c>
      <c r="BB9">
        <v>-0.15887850467289699</v>
      </c>
      <c r="BD9">
        <v>-0.114666666666666</v>
      </c>
      <c r="BE9">
        <v>-1.5015015015014999E-2</v>
      </c>
      <c r="BG9">
        <v>2.39520958083832E-2</v>
      </c>
      <c r="BH9">
        <v>-0.12912912912912899</v>
      </c>
      <c r="BJ9">
        <v>0.14114114114114101</v>
      </c>
      <c r="BK9">
        <v>2.10280373831775E-2</v>
      </c>
      <c r="BM9">
        <v>2.9333333333333302E-2</v>
      </c>
      <c r="BN9">
        <v>-8.3832335329341298E-2</v>
      </c>
      <c r="BP9">
        <v>-1.4018691588785E-2</v>
      </c>
      <c r="BQ9">
        <v>2.1333333333333301E-2</v>
      </c>
      <c r="BT9">
        <v>-4.4910179640718501E-2</v>
      </c>
      <c r="BV9">
        <v>2.4E-2</v>
      </c>
      <c r="BW9">
        <v>2.57009345794392E-2</v>
      </c>
      <c r="BY9">
        <v>2.1333333333333301E-2</v>
      </c>
      <c r="BZ9">
        <v>-1.6355140186915799E-2</v>
      </c>
      <c r="CB9">
        <v>-3.0030030030029999E-2</v>
      </c>
      <c r="CC9">
        <v>3.0030030030029999E-2</v>
      </c>
      <c r="CE9">
        <v>4.4910179640718501E-2</v>
      </c>
      <c r="CF9">
        <v>-8.7999999999999995E-2</v>
      </c>
      <c r="CH9">
        <v>-2.33644859813084E-2</v>
      </c>
      <c r="CI9">
        <v>4.4910179640718501E-2</v>
      </c>
      <c r="CK9">
        <v>6.6666666666666596E-2</v>
      </c>
      <c r="CL9">
        <v>-6.2874251497005901E-2</v>
      </c>
      <c r="CN9">
        <v>-2.4024024024024E-2</v>
      </c>
      <c r="CO9">
        <v>3.2000000000000001E-2</v>
      </c>
      <c r="CQ9">
        <v>1.8666666666666599E-2</v>
      </c>
      <c r="CR9">
        <v>4.8000000000000001E-2</v>
      </c>
      <c r="CT9">
        <v>-1.6317016317016299E-2</v>
      </c>
      <c r="CU9">
        <v>3.03030303030303E-2</v>
      </c>
      <c r="CW9">
        <v>2.6666666666666599E-2</v>
      </c>
      <c r="CX9">
        <v>-0.10666666666666599</v>
      </c>
      <c r="CZ9">
        <v>-2.6666666666666599E-2</v>
      </c>
      <c r="DA9">
        <v>2.10280373831775E-2</v>
      </c>
      <c r="DC9">
        <v>2.7972027972027899E-2</v>
      </c>
      <c r="DD9">
        <v>-6.5420560747663503E-2</v>
      </c>
      <c r="DF9">
        <v>-0.114666666666666</v>
      </c>
      <c r="DG9">
        <v>2.4E-2</v>
      </c>
      <c r="DI9">
        <v>3.2000000000000001E-2</v>
      </c>
      <c r="DJ9">
        <v>-0.10210210210210199</v>
      </c>
      <c r="DL9">
        <v>4.4289044289044198E-2</v>
      </c>
      <c r="DM9">
        <v>2.8037383177569999E-2</v>
      </c>
      <c r="DO9">
        <v>9.3457943925233603E-3</v>
      </c>
      <c r="DP9">
        <v>-0.01</v>
      </c>
      <c r="DR9">
        <v>-4.5045045045045001E-2</v>
      </c>
      <c r="DS9">
        <v>2.1999999999999999E-2</v>
      </c>
      <c r="DU9">
        <v>9.0090090090090003E-3</v>
      </c>
      <c r="DV9">
        <v>5.3333333333333297E-3</v>
      </c>
      <c r="DX9">
        <v>-2.09580838323353E-2</v>
      </c>
      <c r="DY9">
        <v>3.5999999999999997E-2</v>
      </c>
      <c r="EA9">
        <v>0.04</v>
      </c>
      <c r="EB9">
        <v>-7.4592074592074495E-2</v>
      </c>
      <c r="ED9">
        <v>3.9039039039038999E-2</v>
      </c>
      <c r="EE9">
        <v>-9.3333333333333296E-2</v>
      </c>
      <c r="EG9">
        <v>2.9940119760479E-3</v>
      </c>
      <c r="EH9">
        <v>-7.5075075075075007E-2</v>
      </c>
      <c r="EJ9">
        <v>-2.1021021021020998E-2</v>
      </c>
      <c r="EK9">
        <v>5.3333333333333302E-2</v>
      </c>
      <c r="EM9">
        <v>-7.0093457943925198E-3</v>
      </c>
      <c r="EN9">
        <v>-5.1051051051050997E-2</v>
      </c>
      <c r="EP9">
        <v>-6.5268065268065195E-2</v>
      </c>
      <c r="EQ9">
        <v>5.3333333333333297E-3</v>
      </c>
      <c r="ES9">
        <v>8.0000000000000002E-3</v>
      </c>
      <c r="ET9">
        <v>-3.0030030030029999E-2</v>
      </c>
    </row>
    <row r="10" spans="1:150" x14ac:dyDescent="0.25">
      <c r="B10">
        <v>0.116822429906542</v>
      </c>
      <c r="C10">
        <v>-5.8666666666666603E-2</v>
      </c>
      <c r="E10">
        <v>2.39520958083832E-2</v>
      </c>
      <c r="F10">
        <v>-0.20420420420420399</v>
      </c>
      <c r="H10">
        <v>-2.1333333333333301E-2</v>
      </c>
      <c r="I10">
        <v>8.0000000000000002E-3</v>
      </c>
      <c r="K10">
        <v>3.73831775700934E-2</v>
      </c>
      <c r="L10">
        <v>9.11214953271028E-2</v>
      </c>
      <c r="N10">
        <v>3.2634032634032598E-2</v>
      </c>
      <c r="O10">
        <v>6.0606060606060601E-2</v>
      </c>
      <c r="Q10">
        <v>2.09790209790209E-2</v>
      </c>
      <c r="R10">
        <v>0</v>
      </c>
      <c r="T10">
        <v>4.6620046620046603E-2</v>
      </c>
      <c r="U10">
        <v>3.4965034965034898E-2</v>
      </c>
      <c r="W10">
        <v>3.9039039039038999E-2</v>
      </c>
      <c r="X10">
        <v>-8.2000000000000003E-2</v>
      </c>
      <c r="Z10">
        <v>-2.6666666666666599E-2</v>
      </c>
      <c r="AA10">
        <v>4.5333333333333302E-2</v>
      </c>
      <c r="AC10">
        <v>1.6317016317016299E-2</v>
      </c>
      <c r="AD10">
        <v>-1.5015015015014999E-2</v>
      </c>
      <c r="AF10">
        <v>-0.128</v>
      </c>
      <c r="AG10">
        <v>4.8000000000000001E-2</v>
      </c>
      <c r="AI10">
        <v>-1.06666666666666E-2</v>
      </c>
      <c r="AJ10">
        <v>-3.0030030030029999E-3</v>
      </c>
      <c r="AL10">
        <v>1.19760479041916E-2</v>
      </c>
      <c r="AM10">
        <v>3.6036036036036001E-2</v>
      </c>
      <c r="AO10">
        <v>5.0666666666666603E-2</v>
      </c>
      <c r="AP10">
        <v>-1.3333333333333299E-2</v>
      </c>
      <c r="AR10">
        <v>-1.8666666666666599E-2</v>
      </c>
      <c r="AS10">
        <v>8.0000000000000002E-3</v>
      </c>
      <c r="AU10">
        <v>2.1333333333333301E-2</v>
      </c>
      <c r="AV10">
        <v>-2.5999999999999999E-2</v>
      </c>
      <c r="AX10">
        <v>1.06666666666666E-2</v>
      </c>
      <c r="AY10">
        <v>-2.4E-2</v>
      </c>
      <c r="BA10">
        <v>5.3333333333333297E-3</v>
      </c>
      <c r="BB10">
        <v>-0.154205607476635</v>
      </c>
      <c r="BD10">
        <v>-8.6247086247086199E-2</v>
      </c>
      <c r="BE10">
        <v>5.8666666666666603E-2</v>
      </c>
      <c r="BG10">
        <v>-2.6666666666666601E-3</v>
      </c>
      <c r="BH10">
        <v>-0.12533333333333299</v>
      </c>
      <c r="BJ10">
        <v>0.13066666666666599</v>
      </c>
      <c r="BK10">
        <v>1.06666666666666E-2</v>
      </c>
      <c r="BM10">
        <v>6.9930069930069904E-3</v>
      </c>
      <c r="BN10">
        <v>3.5999999999999997E-2</v>
      </c>
      <c r="BP10">
        <v>5.7057057057056999E-2</v>
      </c>
      <c r="BQ10">
        <v>0.06</v>
      </c>
      <c r="BT10">
        <v>5.3333333333333302E-2</v>
      </c>
      <c r="BV10">
        <v>0.10666666666666599</v>
      </c>
      <c r="BW10">
        <v>1.6355140186915799E-2</v>
      </c>
      <c r="BY10">
        <v>2.9940119760479E-2</v>
      </c>
      <c r="BZ10">
        <v>1.2012012012012E-2</v>
      </c>
      <c r="CB10">
        <v>-8.9820359281437098E-2</v>
      </c>
      <c r="CC10">
        <v>2.7027027027027001E-2</v>
      </c>
      <c r="CE10">
        <v>1.8666666666666599E-2</v>
      </c>
      <c r="CF10">
        <v>9.5794392523364399E-2</v>
      </c>
      <c r="CH10">
        <v>-4.7904191616766401E-2</v>
      </c>
      <c r="CI10">
        <v>1.8666666666666599E-2</v>
      </c>
      <c r="CK10">
        <v>1.5015015015014999E-2</v>
      </c>
      <c r="CL10">
        <v>2.9333333333333302E-2</v>
      </c>
      <c r="CN10">
        <v>-3.7333333333333302E-2</v>
      </c>
      <c r="CO10">
        <v>5.3613053613053602E-2</v>
      </c>
      <c r="CQ10">
        <v>6.8333333333333302E-2</v>
      </c>
      <c r="CR10">
        <v>-3.2000000000000001E-2</v>
      </c>
      <c r="CT10">
        <v>-9.1999999999999998E-2</v>
      </c>
      <c r="CU10">
        <v>8.0000000000000002E-3</v>
      </c>
      <c r="CW10">
        <v>0</v>
      </c>
      <c r="CX10">
        <v>-8.3916083916083906E-2</v>
      </c>
      <c r="CZ10">
        <v>0.108</v>
      </c>
      <c r="DA10">
        <v>-5.5944055944055902E-2</v>
      </c>
      <c r="DC10">
        <v>2.1333333333333301E-2</v>
      </c>
      <c r="DD10">
        <v>-7.7844311377245498E-2</v>
      </c>
      <c r="DF10">
        <v>-1.8666666666666599E-2</v>
      </c>
      <c r="DG10">
        <v>3.2000000000000001E-2</v>
      </c>
      <c r="DI10">
        <v>0</v>
      </c>
      <c r="DJ10">
        <v>-3.03030303030303E-2</v>
      </c>
      <c r="DL10">
        <v>9.0090090090090003E-3</v>
      </c>
      <c r="DM10">
        <v>3.7999999999999999E-2</v>
      </c>
      <c r="DO10">
        <v>2.39520958083832E-2</v>
      </c>
      <c r="DP10">
        <v>-0.128</v>
      </c>
      <c r="DR10">
        <v>-2.7027027027027001E-2</v>
      </c>
      <c r="DS10">
        <v>1.16550116550116E-2</v>
      </c>
      <c r="DU10">
        <v>1.16666666666666E-2</v>
      </c>
      <c r="DV10">
        <v>1.16550116550116E-2</v>
      </c>
      <c r="DX10">
        <v>6.9930069930069904E-3</v>
      </c>
      <c r="DY10">
        <v>2.1999999999999999E-2</v>
      </c>
      <c r="EA10">
        <v>9.0090090090090003E-3</v>
      </c>
      <c r="EB10">
        <v>-0.04</v>
      </c>
      <c r="ED10">
        <v>0.13600000000000001</v>
      </c>
      <c r="EE10">
        <v>-6.1333333333333302E-2</v>
      </c>
      <c r="EG10">
        <v>3.4666666666666603E-2</v>
      </c>
      <c r="EH10">
        <v>-4.8000000000000001E-2</v>
      </c>
      <c r="EJ10">
        <v>5.3333333333333297E-3</v>
      </c>
      <c r="EK10">
        <v>0</v>
      </c>
      <c r="EM10">
        <v>5.3333333333333297E-3</v>
      </c>
      <c r="EN10">
        <v>-9.8666666666666597E-2</v>
      </c>
      <c r="EP10">
        <v>1.8666666666666599E-2</v>
      </c>
      <c r="EQ10">
        <v>2.4E-2</v>
      </c>
      <c r="ES10">
        <v>2.7027027027027001E-2</v>
      </c>
      <c r="ET10">
        <v>-2.3310023310023301E-3</v>
      </c>
    </row>
    <row r="11" spans="1:150" x14ac:dyDescent="0.25">
      <c r="B11">
        <v>9.3333333333333296E-2</v>
      </c>
      <c r="C11">
        <v>-6.9930069930069904E-3</v>
      </c>
      <c r="E11">
        <v>-0.04</v>
      </c>
      <c r="F11">
        <v>-0.12</v>
      </c>
      <c r="H11">
        <v>-2.4E-2</v>
      </c>
      <c r="I11">
        <v>4.2666666666666603E-2</v>
      </c>
      <c r="K11">
        <v>0.06</v>
      </c>
      <c r="L11">
        <v>-3.0030030030029999E-2</v>
      </c>
      <c r="N11">
        <v>-5.8275058275058203E-2</v>
      </c>
      <c r="O11">
        <v>4.2000000000000003E-2</v>
      </c>
      <c r="Q11">
        <v>2.6666666666666601E-3</v>
      </c>
      <c r="R11">
        <v>-6.1333333333333302E-2</v>
      </c>
      <c r="T11">
        <v>-3.7333333333333302E-2</v>
      </c>
      <c r="U11">
        <v>1.5015015015014999E-2</v>
      </c>
      <c r="W11">
        <v>-4.6620046620046603E-3</v>
      </c>
      <c r="X11">
        <v>-8.4112149532710206E-2</v>
      </c>
      <c r="Z11">
        <v>-6.5420560747663503E-2</v>
      </c>
      <c r="AA11">
        <v>4.0000000000000001E-3</v>
      </c>
      <c r="AC11">
        <v>3.9039039039038999E-2</v>
      </c>
      <c r="AD11">
        <v>-0.13066666666666599</v>
      </c>
      <c r="AF11">
        <v>-8.1081081081081002E-2</v>
      </c>
      <c r="AG11">
        <v>4.8000000000000001E-2</v>
      </c>
      <c r="AI11">
        <v>4.5333333333333302E-2</v>
      </c>
      <c r="AJ11">
        <v>4.6728971962616802E-3</v>
      </c>
      <c r="AL11">
        <v>5.0666666666666603E-2</v>
      </c>
      <c r="AM11">
        <v>0</v>
      </c>
      <c r="AO11">
        <v>4.67289719626168E-2</v>
      </c>
      <c r="AP11">
        <v>-1.2012012012012E-2</v>
      </c>
      <c r="AR11">
        <v>-1.4999999999999999E-2</v>
      </c>
      <c r="AS11">
        <v>2.1666666666666601E-2</v>
      </c>
      <c r="AU11">
        <v>3.5000000000000003E-2</v>
      </c>
      <c r="AV11">
        <v>-7.69230769230769E-2</v>
      </c>
      <c r="AX11">
        <v>9.3457943925233603E-3</v>
      </c>
      <c r="AY11">
        <v>-2.6666666666666599E-2</v>
      </c>
      <c r="BA11">
        <v>5.4054054054054002E-2</v>
      </c>
      <c r="BB11">
        <v>-3.5999999999999997E-2</v>
      </c>
      <c r="BD11">
        <v>0.10280373831775701</v>
      </c>
      <c r="BE11">
        <v>2.6666666666666599E-2</v>
      </c>
      <c r="BG11">
        <v>-1.06666666666666E-2</v>
      </c>
      <c r="BH11">
        <v>0.104</v>
      </c>
      <c r="BJ11">
        <v>-2.10280373831775E-2</v>
      </c>
      <c r="BK11">
        <v>5.8275058275058203E-2</v>
      </c>
      <c r="BM11">
        <v>1.06666666666666E-2</v>
      </c>
      <c r="BN11">
        <v>9.5571095571095499E-2</v>
      </c>
      <c r="BP11">
        <v>2.4E-2</v>
      </c>
      <c r="BQ11">
        <v>2.9333333333333302E-2</v>
      </c>
      <c r="BT11">
        <v>0.04</v>
      </c>
      <c r="BV11">
        <v>-7.4592074592074495E-2</v>
      </c>
      <c r="BW11">
        <v>0.02</v>
      </c>
      <c r="BY11">
        <v>3.7333333333333302E-2</v>
      </c>
      <c r="BZ11">
        <v>2.8000000000000001E-2</v>
      </c>
      <c r="CB11">
        <v>-7.7333333333333296E-2</v>
      </c>
      <c r="CC11">
        <v>2.1666666666666601E-2</v>
      </c>
      <c r="CE11">
        <v>4.8000000000000001E-2</v>
      </c>
      <c r="CF11">
        <v>-0.12</v>
      </c>
      <c r="CH11">
        <v>-3.4666666666666603E-2</v>
      </c>
      <c r="CI11">
        <v>4.6620046620046603E-2</v>
      </c>
      <c r="CK11">
        <v>3.03030303030303E-2</v>
      </c>
      <c r="CL11">
        <v>2.7972027972027899E-2</v>
      </c>
      <c r="CN11">
        <v>-3.7333333333333302E-2</v>
      </c>
      <c r="CO11">
        <v>0.02</v>
      </c>
      <c r="CQ11">
        <v>1.8648018648018599E-2</v>
      </c>
      <c r="CR11">
        <v>-4.8000000000000001E-2</v>
      </c>
      <c r="CT11">
        <v>-8.2666666666666597E-2</v>
      </c>
      <c r="CU11">
        <v>7.2072072072072002E-2</v>
      </c>
      <c r="CW11">
        <v>-6.0000000000000001E-3</v>
      </c>
      <c r="CX11">
        <v>-2.4E-2</v>
      </c>
      <c r="CZ11">
        <v>7.2429906542056E-2</v>
      </c>
      <c r="DA11">
        <v>-3.16666666666666E-2</v>
      </c>
      <c r="DC11">
        <v>1.06666666666666E-2</v>
      </c>
      <c r="DD11">
        <v>-0.107226107226107</v>
      </c>
      <c r="DF11">
        <v>-1.8018018018018001E-2</v>
      </c>
      <c r="DG11">
        <v>3.7333333333333302E-2</v>
      </c>
      <c r="DI11">
        <v>1.4E-2</v>
      </c>
      <c r="DJ11">
        <v>-1.06666666666666E-2</v>
      </c>
      <c r="DL11">
        <v>-5.6886227544910101E-2</v>
      </c>
      <c r="DM11">
        <v>2.5999999999999999E-2</v>
      </c>
      <c r="DO11">
        <v>7.0093457943925198E-3</v>
      </c>
      <c r="DP11">
        <v>7.7102803738317696E-2</v>
      </c>
      <c r="DR11">
        <v>4.8951048951048903E-2</v>
      </c>
      <c r="DS11">
        <v>2.4E-2</v>
      </c>
      <c r="DU11">
        <v>4.5333333333333302E-2</v>
      </c>
      <c r="DV11">
        <v>2.6666666666666601E-3</v>
      </c>
      <c r="DX11">
        <v>0.12121212121212099</v>
      </c>
      <c r="DY11">
        <v>-8.4084084084083993E-2</v>
      </c>
      <c r="EA11">
        <v>2.4E-2</v>
      </c>
      <c r="EB11">
        <v>-7.0000000000000007E-2</v>
      </c>
      <c r="ED11">
        <v>0.14219114219114201</v>
      </c>
      <c r="EE11">
        <v>1.2E-2</v>
      </c>
      <c r="EG11">
        <v>2.09790209790209E-2</v>
      </c>
      <c r="EH11">
        <v>-6.3333333333333297E-2</v>
      </c>
      <c r="EJ11">
        <v>-2.09790209790209E-2</v>
      </c>
      <c r="EK11">
        <v>-1.6E-2</v>
      </c>
      <c r="EM11">
        <v>0.05</v>
      </c>
      <c r="EN11">
        <v>-4.33333333333333E-2</v>
      </c>
      <c r="EP11">
        <v>6.75990675990676E-2</v>
      </c>
      <c r="EQ11">
        <v>1.2E-2</v>
      </c>
      <c r="ES11">
        <v>5.6000000000000001E-2</v>
      </c>
      <c r="ET11">
        <v>-7.4766355140186896E-2</v>
      </c>
    </row>
    <row r="12" spans="1:150" x14ac:dyDescent="0.25">
      <c r="B12">
        <v>0.14000000000000001</v>
      </c>
      <c r="C12">
        <v>2.57009345794392E-2</v>
      </c>
      <c r="E12">
        <v>5.3738317757009303E-2</v>
      </c>
      <c r="F12">
        <v>-8.7999999999999995E-2</v>
      </c>
      <c r="H12">
        <v>9.1999999999999998E-2</v>
      </c>
      <c r="I12">
        <v>0.05</v>
      </c>
      <c r="K12">
        <v>3.7735849056603703E-2</v>
      </c>
      <c r="L12">
        <v>3.7037037037037E-2</v>
      </c>
      <c r="N12">
        <v>2.5000000000000001E-2</v>
      </c>
      <c r="O12">
        <v>3.2000000000000001E-2</v>
      </c>
      <c r="Q12">
        <v>3.7333333333333302E-2</v>
      </c>
      <c r="R12">
        <v>1.3333333333333299E-2</v>
      </c>
      <c r="T12">
        <v>5.6000000000000001E-2</v>
      </c>
      <c r="U12">
        <v>1.16550116550116E-2</v>
      </c>
      <c r="W12">
        <v>2.9333333333333302E-2</v>
      </c>
      <c r="X12">
        <v>4.3999999999999997E-2</v>
      </c>
      <c r="Z12">
        <v>-1.3986013986013899E-2</v>
      </c>
      <c r="AA12">
        <v>1.7999999999999999E-2</v>
      </c>
      <c r="AC12">
        <v>2.9333333333333302E-2</v>
      </c>
      <c r="AD12">
        <v>-0.15</v>
      </c>
      <c r="AF12">
        <v>-5.1999999999999998E-2</v>
      </c>
      <c r="AG12">
        <v>2.3310023310023301E-3</v>
      </c>
      <c r="AI12">
        <v>1.16550116550116E-2</v>
      </c>
      <c r="AJ12">
        <v>-7.4666666666666603E-2</v>
      </c>
      <c r="AL12">
        <v>7.2261072261072201E-2</v>
      </c>
      <c r="AM12">
        <v>7.1999999999999995E-2</v>
      </c>
      <c r="AO12">
        <v>3.5999999999999997E-2</v>
      </c>
      <c r="AP12">
        <v>-4.6620046620046603E-2</v>
      </c>
      <c r="AR12">
        <v>-1.06666666666666E-2</v>
      </c>
      <c r="AS12">
        <v>9.0090090090090003E-3</v>
      </c>
      <c r="AU12">
        <v>3.7333333333333302E-2</v>
      </c>
      <c r="AV12">
        <v>-0.122</v>
      </c>
      <c r="AX12">
        <v>0.125748502994011</v>
      </c>
      <c r="AY12">
        <v>-6.2E-2</v>
      </c>
      <c r="BA12">
        <v>4.4289044289044198E-2</v>
      </c>
      <c r="BB12">
        <v>-0.10256410256410201</v>
      </c>
      <c r="BD12">
        <v>5.3613053613053602E-2</v>
      </c>
      <c r="BE12">
        <v>2.4E-2</v>
      </c>
      <c r="BG12">
        <v>4.8951048951048903E-2</v>
      </c>
      <c r="BH12">
        <v>9.8666666666666597E-2</v>
      </c>
      <c r="BJ12">
        <v>0</v>
      </c>
      <c r="BK12">
        <v>5.3333333333333297E-3</v>
      </c>
      <c r="BM12">
        <v>-1.6E-2</v>
      </c>
      <c r="BN12">
        <v>4.0000000000000001E-3</v>
      </c>
      <c r="BP12">
        <v>-5.3333333333333297E-3</v>
      </c>
      <c r="BQ12">
        <v>2.9333333333333302E-2</v>
      </c>
      <c r="BT12">
        <v>4.6620046620046603E-2</v>
      </c>
      <c r="BV12">
        <v>-3.9719626168224297E-2</v>
      </c>
      <c r="BW12">
        <v>2.09790209790209E-2</v>
      </c>
      <c r="BY12">
        <v>3.7333333333333302E-2</v>
      </c>
      <c r="BZ12">
        <v>1.6317016317016299E-2</v>
      </c>
      <c r="CB12">
        <v>-9.3240093240093205E-3</v>
      </c>
      <c r="CC12">
        <v>4.2666666666666603E-2</v>
      </c>
      <c r="CE12">
        <v>4.6728971962616802E-3</v>
      </c>
      <c r="CF12">
        <v>-4.4289044289044198E-2</v>
      </c>
      <c r="CH12">
        <v>-6.8000000000000005E-2</v>
      </c>
      <c r="CI12">
        <v>2.10280373831775E-2</v>
      </c>
      <c r="CK12">
        <v>7.1999999999999995E-2</v>
      </c>
      <c r="CL12">
        <v>6.2937062937062901E-2</v>
      </c>
      <c r="CN12">
        <v>-8.7999999999999995E-2</v>
      </c>
      <c r="CO12">
        <v>2.4E-2</v>
      </c>
      <c r="CQ12">
        <v>1.16550116550116E-2</v>
      </c>
      <c r="CR12">
        <v>9.6000000000000002E-2</v>
      </c>
      <c r="CT12">
        <v>-1.3333333333333299E-2</v>
      </c>
      <c r="CU12">
        <v>3.03738317757009E-2</v>
      </c>
      <c r="CW12">
        <v>1.3986013986013899E-2</v>
      </c>
      <c r="CX12">
        <v>-1.3333333333333299E-2</v>
      </c>
      <c r="CZ12">
        <v>-4.2042042042041997E-2</v>
      </c>
      <c r="DA12">
        <v>0.01</v>
      </c>
      <c r="DC12">
        <v>-6.0000000000000001E-3</v>
      </c>
      <c r="DD12">
        <v>-4.8048048048047999E-2</v>
      </c>
      <c r="DF12">
        <v>-2.5641025641025599E-2</v>
      </c>
      <c r="DG12">
        <v>2.9333333333333302E-2</v>
      </c>
      <c r="DI12">
        <v>2.1999999999999999E-2</v>
      </c>
      <c r="DJ12">
        <v>-0.04</v>
      </c>
      <c r="DL12">
        <v>-7.1999999999999995E-2</v>
      </c>
      <c r="DM12">
        <v>3.4666666666666603E-2</v>
      </c>
      <c r="DO12">
        <v>4.5045045045045001E-2</v>
      </c>
      <c r="DP12">
        <v>-2.8000000000000001E-2</v>
      </c>
      <c r="DR12">
        <v>-1.79640718562874E-2</v>
      </c>
      <c r="DS12">
        <v>1.6317016317016299E-2</v>
      </c>
      <c r="DU12">
        <v>1.6E-2</v>
      </c>
      <c r="DV12">
        <v>-1.6355140186915799E-2</v>
      </c>
      <c r="DX12">
        <v>5.1051051051050997E-2</v>
      </c>
      <c r="DY12">
        <v>-6.9333333333333302E-2</v>
      </c>
      <c r="EA12">
        <v>-1.16822429906542E-2</v>
      </c>
      <c r="EB12">
        <v>-0.13800000000000001</v>
      </c>
      <c r="ED12">
        <v>2.10280373831775E-2</v>
      </c>
      <c r="EE12">
        <v>2.1333333333333301E-2</v>
      </c>
      <c r="EG12">
        <v>5.8666666666666603E-2</v>
      </c>
      <c r="EH12">
        <v>-0.14799999999999999</v>
      </c>
      <c r="EJ12">
        <v>3.89221556886227E-2</v>
      </c>
      <c r="EK12">
        <v>4.8000000000000001E-2</v>
      </c>
      <c r="EM12">
        <v>1.8018018018018001E-2</v>
      </c>
      <c r="EN12">
        <v>-5.8666666666666603E-2</v>
      </c>
      <c r="EP12">
        <v>-2.3310023310023301E-3</v>
      </c>
      <c r="EQ12">
        <v>3.7999999999999999E-2</v>
      </c>
      <c r="ES12">
        <v>-4.6728971962616802E-3</v>
      </c>
      <c r="ET12">
        <v>3.2000000000000001E-2</v>
      </c>
    </row>
    <row r="13" spans="1:150" x14ac:dyDescent="0.25">
      <c r="B13">
        <v>6.6066066066066007E-2</v>
      </c>
      <c r="C13">
        <v>8.0000000000000002E-3</v>
      </c>
      <c r="E13">
        <v>6.0060060060059997E-2</v>
      </c>
      <c r="F13">
        <v>-8.2666666666666597E-2</v>
      </c>
      <c r="H13">
        <v>-0.112</v>
      </c>
      <c r="I13">
        <v>2.4E-2</v>
      </c>
      <c r="K13">
        <v>0</v>
      </c>
      <c r="L13">
        <v>9.8000000000000004E-2</v>
      </c>
      <c r="N13">
        <v>2E-3</v>
      </c>
      <c r="O13">
        <v>7.8E-2</v>
      </c>
      <c r="Q13">
        <v>2.33644859813084E-2</v>
      </c>
      <c r="R13">
        <v>-9.8666666666666597E-2</v>
      </c>
      <c r="T13">
        <v>0.11600000000000001</v>
      </c>
      <c r="U13">
        <v>-1.2E-2</v>
      </c>
      <c r="W13">
        <v>2.6666666666666599E-2</v>
      </c>
      <c r="X13">
        <v>-2.9940119760479E-2</v>
      </c>
      <c r="Z13">
        <v>-5.0666666666666603E-2</v>
      </c>
      <c r="AA13">
        <v>1.06666666666666E-2</v>
      </c>
      <c r="AC13">
        <v>9.4E-2</v>
      </c>
      <c r="AD13">
        <v>7.6666666666666605E-2</v>
      </c>
      <c r="AF13">
        <v>-0.1002331002331</v>
      </c>
      <c r="AG13">
        <v>5.3333333333333297E-3</v>
      </c>
      <c r="AI13">
        <v>2.5641025641025599E-2</v>
      </c>
      <c r="AJ13">
        <v>-3.4000000000000002E-2</v>
      </c>
      <c r="AL13">
        <v>-3.03738317757009E-2</v>
      </c>
      <c r="AM13">
        <v>2.8000000000000001E-2</v>
      </c>
      <c r="AO13">
        <v>1.3333333333333299E-2</v>
      </c>
      <c r="AP13">
        <v>-4.5333333333333302E-2</v>
      </c>
      <c r="AR13">
        <v>-5.6074766355140103E-2</v>
      </c>
      <c r="AS13">
        <v>1.19760479041916E-2</v>
      </c>
      <c r="AU13">
        <v>4.6620046620046603E-3</v>
      </c>
      <c r="AV13">
        <v>-0.11888111888111801</v>
      </c>
      <c r="AX13">
        <v>2.8037383177569999E-2</v>
      </c>
      <c r="AY13">
        <v>3.5714285714285698E-2</v>
      </c>
      <c r="BA13">
        <v>-5.3333333333333297E-3</v>
      </c>
      <c r="BB13">
        <v>-4.8000000000000001E-2</v>
      </c>
      <c r="BD13">
        <v>-5.6666666666666601E-2</v>
      </c>
      <c r="BE13">
        <v>7.9254079254079193E-2</v>
      </c>
      <c r="BG13">
        <v>5.8275058275058203E-2</v>
      </c>
      <c r="BH13">
        <v>0.12</v>
      </c>
      <c r="BJ13">
        <v>-8.5999999999999993E-2</v>
      </c>
      <c r="BK13">
        <v>3.7999999999999999E-2</v>
      </c>
      <c r="BM13">
        <v>4.6728971962616802E-3</v>
      </c>
      <c r="BN13">
        <v>5.3333333333333297E-3</v>
      </c>
      <c r="BP13">
        <v>-7.7333333333333296E-2</v>
      </c>
      <c r="BQ13">
        <v>2.8037383177569999E-2</v>
      </c>
      <c r="BT13">
        <v>-8.5000000000000006E-2</v>
      </c>
      <c r="BV13">
        <v>-6.0000000000000001E-3</v>
      </c>
      <c r="BW13">
        <v>2.8000000000000001E-2</v>
      </c>
      <c r="BY13">
        <v>5.8000000000000003E-2</v>
      </c>
      <c r="BZ13">
        <v>-9.1999999999999998E-2</v>
      </c>
      <c r="CB13">
        <v>-6.4000000000000001E-2</v>
      </c>
      <c r="CC13">
        <v>4.6620046620046603E-3</v>
      </c>
      <c r="CE13">
        <v>1.3986013986013899E-2</v>
      </c>
      <c r="CF13">
        <v>1.6317016317016299E-2</v>
      </c>
      <c r="CH13">
        <v>-0.125748502994011</v>
      </c>
      <c r="CI13">
        <v>-4.0000000000000001E-3</v>
      </c>
      <c r="CK13">
        <v>4.6620046620046603E-2</v>
      </c>
      <c r="CL13">
        <v>1.6355140186915799E-2</v>
      </c>
      <c r="CN13">
        <v>-3.9039039039038999E-2</v>
      </c>
      <c r="CO13">
        <v>1.86915887850467E-2</v>
      </c>
      <c r="CQ13">
        <v>3.7296037296037199E-2</v>
      </c>
      <c r="CR13">
        <v>-1.16822429906542E-2</v>
      </c>
      <c r="CT13">
        <v>-7.8078078078077998E-2</v>
      </c>
      <c r="CU13">
        <v>0.01</v>
      </c>
      <c r="CW13">
        <v>1.16550116550116E-2</v>
      </c>
      <c r="CX13">
        <v>-1.2E-2</v>
      </c>
      <c r="CZ13">
        <v>1.3333333333333299E-2</v>
      </c>
      <c r="DA13">
        <v>6.3333333333333297E-2</v>
      </c>
      <c r="DC13">
        <v>4.7904191616766401E-2</v>
      </c>
      <c r="DD13">
        <v>-0.117333333333333</v>
      </c>
      <c r="DF13">
        <v>-0.116822429906542</v>
      </c>
      <c r="DG13">
        <v>1.4018691588785E-2</v>
      </c>
      <c r="DI13">
        <v>1.8666666666666599E-2</v>
      </c>
      <c r="DJ13">
        <v>-6.9930069930069894E-2</v>
      </c>
      <c r="DL13">
        <v>-3.6666666666666597E-2</v>
      </c>
      <c r="DM13">
        <v>-4.0000000000000001E-3</v>
      </c>
      <c r="DO13">
        <v>3.2000000000000001E-2</v>
      </c>
      <c r="DP13">
        <v>-0.104</v>
      </c>
      <c r="DR13">
        <v>5.5555555555555497E-2</v>
      </c>
      <c r="DS13">
        <v>4.67289719626168E-2</v>
      </c>
      <c r="DU13">
        <v>2.9333333333333302E-2</v>
      </c>
      <c r="DV13">
        <v>-1.2E-2</v>
      </c>
      <c r="DX13">
        <v>3.4666666666666603E-2</v>
      </c>
      <c r="DY13">
        <v>3.8333333333333303E-2</v>
      </c>
      <c r="EA13">
        <v>2.8037383177569999E-2</v>
      </c>
      <c r="EB13">
        <v>-0.18333333333333299</v>
      </c>
      <c r="ED13">
        <v>-7.1999999999999995E-2</v>
      </c>
      <c r="EE13">
        <v>3.50467289719626E-2</v>
      </c>
      <c r="EG13">
        <v>7.1999999999999995E-2</v>
      </c>
      <c r="EH13">
        <v>-0.177570093457943</v>
      </c>
      <c r="EJ13">
        <v>-6.3084112149532703E-2</v>
      </c>
      <c r="EK13">
        <v>0.01</v>
      </c>
      <c r="EM13">
        <v>-1.4018691588785E-2</v>
      </c>
      <c r="EN13">
        <v>4.6620046620046603E-2</v>
      </c>
      <c r="EP13">
        <v>-3.6036036036036001E-2</v>
      </c>
      <c r="EQ13">
        <v>2.7972027972027899E-2</v>
      </c>
      <c r="ES13">
        <v>-3.3333333333333298E-2</v>
      </c>
      <c r="ET13">
        <v>2.6666666666666601E-3</v>
      </c>
    </row>
    <row r="14" spans="1:150" x14ac:dyDescent="0.25">
      <c r="B14">
        <v>0.14018691588785001</v>
      </c>
      <c r="C14">
        <v>1.3333333333333299E-2</v>
      </c>
      <c r="E14">
        <v>1.3333333333333299E-2</v>
      </c>
      <c r="F14">
        <v>-7.7333333333333296E-2</v>
      </c>
      <c r="H14">
        <v>-0.1002331002331</v>
      </c>
      <c r="I14">
        <v>2.3310023310023301E-2</v>
      </c>
      <c r="K14">
        <v>-1.8666666666666599E-2</v>
      </c>
      <c r="L14">
        <v>-6.4000000000000001E-2</v>
      </c>
      <c r="N14">
        <v>-6.2937062937062901E-2</v>
      </c>
      <c r="O14">
        <v>4.8048048048047999E-2</v>
      </c>
      <c r="Q14">
        <v>1.4E-2</v>
      </c>
      <c r="R14">
        <v>5.8275058275058203E-2</v>
      </c>
      <c r="T14">
        <v>0.12266666666666599</v>
      </c>
      <c r="U14">
        <v>-6.07476635514018E-2</v>
      </c>
      <c r="W14">
        <v>2.3310023310023301E-2</v>
      </c>
      <c r="X14">
        <v>-5.8000000000000003E-2</v>
      </c>
      <c r="Z14">
        <v>1.4E-2</v>
      </c>
      <c r="AA14">
        <v>-1.6317016317016299E-2</v>
      </c>
      <c r="AC14">
        <v>1.16822429906542E-2</v>
      </c>
      <c r="AD14">
        <v>5.4054054054054002E-2</v>
      </c>
      <c r="AF14">
        <v>3.16666666666666E-2</v>
      </c>
      <c r="AG14">
        <v>2.5641025641025599E-2</v>
      </c>
      <c r="AI14">
        <v>1.6666666666666601E-3</v>
      </c>
      <c r="AJ14">
        <v>0</v>
      </c>
      <c r="AL14">
        <v>-0.02</v>
      </c>
      <c r="AM14">
        <v>4.4392523364485903E-2</v>
      </c>
      <c r="AO14">
        <v>3.73831775700934E-2</v>
      </c>
      <c r="AP14">
        <v>-0.117333333333333</v>
      </c>
      <c r="AR14">
        <v>6.5420560747663503E-2</v>
      </c>
      <c r="AS14">
        <v>4.5333333333333302E-2</v>
      </c>
      <c r="AU14">
        <v>5.3333333333333297E-3</v>
      </c>
      <c r="AV14">
        <v>-9.0666666666666604E-2</v>
      </c>
      <c r="AX14">
        <v>0.14285714285714199</v>
      </c>
      <c r="AY14">
        <v>-4.8048048048047999E-2</v>
      </c>
      <c r="BA14">
        <v>3.2000000000000001E-2</v>
      </c>
      <c r="BB14">
        <v>-0.14199999999999999</v>
      </c>
      <c r="BD14">
        <v>-0.17664670658682599</v>
      </c>
      <c r="BE14">
        <v>-1.4E-2</v>
      </c>
      <c r="BG14">
        <v>-3.7999999999999999E-2</v>
      </c>
      <c r="BH14">
        <v>0.20279720279720201</v>
      </c>
      <c r="BJ14">
        <v>0.171666666666666</v>
      </c>
      <c r="BK14">
        <v>-2.3310023310023301E-2</v>
      </c>
      <c r="BM14">
        <v>2.9333333333333302E-2</v>
      </c>
      <c r="BN14">
        <v>3.73831775700934E-2</v>
      </c>
      <c r="BP14">
        <v>-7.9254079254079193E-2</v>
      </c>
      <c r="BQ14">
        <v>-1.16822429906542E-2</v>
      </c>
      <c r="BT14">
        <v>-0.04</v>
      </c>
      <c r="BV14">
        <v>-6.3084112149532703E-2</v>
      </c>
      <c r="BW14">
        <v>-9.0090090090090003E-3</v>
      </c>
      <c r="BY14">
        <v>6.0000000000000001E-3</v>
      </c>
      <c r="BZ14">
        <v>-2.6666666666666601E-3</v>
      </c>
      <c r="CB14">
        <v>-0.04</v>
      </c>
      <c r="CC14">
        <v>2.7972027972027899E-2</v>
      </c>
      <c r="CE14">
        <v>1.6E-2</v>
      </c>
      <c r="CF14">
        <v>-7.3999999999999996E-2</v>
      </c>
      <c r="CH14">
        <v>-7.69230769230769E-2</v>
      </c>
      <c r="CI14">
        <v>2.1999999999999999E-2</v>
      </c>
      <c r="CK14">
        <v>3.29341317365269E-2</v>
      </c>
      <c r="CL14">
        <v>0.09</v>
      </c>
      <c r="CN14">
        <v>-1.06666666666666E-2</v>
      </c>
      <c r="CO14">
        <v>3.5000000000000003E-2</v>
      </c>
      <c r="CQ14">
        <v>2.8000000000000001E-2</v>
      </c>
      <c r="CR14">
        <v>1.4E-2</v>
      </c>
      <c r="CT14">
        <v>5.5944055944055902E-2</v>
      </c>
      <c r="CU14">
        <v>2.5999999999999999E-2</v>
      </c>
      <c r="CW14">
        <v>-0.02</v>
      </c>
      <c r="CX14">
        <v>8.0000000000000002E-3</v>
      </c>
      <c r="CZ14">
        <v>-0.13600000000000001</v>
      </c>
      <c r="DA14">
        <v>-1.16822429906542E-2</v>
      </c>
      <c r="DC14">
        <v>2.3310023310023301E-2</v>
      </c>
      <c r="DD14">
        <v>-9.3240093240093205E-3</v>
      </c>
      <c r="DF14">
        <v>3.4000000000000002E-2</v>
      </c>
      <c r="DG14">
        <v>5.6000000000000001E-2</v>
      </c>
      <c r="DI14">
        <v>1.16822429906542E-2</v>
      </c>
      <c r="DJ14">
        <v>-5.8666666666666603E-2</v>
      </c>
      <c r="DL14">
        <v>2.6666666666666599E-2</v>
      </c>
      <c r="DM14">
        <v>3.2710280373831703E-2</v>
      </c>
      <c r="DO14">
        <v>-5.3333333333333297E-3</v>
      </c>
      <c r="DP14">
        <v>-2.57009345794392E-2</v>
      </c>
      <c r="DR14">
        <v>-0.101333333333333</v>
      </c>
      <c r="DS14">
        <v>-5.3333333333333297E-3</v>
      </c>
      <c r="DU14">
        <v>-3.3333333333333301E-3</v>
      </c>
      <c r="DV14">
        <v>0.107226107226107</v>
      </c>
      <c r="DX14">
        <v>6.07476635514018E-2</v>
      </c>
      <c r="DY14">
        <v>0.03</v>
      </c>
      <c r="EA14">
        <v>0.1002331002331</v>
      </c>
      <c r="EB14">
        <v>-0.152</v>
      </c>
      <c r="ED14">
        <v>-8.7999999999999995E-2</v>
      </c>
      <c r="EE14">
        <v>1.86915887850467E-2</v>
      </c>
      <c r="EG14">
        <v>5.8275058275058203E-2</v>
      </c>
      <c r="EH14">
        <v>-1.4018691588785E-2</v>
      </c>
      <c r="EJ14">
        <v>0.04</v>
      </c>
      <c r="EK14">
        <v>-2.4E-2</v>
      </c>
      <c r="EM14">
        <v>3.7333333333333302E-2</v>
      </c>
      <c r="EN14">
        <v>1.6355140186915799E-2</v>
      </c>
      <c r="EP14">
        <v>-6.3084112149532703E-2</v>
      </c>
      <c r="EQ14">
        <v>2.09790209790209E-2</v>
      </c>
      <c r="ES14">
        <v>2.4E-2</v>
      </c>
      <c r="ET14">
        <v>-6.9333333333333302E-2</v>
      </c>
    </row>
    <row r="15" spans="1:150" x14ac:dyDescent="0.25">
      <c r="B15">
        <v>0.11600000000000001</v>
      </c>
      <c r="C15">
        <v>-4.5999999999999999E-2</v>
      </c>
      <c r="E15">
        <v>0</v>
      </c>
      <c r="F15">
        <v>-3.16666666666666E-2</v>
      </c>
      <c r="H15">
        <v>-0.14918414918414899</v>
      </c>
      <c r="I15">
        <v>8.5999999999999993E-2</v>
      </c>
      <c r="K15">
        <v>1.6666666666666601E-2</v>
      </c>
      <c r="L15">
        <v>-3.73831775700934E-2</v>
      </c>
      <c r="N15">
        <v>-0.128</v>
      </c>
      <c r="O15">
        <v>5.7333333333333299E-2</v>
      </c>
      <c r="Q15">
        <v>8.1666666666666596E-2</v>
      </c>
      <c r="R15">
        <v>-2.7972027972027899E-2</v>
      </c>
      <c r="T15">
        <v>0.28999999999999998</v>
      </c>
      <c r="U15">
        <v>-0.20359281437125701</v>
      </c>
      <c r="W15">
        <v>0.02</v>
      </c>
      <c r="X15">
        <v>-4.67289719626168E-2</v>
      </c>
      <c r="Z15">
        <v>5.3613053613053602E-2</v>
      </c>
      <c r="AA15">
        <v>3.6666666666666597E-2</v>
      </c>
      <c r="AC15">
        <v>4.6620046620046603E-2</v>
      </c>
      <c r="AD15">
        <v>1.6E-2</v>
      </c>
      <c r="AF15">
        <v>-0.13400000000000001</v>
      </c>
      <c r="AG15">
        <v>1.5015015015014999E-2</v>
      </c>
      <c r="AI15">
        <v>5.6000000000000001E-2</v>
      </c>
      <c r="AJ15">
        <v>1.5015015015014999E-2</v>
      </c>
      <c r="AL15">
        <v>8.0000000000000002E-3</v>
      </c>
      <c r="AM15">
        <v>4.6666666666666599E-2</v>
      </c>
      <c r="AO15">
        <v>4.0000000000000001E-3</v>
      </c>
      <c r="AP15">
        <v>-4.6620046620046603E-3</v>
      </c>
      <c r="AR15">
        <v>-0.154205607476635</v>
      </c>
      <c r="AS15">
        <v>2.57009345794392E-2</v>
      </c>
      <c r="AU15">
        <v>6.6666666666666602E-3</v>
      </c>
      <c r="AV15">
        <v>-8.8578088578088507E-2</v>
      </c>
      <c r="AX15">
        <v>9.8130841121495296E-2</v>
      </c>
      <c r="AY15">
        <v>-6.2E-2</v>
      </c>
      <c r="BA15">
        <v>6.9930069930069904E-3</v>
      </c>
      <c r="BB15">
        <v>-0.126</v>
      </c>
      <c r="BD15">
        <v>-0.146666666666666</v>
      </c>
      <c r="BE15">
        <v>3.4000000000000002E-2</v>
      </c>
      <c r="BG15">
        <v>-0.1</v>
      </c>
      <c r="BH15">
        <v>0.13317757009345699</v>
      </c>
      <c r="BJ15">
        <v>-7.2429906542056E-2</v>
      </c>
      <c r="BK15">
        <v>-3.8666666666666599E-2</v>
      </c>
      <c r="BM15">
        <v>5.5E-2</v>
      </c>
      <c r="BN15">
        <v>-4.2000000000000003E-2</v>
      </c>
      <c r="BP15">
        <v>-0.11214953271028</v>
      </c>
      <c r="BQ15">
        <v>6.4000000000000001E-2</v>
      </c>
      <c r="BT15">
        <v>-5.6074766355140103E-2</v>
      </c>
      <c r="BV15">
        <v>-0.06</v>
      </c>
      <c r="BW15">
        <v>0.01</v>
      </c>
      <c r="BY15">
        <v>2.57009345794392E-2</v>
      </c>
      <c r="BZ15">
        <v>4.2056074766355103E-2</v>
      </c>
      <c r="CB15">
        <v>1.2E-2</v>
      </c>
      <c r="CC15">
        <v>-2.4E-2</v>
      </c>
      <c r="CE15">
        <v>2.6666666666666599E-2</v>
      </c>
      <c r="CF15">
        <v>-0.100467289719626</v>
      </c>
      <c r="CH15">
        <v>0.15333333333333299</v>
      </c>
      <c r="CI15">
        <v>-7.2429906542056E-2</v>
      </c>
      <c r="CK15">
        <v>-7.0000000000000007E-2</v>
      </c>
      <c r="CL15">
        <v>0.111666666666666</v>
      </c>
      <c r="CN15">
        <v>-0.1</v>
      </c>
      <c r="CO15">
        <v>8.0000000000000002E-3</v>
      </c>
      <c r="CQ15">
        <v>3.9039039039038999E-2</v>
      </c>
      <c r="CR15">
        <v>-2.5999999999999999E-2</v>
      </c>
      <c r="CT15">
        <v>0</v>
      </c>
      <c r="CU15">
        <v>2.57009345794392E-2</v>
      </c>
      <c r="CW15">
        <v>2.09580838323353E-2</v>
      </c>
      <c r="CX15">
        <v>-6.07476635514018E-2</v>
      </c>
      <c r="CZ15">
        <v>8.0000000000000002E-3</v>
      </c>
      <c r="DA15">
        <v>2.7027027027027001E-2</v>
      </c>
      <c r="DC15">
        <v>2.9333333333333302E-2</v>
      </c>
      <c r="DD15">
        <v>8.2000000000000003E-2</v>
      </c>
      <c r="DF15">
        <v>-1.8648018648018599E-2</v>
      </c>
      <c r="DG15">
        <v>3.03738317757009E-2</v>
      </c>
      <c r="DI15">
        <v>0</v>
      </c>
      <c r="DJ15">
        <v>-1.4E-2</v>
      </c>
      <c r="DL15">
        <v>7.8078078078077998E-2</v>
      </c>
      <c r="DM15">
        <v>-2.33644859813084E-2</v>
      </c>
      <c r="DO15">
        <v>1.3333333333333299E-2</v>
      </c>
      <c r="DP15">
        <v>-9.11214953271028E-2</v>
      </c>
      <c r="DR15">
        <v>-0.05</v>
      </c>
      <c r="DS15">
        <v>3.4000000000000002E-2</v>
      </c>
      <c r="DU15">
        <v>6.4000000000000001E-2</v>
      </c>
      <c r="DV15">
        <v>-3.2634032634032598E-2</v>
      </c>
      <c r="DX15">
        <v>0</v>
      </c>
      <c r="DY15">
        <v>3.03738317757009E-2</v>
      </c>
      <c r="EA15">
        <v>-9.3333333333333306E-3</v>
      </c>
      <c r="EB15">
        <v>-1.16822429906542E-2</v>
      </c>
      <c r="ED15">
        <v>1.86915887850467E-2</v>
      </c>
      <c r="EE15">
        <v>3.4666666666666603E-2</v>
      </c>
      <c r="EG15">
        <v>2.39520958083832E-2</v>
      </c>
      <c r="EH15">
        <v>-1.6E-2</v>
      </c>
      <c r="EJ15">
        <v>4.8000000000000001E-2</v>
      </c>
      <c r="EK15">
        <v>3.2000000000000001E-2</v>
      </c>
      <c r="EM15">
        <v>0.02</v>
      </c>
      <c r="EN15">
        <v>-4.0000000000000001E-3</v>
      </c>
      <c r="EP15">
        <v>3.2000000000000001E-2</v>
      </c>
      <c r="EQ15">
        <v>3.03030303030303E-2</v>
      </c>
      <c r="ES15">
        <v>-0.02</v>
      </c>
      <c r="ET15">
        <v>-0.128205128205128</v>
      </c>
    </row>
    <row r="16" spans="1:150" x14ac:dyDescent="0.25">
      <c r="B16">
        <v>7.4999999999999997E-2</v>
      </c>
      <c r="C16">
        <v>8.0645161290322495E-2</v>
      </c>
      <c r="E16">
        <v>2.1999999999999999E-2</v>
      </c>
      <c r="F16">
        <v>0.04</v>
      </c>
      <c r="H16">
        <v>6.7796610169491497E-2</v>
      </c>
      <c r="I16">
        <v>6.5268065268065195E-2</v>
      </c>
      <c r="K16">
        <v>1.8648018648018599E-2</v>
      </c>
      <c r="L16">
        <v>0.27272727272727199</v>
      </c>
      <c r="N16">
        <v>-0.151869158878504</v>
      </c>
      <c r="O16">
        <v>-6.0000000000000001E-3</v>
      </c>
      <c r="Q16">
        <v>1.6E-2</v>
      </c>
      <c r="R16">
        <v>5.7057057057056999E-2</v>
      </c>
      <c r="T16">
        <v>0.3</v>
      </c>
      <c r="U16">
        <v>-0.21833333333333299</v>
      </c>
      <c r="W16">
        <v>1.6317016317016299E-2</v>
      </c>
      <c r="X16">
        <v>-7.1999999999999995E-2</v>
      </c>
      <c r="Z16">
        <v>0.106</v>
      </c>
      <c r="AA16">
        <v>3.0030030030029999E-3</v>
      </c>
      <c r="AC16">
        <v>-4.0000000000000001E-3</v>
      </c>
      <c r="AD16">
        <v>0.192192192192192</v>
      </c>
      <c r="AF16">
        <v>-0.105333333333333</v>
      </c>
      <c r="AG16">
        <v>-2.3364485981308401E-3</v>
      </c>
      <c r="AI16">
        <v>1.8666666666666599E-2</v>
      </c>
      <c r="AJ16">
        <v>-4.2000000000000003E-2</v>
      </c>
      <c r="AL16">
        <v>4.6620046620046603E-3</v>
      </c>
      <c r="AM16">
        <v>3.8333333333333303E-2</v>
      </c>
      <c r="AO16">
        <v>-1.3986013986013899E-2</v>
      </c>
      <c r="AP16">
        <v>-8.0000000000000002E-3</v>
      </c>
      <c r="AR16">
        <v>-6.4000000000000001E-2</v>
      </c>
      <c r="AS16">
        <v>3.7999999999999999E-2</v>
      </c>
      <c r="AU16">
        <v>1.2E-2</v>
      </c>
      <c r="AV16">
        <v>-9.8000000000000004E-2</v>
      </c>
      <c r="AX16">
        <v>4.1666666666666602E-2</v>
      </c>
      <c r="AY16">
        <v>2.5999999999999999E-2</v>
      </c>
      <c r="BA16">
        <v>8.8785046728971903E-2</v>
      </c>
      <c r="BB16">
        <v>-9.1666666666666605E-2</v>
      </c>
      <c r="BD16">
        <v>-7.1666666666666601E-2</v>
      </c>
      <c r="BE16">
        <v>1.2012012012012E-2</v>
      </c>
      <c r="BG16">
        <v>-6.2937062937062901E-2</v>
      </c>
      <c r="BH16">
        <v>0.125874125874125</v>
      </c>
      <c r="BJ16">
        <v>0.08</v>
      </c>
      <c r="BK16">
        <v>-1.6355140186915799E-2</v>
      </c>
      <c r="BM16">
        <v>1.6666666666666601E-2</v>
      </c>
      <c r="BN16">
        <v>-0.06</v>
      </c>
      <c r="BP16">
        <v>-1.7999999999999999E-2</v>
      </c>
      <c r="BQ16">
        <v>3.2000000000000001E-2</v>
      </c>
      <c r="BT16">
        <v>0</v>
      </c>
      <c r="BV16">
        <v>8.0000000000000002E-3</v>
      </c>
      <c r="BW16">
        <v>4.2666666666666603E-2</v>
      </c>
      <c r="BY16">
        <v>4.6620046620046603E-2</v>
      </c>
      <c r="BZ16">
        <v>1.2E-2</v>
      </c>
      <c r="CB16">
        <v>-7.1999999999999995E-2</v>
      </c>
      <c r="CC16">
        <v>1.3986013986013899E-2</v>
      </c>
      <c r="CE16">
        <v>8.3333333333333297E-3</v>
      </c>
      <c r="CF16">
        <v>-0.18666666666666601</v>
      </c>
      <c r="CH16">
        <v>0.25800000000000001</v>
      </c>
      <c r="CI16">
        <v>-0.16816816816816799</v>
      </c>
      <c r="CK16">
        <v>3.2000000000000001E-2</v>
      </c>
      <c r="CL16">
        <v>-3.9627039627039597E-2</v>
      </c>
      <c r="CN16">
        <v>-6.5268065268065195E-2</v>
      </c>
      <c r="CO16">
        <v>3.03030303030303E-2</v>
      </c>
      <c r="CQ16">
        <v>4.6620046620046603E-3</v>
      </c>
      <c r="CR16">
        <v>-2.5999999999999999E-2</v>
      </c>
      <c r="CT16">
        <v>-0.128205128205128</v>
      </c>
      <c r="CU16">
        <v>0.01</v>
      </c>
      <c r="CW16">
        <v>-1.06666666666666E-2</v>
      </c>
      <c r="CX16">
        <v>-3.6666666666666597E-2</v>
      </c>
      <c r="CZ16">
        <v>-0.13317757009345699</v>
      </c>
      <c r="DA16">
        <v>2.8037383177569999E-2</v>
      </c>
      <c r="DC16">
        <v>4.90654205607476E-2</v>
      </c>
      <c r="DD16">
        <v>-8.5000000000000006E-2</v>
      </c>
      <c r="DF16">
        <v>-3.6666666666666597E-2</v>
      </c>
      <c r="DG16">
        <v>2.33644859813084E-2</v>
      </c>
      <c r="DI16">
        <v>2.09790209790209E-2</v>
      </c>
      <c r="DJ16">
        <v>-5.1666666666666597E-2</v>
      </c>
      <c r="DL16">
        <v>-1.4E-2</v>
      </c>
      <c r="DM16">
        <v>-4.1000000000000002E-2</v>
      </c>
      <c r="DO16">
        <v>-1.6355140186915799E-2</v>
      </c>
      <c r="DP16">
        <v>-0.222</v>
      </c>
      <c r="DR16">
        <v>3.5999999999999997E-2</v>
      </c>
      <c r="DS16">
        <v>3.2258064516128997E-2</v>
      </c>
      <c r="DU16">
        <v>7.0093457943925198E-3</v>
      </c>
      <c r="DV16">
        <v>6.6666666666666596E-2</v>
      </c>
      <c r="DX16">
        <v>4.1666666666666602E-2</v>
      </c>
      <c r="DY16">
        <v>0.02</v>
      </c>
      <c r="EA16">
        <v>2.7027027027027001E-2</v>
      </c>
      <c r="EB16">
        <v>-6.2E-2</v>
      </c>
      <c r="ED16">
        <v>-6.6000000000000003E-2</v>
      </c>
      <c r="EE16">
        <v>4.3999999999999997E-2</v>
      </c>
      <c r="EG16">
        <v>1.06666666666666E-2</v>
      </c>
      <c r="EH16">
        <v>-4.5333333333333302E-2</v>
      </c>
      <c r="EJ16">
        <v>-7.9254079254079193E-2</v>
      </c>
      <c r="EK16">
        <v>2.5641025641025599E-2</v>
      </c>
      <c r="EM16">
        <v>3.9719626168224297E-2</v>
      </c>
      <c r="EN16">
        <v>4.6620046620046603E-3</v>
      </c>
      <c r="EP16">
        <v>-1.63934426229508E-2</v>
      </c>
      <c r="EQ16">
        <v>-4.8000000000000001E-2</v>
      </c>
      <c r="ES16">
        <v>-1.3333333333333299E-2</v>
      </c>
      <c r="ET16">
        <v>-3.9627039627039597E-2</v>
      </c>
    </row>
    <row r="17" spans="2:150" x14ac:dyDescent="0.25">
      <c r="B17">
        <v>9.3333333333333296E-2</v>
      </c>
      <c r="C17">
        <v>3.2000000000000001E-2</v>
      </c>
      <c r="E17">
        <v>1.6355140186915799E-2</v>
      </c>
      <c r="F17">
        <v>-6.8333333333333302E-2</v>
      </c>
      <c r="H17">
        <v>-7.5999999999999998E-2</v>
      </c>
      <c r="I17">
        <v>4.1958041958041897E-2</v>
      </c>
      <c r="K17">
        <v>9.45945945945946E-2</v>
      </c>
      <c r="L17">
        <v>0.37</v>
      </c>
      <c r="N17">
        <v>-3.7999999999999999E-2</v>
      </c>
      <c r="O17">
        <v>2.4E-2</v>
      </c>
      <c r="Q17">
        <v>3.3333333333333298E-2</v>
      </c>
      <c r="R17">
        <v>0.125</v>
      </c>
      <c r="T17">
        <v>0.314</v>
      </c>
      <c r="U17">
        <v>-0.146666666666666</v>
      </c>
      <c r="W17">
        <v>0</v>
      </c>
      <c r="X17">
        <v>-2.33333333333333E-2</v>
      </c>
      <c r="Z17">
        <v>0.1002331002331</v>
      </c>
      <c r="AA17">
        <v>5.6666666666666601E-2</v>
      </c>
      <c r="AC17">
        <v>-7.6666666666666605E-2</v>
      </c>
      <c r="AD17">
        <v>6.2E-2</v>
      </c>
      <c r="AF17">
        <v>-8.2666666666666597E-2</v>
      </c>
      <c r="AG17">
        <v>-2.5000000000000001E-2</v>
      </c>
      <c r="AI17">
        <v>0</v>
      </c>
      <c r="AJ17">
        <v>5.1666666666666597E-2</v>
      </c>
      <c r="AL17">
        <v>2.8000000000000001E-2</v>
      </c>
      <c r="AM17">
        <v>0.12</v>
      </c>
      <c r="AO17">
        <v>2.7972027972027899E-2</v>
      </c>
      <c r="AP17">
        <v>-0.04</v>
      </c>
      <c r="AR17">
        <v>-6.7757009345794303E-2</v>
      </c>
      <c r="AS17">
        <v>3.16666666666666E-2</v>
      </c>
      <c r="AU17">
        <v>1.16666666666666E-2</v>
      </c>
      <c r="AV17">
        <v>-0.128</v>
      </c>
      <c r="AX17">
        <v>5.8666666666666603E-2</v>
      </c>
      <c r="AY17">
        <v>4.4289044289044198E-2</v>
      </c>
      <c r="BA17">
        <v>3.3333333333333298E-2</v>
      </c>
      <c r="BB17">
        <v>-0.101333333333333</v>
      </c>
      <c r="BD17">
        <v>-6.4000000000000001E-2</v>
      </c>
      <c r="BE17">
        <v>3.6666666666666597E-2</v>
      </c>
      <c r="BG17">
        <v>-8.2000000000000003E-2</v>
      </c>
      <c r="BH17">
        <v>3.2000000000000001E-2</v>
      </c>
      <c r="BJ17">
        <v>0.11</v>
      </c>
      <c r="BK17">
        <v>0.05</v>
      </c>
      <c r="BM17">
        <v>1.6129032258064498E-2</v>
      </c>
      <c r="BN17">
        <v>-0.13519813519813501</v>
      </c>
      <c r="BP17">
        <v>1.7999999999999999E-2</v>
      </c>
      <c r="BQ17">
        <v>-3.73831775700934E-2</v>
      </c>
      <c r="BT17">
        <v>-4.6666666666666599E-2</v>
      </c>
      <c r="BV17">
        <v>2.6666666666666599E-2</v>
      </c>
      <c r="BW17">
        <v>0.05</v>
      </c>
      <c r="BY17">
        <v>4.3999999999999997E-2</v>
      </c>
      <c r="BZ17">
        <v>-7.3333333333333306E-2</v>
      </c>
      <c r="CB17">
        <v>-0.112</v>
      </c>
      <c r="CC17">
        <v>-6.0000000000000001E-3</v>
      </c>
      <c r="CE17">
        <v>0.13600000000000001</v>
      </c>
      <c r="CF17">
        <v>-0.19</v>
      </c>
      <c r="CH17">
        <v>0.224</v>
      </c>
      <c r="CI17">
        <v>-0.09</v>
      </c>
      <c r="CK17">
        <v>2.33644859813084E-2</v>
      </c>
      <c r="CL17">
        <v>0.08</v>
      </c>
      <c r="CN17">
        <v>-0.08</v>
      </c>
      <c r="CO17">
        <v>1.4018691588785E-2</v>
      </c>
      <c r="CQ17">
        <v>5.6000000000000001E-2</v>
      </c>
      <c r="CR17">
        <v>-2.9333333333333302E-2</v>
      </c>
      <c r="CT17">
        <v>0.11600000000000001</v>
      </c>
      <c r="CU17">
        <v>-2.8333333333333301E-2</v>
      </c>
      <c r="CW17">
        <v>1.2E-2</v>
      </c>
      <c r="CX17">
        <v>3.2710280373831703E-2</v>
      </c>
      <c r="CZ17">
        <v>-0.15833333333333299</v>
      </c>
      <c r="DA17">
        <v>0</v>
      </c>
      <c r="DC17">
        <v>1.3986013986013899E-2</v>
      </c>
      <c r="DD17">
        <v>0.04</v>
      </c>
      <c r="DF17">
        <v>-1.2E-2</v>
      </c>
      <c r="DG17">
        <v>1.4E-2</v>
      </c>
      <c r="DI17">
        <v>3.4965034965034898E-2</v>
      </c>
      <c r="DJ17">
        <v>-5.0666666666666603E-2</v>
      </c>
      <c r="DL17">
        <v>4.6620046620046603E-2</v>
      </c>
      <c r="DM17">
        <v>2.5999999999999999E-2</v>
      </c>
      <c r="DO17">
        <v>9.0666666666666604E-2</v>
      </c>
      <c r="DP17">
        <v>-8.1775700934579407E-2</v>
      </c>
      <c r="DR17">
        <v>1.5873015873015799E-2</v>
      </c>
      <c r="DS17">
        <v>3.4666666666666603E-2</v>
      </c>
      <c r="DU17">
        <v>0</v>
      </c>
      <c r="DV17">
        <v>6.0060060060059999E-3</v>
      </c>
      <c r="DX17">
        <v>-2.5641025641025599E-2</v>
      </c>
      <c r="DY17">
        <v>-1.6666666666666601E-3</v>
      </c>
      <c r="EA17">
        <v>1.06666666666666E-2</v>
      </c>
      <c r="EB17">
        <v>-4.0000000000000001E-3</v>
      </c>
      <c r="ED17">
        <v>-1.4999999999999999E-2</v>
      </c>
      <c r="EE17">
        <v>-4.6728971962616802E-3</v>
      </c>
      <c r="EG17">
        <v>3.4000000000000002E-2</v>
      </c>
      <c r="EH17">
        <v>-1.86915887850467E-2</v>
      </c>
      <c r="EJ17">
        <v>-0.11</v>
      </c>
      <c r="EK17">
        <v>0.02</v>
      </c>
      <c r="EM17">
        <v>2.4E-2</v>
      </c>
      <c r="EN17">
        <v>-5.6000000000000001E-2</v>
      </c>
      <c r="EP17">
        <v>0.20166666666666599</v>
      </c>
      <c r="EQ17">
        <v>-9.8000000000000004E-2</v>
      </c>
      <c r="ES17">
        <v>5.83333333333333E-2</v>
      </c>
      <c r="ET17">
        <v>5.3613053613053602E-2</v>
      </c>
    </row>
    <row r="18" spans="2:150" x14ac:dyDescent="0.25">
      <c r="B18">
        <v>-6.6666666666666596E-2</v>
      </c>
      <c r="C18">
        <v>4.6620046620046603E-2</v>
      </c>
      <c r="E18">
        <v>3.2000000000000001E-2</v>
      </c>
      <c r="F18">
        <v>3.3333333333333298E-2</v>
      </c>
      <c r="H18">
        <v>0.01</v>
      </c>
      <c r="I18">
        <v>8.1666666666666596E-2</v>
      </c>
      <c r="K18">
        <v>-0.14933333333333301</v>
      </c>
      <c r="L18">
        <v>0.26800000000000002</v>
      </c>
      <c r="N18">
        <v>0.06</v>
      </c>
      <c r="O18">
        <v>-0.05</v>
      </c>
      <c r="Q18">
        <v>-3.8333333333333303E-2</v>
      </c>
      <c r="R18">
        <v>-7.0422535211267595E-2</v>
      </c>
      <c r="T18">
        <v>0.197333333333333</v>
      </c>
      <c r="U18">
        <v>8.4507042253521097E-2</v>
      </c>
      <c r="W18">
        <v>1.7999999999999999E-2</v>
      </c>
      <c r="X18">
        <v>-0.13066666666666599</v>
      </c>
      <c r="Z18">
        <v>0.150684931506849</v>
      </c>
      <c r="AA18">
        <v>6.1333333333333302E-2</v>
      </c>
      <c r="AC18">
        <v>-5.0666666666666603E-2</v>
      </c>
      <c r="AD18">
        <v>0.16266666666666599</v>
      </c>
      <c r="AF18">
        <v>6.6000000000000003E-2</v>
      </c>
      <c r="AG18">
        <v>-1.6E-2</v>
      </c>
      <c r="AI18">
        <v>-6.9333333333333302E-2</v>
      </c>
      <c r="AJ18">
        <v>0.20979020979020899</v>
      </c>
      <c r="AL18">
        <v>-0.17599999999999999</v>
      </c>
      <c r="AM18">
        <v>7.4666666666666603E-2</v>
      </c>
      <c r="AO18">
        <v>1.4E-2</v>
      </c>
      <c r="AP18">
        <v>-5.3333333333333302E-2</v>
      </c>
      <c r="AR18">
        <v>-7.0000000000000007E-2</v>
      </c>
      <c r="AS18">
        <v>5.0000000000000001E-3</v>
      </c>
      <c r="AU18">
        <v>1.7999999999999999E-2</v>
      </c>
      <c r="AV18">
        <v>-0.123333333333333</v>
      </c>
      <c r="AX18">
        <v>-0.12</v>
      </c>
      <c r="AY18">
        <v>1.13636363636363E-2</v>
      </c>
      <c r="BA18">
        <v>6.1333333333333302E-2</v>
      </c>
      <c r="BB18">
        <v>4.6666666666666599E-2</v>
      </c>
      <c r="BD18">
        <v>-3.4965034965034898E-2</v>
      </c>
      <c r="BE18">
        <v>1.4E-2</v>
      </c>
      <c r="BG18">
        <v>-3.4000000000000002E-2</v>
      </c>
      <c r="BH18">
        <v>0.14219114219114201</v>
      </c>
      <c r="BJ18">
        <v>-1.6E-2</v>
      </c>
      <c r="BK18">
        <v>3.03738317757009E-2</v>
      </c>
      <c r="BM18">
        <v>9.34579439252336E-2</v>
      </c>
      <c r="BN18">
        <v>-5.6338028169014003E-2</v>
      </c>
      <c r="BP18">
        <v>-1.3986013986013899E-2</v>
      </c>
      <c r="BQ18">
        <v>2E-3</v>
      </c>
      <c r="BT18">
        <v>-0.10489510489510399</v>
      </c>
      <c r="BV18">
        <v>-1.2E-2</v>
      </c>
      <c r="BW18">
        <v>2.7972027972027899E-2</v>
      </c>
      <c r="BY18">
        <v>2.7972027972027899E-2</v>
      </c>
      <c r="BZ18">
        <v>-0.228333333333333</v>
      </c>
      <c r="CB18">
        <v>-7.8333333333333297E-2</v>
      </c>
      <c r="CC18">
        <v>4.0000000000000001E-3</v>
      </c>
      <c r="CE18">
        <v>6.5420560747663503E-2</v>
      </c>
      <c r="CF18">
        <v>0.116666666666666</v>
      </c>
      <c r="CH18">
        <v>-4.33333333333333E-2</v>
      </c>
      <c r="CI18">
        <v>0.05</v>
      </c>
      <c r="CK18">
        <v>0.08</v>
      </c>
      <c r="CL18">
        <v>-0.154</v>
      </c>
      <c r="CN18">
        <v>-6.1666666666666599E-2</v>
      </c>
      <c r="CO18">
        <v>-0.01</v>
      </c>
      <c r="CQ18">
        <v>1.8666666666666599E-2</v>
      </c>
      <c r="CR18">
        <v>-4.6728971962616802E-3</v>
      </c>
      <c r="CT18">
        <v>-3.2000000000000001E-2</v>
      </c>
      <c r="CU18">
        <v>1.46666666666666E-2</v>
      </c>
      <c r="CW18">
        <v>2.5999999999999999E-2</v>
      </c>
      <c r="CX18">
        <v>-4.0000000000000001E-3</v>
      </c>
      <c r="CZ18">
        <v>-0.15</v>
      </c>
      <c r="DA18">
        <v>7.8333333333333297E-2</v>
      </c>
      <c r="DC18">
        <v>1.4E-2</v>
      </c>
      <c r="DD18">
        <v>0.15333333333333299</v>
      </c>
      <c r="DF18">
        <v>0.14133333333333301</v>
      </c>
      <c r="DG18">
        <v>3.5999999999999997E-2</v>
      </c>
      <c r="DI18">
        <v>1.8648018648018599E-2</v>
      </c>
      <c r="DJ18">
        <v>0.05</v>
      </c>
      <c r="DL18">
        <v>2.5999999999999999E-2</v>
      </c>
      <c r="DM18">
        <v>1.2E-2</v>
      </c>
      <c r="DO18">
        <v>3.03030303030303E-2</v>
      </c>
      <c r="DP18">
        <v>-4.5999999999999999E-2</v>
      </c>
      <c r="DR18">
        <v>0.121495327102803</v>
      </c>
      <c r="DS18">
        <v>5.3333333333333302E-2</v>
      </c>
      <c r="DU18">
        <v>-5.3613053613053602E-2</v>
      </c>
      <c r="DV18">
        <v>0.16923076923076899</v>
      </c>
      <c r="DX18">
        <v>7.0093457943925198E-3</v>
      </c>
      <c r="DY18">
        <v>3.7999999999999999E-2</v>
      </c>
      <c r="EA18">
        <v>3.2000000000000001E-2</v>
      </c>
      <c r="EB18">
        <v>-9.5794392523364399E-2</v>
      </c>
      <c r="ED18">
        <v>0.25352112676056299</v>
      </c>
      <c r="EE18">
        <v>8.1585081585081501E-2</v>
      </c>
      <c r="EG18">
        <v>-0.02</v>
      </c>
      <c r="EH18">
        <v>-5.1999999999999998E-2</v>
      </c>
      <c r="EJ18">
        <v>2.33333333333333E-2</v>
      </c>
      <c r="EK18">
        <v>2.6666666666666599E-2</v>
      </c>
      <c r="EM18">
        <v>-1.4999999999999999E-2</v>
      </c>
      <c r="EN18">
        <v>-6.4000000000000001E-2</v>
      </c>
      <c r="EP18">
        <v>0.13</v>
      </c>
      <c r="EQ18">
        <v>0.14499999999999999</v>
      </c>
      <c r="ES18">
        <v>3.7333333333333302E-2</v>
      </c>
      <c r="ET18">
        <v>5.83333333333333E-2</v>
      </c>
    </row>
    <row r="19" spans="2:150" x14ac:dyDescent="0.25">
      <c r="B19">
        <v>1.2987012987012899E-2</v>
      </c>
      <c r="C19">
        <v>8.9333333333333306E-2</v>
      </c>
      <c r="E19">
        <v>3.16666666666666E-2</v>
      </c>
      <c r="F19">
        <v>1.16550116550116E-2</v>
      </c>
      <c r="H19">
        <v>-7.9439252336448593E-2</v>
      </c>
      <c r="I19">
        <v>1.6666666666666601E-2</v>
      </c>
      <c r="K19">
        <v>-6.6666666666666596E-2</v>
      </c>
      <c r="L19">
        <v>9.3333333333333296E-2</v>
      </c>
      <c r="N19">
        <v>-2.6666666666666601E-3</v>
      </c>
      <c r="O19">
        <v>0.04</v>
      </c>
      <c r="Q19">
        <v>1.86915887850467E-2</v>
      </c>
      <c r="R19">
        <v>-0.133333333333333</v>
      </c>
      <c r="T19">
        <v>9.3333333333333296E-2</v>
      </c>
      <c r="U19">
        <v>4.4289044289044198E-2</v>
      </c>
      <c r="W19">
        <v>2.4E-2</v>
      </c>
      <c r="X19">
        <v>-7.4999999999999997E-2</v>
      </c>
      <c r="Z19">
        <v>9.8666666666666597E-2</v>
      </c>
      <c r="AA19">
        <v>5.8139534883720902E-2</v>
      </c>
      <c r="AC19">
        <v>-6.7757009345794303E-2</v>
      </c>
      <c r="AD19">
        <v>0.12833333333333299</v>
      </c>
      <c r="AF19">
        <v>0.04</v>
      </c>
      <c r="AG19">
        <v>2.94117647058823E-2</v>
      </c>
      <c r="AI19">
        <v>-3.5999999999999997E-2</v>
      </c>
      <c r="AJ19">
        <v>0.16</v>
      </c>
      <c r="AL19">
        <v>1.47058823529411E-2</v>
      </c>
      <c r="AM19">
        <v>3.2000000000000001E-2</v>
      </c>
      <c r="AO19">
        <v>0.01</v>
      </c>
      <c r="AP19">
        <v>-5.5E-2</v>
      </c>
      <c r="AR19">
        <v>-0.116666666666666</v>
      </c>
      <c r="AS19">
        <v>-6.6666666666666602E-3</v>
      </c>
      <c r="AU19">
        <v>-3.9627039627039597E-2</v>
      </c>
      <c r="AV19">
        <v>-2.8333333333333301E-2</v>
      </c>
      <c r="AX19">
        <v>-7.69230769230769E-2</v>
      </c>
      <c r="AY19">
        <v>0</v>
      </c>
      <c r="BA19">
        <v>-2E-3</v>
      </c>
      <c r="BB19">
        <v>-2.9333333333333302E-2</v>
      </c>
      <c r="BD19">
        <v>0.36399999999999999</v>
      </c>
      <c r="BE19">
        <v>-0.25600000000000001</v>
      </c>
      <c r="BG19">
        <v>9.83333333333333E-2</v>
      </c>
      <c r="BH19">
        <v>-0.164835164835164</v>
      </c>
      <c r="BJ19">
        <v>-0.24666666666666601</v>
      </c>
      <c r="BK19">
        <v>-3.6999999999999998E-2</v>
      </c>
      <c r="BM19">
        <v>2.7972027972027899E-2</v>
      </c>
      <c r="BN19">
        <v>-2.5000000000000001E-2</v>
      </c>
      <c r="BP19">
        <v>-7.3333333333333306E-2</v>
      </c>
      <c r="BQ19">
        <v>0.03</v>
      </c>
      <c r="BT19">
        <v>0.23799999999999999</v>
      </c>
      <c r="BV19">
        <v>-5.0000000000000001E-3</v>
      </c>
      <c r="BW19">
        <v>6.9930069930069904E-3</v>
      </c>
      <c r="BY19">
        <v>0.12166666666666601</v>
      </c>
      <c r="BZ19">
        <v>0.224</v>
      </c>
      <c r="CB19">
        <v>8.6247086247086199E-2</v>
      </c>
      <c r="CC19">
        <v>7.1666666666666601E-2</v>
      </c>
      <c r="CE19">
        <v>-5.0000000000000001E-3</v>
      </c>
      <c r="CF19">
        <v>3.3333333333333298E-2</v>
      </c>
      <c r="CH19">
        <v>-0.14399999999999999</v>
      </c>
      <c r="CI19">
        <v>-2.1333333333333301E-2</v>
      </c>
      <c r="CK19">
        <v>0</v>
      </c>
      <c r="CL19">
        <v>-7.8E-2</v>
      </c>
      <c r="CN19">
        <v>5.6000000000000001E-2</v>
      </c>
      <c r="CO19">
        <v>2.5641025641025599E-2</v>
      </c>
      <c r="CQ19">
        <v>3.3333333333333298E-2</v>
      </c>
      <c r="CR19">
        <v>0.06</v>
      </c>
      <c r="CT19">
        <v>-3.7999999999999999E-2</v>
      </c>
      <c r="CU19">
        <v>2.9333333333333302E-2</v>
      </c>
      <c r="CW19">
        <v>2.57009345794392E-2</v>
      </c>
      <c r="CX19">
        <v>-6.9333333333333302E-2</v>
      </c>
      <c r="CZ19">
        <v>-8.9552238805970102E-2</v>
      </c>
      <c r="DA19">
        <v>3.3333333333333298E-2</v>
      </c>
      <c r="DC19">
        <v>-3.8333333333333303E-2</v>
      </c>
      <c r="DD19">
        <v>9.8666666666666597E-2</v>
      </c>
      <c r="DF19">
        <v>0.126</v>
      </c>
      <c r="DG19">
        <v>-1.4999999999999999E-2</v>
      </c>
      <c r="DI19">
        <v>2.57009345794392E-2</v>
      </c>
      <c r="DJ19">
        <v>-9.1999999999999998E-2</v>
      </c>
      <c r="DL19">
        <v>7.1999999999999995E-2</v>
      </c>
      <c r="DM19">
        <v>5.1666666666666597E-2</v>
      </c>
      <c r="DO19">
        <v>4.6666666666666599E-2</v>
      </c>
      <c r="DP19">
        <v>-4.2000000000000003E-2</v>
      </c>
      <c r="DR19">
        <v>-2.1999999999999999E-2</v>
      </c>
      <c r="DS19">
        <v>0</v>
      </c>
      <c r="DU19">
        <v>-2E-3</v>
      </c>
      <c r="DV19">
        <v>-4.67289719626168E-2</v>
      </c>
      <c r="DX19">
        <v>-9.8666666666666597E-2</v>
      </c>
      <c r="DY19">
        <v>-6.2E-2</v>
      </c>
      <c r="EA19">
        <v>-1.8666666666666599E-2</v>
      </c>
      <c r="EB19">
        <v>4.8333333333333298E-2</v>
      </c>
      <c r="ED19">
        <v>-3.4000000000000002E-2</v>
      </c>
      <c r="EE19">
        <v>0.02</v>
      </c>
      <c r="EG19">
        <v>0.02</v>
      </c>
      <c r="EH19">
        <v>-1.8333333333333299E-2</v>
      </c>
      <c r="EJ19">
        <v>-4.5333333333333302E-2</v>
      </c>
      <c r="EK19">
        <v>-0.02</v>
      </c>
      <c r="EM19">
        <v>2.5641025641025599E-2</v>
      </c>
      <c r="EN19">
        <v>-1.4E-2</v>
      </c>
      <c r="EP19">
        <v>-0.32266666666666599</v>
      </c>
      <c r="EQ19">
        <v>4.8000000000000001E-2</v>
      </c>
      <c r="ES19">
        <v>-2.5999999999999999E-2</v>
      </c>
      <c r="ET19">
        <v>0.234666666666666</v>
      </c>
    </row>
    <row r="20" spans="2:150" x14ac:dyDescent="0.25">
      <c r="B20">
        <v>-0.128504672897196</v>
      </c>
      <c r="C20">
        <v>7.8E-2</v>
      </c>
      <c r="E20">
        <v>0.02</v>
      </c>
      <c r="F20">
        <v>-7.1666666666666601E-2</v>
      </c>
      <c r="H20">
        <v>4.2666666666666603E-2</v>
      </c>
      <c r="I20">
        <v>-1.3333333333333299E-2</v>
      </c>
      <c r="K20">
        <v>3.0927835051546299E-2</v>
      </c>
      <c r="L20">
        <v>-0.12</v>
      </c>
      <c r="N20">
        <v>-7.2261072261072201E-2</v>
      </c>
      <c r="O20">
        <v>3.4965034965034898E-2</v>
      </c>
      <c r="Q20">
        <v>0</v>
      </c>
      <c r="R20">
        <v>-9.5000000000000001E-2</v>
      </c>
      <c r="T20">
        <v>5.1282051282051197E-2</v>
      </c>
      <c r="U20">
        <v>0.13200000000000001</v>
      </c>
      <c r="W20">
        <v>9.3240093240093205E-3</v>
      </c>
      <c r="X20">
        <v>-3.7999999999999999E-2</v>
      </c>
      <c r="Z20">
        <v>0.13200000000000001</v>
      </c>
      <c r="AA20">
        <v>0.06</v>
      </c>
      <c r="AC20">
        <v>1.2E-2</v>
      </c>
      <c r="AD20">
        <v>8.66666666666666E-2</v>
      </c>
      <c r="AF20">
        <v>0.107476635514018</v>
      </c>
      <c r="AG20">
        <v>0.05</v>
      </c>
      <c r="AI20">
        <v>-0.03</v>
      </c>
      <c r="AJ20">
        <v>3.03030303030303E-2</v>
      </c>
      <c r="AL20">
        <v>-4.4392523364485903E-2</v>
      </c>
      <c r="AM20">
        <v>3.5000000000000003E-2</v>
      </c>
      <c r="AO20">
        <v>0.04</v>
      </c>
      <c r="AP20">
        <v>-6.2E-2</v>
      </c>
      <c r="AR20">
        <v>3.7333333333333302E-2</v>
      </c>
      <c r="AS20">
        <v>2.9333333333333302E-2</v>
      </c>
      <c r="AU20">
        <v>-3.4666666666666603E-2</v>
      </c>
      <c r="AV20">
        <v>2.5000000000000001E-2</v>
      </c>
      <c r="AX20">
        <v>0.126</v>
      </c>
      <c r="AY20">
        <v>4.1666666666666602E-2</v>
      </c>
      <c r="BA20">
        <v>2.1999999999999999E-2</v>
      </c>
      <c r="BB20">
        <v>0.03</v>
      </c>
      <c r="BD20">
        <v>8.8607594936708806E-2</v>
      </c>
      <c r="BE20">
        <v>3.8666666666666599E-2</v>
      </c>
      <c r="BG20">
        <v>-6.5000000000000002E-2</v>
      </c>
      <c r="BH20">
        <v>-9.4E-2</v>
      </c>
      <c r="BJ20">
        <v>-0.123543123543123</v>
      </c>
      <c r="BK20">
        <v>-1.4E-2</v>
      </c>
      <c r="BM20">
        <v>0.03</v>
      </c>
      <c r="BN20">
        <v>1.46666666666666E-2</v>
      </c>
      <c r="BP20">
        <v>-4.4999999999999998E-2</v>
      </c>
      <c r="BQ20">
        <v>5.3613053613053602E-2</v>
      </c>
      <c r="BT20">
        <v>6.6666666666666596E-2</v>
      </c>
      <c r="BV20">
        <v>-5.6000000000000001E-2</v>
      </c>
      <c r="BW20">
        <v>4.4999999999999998E-2</v>
      </c>
      <c r="BY20">
        <v>-0.16400000000000001</v>
      </c>
      <c r="BZ20">
        <v>0.27397260273972601</v>
      </c>
      <c r="CB20">
        <v>7.1428571428571397E-2</v>
      </c>
      <c r="CC20">
        <v>5.6338028169014003E-2</v>
      </c>
      <c r="CE20">
        <v>0.112</v>
      </c>
      <c r="CF20">
        <v>0.02</v>
      </c>
      <c r="CH20">
        <v>0.05</v>
      </c>
      <c r="CI20">
        <v>-6.2E-2</v>
      </c>
      <c r="CK20">
        <v>7.0000000000000007E-2</v>
      </c>
      <c r="CL20">
        <v>-9.4E-2</v>
      </c>
      <c r="CN20">
        <v>-1.16666666666666E-2</v>
      </c>
      <c r="CO20">
        <v>-3.16666666666666E-2</v>
      </c>
      <c r="CQ20">
        <v>2.6666666666666599E-2</v>
      </c>
      <c r="CR20">
        <v>-6.6666666666666596E-2</v>
      </c>
      <c r="CT20">
        <v>0.14399999999999999</v>
      </c>
      <c r="CU20">
        <v>-5.0000000000000001E-3</v>
      </c>
      <c r="CW20">
        <v>3.16666666666666E-2</v>
      </c>
      <c r="CX20">
        <v>-5.5E-2</v>
      </c>
      <c r="CZ20">
        <v>3.9627039627039597E-2</v>
      </c>
      <c r="DA20">
        <v>2.8169014084507001E-2</v>
      </c>
      <c r="DC20">
        <v>-4.4392523364485903E-2</v>
      </c>
      <c r="DD20">
        <v>0.18533333333333299</v>
      </c>
      <c r="DF20">
        <v>3.2000000000000001E-2</v>
      </c>
      <c r="DG20">
        <v>3.4666666666666603E-2</v>
      </c>
      <c r="DI20">
        <v>0.03</v>
      </c>
      <c r="DJ20">
        <v>-0.14399999999999999</v>
      </c>
      <c r="DL20">
        <v>-1.3986013986013899E-2</v>
      </c>
      <c r="DM20">
        <v>2.1999999999999999E-2</v>
      </c>
      <c r="DO20">
        <v>-0.01</v>
      </c>
      <c r="DP20">
        <v>-6.6666666666666602E-3</v>
      </c>
      <c r="DR20">
        <v>-0.11</v>
      </c>
      <c r="DS20">
        <v>0.04</v>
      </c>
      <c r="DU20">
        <v>1.8333333333333299E-2</v>
      </c>
      <c r="DV20">
        <v>0.391666666666666</v>
      </c>
      <c r="DX20">
        <v>8.8785046728971903E-2</v>
      </c>
      <c r="DY20">
        <v>4.3999999999999997E-2</v>
      </c>
      <c r="EA20">
        <v>0</v>
      </c>
      <c r="EB20">
        <v>9.1666666666666605E-2</v>
      </c>
      <c r="ED20">
        <v>-3.16666666666666E-2</v>
      </c>
      <c r="EE20">
        <v>4.2000000000000003E-2</v>
      </c>
      <c r="EG20">
        <v>6.5000000000000002E-2</v>
      </c>
      <c r="EH20">
        <v>-6.9930069930069904E-3</v>
      </c>
      <c r="EJ20">
        <v>2E-3</v>
      </c>
      <c r="EK20">
        <v>4.4392523364485903E-2</v>
      </c>
      <c r="EM20">
        <v>2.09790209790209E-2</v>
      </c>
      <c r="EN20">
        <v>-5.3999999999999999E-2</v>
      </c>
      <c r="EP20">
        <v>-1.23456790123456E-2</v>
      </c>
      <c r="EQ20">
        <v>2.3809523809523801E-2</v>
      </c>
      <c r="ES20">
        <v>-0.110666666666666</v>
      </c>
      <c r="ET20">
        <v>0.24399999999999999</v>
      </c>
    </row>
    <row r="21" spans="2:150" x14ac:dyDescent="0.25">
      <c r="B21">
        <v>2.3529411764705799E-2</v>
      </c>
      <c r="C21">
        <v>3.03030303030303E-2</v>
      </c>
      <c r="E21">
        <v>3.16666666666666E-2</v>
      </c>
      <c r="F21">
        <v>0.12121212121212099</v>
      </c>
      <c r="H21">
        <v>-4.5999999999999999E-2</v>
      </c>
      <c r="I21">
        <v>-0.06</v>
      </c>
      <c r="K21">
        <v>2.3310023310023301E-2</v>
      </c>
      <c r="L21">
        <v>-0.29799999999999999</v>
      </c>
      <c r="N21">
        <v>3.4965034965034898E-2</v>
      </c>
      <c r="O21">
        <v>1.7999999999999999E-2</v>
      </c>
      <c r="Q21">
        <v>2.4E-2</v>
      </c>
      <c r="R21">
        <v>2.3310023310023301E-3</v>
      </c>
      <c r="T21">
        <v>-0.16800000000000001</v>
      </c>
      <c r="U21">
        <v>-1.09890109890109E-2</v>
      </c>
      <c r="W21">
        <v>1.6666666666666601E-3</v>
      </c>
      <c r="X21">
        <v>5.1666666666666597E-2</v>
      </c>
      <c r="Z21">
        <v>-4.4289044289044198E-2</v>
      </c>
      <c r="AA21">
        <v>1.86915887850467E-2</v>
      </c>
      <c r="AC21">
        <v>2.5999999999999999E-2</v>
      </c>
      <c r="AD21">
        <v>-5.3333333333333297E-3</v>
      </c>
      <c r="AF21">
        <v>-0.107476635514018</v>
      </c>
      <c r="AG21">
        <v>4.3999999999999997E-2</v>
      </c>
      <c r="AI21">
        <v>5.0000000000000001E-3</v>
      </c>
      <c r="AJ21">
        <v>-4.4999999999999998E-2</v>
      </c>
      <c r="AL21">
        <v>-7.3333333333333306E-2</v>
      </c>
      <c r="AM21">
        <v>0.108</v>
      </c>
      <c r="AO21">
        <v>0.01</v>
      </c>
      <c r="AP21">
        <v>-9.3457943925233603E-3</v>
      </c>
      <c r="AR21">
        <v>2.57009345794392E-2</v>
      </c>
      <c r="AS21">
        <v>2.1999999999999999E-2</v>
      </c>
      <c r="AU21">
        <v>-0.105333333333333</v>
      </c>
      <c r="AV21">
        <v>0.14000000000000001</v>
      </c>
      <c r="AX21">
        <v>-7.1999999999999995E-2</v>
      </c>
      <c r="AY21">
        <v>8.3333333333333297E-3</v>
      </c>
      <c r="BA21">
        <v>3.5999999999999997E-2</v>
      </c>
      <c r="BB21">
        <v>0</v>
      </c>
      <c r="BD21">
        <v>0.04</v>
      </c>
      <c r="BE21">
        <v>6.6666666666666596E-2</v>
      </c>
      <c r="BG21">
        <v>0.1</v>
      </c>
      <c r="BH21">
        <v>-9.83333333333333E-2</v>
      </c>
      <c r="BJ21">
        <v>-8.7999999999999995E-2</v>
      </c>
      <c r="BK21">
        <v>0.03</v>
      </c>
      <c r="BM21">
        <v>3.4965034965034898E-2</v>
      </c>
      <c r="BN21">
        <v>0.102666666666666</v>
      </c>
      <c r="BP21">
        <v>3.7333333333333302E-2</v>
      </c>
      <c r="BQ21">
        <v>-0.06</v>
      </c>
      <c r="BT21">
        <v>1.8648018648018599E-2</v>
      </c>
      <c r="BV21">
        <v>-0.132867132867132</v>
      </c>
      <c r="BW21">
        <v>4.0000000000000001E-3</v>
      </c>
      <c r="BY21">
        <v>-0.25666666666666599</v>
      </c>
      <c r="BZ21">
        <v>0.25</v>
      </c>
      <c r="CB21">
        <v>0.133333333333333</v>
      </c>
      <c r="CC21">
        <v>-2E-3</v>
      </c>
      <c r="CE21">
        <v>2E-3</v>
      </c>
      <c r="CF21">
        <v>-7.69230769230769E-2</v>
      </c>
      <c r="CH21">
        <v>5.8000000000000003E-2</v>
      </c>
      <c r="CI21">
        <v>4.6511627906976702E-2</v>
      </c>
      <c r="CK21">
        <v>-4.0000000000000001E-3</v>
      </c>
      <c r="CL21">
        <v>-0.13541666666666599</v>
      </c>
      <c r="CN21">
        <v>-3.8666666666666599E-2</v>
      </c>
      <c r="CO21">
        <v>3.6666666666666597E-2</v>
      </c>
      <c r="CQ21">
        <v>3.2000000000000001E-2</v>
      </c>
      <c r="CR21">
        <v>2.3310023310023301E-3</v>
      </c>
      <c r="CT21">
        <v>7.3333333333333306E-2</v>
      </c>
      <c r="CU21">
        <v>2.09790209790209E-2</v>
      </c>
      <c r="CW21">
        <v>1.6666666666666601E-2</v>
      </c>
      <c r="CX21">
        <v>3.03030303030303E-2</v>
      </c>
      <c r="CZ21">
        <v>8.3333333333333301E-2</v>
      </c>
      <c r="DA21">
        <v>1.3333333333333299E-2</v>
      </c>
      <c r="DC21">
        <v>-6.0000000000000001E-3</v>
      </c>
      <c r="DD21">
        <v>-3.4000000000000002E-2</v>
      </c>
      <c r="DF21">
        <v>-3.4000000000000002E-2</v>
      </c>
      <c r="DG21">
        <v>3.7333333333333302E-2</v>
      </c>
      <c r="DI21">
        <v>3.3333333333333301E-3</v>
      </c>
      <c r="DJ21">
        <v>-8.2666666666666597E-2</v>
      </c>
      <c r="DL21">
        <v>-5.0000000000000001E-3</v>
      </c>
      <c r="DM21">
        <v>3.2000000000000001E-2</v>
      </c>
      <c r="DO21">
        <v>3.6666666666666597E-2</v>
      </c>
      <c r="DP21">
        <v>-2.2666666666666599E-2</v>
      </c>
      <c r="DR21">
        <v>-9.6666666666666595E-2</v>
      </c>
      <c r="DS21">
        <v>-2.1333333333333301E-2</v>
      </c>
      <c r="DU21">
        <v>-0.29799999999999999</v>
      </c>
      <c r="DV21">
        <v>0.21686746987951799</v>
      </c>
      <c r="DX21">
        <v>3.4666666666666603E-2</v>
      </c>
      <c r="DY21">
        <v>6.07476635514018E-2</v>
      </c>
      <c r="EA21">
        <v>7.1999999999999995E-2</v>
      </c>
      <c r="EB21">
        <v>3.2000000000000001E-2</v>
      </c>
      <c r="ED21">
        <v>-6.3333333333333297E-2</v>
      </c>
      <c r="EE21">
        <v>2.8333333333333301E-2</v>
      </c>
      <c r="EG21">
        <v>8.9999999999999993E-3</v>
      </c>
      <c r="EH21">
        <v>-9.3457943925233603E-3</v>
      </c>
      <c r="EJ21">
        <v>-2.1999999999999999E-2</v>
      </c>
      <c r="EK21">
        <v>4.6620046620046603E-3</v>
      </c>
      <c r="EM21">
        <v>6.6666666666666602E-3</v>
      </c>
      <c r="EN21">
        <v>-0.14933333333333301</v>
      </c>
      <c r="EP21">
        <v>-5.1999999999999998E-2</v>
      </c>
      <c r="EQ21">
        <v>5.6074766355140103E-2</v>
      </c>
      <c r="ES21">
        <v>-0.16800000000000001</v>
      </c>
      <c r="ET21">
        <v>0.34200000000000003</v>
      </c>
    </row>
    <row r="22" spans="2:150" x14ac:dyDescent="0.25">
      <c r="B22">
        <v>2.8000000000000001E-2</v>
      </c>
      <c r="C22">
        <v>1.2E-2</v>
      </c>
      <c r="E22">
        <v>-3.2000000000000001E-2</v>
      </c>
      <c r="F22">
        <v>3.5999999999999997E-2</v>
      </c>
      <c r="H22">
        <v>8.2000000000000003E-2</v>
      </c>
      <c r="I22">
        <v>1.16666666666666E-2</v>
      </c>
      <c r="K22">
        <v>-9.4E-2</v>
      </c>
      <c r="L22">
        <v>0.33043478260869502</v>
      </c>
      <c r="N22">
        <v>-4.5999999999999999E-2</v>
      </c>
      <c r="O22">
        <v>0.04</v>
      </c>
      <c r="Q22">
        <v>2.3529411764705799E-2</v>
      </c>
      <c r="R22">
        <v>-7.9545454545454503E-2</v>
      </c>
      <c r="T22">
        <v>2.1276595744680799E-2</v>
      </c>
      <c r="U22">
        <v>4.1237113402061799E-2</v>
      </c>
      <c r="W22">
        <v>3.2634032634032598E-2</v>
      </c>
      <c r="X22">
        <v>0.104</v>
      </c>
      <c r="Z22">
        <v>-5.4054054054054002E-2</v>
      </c>
      <c r="AA22">
        <v>6.2666666666666607E-2</v>
      </c>
      <c r="AC22">
        <v>-1.6666666666666601E-3</v>
      </c>
      <c r="AD22">
        <v>0.13600000000000001</v>
      </c>
      <c r="AF22">
        <v>-0.18</v>
      </c>
      <c r="AG22">
        <v>0</v>
      </c>
      <c r="AI22">
        <v>1.16822429906542E-2</v>
      </c>
      <c r="AJ22">
        <v>-0.18533333333333299</v>
      </c>
      <c r="AL22">
        <v>-0.10256410256410201</v>
      </c>
      <c r="AM22">
        <v>7.0000000000000001E-3</v>
      </c>
      <c r="AO22">
        <v>0.02</v>
      </c>
      <c r="AP22">
        <v>-3.8961038961038898E-2</v>
      </c>
      <c r="AR22">
        <v>3.7296037296037199E-2</v>
      </c>
      <c r="AS22">
        <v>4.0000000000000001E-3</v>
      </c>
      <c r="AU22">
        <v>-0.108</v>
      </c>
      <c r="AV22">
        <v>-3.9039039039038999E-2</v>
      </c>
      <c r="AX22">
        <v>0.26800000000000002</v>
      </c>
      <c r="AY22">
        <v>-0.16200000000000001</v>
      </c>
      <c r="BA22">
        <v>1.4E-2</v>
      </c>
      <c r="BB22">
        <v>-3.5999999999999997E-2</v>
      </c>
      <c r="BD22">
        <v>0.14000000000000001</v>
      </c>
      <c r="BE22">
        <v>-4.9333333333333299E-2</v>
      </c>
      <c r="BG22">
        <v>-1.7333333333333301E-2</v>
      </c>
      <c r="BH22">
        <v>-8.1081081081081002E-2</v>
      </c>
      <c r="BJ22">
        <v>-2.6666666666666599E-2</v>
      </c>
      <c r="BK22">
        <v>1.3333333333333299E-2</v>
      </c>
      <c r="BM22">
        <v>2E-3</v>
      </c>
      <c r="BN22">
        <v>0.21333333333333299</v>
      </c>
      <c r="BP22">
        <v>-5.8139534883720902E-2</v>
      </c>
      <c r="BQ22">
        <v>0.02</v>
      </c>
      <c r="BT22">
        <v>3.6144578313252997E-2</v>
      </c>
      <c r="BV22">
        <v>-0.156</v>
      </c>
      <c r="BW22">
        <v>7.1666666666666601E-2</v>
      </c>
      <c r="BY22">
        <v>-0.125</v>
      </c>
      <c r="BZ22">
        <v>0.24024024024023999</v>
      </c>
      <c r="CB22">
        <v>-0.187</v>
      </c>
      <c r="CC22">
        <v>1.3333333333333299E-2</v>
      </c>
      <c r="CE22">
        <v>-0.03</v>
      </c>
      <c r="CF22">
        <v>-6.2E-2</v>
      </c>
      <c r="CH22">
        <v>2.3310023310023301E-2</v>
      </c>
      <c r="CI22">
        <v>4.6666666666666599E-2</v>
      </c>
      <c r="CK22">
        <v>0.01</v>
      </c>
      <c r="CL22">
        <v>0.10576923076923</v>
      </c>
      <c r="CN22">
        <v>0.02</v>
      </c>
      <c r="CO22">
        <v>1.7999999999999999E-2</v>
      </c>
      <c r="CQ22">
        <v>2.5641025641025599E-2</v>
      </c>
      <c r="CR22">
        <v>-0.17799999999999999</v>
      </c>
      <c r="CT22">
        <v>1.86915887850467E-2</v>
      </c>
      <c r="CU22">
        <v>2.1999999999999999E-2</v>
      </c>
      <c r="CW22">
        <v>1.8666666666666599E-2</v>
      </c>
      <c r="CX22">
        <v>2.19780219780219E-2</v>
      </c>
      <c r="CZ22">
        <v>-1.1764705882352899E-2</v>
      </c>
      <c r="DA22">
        <v>-3.0000000000000001E-3</v>
      </c>
      <c r="DC22">
        <v>1.9E-2</v>
      </c>
      <c r="DD22">
        <v>-0.14799999999999999</v>
      </c>
      <c r="DF22">
        <v>3.2634032634032598E-2</v>
      </c>
      <c r="DG22">
        <v>4.8333333333333298E-2</v>
      </c>
      <c r="DI22">
        <v>-2E-3</v>
      </c>
      <c r="DJ22">
        <v>2.7E-2</v>
      </c>
      <c r="DL22">
        <v>-3.03738317757009E-2</v>
      </c>
      <c r="DM22">
        <v>2.5000000000000001E-2</v>
      </c>
      <c r="DO22">
        <v>4.2000000000000003E-2</v>
      </c>
      <c r="DP22">
        <v>-9.3333333333333306E-3</v>
      </c>
      <c r="DR22">
        <v>-3.2967032967032898E-2</v>
      </c>
      <c r="DS22">
        <v>1.0638297872340399E-2</v>
      </c>
      <c r="DU22">
        <v>-0.13752913752913701</v>
      </c>
      <c r="DV22">
        <v>0.224</v>
      </c>
      <c r="DX22">
        <v>0.01</v>
      </c>
      <c r="DY22">
        <v>2.1999999999999999E-2</v>
      </c>
      <c r="EA22">
        <v>4.5333333333333302E-2</v>
      </c>
      <c r="EB22">
        <v>8.5333333333333303E-2</v>
      </c>
      <c r="ED22">
        <v>2.8846153846153799E-2</v>
      </c>
      <c r="EE22">
        <v>2.8037383177569999E-2</v>
      </c>
      <c r="EG22">
        <v>5.1666666666666597E-2</v>
      </c>
      <c r="EH22">
        <v>8.7999999999999995E-2</v>
      </c>
      <c r="EJ22">
        <v>0.198333333333333</v>
      </c>
      <c r="EK22">
        <v>-0.13752913752913701</v>
      </c>
      <c r="EM22">
        <v>0.01</v>
      </c>
      <c r="EN22">
        <v>-0.15833333333333299</v>
      </c>
      <c r="EP22">
        <v>-8.5999999999999993E-2</v>
      </c>
      <c r="EQ22">
        <v>1.0638297872340399E-2</v>
      </c>
      <c r="ES22">
        <v>0</v>
      </c>
      <c r="ET22">
        <v>0.13166666666666599</v>
      </c>
    </row>
    <row r="23" spans="2:150" x14ac:dyDescent="0.25">
      <c r="B23">
        <v>0</v>
      </c>
      <c r="C23">
        <v>4.3478260869565202E-2</v>
      </c>
      <c r="E23">
        <v>2.1666666666666601E-2</v>
      </c>
      <c r="F23">
        <v>5.7333333333333299E-2</v>
      </c>
      <c r="H23">
        <v>9.8666666666666597E-2</v>
      </c>
      <c r="I23">
        <v>6.4000000000000001E-2</v>
      </c>
      <c r="K23">
        <v>4.8333333333333298E-2</v>
      </c>
      <c r="L23">
        <v>0.33200000000000002</v>
      </c>
      <c r="N23">
        <v>-0.21466666666666601</v>
      </c>
      <c r="O23">
        <v>8.4000000000000005E-2</v>
      </c>
      <c r="Q23">
        <v>4.0000000000000001E-3</v>
      </c>
      <c r="R23">
        <v>-0.121</v>
      </c>
      <c r="T23">
        <v>-0.12666666666666601</v>
      </c>
      <c r="U23">
        <v>2.6666666666666599E-2</v>
      </c>
      <c r="W23">
        <v>4.6620046620046603E-3</v>
      </c>
      <c r="X23">
        <v>7.5999999999999998E-2</v>
      </c>
      <c r="Z23">
        <v>0.23076923076923</v>
      </c>
      <c r="AA23">
        <v>-0.13</v>
      </c>
      <c r="AC23">
        <v>0.14833333333333301</v>
      </c>
      <c r="AD23">
        <v>-0.210666666666666</v>
      </c>
      <c r="AF23">
        <v>6.0606060606060601E-2</v>
      </c>
      <c r="AG23">
        <v>-4.2666666666666603E-2</v>
      </c>
      <c r="AI23">
        <v>-2E-3</v>
      </c>
      <c r="AJ23">
        <v>-2.1999999999999999E-2</v>
      </c>
      <c r="AL23">
        <v>5.6000000000000001E-2</v>
      </c>
      <c r="AM23">
        <v>4.3999999999999997E-2</v>
      </c>
      <c r="AO23">
        <v>8.2666666666666597E-2</v>
      </c>
      <c r="AP23">
        <v>-0.29299999999999998</v>
      </c>
      <c r="AR23">
        <v>0</v>
      </c>
      <c r="AS23">
        <v>4.2000000000000003E-2</v>
      </c>
      <c r="AU23">
        <v>5.1666666666666597E-2</v>
      </c>
      <c r="AV23">
        <v>-8.4000000000000005E-2</v>
      </c>
      <c r="AX23">
        <v>0.45500000000000002</v>
      </c>
      <c r="AY23">
        <v>-0.13400000000000001</v>
      </c>
      <c r="BA23">
        <v>0.191</v>
      </c>
      <c r="BB23">
        <v>-0.25333333333333302</v>
      </c>
      <c r="BD23">
        <v>0.2</v>
      </c>
      <c r="BE23">
        <v>6.2937062937062901E-2</v>
      </c>
      <c r="BG23">
        <v>5.3333333333333297E-3</v>
      </c>
      <c r="BH23">
        <v>-8.1666666666666596E-2</v>
      </c>
      <c r="BJ23">
        <v>-6.6666666666666602E-3</v>
      </c>
      <c r="BK23">
        <v>6.5000000000000002E-2</v>
      </c>
      <c r="BM23">
        <v>-0.13200000000000001</v>
      </c>
      <c r="BN23">
        <v>0.18666666666666601</v>
      </c>
      <c r="BP23">
        <v>2.33333333333333E-2</v>
      </c>
      <c r="BQ23">
        <v>3.5000000000000003E-2</v>
      </c>
      <c r="BT23">
        <v>-1.13636363636363E-2</v>
      </c>
      <c r="BV23">
        <v>-0.11600000000000001</v>
      </c>
      <c r="BW23">
        <v>-4.0000000000000001E-3</v>
      </c>
      <c r="BY23">
        <v>1.0638297872340399E-2</v>
      </c>
      <c r="BZ23">
        <v>0.2</v>
      </c>
      <c r="CB23">
        <v>-2.33333333333333E-2</v>
      </c>
      <c r="CC23">
        <v>6.2666666666666607E-2</v>
      </c>
      <c r="CE23">
        <v>0</v>
      </c>
      <c r="CF23">
        <v>5.6074766355140103E-2</v>
      </c>
      <c r="CH23">
        <v>-0.128504672897196</v>
      </c>
      <c r="CI23">
        <v>0.131333333333333</v>
      </c>
      <c r="CK23">
        <v>4.67289719626168E-2</v>
      </c>
      <c r="CL23">
        <v>-0.26126126126126098</v>
      </c>
      <c r="CN23">
        <v>-0.16800000000000001</v>
      </c>
      <c r="CO23">
        <v>0.13800000000000001</v>
      </c>
      <c r="CQ23">
        <v>-3.3333333333333298E-2</v>
      </c>
      <c r="CR23">
        <v>7.8333333333333297E-2</v>
      </c>
      <c r="CT23">
        <v>-0.12666666666666601</v>
      </c>
      <c r="CU23">
        <v>6.4000000000000001E-2</v>
      </c>
      <c r="CW23">
        <v>3.1914893617021198E-2</v>
      </c>
      <c r="CX23">
        <v>4.1666666666666602E-2</v>
      </c>
      <c r="CZ23">
        <v>0.34200000000000003</v>
      </c>
      <c r="DA23">
        <v>1.8648018648018599E-2</v>
      </c>
      <c r="DC23">
        <v>-1.0752688172042999E-2</v>
      </c>
      <c r="DD23">
        <v>-0.105</v>
      </c>
      <c r="DF23">
        <v>-9.6000000000000002E-2</v>
      </c>
      <c r="DG23">
        <v>1.9E-2</v>
      </c>
      <c r="DI23">
        <v>0.04</v>
      </c>
      <c r="DJ23">
        <v>0.02</v>
      </c>
      <c r="DL23">
        <v>0.13580246913580199</v>
      </c>
      <c r="DM23">
        <v>-6.3333333333333297E-2</v>
      </c>
      <c r="DO23">
        <v>0.05</v>
      </c>
      <c r="DP23">
        <v>-6.4000000000000001E-2</v>
      </c>
      <c r="DR23">
        <v>7.1666666666666601E-2</v>
      </c>
      <c r="DS23">
        <v>-8.4000000000000005E-2</v>
      </c>
      <c r="DU23">
        <v>-0.19600000000000001</v>
      </c>
      <c r="DV23">
        <v>0.218</v>
      </c>
      <c r="DX23">
        <v>-0.116666666666666</v>
      </c>
      <c r="DY23">
        <v>0.18133333333333301</v>
      </c>
      <c r="EA23">
        <v>3.5999999999999997E-2</v>
      </c>
      <c r="EB23">
        <v>3.2710280373831703E-2</v>
      </c>
      <c r="ED23">
        <v>5.0666666666666603E-2</v>
      </c>
      <c r="EE23">
        <v>4.4289044289044198E-2</v>
      </c>
      <c r="EG23">
        <v>1.3333333333333299E-2</v>
      </c>
      <c r="EH23">
        <v>0.13600000000000001</v>
      </c>
      <c r="EJ23">
        <v>3.5999999999999997E-2</v>
      </c>
      <c r="EK23">
        <v>3.6666666666666597E-2</v>
      </c>
      <c r="EM23">
        <v>-0.156</v>
      </c>
      <c r="EN23">
        <v>0.34</v>
      </c>
      <c r="EP23">
        <v>-0.15333333333333299</v>
      </c>
      <c r="EQ23">
        <v>0.02</v>
      </c>
      <c r="ES23">
        <v>0.06</v>
      </c>
      <c r="ET23">
        <v>0.27184466019417403</v>
      </c>
    </row>
    <row r="24" spans="2:150" x14ac:dyDescent="0.25">
      <c r="B24">
        <v>0.123333333333333</v>
      </c>
      <c r="C24">
        <v>8.7999999999999995E-2</v>
      </c>
      <c r="E24">
        <v>-3.4666666666666603E-2</v>
      </c>
      <c r="F24">
        <v>-6.6666666666666602E-3</v>
      </c>
      <c r="H24">
        <v>6.2E-2</v>
      </c>
      <c r="I24">
        <v>5.83333333333333E-2</v>
      </c>
      <c r="K24">
        <v>-8.66666666666666E-2</v>
      </c>
      <c r="L24">
        <v>0.43589743589743501</v>
      </c>
      <c r="N24">
        <v>-3.1E-2</v>
      </c>
      <c r="O24">
        <v>3.5000000000000003E-2</v>
      </c>
      <c r="Q24">
        <v>8.5000000000000006E-2</v>
      </c>
      <c r="R24">
        <v>-0.184</v>
      </c>
      <c r="T24">
        <v>-0.28399999999999997</v>
      </c>
      <c r="U24">
        <v>0.116666666666666</v>
      </c>
      <c r="W24">
        <v>3.4000000000000002E-2</v>
      </c>
      <c r="X24">
        <v>-7.1666666666666601E-2</v>
      </c>
      <c r="Z24">
        <v>0.23076923076923</v>
      </c>
      <c r="AA24">
        <v>0.09</v>
      </c>
      <c r="AC24">
        <v>0.11899999999999999</v>
      </c>
      <c r="AD24">
        <v>-0.68468468468468402</v>
      </c>
      <c r="AF24">
        <v>-3.3333333333333301E-3</v>
      </c>
      <c r="AG24">
        <v>0.02</v>
      </c>
      <c r="AI24">
        <v>0.04</v>
      </c>
      <c r="AJ24">
        <v>7.0000000000000007E-2</v>
      </c>
      <c r="AL24">
        <v>-0.13200000000000001</v>
      </c>
      <c r="AM24">
        <v>-0.02</v>
      </c>
      <c r="AO24">
        <v>0.29733333333333301</v>
      </c>
      <c r="AP24">
        <v>-0.358333333333333</v>
      </c>
      <c r="AR24">
        <v>0.104</v>
      </c>
      <c r="AS24">
        <v>-1.6E-2</v>
      </c>
      <c r="AU24">
        <v>6.2666666666666607E-2</v>
      </c>
      <c r="AV24">
        <v>0</v>
      </c>
      <c r="AX24">
        <v>-6.1333333333333302E-2</v>
      </c>
      <c r="AY24">
        <v>5.5E-2</v>
      </c>
      <c r="BA24">
        <v>0.16666666666666599</v>
      </c>
      <c r="BB24">
        <v>-7.9439252336448593E-2</v>
      </c>
      <c r="BD24">
        <v>-0.133333333333333</v>
      </c>
      <c r="BE24">
        <v>0.124</v>
      </c>
      <c r="BG24">
        <v>-2.2666666666666599E-2</v>
      </c>
      <c r="BH24">
        <v>-0.115384615384615</v>
      </c>
      <c r="BJ24">
        <v>1.06666666666666E-2</v>
      </c>
      <c r="BK24">
        <v>8.0000000000000002E-3</v>
      </c>
      <c r="BM24">
        <v>-5.3333333333333302E-2</v>
      </c>
      <c r="BN24">
        <v>7.5999999999999998E-2</v>
      </c>
      <c r="BP24">
        <v>-0.114666666666666</v>
      </c>
      <c r="BQ24">
        <v>8.4000000000000005E-2</v>
      </c>
      <c r="BT24">
        <v>-0.117021276595744</v>
      </c>
      <c r="BV24">
        <v>-1.8333333333333299E-2</v>
      </c>
      <c r="BW24">
        <v>-0.19400000000000001</v>
      </c>
      <c r="BY24">
        <v>-0.18533333333333299</v>
      </c>
      <c r="BZ24">
        <v>0.214</v>
      </c>
      <c r="CB24">
        <v>-6.1333333333333302E-2</v>
      </c>
      <c r="CC24">
        <v>5.0666666666666603E-2</v>
      </c>
      <c r="CE24">
        <v>-0.02</v>
      </c>
      <c r="CF24">
        <v>-0.28828828828828801</v>
      </c>
      <c r="CH24">
        <v>-8.7378640776699004E-2</v>
      </c>
      <c r="CI24">
        <v>4.3999999999999997E-2</v>
      </c>
      <c r="CK24">
        <v>-1.7391304347826E-2</v>
      </c>
      <c r="CL24">
        <v>-5.46666666666666E-2</v>
      </c>
      <c r="CN24">
        <v>-4.1333333333333298E-2</v>
      </c>
      <c r="CO24">
        <v>-1.6666666666666601E-2</v>
      </c>
      <c r="CQ24">
        <v>-6.6000000000000003E-2</v>
      </c>
      <c r="CR24">
        <v>0.04</v>
      </c>
      <c r="CT24">
        <v>3.5999999999999997E-2</v>
      </c>
      <c r="CU24">
        <v>8.5999999999999993E-2</v>
      </c>
      <c r="CW24">
        <v>3.0666666666666599E-2</v>
      </c>
      <c r="CX24">
        <v>0.198275862068965</v>
      </c>
      <c r="CZ24">
        <v>0.38</v>
      </c>
      <c r="DA24">
        <v>0.04</v>
      </c>
      <c r="DC24">
        <v>9.7087378640776604E-3</v>
      </c>
      <c r="DD24">
        <v>-4.3999999999999997E-2</v>
      </c>
      <c r="DF24">
        <v>4.4666666666666598E-2</v>
      </c>
      <c r="DG24">
        <v>2.6666666666666599E-2</v>
      </c>
      <c r="DI24">
        <v>6.6666666666666596E-2</v>
      </c>
      <c r="DJ24">
        <v>-5.3333333333333297E-3</v>
      </c>
      <c r="DL24">
        <v>-0.01</v>
      </c>
      <c r="DM24">
        <v>2.0666666666666601E-2</v>
      </c>
      <c r="DO24">
        <v>-6.6666666666666602E-3</v>
      </c>
      <c r="DP24">
        <v>-8.8333333333333305E-2</v>
      </c>
      <c r="DR24">
        <v>7.0000000000000007E-2</v>
      </c>
      <c r="DS24">
        <v>-5.5E-2</v>
      </c>
      <c r="DU24">
        <v>-0.15666666666666601</v>
      </c>
      <c r="DV24">
        <v>0.13100000000000001</v>
      </c>
      <c r="DX24">
        <v>0.14606741573033699</v>
      </c>
      <c r="DY24">
        <v>4.4999999999999998E-2</v>
      </c>
      <c r="EA24">
        <v>1.6E-2</v>
      </c>
      <c r="EB24">
        <v>-6.5000000000000002E-2</v>
      </c>
      <c r="ED24">
        <v>-7.5999999999999998E-2</v>
      </c>
      <c r="EE24">
        <v>-7.9000000000000001E-2</v>
      </c>
      <c r="EG24">
        <v>-1.3333333333333299E-2</v>
      </c>
      <c r="EH24">
        <v>9.0090090090090003E-3</v>
      </c>
      <c r="EJ24">
        <v>-7.6666666666666605E-2</v>
      </c>
      <c r="EK24">
        <v>0.152</v>
      </c>
      <c r="EM24">
        <v>-0.26500000000000001</v>
      </c>
      <c r="EN24">
        <v>0.23200000000000001</v>
      </c>
      <c r="EP24">
        <v>-8.66666666666666E-2</v>
      </c>
      <c r="EQ24">
        <v>0.12</v>
      </c>
      <c r="ES24">
        <v>-2.2666666666666599E-2</v>
      </c>
      <c r="ET24">
        <v>0.29833333333333301</v>
      </c>
    </row>
    <row r="25" spans="2:150" x14ac:dyDescent="0.25">
      <c r="B25">
        <v>0.146153846153846</v>
      </c>
      <c r="C25">
        <v>5.0666666666666603E-2</v>
      </c>
      <c r="E25">
        <v>-1.6E-2</v>
      </c>
      <c r="F25">
        <v>-1.0638297872340399E-2</v>
      </c>
      <c r="H25">
        <v>-0.16</v>
      </c>
      <c r="I25">
        <v>0.11899999999999999</v>
      </c>
      <c r="K25">
        <v>-0.238666666666666</v>
      </c>
      <c r="L25">
        <v>0.32200000000000001</v>
      </c>
      <c r="N25">
        <v>-0.13600000000000001</v>
      </c>
      <c r="O25">
        <v>1.0752688172042999E-2</v>
      </c>
      <c r="Q25">
        <v>0.10666666666666599</v>
      </c>
      <c r="R25">
        <v>-0.08</v>
      </c>
      <c r="T25">
        <v>0.39655172413793099</v>
      </c>
      <c r="U25">
        <v>-0.38</v>
      </c>
      <c r="W25">
        <v>1.7999999999999999E-2</v>
      </c>
      <c r="X25">
        <v>-5.8666666666666603E-2</v>
      </c>
      <c r="Z25">
        <v>-0.18518518518518501</v>
      </c>
      <c r="AA25">
        <v>-3.7037037037037E-2</v>
      </c>
      <c r="AC25">
        <v>0.76666666666666605</v>
      </c>
      <c r="AD25">
        <v>-0.64800000000000002</v>
      </c>
      <c r="AF25">
        <v>9.7087378640776698E-2</v>
      </c>
      <c r="AG25">
        <v>-6.4000000000000001E-2</v>
      </c>
      <c r="AI25">
        <v>6.0000000000000001E-3</v>
      </c>
      <c r="AJ25">
        <v>-0.108</v>
      </c>
      <c r="AL25">
        <v>0.163333333333333</v>
      </c>
      <c r="AM25">
        <v>4.1958041958041897E-2</v>
      </c>
      <c r="AO25">
        <v>0.29733333333333301</v>
      </c>
      <c r="AP25">
        <v>-0.233333333333333</v>
      </c>
      <c r="AR25">
        <v>-5.3333333333333302E-2</v>
      </c>
      <c r="AS25">
        <v>-6.9000000000000006E-2</v>
      </c>
      <c r="AU25">
        <v>1.2E-2</v>
      </c>
      <c r="AV25">
        <v>0.29499999999999998</v>
      </c>
      <c r="AX25">
        <v>-7.4074074074074001E-2</v>
      </c>
      <c r="AY25">
        <v>1.2E-2</v>
      </c>
      <c r="BA25">
        <v>2.1999999999999999E-2</v>
      </c>
      <c r="BB25">
        <v>-2.1999999999999999E-2</v>
      </c>
      <c r="BD25">
        <v>0.57831325301204795</v>
      </c>
      <c r="BE25">
        <v>-0.11111111111111099</v>
      </c>
      <c r="BG25">
        <v>-5.9880239520958001E-3</v>
      </c>
      <c r="BH25">
        <v>-2.27272727272727E-2</v>
      </c>
      <c r="BJ25">
        <v>7.2429906542056E-2</v>
      </c>
      <c r="BK25">
        <v>1.3333333333333299E-2</v>
      </c>
      <c r="BM25">
        <v>7.0000000000000007E-2</v>
      </c>
      <c r="BN25">
        <v>-4.5999999999999999E-2</v>
      </c>
      <c r="BP25">
        <v>4.0000000000000001E-3</v>
      </c>
      <c r="BQ25">
        <v>3.8333333333333303E-2</v>
      </c>
      <c r="BT25">
        <v>-0.38133333333333302</v>
      </c>
      <c r="BV25">
        <v>0.21199999999999999</v>
      </c>
      <c r="BW25">
        <v>-9.7000000000000003E-2</v>
      </c>
      <c r="BY25">
        <v>-0.18133333333333301</v>
      </c>
      <c r="BZ25">
        <v>0.171171171171171</v>
      </c>
      <c r="CB25">
        <v>-0.13986013986013901</v>
      </c>
      <c r="CC25">
        <v>1.33333333333333E-3</v>
      </c>
      <c r="CE25">
        <v>0.13066666666666599</v>
      </c>
      <c r="CF25">
        <v>-0.353333333333333</v>
      </c>
      <c r="CH25">
        <v>-0.171171171171171</v>
      </c>
      <c r="CI25">
        <v>9.2666666666666606E-2</v>
      </c>
      <c r="CK25">
        <v>9.2999999999999999E-2</v>
      </c>
      <c r="CL25">
        <v>-0.23200000000000001</v>
      </c>
      <c r="CN25">
        <v>4.9333333333333299E-2</v>
      </c>
      <c r="CO25">
        <v>0.04</v>
      </c>
      <c r="CQ25">
        <v>1.3333333333333299E-2</v>
      </c>
      <c r="CR25">
        <v>-0.03</v>
      </c>
      <c r="CT25">
        <v>-0.15333333333333299</v>
      </c>
      <c r="CU25">
        <v>-2.6666666666666599E-2</v>
      </c>
      <c r="CW25">
        <v>-8.6448598130841103E-2</v>
      </c>
      <c r="CX25">
        <v>0.16</v>
      </c>
      <c r="CZ25">
        <v>0.215</v>
      </c>
      <c r="DA25">
        <v>0.11111111111111099</v>
      </c>
      <c r="DC25">
        <v>0</v>
      </c>
      <c r="DD25">
        <v>-3.4965034965034898E-2</v>
      </c>
      <c r="DF25">
        <v>-1.6E-2</v>
      </c>
      <c r="DG25">
        <v>6.3333333333333297E-2</v>
      </c>
      <c r="DI25">
        <v>2.6666666666666599E-2</v>
      </c>
      <c r="DJ25">
        <v>2.5000000000000001E-2</v>
      </c>
      <c r="DL25">
        <v>9.0090090090090003E-2</v>
      </c>
      <c r="DM25">
        <v>3.8461538461538401E-2</v>
      </c>
      <c r="DO25">
        <v>6.8333333333333302E-2</v>
      </c>
      <c r="DP25">
        <v>-0.23200000000000001</v>
      </c>
      <c r="DR25">
        <v>-2.2900763358778602E-2</v>
      </c>
      <c r="DS25">
        <v>7.3529411764705803E-3</v>
      </c>
      <c r="DU25">
        <v>5.8252427184466E-2</v>
      </c>
      <c r="DV25">
        <v>2.6666666666666599E-2</v>
      </c>
      <c r="DX25">
        <v>-6.4000000000000001E-2</v>
      </c>
      <c r="DY25">
        <v>1.72413793103448E-2</v>
      </c>
      <c r="EA25">
        <v>6.6666666666666602E-3</v>
      </c>
      <c r="EB25">
        <v>-0.23478260869565201</v>
      </c>
      <c r="ED25">
        <v>0.14133333333333301</v>
      </c>
      <c r="EE25">
        <v>-2.9000000000000001E-2</v>
      </c>
      <c r="EG25">
        <v>2.4E-2</v>
      </c>
      <c r="EH25">
        <v>3.2000000000000001E-2</v>
      </c>
      <c r="EJ25">
        <v>-0.17733333333333301</v>
      </c>
      <c r="EK25">
        <v>2.8000000000000001E-2</v>
      </c>
      <c r="EM25">
        <v>-0.15866666666666601</v>
      </c>
      <c r="EN25">
        <v>0.103333333333333</v>
      </c>
      <c r="EP25">
        <v>-0.105333333333333</v>
      </c>
      <c r="EQ25">
        <v>4.0000000000000001E-3</v>
      </c>
      <c r="ES25">
        <v>-5.5E-2</v>
      </c>
      <c r="ET25">
        <v>3.7037037037037E-2</v>
      </c>
    </row>
    <row r="26" spans="2:150" x14ac:dyDescent="0.25">
      <c r="B26">
        <v>-6.9930069930069904E-3</v>
      </c>
      <c r="C26">
        <v>7.1666666666666601E-2</v>
      </c>
      <c r="E26">
        <v>8.0000000000000002E-3</v>
      </c>
      <c r="F26">
        <v>-0.27866666666666601</v>
      </c>
      <c r="H26">
        <v>-0.124</v>
      </c>
      <c r="I26">
        <v>1.06666666666666E-2</v>
      </c>
      <c r="K26">
        <v>0.14000000000000001</v>
      </c>
      <c r="L26">
        <v>-0.103333333333333</v>
      </c>
      <c r="N26">
        <v>8.8333333333333305E-2</v>
      </c>
      <c r="O26">
        <v>-4.0000000000000001E-3</v>
      </c>
      <c r="Q26">
        <v>5.5E-2</v>
      </c>
      <c r="R26">
        <v>-0.08</v>
      </c>
      <c r="T26">
        <v>0.374</v>
      </c>
      <c r="U26">
        <v>-0.218</v>
      </c>
      <c r="W26">
        <v>-4.1666666666666602E-2</v>
      </c>
      <c r="X26">
        <v>0.202666666666666</v>
      </c>
      <c r="Z26">
        <v>0.148148148148148</v>
      </c>
      <c r="AA26">
        <v>7.4074074074074001E-2</v>
      </c>
      <c r="AC26">
        <v>0.38461538461538403</v>
      </c>
      <c r="AD26">
        <v>-0.45600000000000002</v>
      </c>
      <c r="AF26">
        <v>0.17499999999999999</v>
      </c>
      <c r="AG26">
        <v>-0.14399999999999999</v>
      </c>
      <c r="AI26">
        <v>-5.0000000000000001E-3</v>
      </c>
      <c r="AJ26">
        <v>0.18099999999999999</v>
      </c>
      <c r="AL26">
        <v>-0.30769230769230699</v>
      </c>
      <c r="AM26">
        <v>-7.69230769230769E-2</v>
      </c>
      <c r="AO26">
        <v>-0.13066666666666599</v>
      </c>
      <c r="AP26">
        <v>0.11600000000000001</v>
      </c>
      <c r="AR26">
        <v>5.0000000000000001E-3</v>
      </c>
      <c r="AS26">
        <v>-1.6666666666666601E-2</v>
      </c>
      <c r="AU26">
        <v>-0.118666666666666</v>
      </c>
      <c r="AV26">
        <v>0.24475524475524399</v>
      </c>
      <c r="AX26">
        <v>-0.148148148148148</v>
      </c>
      <c r="AY26">
        <v>-3.7037037037037E-2</v>
      </c>
      <c r="BA26">
        <v>2.8333333333333301E-2</v>
      </c>
      <c r="BB26">
        <v>-7.7333333333333296E-2</v>
      </c>
      <c r="BD26">
        <v>0.77200000000000002</v>
      </c>
      <c r="BE26">
        <v>0.18518518518518501</v>
      </c>
      <c r="BG26">
        <v>5.31914893617021E-3</v>
      </c>
      <c r="BH26">
        <v>0.3</v>
      </c>
      <c r="BJ26">
        <v>6.4000000000000001E-2</v>
      </c>
      <c r="BK26">
        <v>2.4E-2</v>
      </c>
      <c r="BM26">
        <v>8.3333333333333297E-3</v>
      </c>
      <c r="BN26">
        <v>0.09</v>
      </c>
      <c r="BP26">
        <v>-0.09</v>
      </c>
      <c r="BQ26">
        <v>-7.1666666666666601E-2</v>
      </c>
      <c r="BT26">
        <v>7.7102803738317696E-2</v>
      </c>
      <c r="BV26">
        <v>0.24399999999999999</v>
      </c>
      <c r="BW26">
        <v>-0.19</v>
      </c>
      <c r="BY26">
        <v>-3.03030303030303E-2</v>
      </c>
      <c r="BZ26">
        <v>0.13970588235294101</v>
      </c>
      <c r="CB26">
        <v>-0.05</v>
      </c>
      <c r="CC26">
        <v>2.6666666666666599E-2</v>
      </c>
      <c r="CE26">
        <v>9.2999999999999999E-2</v>
      </c>
      <c r="CF26">
        <v>1.1333333333333299E-2</v>
      </c>
      <c r="CH26">
        <v>-9.4666666666666593E-2</v>
      </c>
      <c r="CI26">
        <v>8.5999999999999993E-2</v>
      </c>
      <c r="CK26">
        <v>0.101666666666666</v>
      </c>
      <c r="CL26">
        <v>4.6666666666666599E-2</v>
      </c>
      <c r="CN26">
        <v>-9.3240093240093205E-2</v>
      </c>
      <c r="CO26">
        <v>6.0000000000000001E-3</v>
      </c>
      <c r="CQ26">
        <v>3.7333333333333302E-2</v>
      </c>
      <c r="CR26">
        <v>-1.2E-2</v>
      </c>
      <c r="CT26">
        <v>0.124</v>
      </c>
      <c r="CU26">
        <v>7.1666666666666601E-2</v>
      </c>
      <c r="CW26">
        <v>-3.4000000000000002E-2</v>
      </c>
      <c r="CX26">
        <v>0.23</v>
      </c>
      <c r="CZ26">
        <v>0.68666666666666598</v>
      </c>
      <c r="DA26">
        <v>-0.107</v>
      </c>
      <c r="DC26">
        <v>4.6666666666666599E-2</v>
      </c>
      <c r="DD26">
        <v>-9.4666666666666593E-2</v>
      </c>
      <c r="DF26">
        <v>-4.33333333333333E-2</v>
      </c>
      <c r="DG26">
        <v>0.02</v>
      </c>
      <c r="DI26">
        <v>0.126</v>
      </c>
      <c r="DJ26">
        <v>-0.28828828828828801</v>
      </c>
      <c r="DL26">
        <v>3.59281437125748E-2</v>
      </c>
      <c r="DM26">
        <v>3.4090909090908998E-2</v>
      </c>
      <c r="DO26">
        <v>-6.1333333333333302E-2</v>
      </c>
      <c r="DP26">
        <v>4.8000000000000001E-2</v>
      </c>
      <c r="DR26">
        <v>-9.0909090909090898E-2</v>
      </c>
      <c r="DS26">
        <v>2.1333333333333301E-2</v>
      </c>
      <c r="DU26">
        <v>3.6036036036036001E-2</v>
      </c>
      <c r="DV26">
        <v>-0.04</v>
      </c>
      <c r="DX26">
        <v>0.15833333333333299</v>
      </c>
      <c r="DY26">
        <v>9.0666666666666604E-2</v>
      </c>
      <c r="EA26">
        <v>7.7333333333333296E-2</v>
      </c>
      <c r="EB26">
        <v>0.37166666666666598</v>
      </c>
      <c r="ED26">
        <v>0</v>
      </c>
      <c r="EE26">
        <v>1.8333333333333299E-2</v>
      </c>
      <c r="EG26">
        <v>0.03</v>
      </c>
      <c r="EH26">
        <v>0.124</v>
      </c>
      <c r="EJ26">
        <v>-0.29733333333333301</v>
      </c>
      <c r="EK26">
        <v>0.25</v>
      </c>
      <c r="EM26">
        <v>-3.16666666666666E-2</v>
      </c>
      <c r="EN26">
        <v>-0.12266666666666599</v>
      </c>
      <c r="EP26">
        <v>1.2999999999999999E-2</v>
      </c>
      <c r="EQ26">
        <v>0.11333333333333299</v>
      </c>
      <c r="ES26">
        <v>3.8333333333333303E-2</v>
      </c>
      <c r="ET26">
        <v>0.38733333333333297</v>
      </c>
    </row>
    <row r="27" spans="2:150" x14ac:dyDescent="0.25">
      <c r="B27">
        <v>0.193</v>
      </c>
      <c r="C27">
        <v>1.2E-2</v>
      </c>
      <c r="E27">
        <v>-8.9999999999999993E-3</v>
      </c>
      <c r="F27">
        <v>2.33333333333333E-2</v>
      </c>
      <c r="H27">
        <v>-0.22900000000000001</v>
      </c>
      <c r="I27">
        <v>5.6074766355140103E-2</v>
      </c>
      <c r="K27">
        <v>5.1051051051050997E-2</v>
      </c>
      <c r="L27">
        <v>0</v>
      </c>
      <c r="N27">
        <v>-1.6666666666666601E-2</v>
      </c>
      <c r="O27">
        <v>3.5999999999999997E-2</v>
      </c>
      <c r="Q27">
        <v>-6.5333333333333299E-2</v>
      </c>
      <c r="R27">
        <v>4.5333333333333302E-2</v>
      </c>
      <c r="T27">
        <v>0.22666666666666599</v>
      </c>
      <c r="U27">
        <v>-5.6000000000000001E-2</v>
      </c>
      <c r="W27">
        <v>-0.137333333333333</v>
      </c>
      <c r="X27">
        <v>8.8999999999999996E-2</v>
      </c>
      <c r="Z27">
        <v>1</v>
      </c>
      <c r="AC27">
        <v>0.41399999999999998</v>
      </c>
      <c r="AD27">
        <v>-0.55333333333333301</v>
      </c>
      <c r="AF27">
        <v>5.7333333333333299E-2</v>
      </c>
      <c r="AG27">
        <v>3.2000000000000001E-2</v>
      </c>
      <c r="AI27">
        <v>-4.5333333333333302E-2</v>
      </c>
      <c r="AJ27">
        <v>8.66666666666666E-2</v>
      </c>
      <c r="AL27">
        <v>0.15384615384615299</v>
      </c>
      <c r="AM27">
        <v>5.6000000000000001E-2</v>
      </c>
      <c r="AO27">
        <v>-7.3999999999999996E-2</v>
      </c>
      <c r="AP27">
        <v>0.11333333333333299</v>
      </c>
      <c r="AR27">
        <v>-5.3333333333333297E-3</v>
      </c>
      <c r="AS27">
        <v>2.5333333333333301E-2</v>
      </c>
      <c r="AU27">
        <v>-0.10666666666666599</v>
      </c>
      <c r="AV27">
        <v>0.22600000000000001</v>
      </c>
      <c r="AX27">
        <v>-0.70370370370370305</v>
      </c>
      <c r="AY27">
        <v>0.94099999999999995</v>
      </c>
      <c r="BA27">
        <v>8.7999999999999995E-2</v>
      </c>
      <c r="BB27">
        <v>-5.83333333333333E-2</v>
      </c>
      <c r="BD27">
        <v>0.18518518518518501</v>
      </c>
      <c r="BE27">
        <v>0.11111111111111099</v>
      </c>
      <c r="BG27">
        <v>7.3260073260073194E-2</v>
      </c>
      <c r="BH27">
        <v>0.98399999999999999</v>
      </c>
      <c r="BJ27">
        <v>-0.355140186915887</v>
      </c>
      <c r="BK27">
        <v>0.17066666666666599</v>
      </c>
      <c r="BM27">
        <v>9.6666666666666595E-2</v>
      </c>
      <c r="BN27">
        <v>-0.16266666666666599</v>
      </c>
      <c r="BP27">
        <v>-9.73333333333333E-2</v>
      </c>
      <c r="BQ27">
        <v>0.21733333333333299</v>
      </c>
      <c r="BT27">
        <v>-0.188</v>
      </c>
      <c r="BV27">
        <v>0.22</v>
      </c>
      <c r="BW27">
        <v>-5.46666666666666E-2</v>
      </c>
      <c r="BY27">
        <v>-0.113</v>
      </c>
      <c r="BZ27">
        <v>0.40666666666666601</v>
      </c>
      <c r="CB27">
        <v>5.3435114503816702E-2</v>
      </c>
      <c r="CC27">
        <v>-3.3333333333333298E-2</v>
      </c>
      <c r="CE27">
        <v>4.4999999999999998E-2</v>
      </c>
      <c r="CF27">
        <v>0.109333333333333</v>
      </c>
      <c r="CH27">
        <v>-1.3986013986013899E-2</v>
      </c>
      <c r="CI27">
        <v>2.5000000000000001E-2</v>
      </c>
      <c r="CK27">
        <v>0.13</v>
      </c>
      <c r="CL27">
        <v>-0.23499999999999999</v>
      </c>
      <c r="CN27">
        <v>-8.1333333333333299E-2</v>
      </c>
      <c r="CO27">
        <v>6.6666666666666602E-3</v>
      </c>
      <c r="CQ27">
        <v>4.5999999999999999E-2</v>
      </c>
      <c r="CR27">
        <v>8.3333333333333297E-3</v>
      </c>
      <c r="CT27">
        <v>-0.22500000000000001</v>
      </c>
      <c r="CU27">
        <v>-4.3999999999999997E-2</v>
      </c>
      <c r="CW27">
        <v>7.4999999999999997E-2</v>
      </c>
      <c r="CX27">
        <v>-0.13900000000000001</v>
      </c>
      <c r="CZ27">
        <v>0.6</v>
      </c>
      <c r="DA27">
        <v>-8.5000000000000006E-2</v>
      </c>
      <c r="DC27">
        <v>-5.9880239520958001E-3</v>
      </c>
      <c r="DD27">
        <v>0.27</v>
      </c>
      <c r="DF27">
        <v>8.3333333333333297E-3</v>
      </c>
      <c r="DG27">
        <v>0.03</v>
      </c>
      <c r="DI27">
        <v>0.182</v>
      </c>
      <c r="DJ27">
        <v>-0.29166666666666602</v>
      </c>
      <c r="DL27">
        <v>-6.6666666666666602E-3</v>
      </c>
      <c r="DM27">
        <v>1.9E-2</v>
      </c>
      <c r="DO27">
        <v>-5.0000000000000001E-3</v>
      </c>
      <c r="DP27">
        <v>7.69230769230769E-2</v>
      </c>
      <c r="DR27">
        <v>0.21199999999999999</v>
      </c>
      <c r="DS27">
        <v>0.27</v>
      </c>
      <c r="DU27">
        <v>-0.107</v>
      </c>
      <c r="DV27">
        <v>-1.2E-2</v>
      </c>
      <c r="DX27">
        <v>5.3333333333333302E-2</v>
      </c>
      <c r="DY27">
        <v>3.7974683544303799E-2</v>
      </c>
      <c r="EA27">
        <v>-0.02</v>
      </c>
      <c r="EB27">
        <v>-0.26</v>
      </c>
      <c r="ED27">
        <v>-0.132911392405063</v>
      </c>
      <c r="EE27">
        <v>-0.05</v>
      </c>
      <c r="EG27">
        <v>2.3E-2</v>
      </c>
      <c r="EH27">
        <v>0.33866666666666601</v>
      </c>
      <c r="EJ27">
        <v>-0.26533333333333298</v>
      </c>
      <c r="EK27">
        <v>-3.2000000000000001E-2</v>
      </c>
      <c r="EM27">
        <v>8.6206896551724102E-3</v>
      </c>
      <c r="EN27">
        <v>-0.29166666666666602</v>
      </c>
      <c r="EP27">
        <v>0.13866666666666599</v>
      </c>
      <c r="EQ27">
        <v>5.9880239520958001E-2</v>
      </c>
      <c r="ES27">
        <v>0.40533333333333299</v>
      </c>
      <c r="ET27">
        <v>-0.5</v>
      </c>
    </row>
    <row r="28" spans="2:150" x14ac:dyDescent="0.25">
      <c r="B28">
        <v>-0.03</v>
      </c>
      <c r="C28">
        <v>3.25581395348837E-2</v>
      </c>
      <c r="E28">
        <v>3.8666666666666599E-2</v>
      </c>
      <c r="F28">
        <v>-0.26266666666666599</v>
      </c>
      <c r="H28">
        <v>0.22066666666666601</v>
      </c>
      <c r="I28">
        <v>6.21468926553672E-2</v>
      </c>
      <c r="K28">
        <v>0</v>
      </c>
      <c r="L28">
        <v>0</v>
      </c>
      <c r="N28">
        <v>-6.5333333333333299E-2</v>
      </c>
      <c r="O28">
        <v>0.03</v>
      </c>
      <c r="Q28">
        <v>-4.2666666666666603E-2</v>
      </c>
      <c r="R28">
        <v>0.20279720279720201</v>
      </c>
      <c r="T28">
        <v>6.2E-2</v>
      </c>
      <c r="U28">
        <v>3.4090909090908998E-2</v>
      </c>
      <c r="W28">
        <v>-8.6999999999999994E-2</v>
      </c>
      <c r="X28">
        <v>0.123</v>
      </c>
      <c r="AC28">
        <v>0.115384615384615</v>
      </c>
      <c r="AD28">
        <v>-0.114</v>
      </c>
      <c r="AF28">
        <v>0.14133333333333301</v>
      </c>
      <c r="AG28">
        <v>4.4303797468354403E-2</v>
      </c>
      <c r="AI28">
        <v>-7.8E-2</v>
      </c>
      <c r="AJ28">
        <v>-6.6666666666666602E-3</v>
      </c>
      <c r="AL28">
        <v>0.334666666666666</v>
      </c>
      <c r="AM28">
        <v>0.148148148148148</v>
      </c>
      <c r="AO28">
        <v>-3.6764705882352901E-2</v>
      </c>
      <c r="AP28">
        <v>0.17499999999999999</v>
      </c>
      <c r="AR28">
        <v>-0.14833333333333301</v>
      </c>
      <c r="AS28">
        <v>0.06</v>
      </c>
      <c r="AU28">
        <v>-4.6728971962616802E-3</v>
      </c>
      <c r="AV28">
        <v>0.106</v>
      </c>
      <c r="AX28">
        <v>-7.25806451612903E-2</v>
      </c>
      <c r="AY28">
        <v>0</v>
      </c>
      <c r="BA28">
        <v>0.02</v>
      </c>
      <c r="BB28">
        <v>0.01</v>
      </c>
      <c r="BD28">
        <v>0.92266666666666597</v>
      </c>
      <c r="BE28">
        <v>0.18518518518518501</v>
      </c>
      <c r="BG28">
        <v>-8.9683773976153403E-2</v>
      </c>
      <c r="BH28">
        <v>0.69565217391304301</v>
      </c>
      <c r="BJ28">
        <v>0.11700000000000001</v>
      </c>
      <c r="BK28">
        <v>4.2000000000000003E-2</v>
      </c>
      <c r="BM28">
        <v>9.6000000000000002E-2</v>
      </c>
      <c r="BN28">
        <v>-0.209580838323353</v>
      </c>
      <c r="BP28">
        <v>-0.102409638554216</v>
      </c>
      <c r="BQ28">
        <v>0</v>
      </c>
      <c r="BT28">
        <v>7.4999999999999997E-2</v>
      </c>
      <c r="BV28">
        <v>8.7999999999999995E-2</v>
      </c>
      <c r="BW28">
        <v>-3.3333333333333298E-2</v>
      </c>
      <c r="BY28">
        <v>-0.132530120481927</v>
      </c>
      <c r="BZ28">
        <v>0.156</v>
      </c>
      <c r="CB28">
        <v>0.150666666666666</v>
      </c>
      <c r="CC28">
        <v>0.10199999999999999</v>
      </c>
      <c r="CE28">
        <v>-5.8666666666666603E-2</v>
      </c>
      <c r="CF28">
        <v>0.18666666666666601</v>
      </c>
      <c r="CH28">
        <v>-2.6737967914438499E-2</v>
      </c>
      <c r="CI28">
        <v>2.5000000000000001E-2</v>
      </c>
      <c r="CK28">
        <v>0.4</v>
      </c>
      <c r="CL28">
        <v>0.28799999999999998</v>
      </c>
      <c r="CN28">
        <v>-5.1999999999999998E-2</v>
      </c>
      <c r="CO28">
        <v>0</v>
      </c>
      <c r="CQ28">
        <v>3.3333333333333298E-2</v>
      </c>
      <c r="CR28">
        <v>2.1333333333333301E-2</v>
      </c>
      <c r="CT28">
        <v>-0.112</v>
      </c>
      <c r="CU28">
        <v>0</v>
      </c>
      <c r="CW28">
        <v>-0.14000000000000001</v>
      </c>
      <c r="CX28">
        <v>-0.38600000000000001</v>
      </c>
      <c r="CZ28">
        <v>0.76</v>
      </c>
      <c r="DA28">
        <v>0.35080645161290303</v>
      </c>
      <c r="DC28">
        <v>-3.7037037037037E-2</v>
      </c>
      <c r="DD28">
        <v>0.138528138528138</v>
      </c>
      <c r="DF28">
        <v>-0.13600000000000001</v>
      </c>
      <c r="DG28">
        <v>0.02</v>
      </c>
      <c r="DI28">
        <v>0.184</v>
      </c>
      <c r="DJ28">
        <v>-0.206666666666666</v>
      </c>
      <c r="DL28">
        <v>-2.6666666666666599E-2</v>
      </c>
      <c r="DM28">
        <v>2.5974025974025899E-2</v>
      </c>
      <c r="DO28">
        <v>5.3435114503816702E-2</v>
      </c>
      <c r="DP28">
        <v>7.5999999999999998E-2</v>
      </c>
      <c r="DR28">
        <v>-6.8000000000000005E-2</v>
      </c>
      <c r="DS28">
        <v>7.3529411764705803E-3</v>
      </c>
      <c r="DU28">
        <v>-0.18533333333333299</v>
      </c>
      <c r="DV28">
        <v>0.28133333333333299</v>
      </c>
      <c r="DX28">
        <v>6.9333333333333302E-2</v>
      </c>
      <c r="DY28">
        <v>1.7333333333333301E-2</v>
      </c>
      <c r="EA28">
        <v>1.3333333333333299E-2</v>
      </c>
      <c r="EB28">
        <v>0.311</v>
      </c>
      <c r="ED28">
        <v>0.17899999999999999</v>
      </c>
      <c r="EE28">
        <v>0.126</v>
      </c>
      <c r="EG28">
        <v>-0.133333333333333</v>
      </c>
      <c r="EH28">
        <v>0.18133333333333301</v>
      </c>
      <c r="EJ28">
        <v>-0.18666666666666601</v>
      </c>
      <c r="EK28">
        <v>-3.0534351145038101E-2</v>
      </c>
      <c r="EM28">
        <v>-3.2000000000000001E-2</v>
      </c>
      <c r="EN28">
        <v>0.59199999999999997</v>
      </c>
      <c r="EP28">
        <v>0.36723163841807899</v>
      </c>
      <c r="EQ28">
        <v>0.31866666666666599</v>
      </c>
      <c r="ES28">
        <v>0.30434782608695599</v>
      </c>
      <c r="ET28">
        <v>-0.04</v>
      </c>
    </row>
    <row r="29" spans="2:150" x14ac:dyDescent="0.25">
      <c r="B29">
        <v>0.32467532467532401</v>
      </c>
      <c r="C29">
        <v>-1.09890109890109E-2</v>
      </c>
      <c r="E29">
        <v>0.16066666666666601</v>
      </c>
      <c r="F29">
        <v>-0.20399999999999999</v>
      </c>
      <c r="H29">
        <v>0.114666666666666</v>
      </c>
      <c r="I29">
        <v>0.08</v>
      </c>
      <c r="K29">
        <v>0</v>
      </c>
      <c r="N29">
        <v>0.10199999999999999</v>
      </c>
      <c r="O29">
        <v>-3.1E-2</v>
      </c>
      <c r="Q29">
        <v>-1.2E-2</v>
      </c>
      <c r="R29">
        <v>3.4666666666666603E-2</v>
      </c>
      <c r="T29">
        <v>-4.2780748663101602E-2</v>
      </c>
      <c r="U29">
        <v>-7.06666666666666E-2</v>
      </c>
      <c r="W29">
        <v>-0.104</v>
      </c>
      <c r="X29">
        <v>4.5333333333333302E-2</v>
      </c>
      <c r="AC29">
        <v>0</v>
      </c>
      <c r="AD29">
        <v>-0.296296296296296</v>
      </c>
      <c r="AF29">
        <v>0.40833333333333299</v>
      </c>
      <c r="AG29">
        <v>0.18</v>
      </c>
      <c r="AI29">
        <v>2.5000000000000001E-2</v>
      </c>
      <c r="AJ29">
        <v>-8.5999999999999993E-2</v>
      </c>
      <c r="AL29">
        <v>-1</v>
      </c>
      <c r="AM29">
        <v>0.62962962962962898</v>
      </c>
      <c r="AO29">
        <v>-0.13866666666666599</v>
      </c>
      <c r="AP29">
        <v>0.19</v>
      </c>
      <c r="AR29">
        <v>-9.3333333333333296E-2</v>
      </c>
      <c r="AS29">
        <v>1.6E-2</v>
      </c>
      <c r="AU29">
        <v>2.5999999999999999E-2</v>
      </c>
      <c r="AV29">
        <v>0.56599999999999995</v>
      </c>
      <c r="AX29">
        <v>0</v>
      </c>
      <c r="AY29">
        <v>0</v>
      </c>
      <c r="BA29">
        <v>5.6818181818181802E-3</v>
      </c>
      <c r="BB29">
        <v>1.8666666666666599E-2</v>
      </c>
      <c r="BD29">
        <v>-0.33333333333333298</v>
      </c>
      <c r="BE29">
        <v>0.39130434782608697</v>
      </c>
      <c r="BG29">
        <v>0.29769959404600799</v>
      </c>
      <c r="BH29">
        <v>1</v>
      </c>
      <c r="BJ29">
        <v>3.8666666666666599E-2</v>
      </c>
      <c r="BK29">
        <v>0.118666666666666</v>
      </c>
      <c r="BM29">
        <v>-1.1299435028248501E-2</v>
      </c>
      <c r="BN29">
        <v>-0.04</v>
      </c>
      <c r="BP29">
        <v>-0.26400000000000001</v>
      </c>
      <c r="BQ29">
        <v>0.28799999999999998</v>
      </c>
      <c r="BT29">
        <v>0.139240506329113</v>
      </c>
      <c r="BV29">
        <v>0.14000000000000001</v>
      </c>
      <c r="BW29">
        <v>-1.0999999999999999E-2</v>
      </c>
      <c r="BY29">
        <v>7.0000000000000007E-2</v>
      </c>
      <c r="BZ29">
        <v>-1.46666666666666E-2</v>
      </c>
      <c r="CB29">
        <v>-3.5000000000000003E-2</v>
      </c>
      <c r="CC29">
        <v>4.2666666666666603E-2</v>
      </c>
      <c r="CE29">
        <v>-5.83333333333333E-2</v>
      </c>
      <c r="CF29">
        <v>5.2999999999999999E-2</v>
      </c>
      <c r="CH29">
        <v>-1.2E-2</v>
      </c>
      <c r="CI29">
        <v>0.03</v>
      </c>
      <c r="CK29">
        <v>0.94966666666666599</v>
      </c>
      <c r="CL29">
        <v>0.49161073825503299</v>
      </c>
      <c r="CN29">
        <v>1.46666666666666E-2</v>
      </c>
      <c r="CO29">
        <v>6.1333333333333302E-2</v>
      </c>
      <c r="CQ29">
        <v>2.1666666666666601E-2</v>
      </c>
      <c r="CR29">
        <v>2E-3</v>
      </c>
      <c r="CT29">
        <v>-0.06</v>
      </c>
      <c r="CU29">
        <v>2.6666666666666599E-2</v>
      </c>
      <c r="CW29">
        <v>0.4</v>
      </c>
      <c r="CX29">
        <v>-0.42799999999999999</v>
      </c>
      <c r="CZ29">
        <v>0.72</v>
      </c>
      <c r="DA29">
        <v>0.53889457523029605</v>
      </c>
      <c r="DC29">
        <v>3.5999999999999997E-2</v>
      </c>
      <c r="DD29">
        <v>0.139194139194139</v>
      </c>
      <c r="DF29">
        <v>-0.178666666666666</v>
      </c>
      <c r="DG29">
        <v>2.9333333333333302E-2</v>
      </c>
      <c r="DI29">
        <v>3.3333333333333298E-2</v>
      </c>
      <c r="DJ29">
        <v>-6.2E-2</v>
      </c>
      <c r="DL29">
        <v>1.33333333333333E-3</v>
      </c>
      <c r="DM29">
        <v>2.5641025641025599E-2</v>
      </c>
      <c r="DO29">
        <v>3.4965034965034898E-2</v>
      </c>
      <c r="DP29">
        <v>0.23076923076923</v>
      </c>
      <c r="DR29">
        <v>0.51666666666666605</v>
      </c>
      <c r="DS29">
        <v>0</v>
      </c>
      <c r="DU29">
        <v>-8.9333333333333306E-2</v>
      </c>
      <c r="DV29">
        <v>-0.1</v>
      </c>
      <c r="DX29">
        <v>-5.3475935828876997E-2</v>
      </c>
      <c r="DY29">
        <v>9.8666666666666597E-2</v>
      </c>
      <c r="EA29">
        <v>-7.6999999999999999E-2</v>
      </c>
      <c r="EB29">
        <v>0.64</v>
      </c>
      <c r="ED29">
        <v>8.0000000000000002E-3</v>
      </c>
      <c r="EE29">
        <v>-1.6317016317016299E-2</v>
      </c>
      <c r="EG29">
        <v>0.08</v>
      </c>
      <c r="EH29">
        <v>-0.35897435897435898</v>
      </c>
      <c r="EJ29">
        <v>0.11799999999999999</v>
      </c>
      <c r="EK29">
        <v>5.6962025316455597E-2</v>
      </c>
      <c r="EM29">
        <v>-0.29399999999999998</v>
      </c>
      <c r="EN29">
        <v>0.61166666666666603</v>
      </c>
      <c r="EP29">
        <v>-0.48799999999999999</v>
      </c>
      <c r="EQ29">
        <v>0.95199999999999996</v>
      </c>
      <c r="ES29">
        <v>0.65800000000000003</v>
      </c>
      <c r="ET29">
        <v>0.69199999999999995</v>
      </c>
    </row>
    <row r="30" spans="2:150" x14ac:dyDescent="0.25">
      <c r="B30">
        <v>5.8666666666666603E-2</v>
      </c>
      <c r="C30">
        <v>0</v>
      </c>
      <c r="E30">
        <v>0.210666666666666</v>
      </c>
      <c r="F30">
        <v>5.5944055944055902E-2</v>
      </c>
      <c r="H30">
        <v>0.47399999999999998</v>
      </c>
      <c r="I30">
        <v>0.13500000000000001</v>
      </c>
      <c r="N30">
        <v>0.29299999999999998</v>
      </c>
      <c r="O30">
        <v>5.0000000000000001E-3</v>
      </c>
      <c r="Q30">
        <v>6.3829787234042507E-2</v>
      </c>
      <c r="R30">
        <v>-0.27102803738317699</v>
      </c>
      <c r="T30">
        <v>-0.296296296296296</v>
      </c>
      <c r="U30">
        <v>-1.6666666666666601E-2</v>
      </c>
      <c r="W30">
        <v>1E-3</v>
      </c>
      <c r="X30">
        <v>0.15166666666666601</v>
      </c>
      <c r="AC30">
        <v>-0.2</v>
      </c>
      <c r="AD30">
        <v>0.42199999999999999</v>
      </c>
      <c r="AF30">
        <v>0.17199999999999999</v>
      </c>
      <c r="AG30">
        <v>0</v>
      </c>
      <c r="AI30">
        <v>1.5267175572519E-2</v>
      </c>
      <c r="AJ30">
        <v>7.06666666666666E-2</v>
      </c>
      <c r="AL30">
        <v>0.62231182795698903</v>
      </c>
      <c r="AM30">
        <v>0.47826086956521702</v>
      </c>
      <c r="AO30">
        <v>-0.127</v>
      </c>
      <c r="AP30">
        <v>4.3999999999999997E-2</v>
      </c>
      <c r="AR30">
        <v>0.38733333333333297</v>
      </c>
      <c r="AS30">
        <v>-0.23166666666666599</v>
      </c>
      <c r="AU30">
        <v>0.12</v>
      </c>
      <c r="AV30">
        <v>0.62</v>
      </c>
      <c r="BA30">
        <v>0.02</v>
      </c>
      <c r="BB30">
        <v>-8.0000000000000002E-3</v>
      </c>
      <c r="BD30">
        <v>-0.18518518518518501</v>
      </c>
      <c r="BE30">
        <v>0.68</v>
      </c>
      <c r="BJ30">
        <v>-0.17599999999999999</v>
      </c>
      <c r="BK30">
        <v>0.28199999999999997</v>
      </c>
      <c r="BM30">
        <v>2.4E-2</v>
      </c>
      <c r="BN30">
        <v>-9.5238095238095205E-2</v>
      </c>
      <c r="BP30">
        <v>-0.18691588785046701</v>
      </c>
      <c r="BQ30">
        <v>-8.3333333333333301E-2</v>
      </c>
      <c r="BT30">
        <v>0.61066666666666602</v>
      </c>
      <c r="BV30">
        <v>0.06</v>
      </c>
      <c r="BW30">
        <v>-0.19500000000000001</v>
      </c>
      <c r="BY30">
        <v>7.00934579439252E-2</v>
      </c>
      <c r="BZ30">
        <v>-4.3290043290043203E-3</v>
      </c>
      <c r="CB30">
        <v>3.16666666666666E-2</v>
      </c>
      <c r="CC30">
        <v>4.6666666666666599E-2</v>
      </c>
      <c r="CE30">
        <v>0.119760479041916</v>
      </c>
      <c r="CF30">
        <v>0</v>
      </c>
      <c r="CH30">
        <v>0</v>
      </c>
      <c r="CI30">
        <v>0</v>
      </c>
      <c r="CK30">
        <v>6.4668769716088301E-2</v>
      </c>
      <c r="CL30">
        <v>0.75866666666666605</v>
      </c>
      <c r="CN30">
        <v>0.77400000000000002</v>
      </c>
      <c r="CO30">
        <v>0.15566037735849</v>
      </c>
      <c r="CQ30">
        <v>4.0000000000000001E-3</v>
      </c>
      <c r="CR30">
        <v>0.202666666666666</v>
      </c>
      <c r="CT30">
        <v>0.13800000000000001</v>
      </c>
      <c r="CU30">
        <v>-5.1999999999999998E-2</v>
      </c>
      <c r="CW30">
        <v>0.32833333333333298</v>
      </c>
      <c r="CX30">
        <v>-0.27200000000000002</v>
      </c>
      <c r="CZ30">
        <v>0.32</v>
      </c>
      <c r="DA30">
        <v>-0.18518518518518501</v>
      </c>
      <c r="DC30">
        <v>3.7037037037037E-2</v>
      </c>
      <c r="DD30">
        <v>0.95599999999999996</v>
      </c>
      <c r="DF30">
        <v>-6.6666666666666602E-3</v>
      </c>
      <c r="DG30">
        <v>0.08</v>
      </c>
      <c r="DI30">
        <v>1.8987341772151899E-2</v>
      </c>
      <c r="DJ30">
        <v>-6.2666666666666607E-2</v>
      </c>
      <c r="DL30">
        <v>5.2999999999999999E-2</v>
      </c>
      <c r="DM30">
        <v>-9.7000000000000003E-2</v>
      </c>
      <c r="DO30">
        <v>-4.0000000000000001E-3</v>
      </c>
      <c r="DP30">
        <v>-0.18933333333333299</v>
      </c>
      <c r="DR30">
        <v>0</v>
      </c>
      <c r="DS30">
        <v>0</v>
      </c>
      <c r="DU30">
        <v>0.24099999999999999</v>
      </c>
      <c r="DV30">
        <v>-0.35329341317365198</v>
      </c>
      <c r="DX30">
        <v>-0.289719626168224</v>
      </c>
      <c r="DY30">
        <v>0.185</v>
      </c>
      <c r="EA30">
        <v>4.1000000000000002E-2</v>
      </c>
      <c r="EB30">
        <v>-3.7037037037037E-2</v>
      </c>
      <c r="ED30">
        <v>0.91</v>
      </c>
      <c r="EE30">
        <v>-2.9333333333333302E-2</v>
      </c>
      <c r="EG30">
        <v>0.18833333333333299</v>
      </c>
      <c r="EH30">
        <v>-0.35735735735735702</v>
      </c>
      <c r="EJ30">
        <v>-0.25600000000000001</v>
      </c>
      <c r="EK30">
        <v>0.90633333333333299</v>
      </c>
      <c r="EM30">
        <v>-0.34200000000000003</v>
      </c>
      <c r="EN30">
        <v>0.68799999999999994</v>
      </c>
      <c r="EP30">
        <v>0.119617224880382</v>
      </c>
      <c r="EQ30">
        <v>0.28000000000000003</v>
      </c>
      <c r="ES30">
        <v>0.36</v>
      </c>
      <c r="ET30">
        <v>-0.04</v>
      </c>
    </row>
    <row r="31" spans="2:150" x14ac:dyDescent="0.25">
      <c r="B31">
        <v>0</v>
      </c>
      <c r="C31">
        <v>0</v>
      </c>
      <c r="E31">
        <v>0.10299999999999999</v>
      </c>
      <c r="F31">
        <v>9.5000000000000001E-2</v>
      </c>
      <c r="H31">
        <v>0.55700000000000005</v>
      </c>
      <c r="I31">
        <v>0.41866666666666602</v>
      </c>
      <c r="N31">
        <v>2.5000000000000001E-2</v>
      </c>
      <c r="O31">
        <v>-6.0000000000000001E-3</v>
      </c>
      <c r="Q31">
        <v>0.137333333333333</v>
      </c>
      <c r="R31">
        <v>0.254</v>
      </c>
      <c r="T31">
        <v>0.38500000000000001</v>
      </c>
      <c r="U31">
        <v>0.197333333333333</v>
      </c>
      <c r="W31">
        <v>0.37133333333333302</v>
      </c>
      <c r="X31">
        <v>-0.25600000000000001</v>
      </c>
      <c r="AC31">
        <v>0.41</v>
      </c>
      <c r="AD31">
        <v>-0.22222222222222199</v>
      </c>
      <c r="AF31">
        <v>0.21333333333333299</v>
      </c>
      <c r="AG31">
        <v>0.105333333333333</v>
      </c>
      <c r="AI31">
        <v>1.8666666666666599E-2</v>
      </c>
      <c r="AJ31">
        <v>-0.266666666666666</v>
      </c>
      <c r="AL31">
        <v>-0.25925925925925902</v>
      </c>
      <c r="AM31">
        <v>0.65217391304347805</v>
      </c>
      <c r="AO31">
        <v>6.0999999999999999E-2</v>
      </c>
      <c r="AP31">
        <v>-2.9333333333333302E-2</v>
      </c>
      <c r="AR31">
        <v>0.26</v>
      </c>
      <c r="AS31">
        <v>1.60427807486631E-2</v>
      </c>
      <c r="AU31">
        <v>3.7999999999999999E-2</v>
      </c>
      <c r="AV31">
        <v>0.69565217391304301</v>
      </c>
      <c r="BA31">
        <v>1.1333333333333299E-2</v>
      </c>
      <c r="BB31">
        <v>0</v>
      </c>
      <c r="BD31">
        <v>-1</v>
      </c>
      <c r="BE31">
        <v>1</v>
      </c>
      <c r="BJ31">
        <v>0.54205607476635498</v>
      </c>
      <c r="BK31">
        <v>0.14594594594594501</v>
      </c>
      <c r="BM31">
        <v>0.02</v>
      </c>
      <c r="BN31">
        <v>0.952380952380952</v>
      </c>
      <c r="BP31">
        <v>8.5000000000000006E-2</v>
      </c>
      <c r="BQ31">
        <v>0</v>
      </c>
      <c r="BT31">
        <v>0.80800000000000005</v>
      </c>
      <c r="BV31">
        <v>0.435</v>
      </c>
      <c r="BW31">
        <v>-0.33600000000000002</v>
      </c>
      <c r="BY31">
        <v>-1.7999999999999999E-2</v>
      </c>
      <c r="BZ31">
        <v>0.73799999999999999</v>
      </c>
      <c r="CB31">
        <v>0.317</v>
      </c>
      <c r="CC31">
        <v>9.3333333333333296E-2</v>
      </c>
      <c r="CE31">
        <v>0</v>
      </c>
      <c r="CF31">
        <v>0</v>
      </c>
      <c r="CH31">
        <v>0</v>
      </c>
      <c r="CI31">
        <v>0</v>
      </c>
      <c r="CK31">
        <v>0.73099999999999998</v>
      </c>
      <c r="CL31">
        <v>0.91500000000000004</v>
      </c>
      <c r="CN31">
        <v>0.63</v>
      </c>
      <c r="CO31">
        <v>0.145748987854251</v>
      </c>
      <c r="CQ31">
        <v>-7.5999999999999998E-2</v>
      </c>
      <c r="CR31">
        <v>0.121</v>
      </c>
      <c r="CT31">
        <v>0.42533333333333301</v>
      </c>
      <c r="CU31">
        <v>-0.12299465240641699</v>
      </c>
      <c r="CW31">
        <v>0</v>
      </c>
      <c r="CX31">
        <v>-5.6000000000000001E-2</v>
      </c>
      <c r="CZ31">
        <v>1</v>
      </c>
      <c r="DA31">
        <v>-1</v>
      </c>
      <c r="DC31">
        <v>-0.18518518518518501</v>
      </c>
      <c r="DD31">
        <v>1</v>
      </c>
      <c r="DF31">
        <v>-5.1999999999999998E-2</v>
      </c>
      <c r="DG31">
        <v>2E-3</v>
      </c>
      <c r="DI31">
        <v>0.02</v>
      </c>
      <c r="DJ31">
        <v>3.0666666666666599E-2</v>
      </c>
      <c r="DL31">
        <v>9.4E-2</v>
      </c>
      <c r="DM31">
        <v>0</v>
      </c>
      <c r="DO31">
        <v>0.20799999999999999</v>
      </c>
      <c r="DP31">
        <v>0.80933333333333302</v>
      </c>
      <c r="DR31">
        <v>0</v>
      </c>
      <c r="DS31" t="s">
        <v>10</v>
      </c>
      <c r="DU31">
        <v>0.19500000000000001</v>
      </c>
      <c r="DV31">
        <v>-0.29411764705882298</v>
      </c>
      <c r="DX31">
        <v>-9.4666666666666593E-2</v>
      </c>
      <c r="DY31">
        <v>4.3956043956043897E-2</v>
      </c>
      <c r="EA31">
        <v>-6.0060060060059999E-3</v>
      </c>
      <c r="EB31">
        <v>-0.296296296296296</v>
      </c>
      <c r="ED31">
        <v>0</v>
      </c>
      <c r="EE31">
        <v>0</v>
      </c>
      <c r="EG31">
        <v>0.46</v>
      </c>
      <c r="EH31">
        <v>5.3333333333333297E-3</v>
      </c>
      <c r="EJ31">
        <v>-0.201333333333333</v>
      </c>
      <c r="EK31">
        <v>0</v>
      </c>
      <c r="EM31">
        <v>0.29799999999999999</v>
      </c>
      <c r="EN31">
        <v>0.148148148148148</v>
      </c>
      <c r="EP31">
        <v>-0.25925925925925902</v>
      </c>
      <c r="EQ31">
        <v>0.04</v>
      </c>
      <c r="ES31">
        <v>0</v>
      </c>
      <c r="ET31">
        <v>1</v>
      </c>
    </row>
    <row r="32" spans="2:150" x14ac:dyDescent="0.25">
      <c r="B32">
        <v>0</v>
      </c>
      <c r="C32">
        <v>0</v>
      </c>
      <c r="E32">
        <v>0.4</v>
      </c>
      <c r="F32">
        <v>6.2666666666666607E-2</v>
      </c>
      <c r="H32">
        <v>0</v>
      </c>
      <c r="I32">
        <v>0</v>
      </c>
      <c r="N32">
        <v>5.7333333333333299E-2</v>
      </c>
      <c r="O32">
        <v>0</v>
      </c>
      <c r="Q32">
        <v>-9.8666666666666597E-2</v>
      </c>
      <c r="R32">
        <v>0</v>
      </c>
      <c r="T32">
        <v>7.4074074074074001E-2</v>
      </c>
      <c r="U32">
        <v>0.36933333333333301</v>
      </c>
      <c r="W32">
        <v>4.2168674698795101E-2</v>
      </c>
      <c r="X32">
        <v>0.13700000000000001</v>
      </c>
      <c r="AC32">
        <v>0.26086956521739102</v>
      </c>
      <c r="AD32">
        <v>1</v>
      </c>
      <c r="AF32">
        <v>0.48148148148148101</v>
      </c>
      <c r="AG32">
        <v>-0.108108108108108</v>
      </c>
      <c r="AI32">
        <v>4.9000000000000002E-2</v>
      </c>
      <c r="AJ32">
        <v>-0.13829787234042501</v>
      </c>
      <c r="AL32">
        <v>1</v>
      </c>
      <c r="AO32">
        <v>1.7999999999999999E-2</v>
      </c>
      <c r="AP32">
        <v>0</v>
      </c>
      <c r="AR32">
        <v>-5.1999999999999998E-2</v>
      </c>
      <c r="AS32">
        <v>7.8E-2</v>
      </c>
      <c r="AU32">
        <v>0.135570469798657</v>
      </c>
      <c r="AV32">
        <v>4.3478260869565202E-2</v>
      </c>
      <c r="BA32">
        <v>0</v>
      </c>
      <c r="BB32">
        <v>0</v>
      </c>
      <c r="BJ32">
        <v>0.89466666666666606</v>
      </c>
      <c r="BK32">
        <v>0.12903225806451599</v>
      </c>
      <c r="BM32">
        <v>-0.30496453900709197</v>
      </c>
      <c r="BN32">
        <v>1</v>
      </c>
      <c r="BP32">
        <v>0</v>
      </c>
      <c r="BQ32">
        <v>0</v>
      </c>
      <c r="BT32">
        <v>0.91</v>
      </c>
      <c r="BV32">
        <v>0.71</v>
      </c>
      <c r="BW32">
        <v>-0.378</v>
      </c>
      <c r="BY32">
        <v>0.19</v>
      </c>
      <c r="BZ32">
        <v>1</v>
      </c>
      <c r="CB32">
        <v>-0.14000000000000001</v>
      </c>
      <c r="CC32">
        <v>0.46</v>
      </c>
      <c r="CH32">
        <v>0</v>
      </c>
      <c r="CI32">
        <v>0</v>
      </c>
      <c r="CK32">
        <v>0.18518518518518501</v>
      </c>
      <c r="CL32">
        <v>0.33333333333333298</v>
      </c>
      <c r="CN32">
        <v>-0.74074074074074003</v>
      </c>
      <c r="CO32">
        <v>0.83966666666666601</v>
      </c>
      <c r="CQ32">
        <v>5.8999999999999997E-2</v>
      </c>
      <c r="CR32">
        <v>-0.14499999999999999</v>
      </c>
      <c r="CT32">
        <v>0.27800000000000002</v>
      </c>
      <c r="CU32">
        <v>-3.7037037037037E-2</v>
      </c>
      <c r="CW32">
        <v>1.8018018018018001E-2</v>
      </c>
      <c r="CX32">
        <v>-2.8000000000000001E-2</v>
      </c>
      <c r="CZ32">
        <v>1</v>
      </c>
      <c r="DF32">
        <v>-8.8999999999999996E-2</v>
      </c>
      <c r="DG32">
        <v>-7.9000000000000001E-2</v>
      </c>
      <c r="DI32">
        <v>3.2000000000000001E-2</v>
      </c>
      <c r="DJ32">
        <v>-0.04</v>
      </c>
      <c r="DL32">
        <v>0</v>
      </c>
      <c r="DM32">
        <v>0</v>
      </c>
      <c r="DO32">
        <v>0.42599999999999999</v>
      </c>
      <c r="DP32">
        <v>0.11111111111111099</v>
      </c>
      <c r="DR32" t="s">
        <v>10</v>
      </c>
      <c r="DU32">
        <v>0.23200000000000001</v>
      </c>
      <c r="DV32">
        <v>-9.30232558139534E-3</v>
      </c>
      <c r="DX32">
        <v>-0.36</v>
      </c>
      <c r="DY32">
        <v>0.92533333333333301</v>
      </c>
      <c r="EA32">
        <v>-2.10280373831775E-2</v>
      </c>
      <c r="EB32">
        <v>0.186</v>
      </c>
      <c r="ED32">
        <v>0</v>
      </c>
      <c r="EE32" t="s">
        <v>10</v>
      </c>
      <c r="EG32">
        <v>4.1666666666666602E-2</v>
      </c>
      <c r="EH32">
        <v>0</v>
      </c>
      <c r="EJ32">
        <v>-0.242990654205607</v>
      </c>
      <c r="EK32">
        <v>0.45333333333333298</v>
      </c>
      <c r="EM32">
        <v>-0.407407407407407</v>
      </c>
      <c r="EN32">
        <v>0.55555555555555503</v>
      </c>
      <c r="EP32">
        <v>3.7037037037037E-2</v>
      </c>
      <c r="EQ32">
        <v>0.48148148148148101</v>
      </c>
      <c r="ES32" t="s">
        <v>10</v>
      </c>
      <c r="ET32" t="s">
        <v>10</v>
      </c>
    </row>
    <row r="33" spans="1:147" x14ac:dyDescent="0.25">
      <c r="B33">
        <v>0</v>
      </c>
      <c r="C33">
        <v>0</v>
      </c>
      <c r="E33">
        <v>1.2987012987012899E-2</v>
      </c>
      <c r="F33">
        <v>0.82199999999999995</v>
      </c>
      <c r="H33">
        <v>0</v>
      </c>
      <c r="I33">
        <v>0</v>
      </c>
      <c r="N33">
        <v>0</v>
      </c>
      <c r="O33">
        <v>0</v>
      </c>
      <c r="Q33">
        <v>0</v>
      </c>
      <c r="R33">
        <v>0</v>
      </c>
      <c r="T33">
        <v>0.592592592592592</v>
      </c>
      <c r="U33">
        <v>-1.68010752688172E-2</v>
      </c>
      <c r="W33">
        <v>0.08</v>
      </c>
      <c r="X33">
        <v>0</v>
      </c>
      <c r="AF33">
        <v>1</v>
      </c>
      <c r="AI33">
        <v>0.02</v>
      </c>
      <c r="AJ33">
        <v>3.7333333333333302E-2</v>
      </c>
      <c r="AO33">
        <v>0</v>
      </c>
      <c r="AP33">
        <v>0</v>
      </c>
      <c r="AR33">
        <v>-0.216911764705882</v>
      </c>
      <c r="AS33">
        <v>0.16800000000000001</v>
      </c>
      <c r="AU33">
        <v>3.7037037037037E-2</v>
      </c>
      <c r="AV33">
        <v>0.996</v>
      </c>
      <c r="BJ33">
        <v>0.52</v>
      </c>
      <c r="BK33">
        <v>0.73387096774193505</v>
      </c>
      <c r="BP33">
        <v>0</v>
      </c>
      <c r="BQ33">
        <v>0</v>
      </c>
      <c r="BT33">
        <v>0.66666666666666596</v>
      </c>
      <c r="BV33">
        <v>0.68400000000000005</v>
      </c>
      <c r="BW33">
        <v>-0.112</v>
      </c>
      <c r="CB33">
        <v>0</v>
      </c>
      <c r="CC33">
        <v>0</v>
      </c>
      <c r="CH33">
        <v>0</v>
      </c>
      <c r="CK33">
        <v>0.6</v>
      </c>
      <c r="CL33">
        <v>-1</v>
      </c>
      <c r="CN33">
        <v>-0.43589743589743501</v>
      </c>
      <c r="CO33">
        <v>0.99199999999999999</v>
      </c>
      <c r="CQ33">
        <v>0.30133333333333301</v>
      </c>
      <c r="CR33">
        <v>0.94399999999999995</v>
      </c>
      <c r="CT33">
        <v>0.6</v>
      </c>
      <c r="CU33">
        <v>3.7037037037037E-2</v>
      </c>
      <c r="CW33">
        <v>0</v>
      </c>
      <c r="CX33">
        <v>0</v>
      </c>
      <c r="DF33">
        <v>0.108</v>
      </c>
      <c r="DG33">
        <v>9.8666666666666597E-2</v>
      </c>
      <c r="DI33">
        <v>1.3986013986013899E-2</v>
      </c>
      <c r="DJ33">
        <v>-2.1999999999999999E-2</v>
      </c>
      <c r="DL33" t="s">
        <v>10</v>
      </c>
      <c r="DM33" t="s">
        <v>10</v>
      </c>
      <c r="DO33">
        <v>9.83333333333333E-2</v>
      </c>
      <c r="DP33">
        <v>0.21</v>
      </c>
      <c r="DU33">
        <v>0.17199999999999999</v>
      </c>
      <c r="DV33">
        <v>0.47599999999999998</v>
      </c>
      <c r="DX33">
        <v>0.32705882352941101</v>
      </c>
      <c r="DY33">
        <v>0.38600000000000001</v>
      </c>
      <c r="EA33">
        <v>0</v>
      </c>
      <c r="EB33">
        <v>0</v>
      </c>
      <c r="ED33" t="s">
        <v>10</v>
      </c>
      <c r="EG33">
        <v>0</v>
      </c>
      <c r="EH33">
        <v>0</v>
      </c>
      <c r="EJ33">
        <v>0.44485294117647001</v>
      </c>
      <c r="EK33">
        <v>-0.04</v>
      </c>
      <c r="EM33">
        <v>-0.18518518518518501</v>
      </c>
      <c r="EN33">
        <v>1</v>
      </c>
      <c r="EP33">
        <v>0.77777777777777701</v>
      </c>
      <c r="EQ33">
        <v>0.99461823074335598</v>
      </c>
    </row>
    <row r="34" spans="1:147" x14ac:dyDescent="0.25">
      <c r="E34">
        <v>0.40799999999999997</v>
      </c>
      <c r="F34">
        <v>0.62962962962962898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3.7037037037037E-2</v>
      </c>
      <c r="X34">
        <v>1.2E-2</v>
      </c>
      <c r="AI34">
        <v>0.11600000000000001</v>
      </c>
      <c r="AJ34">
        <v>0.99632352941176405</v>
      </c>
      <c r="AO34">
        <v>0</v>
      </c>
      <c r="AP34">
        <v>0</v>
      </c>
      <c r="AR34">
        <v>-9.0909090909090898E-2</v>
      </c>
      <c r="AS34">
        <v>0</v>
      </c>
      <c r="AU34">
        <v>0.61846571622539004</v>
      </c>
      <c r="AV34">
        <v>0.90909090909090895</v>
      </c>
      <c r="BJ34">
        <v>1</v>
      </c>
      <c r="BK34">
        <v>-1</v>
      </c>
      <c r="BP34">
        <v>0</v>
      </c>
      <c r="BQ34">
        <v>0</v>
      </c>
      <c r="BT34">
        <v>-0.185</v>
      </c>
      <c r="BV34">
        <v>0.90266666666666595</v>
      </c>
      <c r="BW34">
        <v>0.30199999999999999</v>
      </c>
      <c r="CK34">
        <v>1</v>
      </c>
      <c r="CN34">
        <v>-1</v>
      </c>
      <c r="CO34">
        <v>1</v>
      </c>
      <c r="CQ34">
        <v>0.53194351042367105</v>
      </c>
      <c r="CR34">
        <v>1</v>
      </c>
      <c r="CT34">
        <v>0.95066666666666599</v>
      </c>
      <c r="CU34">
        <v>-0.18518518518518501</v>
      </c>
      <c r="DF34">
        <v>5.31914893617021E-3</v>
      </c>
      <c r="DG34">
        <v>9.3333333333333306E-3</v>
      </c>
      <c r="DI34">
        <v>0</v>
      </c>
      <c r="DJ34">
        <v>0</v>
      </c>
      <c r="DO34">
        <v>3.7037037037037E-2</v>
      </c>
      <c r="DP34">
        <v>-0.22222222222222199</v>
      </c>
      <c r="DU34">
        <v>0.11111111111111099</v>
      </c>
      <c r="DV34">
        <v>0.92488262910798102</v>
      </c>
      <c r="DX34">
        <v>0.97866666666666602</v>
      </c>
      <c r="DY34">
        <v>-3.08724832214765E-2</v>
      </c>
      <c r="EA34">
        <v>0</v>
      </c>
      <c r="EB34">
        <v>0</v>
      </c>
      <c r="EG34" t="s">
        <v>10</v>
      </c>
      <c r="EH34" t="s">
        <v>10</v>
      </c>
      <c r="EJ34">
        <v>0.77777777777777701</v>
      </c>
      <c r="EK34">
        <v>1</v>
      </c>
      <c r="EM34" t="s">
        <v>10</v>
      </c>
      <c r="EN34" t="s">
        <v>10</v>
      </c>
      <c r="EP34">
        <v>-1</v>
      </c>
      <c r="EQ34">
        <v>1</v>
      </c>
    </row>
    <row r="35" spans="1:147" x14ac:dyDescent="0.25">
      <c r="E35">
        <v>0.59395973154362403</v>
      </c>
      <c r="F35">
        <v>1</v>
      </c>
      <c r="N35">
        <v>0</v>
      </c>
      <c r="O35">
        <v>0</v>
      </c>
      <c r="Q35">
        <v>0</v>
      </c>
      <c r="W35">
        <v>0</v>
      </c>
      <c r="X35">
        <v>0</v>
      </c>
      <c r="AI35">
        <v>-0.123024054982817</v>
      </c>
      <c r="AJ35">
        <v>0.95454545454545403</v>
      </c>
      <c r="AO35">
        <v>0</v>
      </c>
      <c r="AP35">
        <v>0</v>
      </c>
      <c r="AR35">
        <v>0</v>
      </c>
      <c r="AU35">
        <v>0.82944162436548197</v>
      </c>
      <c r="AV35">
        <v>1</v>
      </c>
      <c r="BJ35">
        <v>1</v>
      </c>
      <c r="BP35">
        <v>0</v>
      </c>
      <c r="BT35">
        <v>-9.3333333333333306E-3</v>
      </c>
      <c r="BV35">
        <v>0.92</v>
      </c>
      <c r="BW35">
        <v>0.89572822065253899</v>
      </c>
      <c r="CT35">
        <v>0.76</v>
      </c>
      <c r="CU35">
        <v>1</v>
      </c>
      <c r="DF35">
        <v>-0.29437229437229401</v>
      </c>
      <c r="DG35">
        <v>0.355333333333333</v>
      </c>
      <c r="DI35">
        <v>0</v>
      </c>
      <c r="DJ35">
        <v>0</v>
      </c>
      <c r="DO35">
        <v>0.56000000000000005</v>
      </c>
      <c r="DP35">
        <v>0</v>
      </c>
      <c r="DU35">
        <v>-0.04</v>
      </c>
      <c r="DV35">
        <v>1</v>
      </c>
      <c r="DX35">
        <v>0.99099999999999999</v>
      </c>
      <c r="DY35">
        <v>-8.9999999999999993E-3</v>
      </c>
      <c r="EA35" t="s">
        <v>10</v>
      </c>
      <c r="EB35" t="s">
        <v>10</v>
      </c>
      <c r="EJ35">
        <v>-1</v>
      </c>
      <c r="EK35">
        <v>1</v>
      </c>
      <c r="EP35" t="s">
        <v>10</v>
      </c>
      <c r="EQ35" t="s">
        <v>10</v>
      </c>
    </row>
    <row r="36" spans="1:147" x14ac:dyDescent="0.25">
      <c r="E36">
        <v>-1</v>
      </c>
      <c r="F36">
        <v>1</v>
      </c>
      <c r="N36">
        <v>0</v>
      </c>
      <c r="O36">
        <v>0</v>
      </c>
      <c r="W36">
        <v>0</v>
      </c>
      <c r="X36">
        <v>0</v>
      </c>
      <c r="AI36">
        <v>-2.7581567440295999E-2</v>
      </c>
      <c r="AJ36">
        <v>1</v>
      </c>
      <c r="BT36">
        <v>0</v>
      </c>
      <c r="BV36">
        <v>0.13043478260869501</v>
      </c>
      <c r="BW36">
        <v>0.99466666666666603</v>
      </c>
      <c r="DF36">
        <v>0.116666666666666</v>
      </c>
      <c r="DG36">
        <v>0.59633333333333305</v>
      </c>
      <c r="DI36" t="s">
        <v>10</v>
      </c>
      <c r="DJ36" t="s">
        <v>10</v>
      </c>
      <c r="DO36">
        <v>0</v>
      </c>
      <c r="DP36">
        <v>0</v>
      </c>
      <c r="DU36" t="s">
        <v>10</v>
      </c>
      <c r="DV36" t="s">
        <v>10</v>
      </c>
      <c r="DX36">
        <v>1</v>
      </c>
      <c r="DY36" t="s">
        <v>10</v>
      </c>
      <c r="EJ36" t="s">
        <v>10</v>
      </c>
      <c r="EK36" t="s">
        <v>10</v>
      </c>
    </row>
    <row r="37" spans="1:147" x14ac:dyDescent="0.25">
      <c r="N37">
        <v>0</v>
      </c>
      <c r="W37">
        <v>0</v>
      </c>
      <c r="X37">
        <v>0</v>
      </c>
      <c r="BV37">
        <v>0.97933333333333294</v>
      </c>
      <c r="BW37">
        <v>-0.18518518518518501</v>
      </c>
      <c r="DF37">
        <v>0.11799999999999999</v>
      </c>
      <c r="DG37">
        <v>0.97266666666666601</v>
      </c>
      <c r="DO37">
        <v>0</v>
      </c>
      <c r="DP37" t="s">
        <v>10</v>
      </c>
      <c r="DX37" t="s">
        <v>10</v>
      </c>
    </row>
    <row r="38" spans="1:147" x14ac:dyDescent="0.25">
      <c r="BV38">
        <v>0.68</v>
      </c>
      <c r="BW38">
        <v>1</v>
      </c>
      <c r="DF38">
        <v>-1</v>
      </c>
      <c r="DG38">
        <v>1</v>
      </c>
      <c r="DO38" t="s">
        <v>10</v>
      </c>
    </row>
    <row r="40" spans="1:147" x14ac:dyDescent="0.25">
      <c r="A40" t="str">
        <f>"Game" &amp; (ROW(A40) - 1)/3  + 1</f>
        <v>Game14</v>
      </c>
    </row>
    <row r="41" spans="1:147" x14ac:dyDescent="0.25">
      <c r="B41" t="s">
        <v>4</v>
      </c>
      <c r="C41">
        <v>0.21621621621621601</v>
      </c>
      <c r="D41">
        <v>3.0030030030029999E-3</v>
      </c>
      <c r="E41">
        <v>3.6036036036036001E-2</v>
      </c>
      <c r="F41">
        <v>5.9880239520958001E-3</v>
      </c>
      <c r="G41">
        <v>3.6036036036036001E-2</v>
      </c>
      <c r="H41">
        <v>1.06666666666666E-2</v>
      </c>
      <c r="I41">
        <v>3.4965034965034898E-2</v>
      </c>
      <c r="J41">
        <v>5.0666666666666603E-2</v>
      </c>
      <c r="K41">
        <v>4.67289719626168E-2</v>
      </c>
      <c r="L41">
        <v>3.5999999999999997E-2</v>
      </c>
      <c r="M41">
        <v>1.3333333333333299E-2</v>
      </c>
      <c r="N41">
        <v>3.73831775700934E-2</v>
      </c>
      <c r="O41">
        <v>4.0000000000000001E-3</v>
      </c>
      <c r="P41">
        <v>-1.3986013986013899E-2</v>
      </c>
      <c r="Q41">
        <v>2.7972027972027899E-2</v>
      </c>
      <c r="R41">
        <v>1.4E-2</v>
      </c>
      <c r="S41">
        <v>0.01</v>
      </c>
      <c r="T41">
        <v>0.04</v>
      </c>
      <c r="U41">
        <v>0.01</v>
      </c>
      <c r="V41">
        <v>0.02</v>
      </c>
      <c r="W41">
        <v>8.2666666666666597E-2</v>
      </c>
      <c r="X41">
        <v>0.29733333333333301</v>
      </c>
      <c r="Y41">
        <v>0.29733333333333301</v>
      </c>
      <c r="Z41">
        <v>-0.13066666666666599</v>
      </c>
      <c r="AA41">
        <v>-7.3999999999999996E-2</v>
      </c>
      <c r="AB41">
        <v>-3.6764705882352901E-2</v>
      </c>
      <c r="AC41">
        <v>-0.13866666666666599</v>
      </c>
      <c r="AD41">
        <v>-0.127</v>
      </c>
      <c r="AE41">
        <v>6.0999999999999999E-2</v>
      </c>
      <c r="AF41">
        <v>1.7999999999999999E-2</v>
      </c>
      <c r="AG41">
        <v>0</v>
      </c>
      <c r="AH41">
        <v>0</v>
      </c>
      <c r="AI41">
        <v>0</v>
      </c>
    </row>
    <row r="42" spans="1:147" x14ac:dyDescent="0.25">
      <c r="B42" t="s">
        <v>8</v>
      </c>
      <c r="C42">
        <v>-0.108108108108108</v>
      </c>
      <c r="D42">
        <v>2.7027027027027001E-2</v>
      </c>
      <c r="E42">
        <v>-8.5333333333333303E-2</v>
      </c>
      <c r="F42">
        <v>-0.12533333333333299</v>
      </c>
      <c r="G42">
        <v>-0.114114114114114</v>
      </c>
      <c r="H42">
        <v>4.2666666666666603E-2</v>
      </c>
      <c r="I42">
        <v>7.0093457943925198E-3</v>
      </c>
      <c r="J42">
        <v>-1.3333333333333299E-2</v>
      </c>
      <c r="K42">
        <v>-1.2012012012012E-2</v>
      </c>
      <c r="L42">
        <v>-4.6620046620046603E-2</v>
      </c>
      <c r="M42">
        <v>-4.5333333333333302E-2</v>
      </c>
      <c r="N42">
        <v>-0.117333333333333</v>
      </c>
      <c r="O42">
        <v>-4.6620046620046603E-3</v>
      </c>
      <c r="P42">
        <v>-8.0000000000000002E-3</v>
      </c>
      <c r="Q42">
        <v>-0.04</v>
      </c>
      <c r="R42">
        <v>-5.3333333333333302E-2</v>
      </c>
      <c r="S42">
        <v>-5.5E-2</v>
      </c>
      <c r="T42">
        <v>-6.2E-2</v>
      </c>
      <c r="U42">
        <v>-9.3457943925233603E-3</v>
      </c>
      <c r="V42">
        <v>-3.8961038961038898E-2</v>
      </c>
      <c r="W42">
        <v>-0.29299999999999998</v>
      </c>
      <c r="X42">
        <v>-0.358333333333333</v>
      </c>
      <c r="Y42">
        <v>-0.233333333333333</v>
      </c>
      <c r="Z42">
        <v>0.11600000000000001</v>
      </c>
      <c r="AA42">
        <v>0.11333333333333299</v>
      </c>
      <c r="AB42">
        <v>0.17499999999999999</v>
      </c>
      <c r="AC42">
        <v>0.19</v>
      </c>
      <c r="AD42">
        <v>4.3999999999999997E-2</v>
      </c>
      <c r="AE42">
        <v>-2.9333333333333302E-2</v>
      </c>
      <c r="AF42">
        <v>0</v>
      </c>
      <c r="AG42">
        <v>0</v>
      </c>
      <c r="AH42">
        <v>0</v>
      </c>
      <c r="AI42">
        <v>0</v>
      </c>
    </row>
    <row r="43" spans="1:147" x14ac:dyDescent="0.25">
      <c r="A43" t="str">
        <f>"Game" &amp; (ROW(A43) - 1)/3  + 1</f>
        <v>Game15</v>
      </c>
    </row>
    <row r="44" spans="1:147" x14ac:dyDescent="0.25">
      <c r="B44" t="s">
        <v>8</v>
      </c>
      <c r="C44">
        <v>-5.4054054054054002E-2</v>
      </c>
      <c r="D44">
        <v>0.101796407185628</v>
      </c>
      <c r="E44">
        <v>4.4910179640718501E-2</v>
      </c>
      <c r="F44">
        <v>0.11377245508981999</v>
      </c>
      <c r="G44">
        <v>0.04</v>
      </c>
      <c r="H44">
        <v>0.01</v>
      </c>
      <c r="I44">
        <v>-5.3333333333333302E-2</v>
      </c>
      <c r="J44">
        <v>-1.8666666666666599E-2</v>
      </c>
      <c r="K44">
        <v>-1.4999999999999999E-2</v>
      </c>
      <c r="L44">
        <v>-1.06666666666666E-2</v>
      </c>
      <c r="M44">
        <v>-5.6074766355140103E-2</v>
      </c>
      <c r="N44">
        <v>6.5420560747663503E-2</v>
      </c>
      <c r="O44">
        <v>-0.154205607476635</v>
      </c>
      <c r="P44">
        <v>-6.4000000000000001E-2</v>
      </c>
      <c r="Q44">
        <v>-6.7757009345794303E-2</v>
      </c>
      <c r="R44">
        <v>-7.0000000000000007E-2</v>
      </c>
      <c r="S44">
        <v>-0.116666666666666</v>
      </c>
      <c r="T44">
        <v>3.7333333333333302E-2</v>
      </c>
      <c r="U44">
        <v>2.57009345794392E-2</v>
      </c>
      <c r="V44">
        <v>3.7296037296037199E-2</v>
      </c>
      <c r="W44">
        <v>0</v>
      </c>
      <c r="X44">
        <v>0.104</v>
      </c>
      <c r="Y44">
        <v>-5.3333333333333302E-2</v>
      </c>
      <c r="Z44">
        <v>5.0000000000000001E-3</v>
      </c>
      <c r="AA44">
        <v>-5.3333333333333297E-3</v>
      </c>
      <c r="AB44">
        <v>-0.14833333333333301</v>
      </c>
      <c r="AC44">
        <v>-9.3333333333333296E-2</v>
      </c>
      <c r="AD44">
        <v>0.38733333333333297</v>
      </c>
      <c r="AE44">
        <v>0.26</v>
      </c>
      <c r="AF44">
        <v>-5.1999999999999998E-2</v>
      </c>
      <c r="AG44">
        <v>-0.216911764705882</v>
      </c>
      <c r="AH44">
        <v>-9.0909090909090898E-2</v>
      </c>
      <c r="AI44">
        <v>0</v>
      </c>
    </row>
    <row r="45" spans="1:147" x14ac:dyDescent="0.25">
      <c r="B45" t="s">
        <v>4</v>
      </c>
      <c r="C45">
        <v>-1.8018018018018001E-2</v>
      </c>
      <c r="D45">
        <v>2.9333333333333302E-2</v>
      </c>
      <c r="E45">
        <v>2.8037383177569999E-2</v>
      </c>
      <c r="F45">
        <v>1.8018018018018001E-2</v>
      </c>
      <c r="G45">
        <v>8.0000000000000002E-3</v>
      </c>
      <c r="H45">
        <v>2.1021021021020998E-2</v>
      </c>
      <c r="I45">
        <v>4.6728971962616802E-3</v>
      </c>
      <c r="J45">
        <v>8.0000000000000002E-3</v>
      </c>
      <c r="K45">
        <v>2.1666666666666601E-2</v>
      </c>
      <c r="L45">
        <v>9.0090090090090003E-3</v>
      </c>
      <c r="M45">
        <v>1.19760479041916E-2</v>
      </c>
      <c r="N45">
        <v>4.5333333333333302E-2</v>
      </c>
      <c r="O45">
        <v>2.57009345794392E-2</v>
      </c>
      <c r="P45">
        <v>3.7999999999999999E-2</v>
      </c>
      <c r="Q45">
        <v>3.16666666666666E-2</v>
      </c>
      <c r="R45">
        <v>5.0000000000000001E-3</v>
      </c>
      <c r="S45">
        <v>-6.6666666666666602E-3</v>
      </c>
      <c r="T45">
        <v>2.9333333333333302E-2</v>
      </c>
      <c r="U45">
        <v>2.1999999999999999E-2</v>
      </c>
      <c r="V45">
        <v>4.0000000000000001E-3</v>
      </c>
      <c r="W45">
        <v>4.2000000000000003E-2</v>
      </c>
      <c r="X45">
        <v>-1.6E-2</v>
      </c>
      <c r="Y45">
        <v>-6.9000000000000006E-2</v>
      </c>
      <c r="Z45">
        <v>-1.6666666666666601E-2</v>
      </c>
      <c r="AA45">
        <v>2.5333333333333301E-2</v>
      </c>
      <c r="AB45">
        <v>0.06</v>
      </c>
      <c r="AC45">
        <v>1.6E-2</v>
      </c>
      <c r="AD45">
        <v>-0.23166666666666599</v>
      </c>
      <c r="AE45">
        <v>1.60427807486631E-2</v>
      </c>
      <c r="AF45">
        <v>7.8E-2</v>
      </c>
      <c r="AG45">
        <v>0.16800000000000001</v>
      </c>
      <c r="AH45">
        <v>0</v>
      </c>
    </row>
    <row r="46" spans="1:147" x14ac:dyDescent="0.25">
      <c r="A46" t="str">
        <f>"Game" &amp; (ROW(A46) - 1)/3  + 1</f>
        <v>Game16</v>
      </c>
    </row>
    <row r="47" spans="1:147" x14ac:dyDescent="0.25">
      <c r="B47" t="s">
        <v>4</v>
      </c>
      <c r="C47">
        <v>2.7027027027027001E-2</v>
      </c>
      <c r="D47">
        <v>2.4024024024024E-2</v>
      </c>
      <c r="E47">
        <v>1.6E-2</v>
      </c>
      <c r="F47">
        <v>4.4392523364485903E-2</v>
      </c>
      <c r="G47">
        <v>0</v>
      </c>
      <c r="H47">
        <v>3.2000000000000001E-2</v>
      </c>
      <c r="I47">
        <v>1.6317016317016299E-2</v>
      </c>
      <c r="J47">
        <v>2.1333333333333301E-2</v>
      </c>
      <c r="K47">
        <v>3.5000000000000003E-2</v>
      </c>
      <c r="L47">
        <v>3.7333333333333302E-2</v>
      </c>
      <c r="M47">
        <v>4.6620046620046603E-3</v>
      </c>
      <c r="N47">
        <v>5.3333333333333297E-3</v>
      </c>
      <c r="O47">
        <v>6.6666666666666602E-3</v>
      </c>
      <c r="P47">
        <v>1.2E-2</v>
      </c>
      <c r="Q47">
        <v>1.16666666666666E-2</v>
      </c>
      <c r="R47">
        <v>1.7999999999999999E-2</v>
      </c>
      <c r="S47">
        <v>-3.9627039627039597E-2</v>
      </c>
      <c r="T47">
        <v>-3.4666666666666603E-2</v>
      </c>
      <c r="U47">
        <v>-0.105333333333333</v>
      </c>
      <c r="V47">
        <v>-0.108</v>
      </c>
      <c r="W47">
        <v>5.1666666666666597E-2</v>
      </c>
      <c r="X47">
        <v>6.2666666666666607E-2</v>
      </c>
      <c r="Y47">
        <v>1.2E-2</v>
      </c>
      <c r="Z47">
        <v>-0.118666666666666</v>
      </c>
      <c r="AA47">
        <v>-0.10666666666666599</v>
      </c>
      <c r="AB47">
        <v>-4.6728971962616802E-3</v>
      </c>
      <c r="AC47">
        <v>2.5999999999999999E-2</v>
      </c>
      <c r="AD47">
        <v>0.12</v>
      </c>
      <c r="AE47">
        <v>3.7999999999999999E-2</v>
      </c>
      <c r="AF47">
        <v>0.135570469798657</v>
      </c>
      <c r="AG47">
        <v>3.7037037037037E-2</v>
      </c>
      <c r="AH47">
        <v>0.61846571622539004</v>
      </c>
      <c r="AI47">
        <v>0.82944162436548197</v>
      </c>
    </row>
    <row r="48" spans="1:147" x14ac:dyDescent="0.25">
      <c r="B48" t="s">
        <v>8</v>
      </c>
      <c r="C48">
        <v>4.8048048048047999E-2</v>
      </c>
      <c r="D48">
        <v>-0.08</v>
      </c>
      <c r="E48">
        <v>-5.9880239520958001E-2</v>
      </c>
      <c r="F48">
        <v>-9.90990990990991E-2</v>
      </c>
      <c r="G48">
        <v>1.19760479041916E-2</v>
      </c>
      <c r="H48">
        <v>-8.2666666666666597E-2</v>
      </c>
      <c r="I48">
        <v>-7.2072072072072002E-2</v>
      </c>
      <c r="J48">
        <v>-2.5999999999999999E-2</v>
      </c>
      <c r="K48">
        <v>-7.69230769230769E-2</v>
      </c>
      <c r="L48">
        <v>-0.122</v>
      </c>
      <c r="M48">
        <v>-0.11888111888111801</v>
      </c>
      <c r="N48">
        <v>-9.0666666666666604E-2</v>
      </c>
      <c r="O48">
        <v>-8.8578088578088507E-2</v>
      </c>
      <c r="P48">
        <v>-9.8000000000000004E-2</v>
      </c>
      <c r="Q48">
        <v>-0.128</v>
      </c>
      <c r="R48">
        <v>-0.123333333333333</v>
      </c>
      <c r="S48">
        <v>-2.8333333333333301E-2</v>
      </c>
      <c r="T48">
        <v>2.5000000000000001E-2</v>
      </c>
      <c r="U48">
        <v>0.14000000000000001</v>
      </c>
      <c r="V48">
        <v>-3.9039039039038999E-2</v>
      </c>
      <c r="W48">
        <v>-8.4000000000000005E-2</v>
      </c>
      <c r="X48">
        <v>0</v>
      </c>
      <c r="Y48">
        <v>0.29499999999999998</v>
      </c>
      <c r="Z48">
        <v>0.24475524475524399</v>
      </c>
      <c r="AA48">
        <v>0.22600000000000001</v>
      </c>
      <c r="AB48">
        <v>0.106</v>
      </c>
      <c r="AC48">
        <v>0.56599999999999995</v>
      </c>
      <c r="AD48">
        <v>0.62</v>
      </c>
      <c r="AE48">
        <v>0.69565217391304301</v>
      </c>
      <c r="AF48">
        <v>4.3478260869565202E-2</v>
      </c>
      <c r="AG48">
        <v>0.996</v>
      </c>
      <c r="AH48">
        <v>0.90909090909090895</v>
      </c>
      <c r="AI48">
        <v>1</v>
      </c>
    </row>
    <row r="49" spans="1:35" x14ac:dyDescent="0.25">
      <c r="A49" t="str">
        <f>"Game" &amp; (ROW(A49) - 1)/3  + 1</f>
        <v>Game17</v>
      </c>
    </row>
    <row r="50" spans="1:35" x14ac:dyDescent="0.25">
      <c r="B50" t="s">
        <v>8</v>
      </c>
      <c r="C50">
        <v>-0.162162162162162</v>
      </c>
      <c r="D50">
        <v>7.4666666666666603E-2</v>
      </c>
      <c r="E50">
        <v>0.14714714714714699</v>
      </c>
      <c r="F50">
        <v>9.3333333333333296E-2</v>
      </c>
      <c r="G50">
        <v>3.7333333333333302E-2</v>
      </c>
      <c r="H50">
        <v>0.12616822429906499</v>
      </c>
      <c r="I50">
        <v>0.15384615384615299</v>
      </c>
      <c r="J50">
        <v>1.06666666666666E-2</v>
      </c>
      <c r="K50">
        <v>9.3457943925233603E-3</v>
      </c>
      <c r="L50">
        <v>0.125748502994011</v>
      </c>
      <c r="M50">
        <v>2.8037383177569999E-2</v>
      </c>
      <c r="N50">
        <v>0.14285714285714199</v>
      </c>
      <c r="O50">
        <v>9.8130841121495296E-2</v>
      </c>
      <c r="P50">
        <v>4.1666666666666602E-2</v>
      </c>
      <c r="Q50">
        <v>5.8666666666666603E-2</v>
      </c>
      <c r="R50">
        <v>-0.12</v>
      </c>
      <c r="S50">
        <v>-7.69230769230769E-2</v>
      </c>
      <c r="T50">
        <v>0.126</v>
      </c>
      <c r="U50">
        <v>-7.1999999999999995E-2</v>
      </c>
      <c r="V50">
        <v>0.26800000000000002</v>
      </c>
      <c r="W50">
        <v>0.45500000000000002</v>
      </c>
      <c r="X50">
        <v>-6.1333333333333302E-2</v>
      </c>
      <c r="Y50">
        <v>-7.4074074074074001E-2</v>
      </c>
      <c r="Z50">
        <v>-0.148148148148148</v>
      </c>
      <c r="AA50">
        <v>-0.70370370370370305</v>
      </c>
      <c r="AB50">
        <v>-7.25806451612903E-2</v>
      </c>
      <c r="AC50">
        <v>0</v>
      </c>
    </row>
    <row r="51" spans="1:35" x14ac:dyDescent="0.25">
      <c r="B51" t="s">
        <v>4</v>
      </c>
      <c r="C51">
        <v>-6.0060060060059999E-3</v>
      </c>
      <c r="D51">
        <v>0</v>
      </c>
      <c r="E51">
        <v>2.6666666666666599E-2</v>
      </c>
      <c r="F51">
        <v>-2.9940119760479E-2</v>
      </c>
      <c r="G51">
        <v>1.79640718562874E-2</v>
      </c>
      <c r="H51">
        <v>9.0090090090090003E-3</v>
      </c>
      <c r="I51">
        <v>3.2634032634032598E-2</v>
      </c>
      <c r="J51">
        <v>-2.4E-2</v>
      </c>
      <c r="K51">
        <v>-2.6666666666666599E-2</v>
      </c>
      <c r="L51">
        <v>-6.2E-2</v>
      </c>
      <c r="M51">
        <v>3.5714285714285698E-2</v>
      </c>
      <c r="N51">
        <v>-4.8048048048047999E-2</v>
      </c>
      <c r="O51">
        <v>-6.2E-2</v>
      </c>
      <c r="P51">
        <v>2.5999999999999999E-2</v>
      </c>
      <c r="Q51">
        <v>4.4289044289044198E-2</v>
      </c>
      <c r="R51">
        <v>1.13636363636363E-2</v>
      </c>
      <c r="S51">
        <v>0</v>
      </c>
      <c r="T51">
        <v>4.1666666666666602E-2</v>
      </c>
      <c r="U51">
        <v>8.3333333333333297E-3</v>
      </c>
      <c r="V51">
        <v>-0.16200000000000001</v>
      </c>
      <c r="W51">
        <v>-0.13400000000000001</v>
      </c>
      <c r="X51">
        <v>5.5E-2</v>
      </c>
      <c r="Y51">
        <v>1.2E-2</v>
      </c>
      <c r="Z51">
        <v>-3.7037037037037E-2</v>
      </c>
      <c r="AA51">
        <v>0.94099999999999995</v>
      </c>
      <c r="AB51">
        <v>0</v>
      </c>
      <c r="AC51">
        <v>0</v>
      </c>
    </row>
    <row r="52" spans="1:35" x14ac:dyDescent="0.25">
      <c r="A52" t="str">
        <f>"Game" &amp; (ROW(A52) - 1)/3  + 1</f>
        <v>Game18</v>
      </c>
    </row>
    <row r="53" spans="1:35" x14ac:dyDescent="0.25">
      <c r="B53" t="s">
        <v>4</v>
      </c>
      <c r="C53">
        <v>2.7027027027027001E-2</v>
      </c>
      <c r="D53">
        <v>2.69461077844311E-2</v>
      </c>
      <c r="E53">
        <v>8.0000000000000002E-3</v>
      </c>
      <c r="F53">
        <v>8.9820359281437105E-3</v>
      </c>
      <c r="G53">
        <v>2.57009345794392E-2</v>
      </c>
      <c r="H53">
        <v>3.0030030030029999E-3</v>
      </c>
      <c r="I53">
        <v>3.2000000000000001E-2</v>
      </c>
      <c r="J53">
        <v>5.3333333333333297E-3</v>
      </c>
      <c r="K53">
        <v>5.4054054054054002E-2</v>
      </c>
      <c r="L53">
        <v>4.4289044289044198E-2</v>
      </c>
      <c r="M53">
        <v>-5.3333333333333297E-3</v>
      </c>
      <c r="N53">
        <v>3.2000000000000001E-2</v>
      </c>
      <c r="O53">
        <v>6.9930069930069904E-3</v>
      </c>
      <c r="P53">
        <v>8.8785046728971903E-2</v>
      </c>
      <c r="Q53">
        <v>3.3333333333333298E-2</v>
      </c>
      <c r="R53">
        <v>6.1333333333333302E-2</v>
      </c>
      <c r="S53">
        <v>-2E-3</v>
      </c>
      <c r="T53">
        <v>2.1999999999999999E-2</v>
      </c>
      <c r="U53">
        <v>3.5999999999999997E-2</v>
      </c>
      <c r="V53">
        <v>1.4E-2</v>
      </c>
      <c r="W53">
        <v>0.191</v>
      </c>
      <c r="X53">
        <v>0.16666666666666599</v>
      </c>
      <c r="Y53">
        <v>2.1999999999999999E-2</v>
      </c>
      <c r="Z53">
        <v>2.8333333333333301E-2</v>
      </c>
      <c r="AA53">
        <v>8.7999999999999995E-2</v>
      </c>
      <c r="AB53">
        <v>0.02</v>
      </c>
      <c r="AC53">
        <v>5.6818181818181802E-3</v>
      </c>
      <c r="AD53">
        <v>0.02</v>
      </c>
      <c r="AE53">
        <v>1.1333333333333299E-2</v>
      </c>
      <c r="AF53">
        <v>0</v>
      </c>
    </row>
    <row r="54" spans="1:35" x14ac:dyDescent="0.25">
      <c r="B54" t="s">
        <v>8</v>
      </c>
      <c r="C54">
        <v>-9.5808383233532898E-2</v>
      </c>
      <c r="D54">
        <v>-9.3333333333333296E-2</v>
      </c>
      <c r="E54">
        <v>-7.2072072072072002E-2</v>
      </c>
      <c r="F54">
        <v>1.49700598802395E-2</v>
      </c>
      <c r="G54">
        <v>-9.6096096096096095E-2</v>
      </c>
      <c r="H54">
        <v>-0.13600000000000001</v>
      </c>
      <c r="I54">
        <v>-0.15887850467289699</v>
      </c>
      <c r="J54">
        <v>-0.154205607476635</v>
      </c>
      <c r="K54">
        <v>-3.5999999999999997E-2</v>
      </c>
      <c r="L54">
        <v>-0.10256410256410201</v>
      </c>
      <c r="M54">
        <v>-4.8000000000000001E-2</v>
      </c>
      <c r="N54">
        <v>-0.14199999999999999</v>
      </c>
      <c r="O54">
        <v>-0.126</v>
      </c>
      <c r="P54">
        <v>-9.1666666666666605E-2</v>
      </c>
      <c r="Q54">
        <v>-0.101333333333333</v>
      </c>
      <c r="R54">
        <v>4.6666666666666599E-2</v>
      </c>
      <c r="S54">
        <v>-2.9333333333333302E-2</v>
      </c>
      <c r="T54">
        <v>0.03</v>
      </c>
      <c r="U54">
        <v>0</v>
      </c>
      <c r="V54">
        <v>-3.5999999999999997E-2</v>
      </c>
      <c r="W54">
        <v>-0.25333333333333302</v>
      </c>
      <c r="X54">
        <v>-7.9439252336448593E-2</v>
      </c>
      <c r="Y54">
        <v>-2.1999999999999999E-2</v>
      </c>
      <c r="Z54">
        <v>-7.7333333333333296E-2</v>
      </c>
      <c r="AA54">
        <v>-5.83333333333333E-2</v>
      </c>
      <c r="AB54">
        <v>0.01</v>
      </c>
      <c r="AC54">
        <v>1.8666666666666599E-2</v>
      </c>
      <c r="AD54">
        <v>-8.0000000000000002E-3</v>
      </c>
      <c r="AE54">
        <v>0</v>
      </c>
      <c r="AF54">
        <v>0</v>
      </c>
    </row>
    <row r="55" spans="1:35" x14ac:dyDescent="0.25">
      <c r="A55" t="str">
        <f>"Game" &amp; (ROW(A55) - 1)/3  + 1</f>
        <v>Game19</v>
      </c>
    </row>
    <row r="56" spans="1:35" x14ac:dyDescent="0.25">
      <c r="B56" t="s">
        <v>8</v>
      </c>
      <c r="C56">
        <v>-0.162162162162162</v>
      </c>
      <c r="D56">
        <v>5.3892215568862201E-2</v>
      </c>
      <c r="E56">
        <v>5.0666666666666603E-2</v>
      </c>
      <c r="F56">
        <v>0.123831775700934</v>
      </c>
      <c r="G56">
        <v>-7.4666666666666603E-2</v>
      </c>
      <c r="H56">
        <v>-0.125748502994011</v>
      </c>
      <c r="I56">
        <v>-0.114666666666666</v>
      </c>
      <c r="J56">
        <v>-8.6247086247086199E-2</v>
      </c>
      <c r="K56">
        <v>0.10280373831775701</v>
      </c>
      <c r="L56">
        <v>5.3613053613053602E-2</v>
      </c>
      <c r="M56">
        <v>-5.6666666666666601E-2</v>
      </c>
      <c r="N56">
        <v>-0.17664670658682599</v>
      </c>
      <c r="O56">
        <v>-0.146666666666666</v>
      </c>
      <c r="P56">
        <v>-7.1666666666666601E-2</v>
      </c>
      <c r="Q56">
        <v>-6.4000000000000001E-2</v>
      </c>
      <c r="R56">
        <v>-3.4965034965034898E-2</v>
      </c>
      <c r="S56">
        <v>0.36399999999999999</v>
      </c>
      <c r="T56">
        <v>8.8607594936708806E-2</v>
      </c>
      <c r="U56">
        <v>0.04</v>
      </c>
      <c r="V56">
        <v>0.14000000000000001</v>
      </c>
      <c r="W56">
        <v>0.2</v>
      </c>
      <c r="X56">
        <v>-0.133333333333333</v>
      </c>
      <c r="Y56">
        <v>0.57831325301204795</v>
      </c>
      <c r="Z56">
        <v>0.77200000000000002</v>
      </c>
      <c r="AA56">
        <v>0.18518518518518501</v>
      </c>
      <c r="AB56">
        <v>0.92266666666666597</v>
      </c>
      <c r="AC56">
        <v>-0.33333333333333298</v>
      </c>
      <c r="AD56">
        <v>-0.18518518518518501</v>
      </c>
      <c r="AE56">
        <v>-1</v>
      </c>
    </row>
    <row r="57" spans="1:35" x14ac:dyDescent="0.25">
      <c r="B57" t="s">
        <v>4</v>
      </c>
      <c r="C57">
        <v>-1.8018018018018001E-2</v>
      </c>
      <c r="D57">
        <v>2.6666666666666599E-2</v>
      </c>
      <c r="E57">
        <v>-3.0030030030029999E-2</v>
      </c>
      <c r="F57">
        <v>4.54545454545454E-2</v>
      </c>
      <c r="G57">
        <v>1.6317016317016299E-2</v>
      </c>
      <c r="H57">
        <v>-5.9880239520958001E-3</v>
      </c>
      <c r="I57">
        <v>-1.5015015015014999E-2</v>
      </c>
      <c r="J57">
        <v>5.8666666666666603E-2</v>
      </c>
      <c r="K57">
        <v>2.6666666666666599E-2</v>
      </c>
      <c r="L57">
        <v>2.4E-2</v>
      </c>
      <c r="M57">
        <v>7.9254079254079193E-2</v>
      </c>
      <c r="N57">
        <v>-1.4E-2</v>
      </c>
      <c r="O57">
        <v>3.4000000000000002E-2</v>
      </c>
      <c r="P57">
        <v>1.2012012012012E-2</v>
      </c>
      <c r="Q57">
        <v>3.6666666666666597E-2</v>
      </c>
      <c r="R57">
        <v>1.4E-2</v>
      </c>
      <c r="S57">
        <v>-0.25600000000000001</v>
      </c>
      <c r="T57">
        <v>3.8666666666666599E-2</v>
      </c>
      <c r="U57">
        <v>6.6666666666666596E-2</v>
      </c>
      <c r="V57">
        <v>-4.9333333333333299E-2</v>
      </c>
      <c r="W57">
        <v>6.2937062937062901E-2</v>
      </c>
      <c r="X57">
        <v>0.124</v>
      </c>
      <c r="Y57">
        <v>-0.11111111111111099</v>
      </c>
      <c r="Z57">
        <v>0.18518518518518501</v>
      </c>
      <c r="AA57">
        <v>0.11111111111111099</v>
      </c>
      <c r="AB57">
        <v>0.18518518518518501</v>
      </c>
      <c r="AC57">
        <v>0.39130434782608697</v>
      </c>
      <c r="AD57">
        <v>0.68</v>
      </c>
      <c r="AE57">
        <v>1</v>
      </c>
    </row>
    <row r="58" spans="1:35" x14ac:dyDescent="0.25">
      <c r="A58" t="str">
        <f>"Game" &amp; (ROW(A58) - 1)/3  + 1</f>
        <v>Game20</v>
      </c>
    </row>
    <row r="59" spans="1:35" x14ac:dyDescent="0.25">
      <c r="B59" t="s">
        <v>4</v>
      </c>
      <c r="C59">
        <v>-0.162162162162162</v>
      </c>
      <c r="D59">
        <v>2.7027027027027001E-2</v>
      </c>
      <c r="E59">
        <v>1.3333333333333299E-2</v>
      </c>
      <c r="F59">
        <v>3.0030030030029999E-2</v>
      </c>
      <c r="G59">
        <v>5.3333333333333302E-2</v>
      </c>
      <c r="H59">
        <v>1.3333333333333299E-2</v>
      </c>
      <c r="I59">
        <v>2.39520958083832E-2</v>
      </c>
      <c r="J59">
        <v>-2.6666666666666601E-3</v>
      </c>
      <c r="K59">
        <v>-1.06666666666666E-2</v>
      </c>
      <c r="L59">
        <v>4.8951048951048903E-2</v>
      </c>
      <c r="M59">
        <v>5.8275058275058203E-2</v>
      </c>
      <c r="N59">
        <v>-3.7999999999999999E-2</v>
      </c>
      <c r="O59">
        <v>-0.1</v>
      </c>
      <c r="P59">
        <v>-6.2937062937062901E-2</v>
      </c>
      <c r="Q59">
        <v>-8.2000000000000003E-2</v>
      </c>
      <c r="R59">
        <v>-3.4000000000000002E-2</v>
      </c>
      <c r="S59">
        <v>9.83333333333333E-2</v>
      </c>
      <c r="T59">
        <v>-6.5000000000000002E-2</v>
      </c>
      <c r="U59">
        <v>0.1</v>
      </c>
      <c r="V59">
        <v>-1.7333333333333301E-2</v>
      </c>
      <c r="W59">
        <v>5.3333333333333297E-3</v>
      </c>
      <c r="X59">
        <v>-2.2666666666666599E-2</v>
      </c>
      <c r="Y59">
        <v>-5.9880239520958001E-3</v>
      </c>
      <c r="Z59">
        <v>5.31914893617021E-3</v>
      </c>
      <c r="AA59">
        <v>7.3260073260073194E-2</v>
      </c>
      <c r="AB59">
        <v>-8.9683773976153403E-2</v>
      </c>
      <c r="AC59">
        <v>0.29769959404600799</v>
      </c>
    </row>
    <row r="60" spans="1:35" x14ac:dyDescent="0.25">
      <c r="B60" t="s">
        <v>8</v>
      </c>
      <c r="C60">
        <v>6.0060060060059999E-3</v>
      </c>
      <c r="D60">
        <v>-3.3033033033033003E-2</v>
      </c>
      <c r="E60">
        <v>3.2710280373831703E-2</v>
      </c>
      <c r="F60">
        <v>5.4054054054054002E-2</v>
      </c>
      <c r="G60">
        <v>-6.3063063063063002E-2</v>
      </c>
      <c r="H60">
        <v>-0.193473193473193</v>
      </c>
      <c r="I60">
        <v>-0.12912912912912899</v>
      </c>
      <c r="J60">
        <v>-0.12533333333333299</v>
      </c>
      <c r="K60">
        <v>0.104</v>
      </c>
      <c r="L60">
        <v>9.8666666666666597E-2</v>
      </c>
      <c r="M60">
        <v>0.12</v>
      </c>
      <c r="N60">
        <v>0.20279720279720201</v>
      </c>
      <c r="O60">
        <v>0.13317757009345699</v>
      </c>
      <c r="P60">
        <v>0.125874125874125</v>
      </c>
      <c r="Q60">
        <v>3.2000000000000001E-2</v>
      </c>
      <c r="R60">
        <v>0.14219114219114201</v>
      </c>
      <c r="S60">
        <v>-0.164835164835164</v>
      </c>
      <c r="T60">
        <v>-9.4E-2</v>
      </c>
      <c r="U60">
        <v>-9.83333333333333E-2</v>
      </c>
      <c r="V60">
        <v>-8.1081081081081002E-2</v>
      </c>
      <c r="W60">
        <v>-8.1666666666666596E-2</v>
      </c>
      <c r="X60">
        <v>-0.115384615384615</v>
      </c>
      <c r="Y60">
        <v>-2.27272727272727E-2</v>
      </c>
      <c r="Z60">
        <v>0.3</v>
      </c>
      <c r="AA60">
        <v>0.98399999999999999</v>
      </c>
      <c r="AB60">
        <v>0.69565217391304301</v>
      </c>
      <c r="AC60">
        <v>1</v>
      </c>
    </row>
    <row r="61" spans="1:35" x14ac:dyDescent="0.25">
      <c r="A61" t="str">
        <f>"Game" &amp; (ROW(A61) - 1)/3  + 1</f>
        <v>Game21</v>
      </c>
    </row>
    <row r="62" spans="1:35" x14ac:dyDescent="0.25">
      <c r="B62" t="s">
        <v>8</v>
      </c>
      <c r="C62">
        <v>0.105263157894736</v>
      </c>
      <c r="D62">
        <v>0</v>
      </c>
      <c r="E62">
        <v>8.1081081081081002E-2</v>
      </c>
      <c r="F62">
        <v>2.6666666666666601E-3</v>
      </c>
      <c r="G62">
        <v>7.1856287425149698E-2</v>
      </c>
      <c r="H62">
        <v>0.14114114114114101</v>
      </c>
      <c r="I62">
        <v>0.14114114114114101</v>
      </c>
      <c r="J62">
        <v>0.13066666666666599</v>
      </c>
      <c r="K62">
        <v>-2.10280373831775E-2</v>
      </c>
      <c r="L62">
        <v>0</v>
      </c>
      <c r="M62">
        <v>-8.5999999999999993E-2</v>
      </c>
      <c r="N62">
        <v>0.171666666666666</v>
      </c>
      <c r="O62">
        <v>-7.2429906542056E-2</v>
      </c>
      <c r="P62">
        <v>0.08</v>
      </c>
      <c r="Q62">
        <v>0.11</v>
      </c>
      <c r="R62">
        <v>-1.6E-2</v>
      </c>
      <c r="S62">
        <v>-0.24666666666666601</v>
      </c>
      <c r="T62">
        <v>-0.123543123543123</v>
      </c>
      <c r="U62">
        <v>-8.7999999999999995E-2</v>
      </c>
      <c r="V62">
        <v>-2.6666666666666599E-2</v>
      </c>
      <c r="W62">
        <v>-6.6666666666666602E-3</v>
      </c>
      <c r="X62">
        <v>1.06666666666666E-2</v>
      </c>
      <c r="Y62">
        <v>7.2429906542056E-2</v>
      </c>
      <c r="Z62">
        <v>6.4000000000000001E-2</v>
      </c>
      <c r="AA62">
        <v>-0.355140186915887</v>
      </c>
      <c r="AB62">
        <v>0.11700000000000001</v>
      </c>
      <c r="AC62">
        <v>3.8666666666666599E-2</v>
      </c>
      <c r="AD62">
        <v>-0.17599999999999999</v>
      </c>
      <c r="AE62">
        <v>0.54205607476635498</v>
      </c>
      <c r="AF62">
        <v>0.89466666666666606</v>
      </c>
      <c r="AG62">
        <v>0.52</v>
      </c>
      <c r="AH62">
        <v>1</v>
      </c>
      <c r="AI62">
        <v>1</v>
      </c>
    </row>
    <row r="63" spans="1:35" x14ac:dyDescent="0.25">
      <c r="B63" t="s">
        <v>4</v>
      </c>
      <c r="C63">
        <v>3.9039039039038999E-2</v>
      </c>
      <c r="D63">
        <v>-2.7027027027027001E-2</v>
      </c>
      <c r="E63">
        <v>0.04</v>
      </c>
      <c r="F63">
        <v>2.7027027027027001E-2</v>
      </c>
      <c r="G63">
        <v>1.6E-2</v>
      </c>
      <c r="H63">
        <v>-2.6666666666666601E-3</v>
      </c>
      <c r="I63">
        <v>2.10280373831775E-2</v>
      </c>
      <c r="J63">
        <v>1.06666666666666E-2</v>
      </c>
      <c r="K63">
        <v>5.8275058275058203E-2</v>
      </c>
      <c r="L63">
        <v>5.3333333333333297E-3</v>
      </c>
      <c r="M63">
        <v>3.7999999999999999E-2</v>
      </c>
      <c r="N63">
        <v>-2.3310023310023301E-2</v>
      </c>
      <c r="O63">
        <v>-3.8666666666666599E-2</v>
      </c>
      <c r="P63">
        <v>-1.6355140186915799E-2</v>
      </c>
      <c r="Q63">
        <v>0.05</v>
      </c>
      <c r="R63">
        <v>3.03738317757009E-2</v>
      </c>
      <c r="S63">
        <v>-3.6999999999999998E-2</v>
      </c>
      <c r="T63">
        <v>-1.4E-2</v>
      </c>
      <c r="U63">
        <v>0.03</v>
      </c>
      <c r="V63">
        <v>1.3333333333333299E-2</v>
      </c>
      <c r="W63">
        <v>6.5000000000000002E-2</v>
      </c>
      <c r="X63">
        <v>8.0000000000000002E-3</v>
      </c>
      <c r="Y63">
        <v>1.3333333333333299E-2</v>
      </c>
      <c r="Z63">
        <v>2.4E-2</v>
      </c>
      <c r="AA63">
        <v>0.17066666666666599</v>
      </c>
      <c r="AB63">
        <v>4.2000000000000003E-2</v>
      </c>
      <c r="AC63">
        <v>0.118666666666666</v>
      </c>
      <c r="AD63">
        <v>0.28199999999999997</v>
      </c>
      <c r="AE63">
        <v>0.14594594594594501</v>
      </c>
      <c r="AF63">
        <v>0.12903225806451599</v>
      </c>
      <c r="AG63">
        <v>0.73387096774193505</v>
      </c>
      <c r="AH63">
        <v>-1</v>
      </c>
    </row>
    <row r="64" spans="1:35" x14ac:dyDescent="0.25">
      <c r="A64" t="str">
        <f>"Game" &amp; (ROW(A64) - 1)/3  + 1</f>
        <v>Game22</v>
      </c>
    </row>
    <row r="65" spans="1:38" x14ac:dyDescent="0.25">
      <c r="B65" t="s">
        <v>4</v>
      </c>
      <c r="C65">
        <v>0.23684210526315699</v>
      </c>
      <c r="D65">
        <v>0</v>
      </c>
      <c r="E65">
        <v>4.2042042042041997E-2</v>
      </c>
      <c r="F65">
        <v>1.8018018018018001E-2</v>
      </c>
      <c r="G65">
        <v>2.69461077844311E-2</v>
      </c>
      <c r="H65">
        <v>6.07476635514018E-2</v>
      </c>
      <c r="I65">
        <v>2.9333333333333302E-2</v>
      </c>
      <c r="J65">
        <v>6.9930069930069904E-3</v>
      </c>
      <c r="K65">
        <v>1.06666666666666E-2</v>
      </c>
      <c r="L65">
        <v>-1.6E-2</v>
      </c>
      <c r="M65">
        <v>4.6728971962616802E-3</v>
      </c>
      <c r="N65">
        <v>2.9333333333333302E-2</v>
      </c>
      <c r="O65">
        <v>5.5E-2</v>
      </c>
      <c r="P65">
        <v>1.6666666666666601E-2</v>
      </c>
      <c r="Q65">
        <v>1.6129032258064498E-2</v>
      </c>
      <c r="R65">
        <v>9.34579439252336E-2</v>
      </c>
      <c r="S65">
        <v>2.7972027972027899E-2</v>
      </c>
      <c r="T65">
        <v>0.03</v>
      </c>
      <c r="U65">
        <v>3.4965034965034898E-2</v>
      </c>
      <c r="V65">
        <v>2E-3</v>
      </c>
      <c r="W65">
        <v>-0.13200000000000001</v>
      </c>
      <c r="X65">
        <v>-5.3333333333333302E-2</v>
      </c>
      <c r="Y65">
        <v>7.0000000000000007E-2</v>
      </c>
      <c r="Z65">
        <v>8.3333333333333297E-3</v>
      </c>
      <c r="AA65">
        <v>9.6666666666666595E-2</v>
      </c>
      <c r="AB65">
        <v>9.6000000000000002E-2</v>
      </c>
      <c r="AC65">
        <v>-1.1299435028248501E-2</v>
      </c>
      <c r="AD65">
        <v>2.4E-2</v>
      </c>
      <c r="AE65">
        <v>0.02</v>
      </c>
      <c r="AF65">
        <v>-0.30496453900709197</v>
      </c>
    </row>
    <row r="66" spans="1:38" x14ac:dyDescent="0.25">
      <c r="B66" t="s">
        <v>8</v>
      </c>
      <c r="C66">
        <v>-0.144144144144144</v>
      </c>
      <c r="D66">
        <v>-5.8666666666666603E-2</v>
      </c>
      <c r="E66">
        <v>-6.3063063063063002E-2</v>
      </c>
      <c r="F66">
        <v>-3.4666666666666603E-2</v>
      </c>
      <c r="G66">
        <v>1.2012012012012E-2</v>
      </c>
      <c r="H66">
        <v>-2E-3</v>
      </c>
      <c r="I66">
        <v>-8.3832335329341298E-2</v>
      </c>
      <c r="J66">
        <v>3.5999999999999997E-2</v>
      </c>
      <c r="K66">
        <v>9.5571095571095499E-2</v>
      </c>
      <c r="L66">
        <v>4.0000000000000001E-3</v>
      </c>
      <c r="M66">
        <v>5.3333333333333297E-3</v>
      </c>
      <c r="N66">
        <v>3.73831775700934E-2</v>
      </c>
      <c r="O66">
        <v>-4.2000000000000003E-2</v>
      </c>
      <c r="P66">
        <v>-0.06</v>
      </c>
      <c r="Q66">
        <v>-0.13519813519813501</v>
      </c>
      <c r="R66">
        <v>-5.6338028169014003E-2</v>
      </c>
      <c r="S66">
        <v>-2.5000000000000001E-2</v>
      </c>
      <c r="T66">
        <v>1.46666666666666E-2</v>
      </c>
      <c r="U66">
        <v>0.102666666666666</v>
      </c>
      <c r="V66">
        <v>0.21333333333333299</v>
      </c>
      <c r="W66">
        <v>0.18666666666666601</v>
      </c>
      <c r="X66">
        <v>7.5999999999999998E-2</v>
      </c>
      <c r="Y66">
        <v>-4.5999999999999999E-2</v>
      </c>
      <c r="Z66">
        <v>0.09</v>
      </c>
      <c r="AA66">
        <v>-0.16266666666666599</v>
      </c>
      <c r="AB66">
        <v>-0.209580838323353</v>
      </c>
      <c r="AC66">
        <v>-0.04</v>
      </c>
      <c r="AD66">
        <v>-9.5238095238095205E-2</v>
      </c>
      <c r="AE66">
        <v>0.952380952380952</v>
      </c>
      <c r="AF66">
        <v>1</v>
      </c>
    </row>
    <row r="67" spans="1:38" x14ac:dyDescent="0.25">
      <c r="A67" t="str">
        <f>"Game" &amp; (ROW(A67) - 1)/3  + 1</f>
        <v>Game23</v>
      </c>
    </row>
    <row r="68" spans="1:38" x14ac:dyDescent="0.25">
      <c r="B68" t="s">
        <v>8</v>
      </c>
      <c r="C68">
        <v>-0.24324324324324301</v>
      </c>
      <c r="D68">
        <v>6.3063063063063002E-2</v>
      </c>
      <c r="E68">
        <v>-6.0060060060059999E-3</v>
      </c>
      <c r="F68">
        <v>-5.6000000000000001E-2</v>
      </c>
      <c r="G68">
        <v>4.2042042042041997E-2</v>
      </c>
      <c r="H68">
        <v>3.4965034965034898E-2</v>
      </c>
      <c r="I68">
        <v>-1.4018691588785E-2</v>
      </c>
      <c r="J68">
        <v>5.7057057057056999E-2</v>
      </c>
      <c r="K68">
        <v>2.4E-2</v>
      </c>
      <c r="L68">
        <v>-5.3333333333333297E-3</v>
      </c>
      <c r="M68">
        <v>-7.7333333333333296E-2</v>
      </c>
      <c r="N68">
        <v>-7.9254079254079193E-2</v>
      </c>
      <c r="O68">
        <v>-0.11214953271028</v>
      </c>
      <c r="P68">
        <v>-1.7999999999999999E-2</v>
      </c>
      <c r="Q68">
        <v>1.7999999999999999E-2</v>
      </c>
      <c r="R68">
        <v>-1.3986013986013899E-2</v>
      </c>
      <c r="S68">
        <v>-7.3333333333333306E-2</v>
      </c>
      <c r="T68">
        <v>-4.4999999999999998E-2</v>
      </c>
      <c r="U68">
        <v>3.7333333333333302E-2</v>
      </c>
      <c r="V68">
        <v>-5.8139534883720902E-2</v>
      </c>
      <c r="W68">
        <v>2.33333333333333E-2</v>
      </c>
      <c r="X68">
        <v>-0.114666666666666</v>
      </c>
      <c r="Y68">
        <v>4.0000000000000001E-3</v>
      </c>
      <c r="Z68">
        <v>-0.09</v>
      </c>
      <c r="AA68">
        <v>-9.73333333333333E-2</v>
      </c>
      <c r="AB68">
        <v>-0.102409638554216</v>
      </c>
      <c r="AC68">
        <v>-0.26400000000000001</v>
      </c>
      <c r="AD68">
        <v>-0.18691588785046701</v>
      </c>
      <c r="AE68">
        <v>8.5000000000000006E-2</v>
      </c>
      <c r="AF68">
        <v>0</v>
      </c>
      <c r="AG68">
        <v>0</v>
      </c>
      <c r="AH68">
        <v>0</v>
      </c>
      <c r="AI68">
        <v>0</v>
      </c>
    </row>
    <row r="69" spans="1:38" x14ac:dyDescent="0.25">
      <c r="B69" t="s">
        <v>4</v>
      </c>
      <c r="C69">
        <v>-2.9940119760479E-3</v>
      </c>
      <c r="D69">
        <v>5.6886227544910101E-2</v>
      </c>
      <c r="E69">
        <v>1.2012012012012E-2</v>
      </c>
      <c r="F69">
        <v>2.7027027027027001E-2</v>
      </c>
      <c r="G69">
        <v>-1.06666666666666E-2</v>
      </c>
      <c r="H69">
        <v>4.2666666666666603E-2</v>
      </c>
      <c r="I69">
        <v>2.1333333333333301E-2</v>
      </c>
      <c r="J69">
        <v>0.06</v>
      </c>
      <c r="K69">
        <v>2.9333333333333302E-2</v>
      </c>
      <c r="L69">
        <v>2.9333333333333302E-2</v>
      </c>
      <c r="M69">
        <v>2.8037383177569999E-2</v>
      </c>
      <c r="N69">
        <v>-1.16822429906542E-2</v>
      </c>
      <c r="O69">
        <v>6.4000000000000001E-2</v>
      </c>
      <c r="P69">
        <v>3.2000000000000001E-2</v>
      </c>
      <c r="Q69">
        <v>-3.73831775700934E-2</v>
      </c>
      <c r="R69">
        <v>2E-3</v>
      </c>
      <c r="S69">
        <v>0.03</v>
      </c>
      <c r="T69">
        <v>5.3613053613053602E-2</v>
      </c>
      <c r="U69">
        <v>-0.06</v>
      </c>
      <c r="V69">
        <v>0.02</v>
      </c>
      <c r="W69">
        <v>3.5000000000000003E-2</v>
      </c>
      <c r="X69">
        <v>8.4000000000000005E-2</v>
      </c>
      <c r="Y69">
        <v>3.8333333333333303E-2</v>
      </c>
      <c r="Z69">
        <v>-7.1666666666666601E-2</v>
      </c>
      <c r="AA69">
        <v>0.21733333333333299</v>
      </c>
      <c r="AB69">
        <v>0</v>
      </c>
      <c r="AC69">
        <v>0.28799999999999998</v>
      </c>
      <c r="AD69">
        <v>-8.3333333333333301E-2</v>
      </c>
      <c r="AE69">
        <v>0</v>
      </c>
      <c r="AF69">
        <v>0</v>
      </c>
      <c r="AG69">
        <v>0</v>
      </c>
      <c r="AH69">
        <v>0</v>
      </c>
    </row>
    <row r="70" spans="1:38" x14ac:dyDescent="0.25">
      <c r="A70" t="str">
        <f>"Game" &amp; (ROW(A70) - 1)/3  + 1</f>
        <v>Game24</v>
      </c>
    </row>
    <row r="71" spans="1:38" x14ac:dyDescent="0.25">
      <c r="B71" t="s">
        <v>4</v>
      </c>
      <c r="C71" t="s">
        <v>9</v>
      </c>
    </row>
    <row r="72" spans="1:38" x14ac:dyDescent="0.25">
      <c r="B72" t="s">
        <v>8</v>
      </c>
      <c r="C72">
        <v>-4.5045045045045001E-2</v>
      </c>
      <c r="D72">
        <v>-1.2012012012012E-2</v>
      </c>
      <c r="E72">
        <v>-0.04</v>
      </c>
      <c r="F72">
        <v>-8.7999999999999995E-2</v>
      </c>
      <c r="G72">
        <v>-3.3033033033033003E-2</v>
      </c>
      <c r="H72">
        <v>9.6000000000000002E-2</v>
      </c>
      <c r="I72">
        <v>-4.4910179640718501E-2</v>
      </c>
      <c r="J72">
        <v>5.3333333333333302E-2</v>
      </c>
      <c r="K72">
        <v>0.04</v>
      </c>
      <c r="L72">
        <v>4.6620046620046603E-2</v>
      </c>
      <c r="M72">
        <v>-8.5000000000000006E-2</v>
      </c>
      <c r="N72">
        <v>-0.04</v>
      </c>
      <c r="O72">
        <v>-5.6074766355140103E-2</v>
      </c>
      <c r="P72">
        <v>0</v>
      </c>
      <c r="Q72">
        <v>-4.6666666666666599E-2</v>
      </c>
      <c r="R72">
        <v>-0.10489510489510399</v>
      </c>
      <c r="S72">
        <v>0.23799999999999999</v>
      </c>
      <c r="T72">
        <v>6.6666666666666596E-2</v>
      </c>
      <c r="U72">
        <v>1.8648018648018599E-2</v>
      </c>
      <c r="V72">
        <v>3.6144578313252997E-2</v>
      </c>
      <c r="W72">
        <v>-1.13636363636363E-2</v>
      </c>
      <c r="X72">
        <v>-0.117021276595744</v>
      </c>
      <c r="Y72">
        <v>-0.38133333333333302</v>
      </c>
      <c r="Z72">
        <v>7.7102803738317696E-2</v>
      </c>
      <c r="AA72">
        <v>-0.188</v>
      </c>
      <c r="AB72">
        <v>7.4999999999999997E-2</v>
      </c>
      <c r="AC72">
        <v>0.139240506329113</v>
      </c>
      <c r="AD72">
        <v>0.61066666666666602</v>
      </c>
      <c r="AE72">
        <v>0.80800000000000005</v>
      </c>
      <c r="AF72">
        <v>0.91</v>
      </c>
      <c r="AG72">
        <v>0.66666666666666596</v>
      </c>
      <c r="AH72">
        <v>-0.185</v>
      </c>
      <c r="AI72">
        <v>-9.3333333333333306E-3</v>
      </c>
      <c r="AJ72">
        <v>0</v>
      </c>
    </row>
    <row r="73" spans="1:38" x14ac:dyDescent="0.25">
      <c r="A73" t="str">
        <f>"Game" &amp; (ROW(A73) - 1)/3  + 1</f>
        <v>Game25</v>
      </c>
    </row>
    <row r="74" spans="1:38" x14ac:dyDescent="0.25">
      <c r="B74" t="s">
        <v>8</v>
      </c>
      <c r="C74">
        <v>-2.7027027027027001E-2</v>
      </c>
      <c r="D74">
        <v>1.2012012012012E-2</v>
      </c>
      <c r="E74">
        <v>6.4000000000000001E-2</v>
      </c>
      <c r="F74">
        <v>3.2000000000000001E-2</v>
      </c>
      <c r="G74">
        <v>2.4E-2</v>
      </c>
      <c r="H74">
        <v>1.79640718562874E-2</v>
      </c>
      <c r="I74">
        <v>2.4E-2</v>
      </c>
      <c r="J74">
        <v>0.10666666666666599</v>
      </c>
      <c r="K74">
        <v>-7.4592074592074495E-2</v>
      </c>
      <c r="L74">
        <v>-3.9719626168224297E-2</v>
      </c>
      <c r="M74">
        <v>-6.0000000000000001E-3</v>
      </c>
      <c r="N74">
        <v>-6.3084112149532703E-2</v>
      </c>
      <c r="O74">
        <v>-0.06</v>
      </c>
      <c r="P74">
        <v>8.0000000000000002E-3</v>
      </c>
      <c r="Q74">
        <v>2.6666666666666599E-2</v>
      </c>
      <c r="R74">
        <v>-1.2E-2</v>
      </c>
      <c r="S74">
        <v>-5.0000000000000001E-3</v>
      </c>
      <c r="T74">
        <v>-5.6000000000000001E-2</v>
      </c>
      <c r="U74">
        <v>-0.132867132867132</v>
      </c>
      <c r="V74">
        <v>-0.156</v>
      </c>
      <c r="W74">
        <v>-0.11600000000000001</v>
      </c>
      <c r="X74">
        <v>-1.8333333333333299E-2</v>
      </c>
      <c r="Y74">
        <v>0.21199999999999999</v>
      </c>
      <c r="Z74">
        <v>0.24399999999999999</v>
      </c>
      <c r="AA74">
        <v>0.22</v>
      </c>
      <c r="AB74">
        <v>8.7999999999999995E-2</v>
      </c>
      <c r="AC74">
        <v>0.14000000000000001</v>
      </c>
      <c r="AD74">
        <v>0.06</v>
      </c>
      <c r="AE74">
        <v>0.435</v>
      </c>
      <c r="AF74">
        <v>0.71</v>
      </c>
      <c r="AG74">
        <v>0.68400000000000005</v>
      </c>
      <c r="AH74">
        <v>0.90266666666666595</v>
      </c>
      <c r="AI74">
        <v>0.92</v>
      </c>
      <c r="AJ74">
        <v>0.13043478260869501</v>
      </c>
      <c r="AK74">
        <v>0.97933333333333294</v>
      </c>
      <c r="AL74">
        <v>0.68</v>
      </c>
    </row>
    <row r="75" spans="1:38" x14ac:dyDescent="0.25">
      <c r="B75" t="s">
        <v>4</v>
      </c>
      <c r="C75">
        <v>2.69461077844311E-2</v>
      </c>
      <c r="D75">
        <v>1.49700598802395E-2</v>
      </c>
      <c r="E75">
        <v>1.8666666666666599E-2</v>
      </c>
      <c r="F75">
        <v>3.59281437125748E-2</v>
      </c>
      <c r="G75">
        <v>3.6036036036036001E-2</v>
      </c>
      <c r="H75">
        <v>2.4024024024024E-2</v>
      </c>
      <c r="I75">
        <v>2.57009345794392E-2</v>
      </c>
      <c r="J75">
        <v>1.6355140186915799E-2</v>
      </c>
      <c r="K75">
        <v>0.02</v>
      </c>
      <c r="L75">
        <v>2.09790209790209E-2</v>
      </c>
      <c r="M75">
        <v>2.8000000000000001E-2</v>
      </c>
      <c r="N75">
        <v>-9.0090090090090003E-3</v>
      </c>
      <c r="O75">
        <v>0.01</v>
      </c>
      <c r="P75">
        <v>4.2666666666666603E-2</v>
      </c>
      <c r="Q75">
        <v>0.05</v>
      </c>
      <c r="R75">
        <v>2.7972027972027899E-2</v>
      </c>
      <c r="S75">
        <v>6.9930069930069904E-3</v>
      </c>
      <c r="T75">
        <v>4.4999999999999998E-2</v>
      </c>
      <c r="U75">
        <v>4.0000000000000001E-3</v>
      </c>
      <c r="V75">
        <v>7.1666666666666601E-2</v>
      </c>
      <c r="W75">
        <v>-4.0000000000000001E-3</v>
      </c>
      <c r="X75">
        <v>-0.19400000000000001</v>
      </c>
      <c r="Y75">
        <v>-9.7000000000000003E-2</v>
      </c>
      <c r="Z75">
        <v>-0.19</v>
      </c>
      <c r="AA75">
        <v>-5.46666666666666E-2</v>
      </c>
      <c r="AB75">
        <v>-3.3333333333333298E-2</v>
      </c>
      <c r="AC75">
        <v>-1.0999999999999999E-2</v>
      </c>
      <c r="AD75">
        <v>-0.19500000000000001</v>
      </c>
      <c r="AE75">
        <v>-0.33600000000000002</v>
      </c>
      <c r="AF75">
        <v>-0.378</v>
      </c>
      <c r="AG75">
        <v>-0.112</v>
      </c>
      <c r="AH75">
        <v>0.30199999999999999</v>
      </c>
      <c r="AI75">
        <v>0.89572822065253899</v>
      </c>
      <c r="AJ75">
        <v>0.99466666666666603</v>
      </c>
      <c r="AK75">
        <v>-0.18518518518518501</v>
      </c>
      <c r="AL75">
        <v>1</v>
      </c>
    </row>
    <row r="76" spans="1:38" x14ac:dyDescent="0.25">
      <c r="A76" t="str">
        <f>"Game" &amp; (ROW(A76) - 1)/3  + 1</f>
        <v>Game26</v>
      </c>
    </row>
    <row r="77" spans="1:38" x14ac:dyDescent="0.25">
      <c r="B77" t="s">
        <v>4</v>
      </c>
      <c r="C77">
        <v>0.162162162162162</v>
      </c>
      <c r="D77">
        <v>2.7027027027027001E-2</v>
      </c>
      <c r="E77">
        <v>3.3033033033033003E-2</v>
      </c>
      <c r="F77">
        <v>3.59281437125748E-2</v>
      </c>
      <c r="G77">
        <v>3.2000000000000001E-2</v>
      </c>
      <c r="H77">
        <v>2.33644859813084E-2</v>
      </c>
      <c r="I77">
        <v>2.1333333333333301E-2</v>
      </c>
      <c r="J77">
        <v>2.9940119760479E-2</v>
      </c>
      <c r="K77">
        <v>3.7333333333333302E-2</v>
      </c>
      <c r="L77">
        <v>3.7333333333333302E-2</v>
      </c>
      <c r="M77">
        <v>5.8000000000000003E-2</v>
      </c>
      <c r="N77">
        <v>6.0000000000000001E-3</v>
      </c>
      <c r="O77">
        <v>2.57009345794392E-2</v>
      </c>
      <c r="P77">
        <v>4.6620046620046603E-2</v>
      </c>
      <c r="Q77">
        <v>4.3999999999999997E-2</v>
      </c>
      <c r="R77">
        <v>2.7972027972027899E-2</v>
      </c>
      <c r="S77">
        <v>0.12166666666666601</v>
      </c>
      <c r="T77">
        <v>-0.16400000000000001</v>
      </c>
      <c r="U77">
        <v>-0.25666666666666599</v>
      </c>
      <c r="V77">
        <v>-0.125</v>
      </c>
      <c r="W77">
        <v>1.0638297872340399E-2</v>
      </c>
      <c r="X77">
        <v>-0.18533333333333299</v>
      </c>
      <c r="Y77">
        <v>-0.18133333333333301</v>
      </c>
      <c r="Z77">
        <v>-3.03030303030303E-2</v>
      </c>
      <c r="AA77">
        <v>-0.113</v>
      </c>
      <c r="AB77">
        <v>-0.132530120481927</v>
      </c>
      <c r="AC77">
        <v>7.0000000000000007E-2</v>
      </c>
      <c r="AD77">
        <v>7.00934579439252E-2</v>
      </c>
      <c r="AE77">
        <v>-1.7999999999999999E-2</v>
      </c>
      <c r="AF77">
        <v>0.19</v>
      </c>
    </row>
    <row r="78" spans="1:38" x14ac:dyDescent="0.25">
      <c r="B78" t="s">
        <v>8</v>
      </c>
      <c r="C78">
        <v>-1.8018018018018001E-2</v>
      </c>
      <c r="D78">
        <v>-1.06666666666666E-2</v>
      </c>
      <c r="E78">
        <v>-6.6666666666666596E-2</v>
      </c>
      <c r="F78">
        <v>-1.5015015015014999E-2</v>
      </c>
      <c r="G78">
        <v>-4.6620046620046603E-2</v>
      </c>
      <c r="H78">
        <v>4.2666666666666603E-2</v>
      </c>
      <c r="I78">
        <v>-1.6355140186915799E-2</v>
      </c>
      <c r="J78">
        <v>1.2012012012012E-2</v>
      </c>
      <c r="K78">
        <v>2.8000000000000001E-2</v>
      </c>
      <c r="L78">
        <v>1.6317016317016299E-2</v>
      </c>
      <c r="M78">
        <v>-9.1999999999999998E-2</v>
      </c>
      <c r="N78">
        <v>-2.6666666666666601E-3</v>
      </c>
      <c r="O78">
        <v>4.2056074766355103E-2</v>
      </c>
      <c r="P78">
        <v>1.2E-2</v>
      </c>
      <c r="Q78">
        <v>-7.3333333333333306E-2</v>
      </c>
      <c r="R78">
        <v>-0.228333333333333</v>
      </c>
      <c r="S78">
        <v>0.224</v>
      </c>
      <c r="T78">
        <v>0.27397260273972601</v>
      </c>
      <c r="U78">
        <v>0.25</v>
      </c>
      <c r="V78">
        <v>0.24024024024023999</v>
      </c>
      <c r="W78">
        <v>0.2</v>
      </c>
      <c r="X78">
        <v>0.214</v>
      </c>
      <c r="Y78">
        <v>0.171171171171171</v>
      </c>
      <c r="Z78">
        <v>0.13970588235294101</v>
      </c>
      <c r="AA78">
        <v>0.40666666666666601</v>
      </c>
      <c r="AB78">
        <v>0.156</v>
      </c>
      <c r="AC78">
        <v>-1.46666666666666E-2</v>
      </c>
      <c r="AD78">
        <v>-4.3290043290043203E-3</v>
      </c>
      <c r="AE78">
        <v>0.73799999999999999</v>
      </c>
      <c r="AF78">
        <v>1</v>
      </c>
    </row>
    <row r="79" spans="1:38" x14ac:dyDescent="0.25">
      <c r="A79" t="str">
        <f>"Game" &amp; (ROW(A79) - 1)/3  + 1</f>
        <v>Game27</v>
      </c>
    </row>
    <row r="80" spans="1:38" x14ac:dyDescent="0.25">
      <c r="B80" t="s">
        <v>8</v>
      </c>
      <c r="C80">
        <v>2.7027027027027001E-2</v>
      </c>
      <c r="D80">
        <v>8.5333333333333303E-2</v>
      </c>
      <c r="E80">
        <v>-3.7333333333333302E-2</v>
      </c>
      <c r="F80">
        <v>0.101333333333333</v>
      </c>
      <c r="G80">
        <v>4.5045045045045001E-2</v>
      </c>
      <c r="H80">
        <v>-4.5333333333333302E-2</v>
      </c>
      <c r="I80">
        <v>-3.0030030030029999E-2</v>
      </c>
      <c r="J80">
        <v>-8.9820359281437098E-2</v>
      </c>
      <c r="K80">
        <v>-7.7333333333333296E-2</v>
      </c>
      <c r="L80">
        <v>-9.3240093240093205E-3</v>
      </c>
      <c r="M80">
        <v>-6.4000000000000001E-2</v>
      </c>
      <c r="N80">
        <v>-0.04</v>
      </c>
      <c r="O80">
        <v>1.2E-2</v>
      </c>
      <c r="P80">
        <v>-7.1999999999999995E-2</v>
      </c>
      <c r="Q80">
        <v>-0.112</v>
      </c>
      <c r="R80">
        <v>-7.8333333333333297E-2</v>
      </c>
      <c r="S80">
        <v>8.6247086247086199E-2</v>
      </c>
      <c r="T80">
        <v>7.1428571428571397E-2</v>
      </c>
      <c r="U80">
        <v>0.133333333333333</v>
      </c>
      <c r="V80">
        <v>-0.187</v>
      </c>
      <c r="W80">
        <v>-2.33333333333333E-2</v>
      </c>
      <c r="X80">
        <v>-6.1333333333333302E-2</v>
      </c>
      <c r="Y80">
        <v>-0.13986013986013901</v>
      </c>
      <c r="Z80">
        <v>-0.05</v>
      </c>
      <c r="AA80">
        <v>5.3435114503816702E-2</v>
      </c>
      <c r="AB80">
        <v>0.150666666666666</v>
      </c>
      <c r="AC80">
        <v>-3.5000000000000003E-2</v>
      </c>
      <c r="AD80">
        <v>3.16666666666666E-2</v>
      </c>
      <c r="AE80">
        <v>0.317</v>
      </c>
      <c r="AF80">
        <v>-0.14000000000000001</v>
      </c>
      <c r="AG80">
        <v>0</v>
      </c>
    </row>
    <row r="81" spans="1:34" x14ac:dyDescent="0.25">
      <c r="B81" t="s">
        <v>4</v>
      </c>
      <c r="C81">
        <v>-9.0090090090090003E-3</v>
      </c>
      <c r="D81">
        <v>9.0090090090090003E-3</v>
      </c>
      <c r="E81">
        <v>9.0090090090090003E-3</v>
      </c>
      <c r="F81">
        <v>-4.6620046620046603E-3</v>
      </c>
      <c r="G81">
        <v>4.8951048951048903E-2</v>
      </c>
      <c r="H81">
        <v>3.7999999999999999E-2</v>
      </c>
      <c r="I81">
        <v>3.0030030030029999E-2</v>
      </c>
      <c r="J81">
        <v>2.7027027027027001E-2</v>
      </c>
      <c r="K81">
        <v>2.1666666666666601E-2</v>
      </c>
      <c r="L81">
        <v>4.2666666666666603E-2</v>
      </c>
      <c r="M81">
        <v>4.6620046620046603E-3</v>
      </c>
      <c r="N81">
        <v>2.7972027972027899E-2</v>
      </c>
      <c r="O81">
        <v>-2.4E-2</v>
      </c>
      <c r="P81">
        <v>1.3986013986013899E-2</v>
      </c>
      <c r="Q81">
        <v>-6.0000000000000001E-3</v>
      </c>
      <c r="R81">
        <v>4.0000000000000001E-3</v>
      </c>
      <c r="S81">
        <v>7.1666666666666601E-2</v>
      </c>
      <c r="T81">
        <v>5.6338028169014003E-2</v>
      </c>
      <c r="U81">
        <v>-2E-3</v>
      </c>
      <c r="V81">
        <v>1.3333333333333299E-2</v>
      </c>
      <c r="W81">
        <v>6.2666666666666607E-2</v>
      </c>
      <c r="X81">
        <v>5.0666666666666603E-2</v>
      </c>
      <c r="Y81">
        <v>1.33333333333333E-3</v>
      </c>
      <c r="Z81">
        <v>2.6666666666666599E-2</v>
      </c>
      <c r="AA81">
        <v>-3.3333333333333298E-2</v>
      </c>
      <c r="AB81">
        <v>0.10199999999999999</v>
      </c>
      <c r="AC81">
        <v>4.2666666666666603E-2</v>
      </c>
      <c r="AD81">
        <v>4.6666666666666599E-2</v>
      </c>
      <c r="AE81">
        <v>9.3333333333333296E-2</v>
      </c>
      <c r="AF81">
        <v>0.46</v>
      </c>
      <c r="AG81">
        <v>0</v>
      </c>
    </row>
    <row r="82" spans="1:34" x14ac:dyDescent="0.25">
      <c r="A82" t="str">
        <f>"Game" &amp; (ROW(A82) - 1)/3  + 1</f>
        <v>Game28</v>
      </c>
    </row>
    <row r="83" spans="1:34" x14ac:dyDescent="0.25">
      <c r="B83" t="s">
        <v>4</v>
      </c>
      <c r="C83">
        <v>2.7027027027027001E-2</v>
      </c>
      <c r="D83">
        <v>-2.9940119760479E-3</v>
      </c>
      <c r="E83">
        <v>3.9039039039038999E-2</v>
      </c>
      <c r="F83">
        <v>1.49700598802395E-2</v>
      </c>
      <c r="G83">
        <v>3.50467289719626E-2</v>
      </c>
      <c r="H83">
        <v>2.7027027027027001E-2</v>
      </c>
      <c r="I83">
        <v>4.4910179640718501E-2</v>
      </c>
      <c r="J83">
        <v>1.8666666666666599E-2</v>
      </c>
      <c r="K83">
        <v>4.8000000000000001E-2</v>
      </c>
      <c r="L83">
        <v>4.6728971962616802E-3</v>
      </c>
      <c r="M83">
        <v>1.3986013986013899E-2</v>
      </c>
      <c r="N83">
        <v>1.6E-2</v>
      </c>
      <c r="O83">
        <v>2.6666666666666599E-2</v>
      </c>
      <c r="P83">
        <v>8.3333333333333297E-3</v>
      </c>
      <c r="Q83">
        <v>0.13600000000000001</v>
      </c>
      <c r="R83">
        <v>6.5420560747663503E-2</v>
      </c>
      <c r="S83">
        <v>-5.0000000000000001E-3</v>
      </c>
      <c r="T83">
        <v>0.112</v>
      </c>
      <c r="U83">
        <v>2E-3</v>
      </c>
      <c r="V83">
        <v>-0.03</v>
      </c>
      <c r="W83">
        <v>0</v>
      </c>
      <c r="X83">
        <v>-0.02</v>
      </c>
      <c r="Y83">
        <v>0.13066666666666599</v>
      </c>
      <c r="Z83">
        <v>9.2999999999999999E-2</v>
      </c>
      <c r="AA83">
        <v>4.4999999999999998E-2</v>
      </c>
      <c r="AB83">
        <v>-5.8666666666666603E-2</v>
      </c>
      <c r="AC83">
        <v>-5.83333333333333E-2</v>
      </c>
      <c r="AD83">
        <v>0.119760479041916</v>
      </c>
      <c r="AE83">
        <v>0</v>
      </c>
    </row>
    <row r="84" spans="1:34" x14ac:dyDescent="0.25">
      <c r="B84" t="s">
        <v>8</v>
      </c>
      <c r="C84">
        <v>-0.15269461077844301</v>
      </c>
      <c r="D84">
        <v>-4.2666666666666603E-2</v>
      </c>
      <c r="E84">
        <v>-9.0090090090090003E-2</v>
      </c>
      <c r="F84">
        <v>0</v>
      </c>
      <c r="G84">
        <v>-1.49700598802395E-2</v>
      </c>
      <c r="H84">
        <v>-6.1333333333333302E-2</v>
      </c>
      <c r="I84">
        <v>-8.7999999999999995E-2</v>
      </c>
      <c r="J84">
        <v>9.5794392523364399E-2</v>
      </c>
      <c r="K84">
        <v>-0.12</v>
      </c>
      <c r="L84">
        <v>-4.4289044289044198E-2</v>
      </c>
      <c r="M84">
        <v>1.6317016317016299E-2</v>
      </c>
      <c r="N84">
        <v>-7.3999999999999996E-2</v>
      </c>
      <c r="O84">
        <v>-0.100467289719626</v>
      </c>
      <c r="P84">
        <v>-0.18666666666666601</v>
      </c>
      <c r="Q84">
        <v>-0.19</v>
      </c>
      <c r="R84">
        <v>0.116666666666666</v>
      </c>
      <c r="S84">
        <v>3.3333333333333298E-2</v>
      </c>
      <c r="T84">
        <v>0.02</v>
      </c>
      <c r="U84">
        <v>-7.69230769230769E-2</v>
      </c>
      <c r="V84">
        <v>-6.2E-2</v>
      </c>
      <c r="W84">
        <v>5.6074766355140103E-2</v>
      </c>
      <c r="X84">
        <v>-0.28828828828828801</v>
      </c>
      <c r="Y84">
        <v>-0.353333333333333</v>
      </c>
      <c r="Z84">
        <v>1.1333333333333299E-2</v>
      </c>
      <c r="AA84">
        <v>0.109333333333333</v>
      </c>
      <c r="AB84">
        <v>0.18666666666666601</v>
      </c>
      <c r="AC84">
        <v>5.2999999999999999E-2</v>
      </c>
      <c r="AD84">
        <v>0</v>
      </c>
      <c r="AE84">
        <v>0</v>
      </c>
    </row>
    <row r="85" spans="1:34" x14ac:dyDescent="0.25">
      <c r="A85" t="str">
        <f>"Game" &amp; (ROW(A85) - 1)/3  + 1</f>
        <v>Game29</v>
      </c>
    </row>
    <row r="86" spans="1:34" x14ac:dyDescent="0.25">
      <c r="B86" t="s">
        <v>8</v>
      </c>
      <c r="C86">
        <v>-5.4054054054054002E-2</v>
      </c>
      <c r="D86">
        <v>-4.8048048048047999E-2</v>
      </c>
      <c r="E86">
        <v>4.5045045045045001E-2</v>
      </c>
      <c r="F86">
        <v>1.79640718562874E-2</v>
      </c>
      <c r="G86">
        <v>1.3333333333333299E-2</v>
      </c>
      <c r="H86">
        <v>-4.4289044289044198E-2</v>
      </c>
      <c r="I86">
        <v>-2.33644859813084E-2</v>
      </c>
      <c r="J86">
        <v>-4.7904191616766401E-2</v>
      </c>
      <c r="K86">
        <v>-3.4666666666666603E-2</v>
      </c>
      <c r="L86">
        <v>-6.8000000000000005E-2</v>
      </c>
      <c r="M86">
        <v>-0.125748502994011</v>
      </c>
      <c r="N86">
        <v>-7.69230769230769E-2</v>
      </c>
      <c r="O86">
        <v>0.15333333333333299</v>
      </c>
      <c r="P86">
        <v>0.25800000000000001</v>
      </c>
      <c r="Q86">
        <v>0.224</v>
      </c>
      <c r="R86">
        <v>-4.33333333333333E-2</v>
      </c>
      <c r="S86">
        <v>-0.14399999999999999</v>
      </c>
      <c r="T86">
        <v>0.05</v>
      </c>
      <c r="U86">
        <v>5.8000000000000003E-2</v>
      </c>
      <c r="V86">
        <v>2.3310023310023301E-2</v>
      </c>
      <c r="W86">
        <v>-0.128504672897196</v>
      </c>
      <c r="X86">
        <v>-8.7378640776699004E-2</v>
      </c>
      <c r="Y86">
        <v>-0.171171171171171</v>
      </c>
      <c r="Z86">
        <v>-9.4666666666666593E-2</v>
      </c>
      <c r="AA86">
        <v>-1.3986013986013899E-2</v>
      </c>
      <c r="AB86">
        <v>-2.6737967914438499E-2</v>
      </c>
      <c r="AC86">
        <v>-1.2E-2</v>
      </c>
      <c r="AD86">
        <v>0</v>
      </c>
      <c r="AE86">
        <v>0</v>
      </c>
      <c r="AF86">
        <v>0</v>
      </c>
      <c r="AG86">
        <v>0</v>
      </c>
    </row>
    <row r="87" spans="1:34" x14ac:dyDescent="0.25">
      <c r="B87" t="s">
        <v>4</v>
      </c>
      <c r="C87">
        <v>2.09580838323353E-2</v>
      </c>
      <c r="D87">
        <v>1.8666666666666599E-2</v>
      </c>
      <c r="E87">
        <v>4.6620046620046603E-2</v>
      </c>
      <c r="F87">
        <v>4.8000000000000001E-2</v>
      </c>
      <c r="G87">
        <v>3.7333333333333302E-2</v>
      </c>
      <c r="H87">
        <v>4.8000000000000001E-2</v>
      </c>
      <c r="I87">
        <v>4.4910179640718501E-2</v>
      </c>
      <c r="J87">
        <v>1.8666666666666599E-2</v>
      </c>
      <c r="K87">
        <v>4.6620046620046603E-2</v>
      </c>
      <c r="L87">
        <v>2.10280373831775E-2</v>
      </c>
      <c r="M87">
        <v>-4.0000000000000001E-3</v>
      </c>
      <c r="N87">
        <v>2.1999999999999999E-2</v>
      </c>
      <c r="O87">
        <v>-7.2429906542056E-2</v>
      </c>
      <c r="P87">
        <v>-0.16816816816816799</v>
      </c>
      <c r="Q87">
        <v>-0.09</v>
      </c>
      <c r="R87">
        <v>0.05</v>
      </c>
      <c r="S87">
        <v>-2.1333333333333301E-2</v>
      </c>
      <c r="T87">
        <v>-6.2E-2</v>
      </c>
      <c r="U87">
        <v>4.6511627906976702E-2</v>
      </c>
      <c r="V87">
        <v>4.6666666666666599E-2</v>
      </c>
      <c r="W87">
        <v>0.131333333333333</v>
      </c>
      <c r="X87">
        <v>4.3999999999999997E-2</v>
      </c>
      <c r="Y87">
        <v>9.2666666666666606E-2</v>
      </c>
      <c r="Z87">
        <v>8.5999999999999993E-2</v>
      </c>
      <c r="AA87">
        <v>2.5000000000000001E-2</v>
      </c>
      <c r="AB87">
        <v>2.5000000000000001E-2</v>
      </c>
      <c r="AC87">
        <v>0.03</v>
      </c>
      <c r="AD87">
        <v>0</v>
      </c>
      <c r="AE87">
        <v>0</v>
      </c>
      <c r="AF87">
        <v>0</v>
      </c>
    </row>
    <row r="88" spans="1:34" x14ac:dyDescent="0.25">
      <c r="A88" t="str">
        <f>"Game" &amp; (ROW(A88) - 1)/3  + 1</f>
        <v>Game30</v>
      </c>
    </row>
    <row r="89" spans="1:34" x14ac:dyDescent="0.25">
      <c r="B89" t="s">
        <v>4</v>
      </c>
      <c r="C89">
        <v>2.7027027027027001E-2</v>
      </c>
      <c r="D89">
        <v>3.3033033033033003E-2</v>
      </c>
      <c r="E89">
        <v>0</v>
      </c>
      <c r="F89">
        <v>2.3310023310023301E-2</v>
      </c>
      <c r="G89">
        <v>5.1051051051050997E-2</v>
      </c>
      <c r="H89">
        <v>8.9820359281437105E-3</v>
      </c>
      <c r="I89">
        <v>6.6666666666666596E-2</v>
      </c>
      <c r="J89">
        <v>1.5015015015014999E-2</v>
      </c>
      <c r="K89">
        <v>3.03030303030303E-2</v>
      </c>
      <c r="L89">
        <v>7.1999999999999995E-2</v>
      </c>
      <c r="M89">
        <v>4.6620046620046603E-2</v>
      </c>
      <c r="N89">
        <v>3.29341317365269E-2</v>
      </c>
      <c r="O89">
        <v>-7.0000000000000007E-2</v>
      </c>
      <c r="P89">
        <v>3.2000000000000001E-2</v>
      </c>
      <c r="Q89">
        <v>2.33644859813084E-2</v>
      </c>
      <c r="R89">
        <v>0.08</v>
      </c>
      <c r="S89">
        <v>0</v>
      </c>
      <c r="T89">
        <v>7.0000000000000007E-2</v>
      </c>
      <c r="U89">
        <v>-4.0000000000000001E-3</v>
      </c>
      <c r="V89">
        <v>0.01</v>
      </c>
      <c r="W89">
        <v>4.67289719626168E-2</v>
      </c>
      <c r="X89">
        <v>-1.7391304347826E-2</v>
      </c>
      <c r="Y89">
        <v>9.2999999999999999E-2</v>
      </c>
      <c r="Z89">
        <v>0.101666666666666</v>
      </c>
      <c r="AA89">
        <v>0.13</v>
      </c>
      <c r="AB89">
        <v>0.4</v>
      </c>
      <c r="AC89">
        <v>0.94966666666666599</v>
      </c>
      <c r="AD89">
        <v>6.4668769716088301E-2</v>
      </c>
      <c r="AE89">
        <v>0.73099999999999998</v>
      </c>
      <c r="AF89">
        <v>0.18518518518518501</v>
      </c>
      <c r="AG89">
        <v>0.6</v>
      </c>
      <c r="AH89">
        <v>1</v>
      </c>
    </row>
    <row r="90" spans="1:34" x14ac:dyDescent="0.25">
      <c r="B90" t="s">
        <v>8</v>
      </c>
      <c r="C90">
        <v>-8.1081081081081002E-2</v>
      </c>
      <c r="D90">
        <v>-0.08</v>
      </c>
      <c r="E90">
        <v>1.06666666666666E-2</v>
      </c>
      <c r="F90">
        <v>2.9940119760479E-2</v>
      </c>
      <c r="G90">
        <v>-0.152</v>
      </c>
      <c r="H90">
        <v>-3.4666666666666603E-2</v>
      </c>
      <c r="I90">
        <v>-6.2874251497005901E-2</v>
      </c>
      <c r="J90">
        <v>2.9333333333333302E-2</v>
      </c>
      <c r="K90">
        <v>2.7972027972027899E-2</v>
      </c>
      <c r="L90">
        <v>6.2937062937062901E-2</v>
      </c>
      <c r="M90">
        <v>1.6355140186915799E-2</v>
      </c>
      <c r="N90">
        <v>0.09</v>
      </c>
      <c r="O90">
        <v>0.111666666666666</v>
      </c>
      <c r="P90">
        <v>-3.9627039627039597E-2</v>
      </c>
      <c r="Q90">
        <v>0.08</v>
      </c>
      <c r="R90">
        <v>-0.154</v>
      </c>
      <c r="S90">
        <v>-7.8E-2</v>
      </c>
      <c r="T90">
        <v>-9.4E-2</v>
      </c>
      <c r="U90">
        <v>-0.13541666666666599</v>
      </c>
      <c r="V90">
        <v>0.10576923076923</v>
      </c>
      <c r="W90">
        <v>-0.26126126126126098</v>
      </c>
      <c r="X90">
        <v>-5.46666666666666E-2</v>
      </c>
      <c r="Y90">
        <v>-0.23200000000000001</v>
      </c>
      <c r="Z90">
        <v>4.6666666666666599E-2</v>
      </c>
      <c r="AA90">
        <v>-0.23499999999999999</v>
      </c>
      <c r="AB90">
        <v>0.28799999999999998</v>
      </c>
      <c r="AC90">
        <v>0.49161073825503299</v>
      </c>
      <c r="AD90">
        <v>0.75866666666666605</v>
      </c>
      <c r="AE90">
        <v>0.91500000000000004</v>
      </c>
      <c r="AF90">
        <v>0.33333333333333298</v>
      </c>
      <c r="AG90">
        <v>-1</v>
      </c>
    </row>
    <row r="91" spans="1:34" x14ac:dyDescent="0.25">
      <c r="A91" t="str">
        <f>"Game" &amp; (ROW(A91) - 1)/3  + 1</f>
        <v>Game31</v>
      </c>
    </row>
    <row r="92" spans="1:34" x14ac:dyDescent="0.25">
      <c r="B92" t="s">
        <v>8</v>
      </c>
      <c r="C92">
        <v>0.18918918918918901</v>
      </c>
      <c r="D92">
        <v>9.5808383233532898E-2</v>
      </c>
      <c r="E92">
        <v>-4.6620046620046603E-3</v>
      </c>
      <c r="F92">
        <v>-5.6886227544910101E-2</v>
      </c>
      <c r="G92">
        <v>-8.7087087087086998E-2</v>
      </c>
      <c r="H92">
        <v>-2.8037383177569999E-2</v>
      </c>
      <c r="I92">
        <v>-2.4024024024024E-2</v>
      </c>
      <c r="J92">
        <v>-3.7333333333333302E-2</v>
      </c>
      <c r="K92">
        <v>-3.7333333333333302E-2</v>
      </c>
      <c r="L92">
        <v>-8.7999999999999995E-2</v>
      </c>
      <c r="M92">
        <v>-3.9039039039038999E-2</v>
      </c>
      <c r="N92">
        <v>-1.06666666666666E-2</v>
      </c>
      <c r="O92">
        <v>-0.1</v>
      </c>
      <c r="P92">
        <v>-6.5268065268065195E-2</v>
      </c>
      <c r="Q92">
        <v>-0.08</v>
      </c>
      <c r="R92">
        <v>-6.1666666666666599E-2</v>
      </c>
      <c r="S92">
        <v>5.6000000000000001E-2</v>
      </c>
      <c r="T92">
        <v>-1.16666666666666E-2</v>
      </c>
      <c r="U92">
        <v>-3.8666666666666599E-2</v>
      </c>
      <c r="V92">
        <v>0.02</v>
      </c>
      <c r="W92">
        <v>-0.16800000000000001</v>
      </c>
      <c r="X92">
        <v>-4.1333333333333298E-2</v>
      </c>
      <c r="Y92">
        <v>4.9333333333333299E-2</v>
      </c>
      <c r="Z92">
        <v>-9.3240093240093205E-2</v>
      </c>
      <c r="AA92">
        <v>-8.1333333333333299E-2</v>
      </c>
      <c r="AB92">
        <v>-5.1999999999999998E-2</v>
      </c>
      <c r="AC92">
        <v>1.46666666666666E-2</v>
      </c>
      <c r="AD92">
        <v>0.77400000000000002</v>
      </c>
      <c r="AE92">
        <v>0.63</v>
      </c>
      <c r="AF92">
        <v>-0.74074074074074003</v>
      </c>
      <c r="AG92">
        <v>-0.43589743589743501</v>
      </c>
      <c r="AH92">
        <v>-1</v>
      </c>
    </row>
    <row r="93" spans="1:34" x14ac:dyDescent="0.25">
      <c r="B93" t="s">
        <v>4</v>
      </c>
      <c r="C93">
        <v>2.1021021021020998E-2</v>
      </c>
      <c r="D93">
        <v>-8.0000000000000002E-3</v>
      </c>
      <c r="E93">
        <v>3.0030030030029999E-2</v>
      </c>
      <c r="F93">
        <v>1.06666666666666E-2</v>
      </c>
      <c r="G93">
        <v>1.8666666666666599E-2</v>
      </c>
      <c r="H93">
        <v>1.5015015015014999E-2</v>
      </c>
      <c r="I93">
        <v>3.2000000000000001E-2</v>
      </c>
      <c r="J93">
        <v>5.3613053613053602E-2</v>
      </c>
      <c r="K93">
        <v>0.02</v>
      </c>
      <c r="L93">
        <v>2.4E-2</v>
      </c>
      <c r="M93">
        <v>1.86915887850467E-2</v>
      </c>
      <c r="N93">
        <v>3.5000000000000003E-2</v>
      </c>
      <c r="O93">
        <v>8.0000000000000002E-3</v>
      </c>
      <c r="P93">
        <v>3.03030303030303E-2</v>
      </c>
      <c r="Q93">
        <v>1.4018691588785E-2</v>
      </c>
      <c r="R93">
        <v>-0.01</v>
      </c>
      <c r="S93">
        <v>2.5641025641025599E-2</v>
      </c>
      <c r="T93">
        <v>-3.16666666666666E-2</v>
      </c>
      <c r="U93">
        <v>3.6666666666666597E-2</v>
      </c>
      <c r="V93">
        <v>1.7999999999999999E-2</v>
      </c>
      <c r="W93">
        <v>0.13800000000000001</v>
      </c>
      <c r="X93">
        <v>-1.6666666666666601E-2</v>
      </c>
      <c r="Y93">
        <v>0.04</v>
      </c>
      <c r="Z93">
        <v>6.0000000000000001E-3</v>
      </c>
      <c r="AA93">
        <v>6.6666666666666602E-3</v>
      </c>
      <c r="AB93">
        <v>0</v>
      </c>
      <c r="AC93">
        <v>6.1333333333333302E-2</v>
      </c>
      <c r="AD93">
        <v>0.15566037735849</v>
      </c>
      <c r="AE93">
        <v>0.145748987854251</v>
      </c>
      <c r="AF93">
        <v>0.83966666666666601</v>
      </c>
      <c r="AG93">
        <v>0.99199999999999999</v>
      </c>
      <c r="AH93">
        <v>1</v>
      </c>
    </row>
    <row r="94" spans="1:34" x14ac:dyDescent="0.25">
      <c r="A94" t="str">
        <f>"Game" &amp; (ROW(A94) - 1)/3  + 1</f>
        <v>Game32</v>
      </c>
    </row>
    <row r="95" spans="1:34" x14ac:dyDescent="0.25">
      <c r="B95" t="s">
        <v>4</v>
      </c>
      <c r="C95">
        <v>-0.162162162162162</v>
      </c>
      <c r="D95">
        <v>1.5015015015014999E-2</v>
      </c>
      <c r="E95">
        <v>8.9820359281437105E-3</v>
      </c>
      <c r="F95">
        <v>4.5045045045045001E-2</v>
      </c>
      <c r="G95">
        <v>2.7027027027027001E-2</v>
      </c>
      <c r="H95">
        <v>3.7333333333333302E-2</v>
      </c>
      <c r="I95">
        <v>1.8666666666666599E-2</v>
      </c>
      <c r="J95">
        <v>6.8333333333333302E-2</v>
      </c>
      <c r="K95">
        <v>1.8648018648018599E-2</v>
      </c>
      <c r="L95">
        <v>1.16550116550116E-2</v>
      </c>
      <c r="M95">
        <v>3.7296037296037199E-2</v>
      </c>
      <c r="N95">
        <v>2.8000000000000001E-2</v>
      </c>
      <c r="O95">
        <v>3.9039039039038999E-2</v>
      </c>
      <c r="P95">
        <v>4.6620046620046603E-3</v>
      </c>
      <c r="Q95">
        <v>5.6000000000000001E-2</v>
      </c>
      <c r="R95">
        <v>1.8666666666666599E-2</v>
      </c>
      <c r="S95">
        <v>3.3333333333333298E-2</v>
      </c>
      <c r="T95">
        <v>2.6666666666666599E-2</v>
      </c>
      <c r="U95">
        <v>3.2000000000000001E-2</v>
      </c>
      <c r="V95">
        <v>2.5641025641025599E-2</v>
      </c>
      <c r="W95">
        <v>-3.3333333333333298E-2</v>
      </c>
      <c r="X95">
        <v>-6.6000000000000003E-2</v>
      </c>
      <c r="Y95">
        <v>1.3333333333333299E-2</v>
      </c>
      <c r="Z95">
        <v>3.7333333333333302E-2</v>
      </c>
      <c r="AA95">
        <v>4.5999999999999999E-2</v>
      </c>
      <c r="AB95">
        <v>3.3333333333333298E-2</v>
      </c>
      <c r="AC95">
        <v>2.1666666666666601E-2</v>
      </c>
      <c r="AD95">
        <v>4.0000000000000001E-3</v>
      </c>
      <c r="AE95">
        <v>-7.5999999999999998E-2</v>
      </c>
      <c r="AF95">
        <v>5.8999999999999997E-2</v>
      </c>
      <c r="AG95">
        <v>0.30133333333333301</v>
      </c>
      <c r="AH95">
        <v>0.53194351042367105</v>
      </c>
    </row>
    <row r="96" spans="1:34" x14ac:dyDescent="0.25">
      <c r="B96" t="s">
        <v>8</v>
      </c>
      <c r="C96">
        <v>-6.9333333333333302E-2</v>
      </c>
      <c r="D96">
        <v>-1.16822429906542E-2</v>
      </c>
      <c r="E96">
        <v>-4.8048048048047999E-2</v>
      </c>
      <c r="F96">
        <v>-3.0030030030029999E-3</v>
      </c>
      <c r="G96">
        <v>1.8018018018018001E-2</v>
      </c>
      <c r="H96">
        <v>-0.08</v>
      </c>
      <c r="I96">
        <v>4.8000000000000001E-2</v>
      </c>
      <c r="J96">
        <v>-3.2000000000000001E-2</v>
      </c>
      <c r="K96">
        <v>-4.8000000000000001E-2</v>
      </c>
      <c r="L96">
        <v>9.6000000000000002E-2</v>
      </c>
      <c r="M96">
        <v>-1.16822429906542E-2</v>
      </c>
      <c r="N96">
        <v>1.4E-2</v>
      </c>
      <c r="O96">
        <v>-2.5999999999999999E-2</v>
      </c>
      <c r="P96">
        <v>-2.5999999999999999E-2</v>
      </c>
      <c r="Q96">
        <v>-2.9333333333333302E-2</v>
      </c>
      <c r="R96">
        <v>-4.6728971962616802E-3</v>
      </c>
      <c r="S96">
        <v>0.06</v>
      </c>
      <c r="T96">
        <v>-6.6666666666666596E-2</v>
      </c>
      <c r="U96">
        <v>2.3310023310023301E-3</v>
      </c>
      <c r="V96">
        <v>-0.17799999999999999</v>
      </c>
      <c r="W96">
        <v>7.8333333333333297E-2</v>
      </c>
      <c r="X96">
        <v>0.04</v>
      </c>
      <c r="Y96">
        <v>-0.03</v>
      </c>
      <c r="Z96">
        <v>-1.2E-2</v>
      </c>
      <c r="AA96">
        <v>8.3333333333333297E-3</v>
      </c>
      <c r="AB96">
        <v>2.1333333333333301E-2</v>
      </c>
      <c r="AC96">
        <v>2E-3</v>
      </c>
      <c r="AD96">
        <v>0.202666666666666</v>
      </c>
      <c r="AE96">
        <v>0.121</v>
      </c>
      <c r="AF96">
        <v>-0.14499999999999999</v>
      </c>
      <c r="AG96">
        <v>0.94399999999999995</v>
      </c>
      <c r="AH96">
        <v>1</v>
      </c>
    </row>
    <row r="97" spans="1:38" x14ac:dyDescent="0.25">
      <c r="A97" t="str">
        <f>"Game" &amp; (ROW(A97) - 1)/3  + 1</f>
        <v>Game33</v>
      </c>
    </row>
    <row r="98" spans="1:38" x14ac:dyDescent="0.25">
      <c r="B98" t="s">
        <v>8</v>
      </c>
      <c r="C98">
        <v>0.32432432432432401</v>
      </c>
      <c r="D98">
        <v>-3.3033033033033003E-2</v>
      </c>
      <c r="E98">
        <v>5.1051051051050997E-2</v>
      </c>
      <c r="F98">
        <v>-1.2012012012012E-2</v>
      </c>
      <c r="G98">
        <v>-3.4965034965034898E-2</v>
      </c>
      <c r="H98">
        <v>2.9333333333333302E-2</v>
      </c>
      <c r="I98">
        <v>-1.6317016317016299E-2</v>
      </c>
      <c r="J98">
        <v>-9.1999999999999998E-2</v>
      </c>
      <c r="K98">
        <v>-8.2666666666666597E-2</v>
      </c>
      <c r="L98">
        <v>-1.3333333333333299E-2</v>
      </c>
      <c r="M98">
        <v>-7.8078078078077998E-2</v>
      </c>
      <c r="N98">
        <v>5.5944055944055902E-2</v>
      </c>
      <c r="O98">
        <v>0</v>
      </c>
      <c r="P98">
        <v>-0.128205128205128</v>
      </c>
      <c r="Q98">
        <v>0.11600000000000001</v>
      </c>
      <c r="R98">
        <v>-3.2000000000000001E-2</v>
      </c>
      <c r="S98">
        <v>-3.7999999999999999E-2</v>
      </c>
      <c r="T98">
        <v>0.14399999999999999</v>
      </c>
      <c r="U98">
        <v>7.3333333333333306E-2</v>
      </c>
      <c r="V98">
        <v>1.86915887850467E-2</v>
      </c>
      <c r="W98">
        <v>-0.12666666666666601</v>
      </c>
      <c r="X98">
        <v>3.5999999999999997E-2</v>
      </c>
      <c r="Y98">
        <v>-0.15333333333333299</v>
      </c>
      <c r="Z98">
        <v>0.124</v>
      </c>
      <c r="AA98">
        <v>-0.22500000000000001</v>
      </c>
      <c r="AB98">
        <v>-0.112</v>
      </c>
      <c r="AC98">
        <v>-0.06</v>
      </c>
      <c r="AD98">
        <v>0.13800000000000001</v>
      </c>
      <c r="AE98">
        <v>0.42533333333333301</v>
      </c>
      <c r="AF98">
        <v>0.27800000000000002</v>
      </c>
      <c r="AG98">
        <v>0.6</v>
      </c>
      <c r="AH98">
        <v>0.95066666666666599</v>
      </c>
      <c r="AI98">
        <v>0.76</v>
      </c>
    </row>
    <row r="99" spans="1:38" x14ac:dyDescent="0.25">
      <c r="B99" t="s">
        <v>4</v>
      </c>
      <c r="C99">
        <v>1.2012012012012E-2</v>
      </c>
      <c r="D99">
        <v>1.79640718562874E-2</v>
      </c>
      <c r="E99">
        <v>4.8048048048047999E-2</v>
      </c>
      <c r="F99">
        <v>2.6666666666666599E-2</v>
      </c>
      <c r="G99">
        <v>2.6666666666666599E-2</v>
      </c>
      <c r="H99">
        <v>2.4E-2</v>
      </c>
      <c r="I99">
        <v>3.03030303030303E-2</v>
      </c>
      <c r="J99">
        <v>8.0000000000000002E-3</v>
      </c>
      <c r="K99">
        <v>7.2072072072072002E-2</v>
      </c>
      <c r="L99">
        <v>3.03738317757009E-2</v>
      </c>
      <c r="M99">
        <v>0.01</v>
      </c>
      <c r="N99">
        <v>2.5999999999999999E-2</v>
      </c>
      <c r="O99">
        <v>2.57009345794392E-2</v>
      </c>
      <c r="P99">
        <v>0.01</v>
      </c>
      <c r="Q99">
        <v>-2.8333333333333301E-2</v>
      </c>
      <c r="R99">
        <v>1.46666666666666E-2</v>
      </c>
      <c r="S99">
        <v>2.9333333333333302E-2</v>
      </c>
      <c r="T99">
        <v>-5.0000000000000001E-3</v>
      </c>
      <c r="U99">
        <v>2.09790209790209E-2</v>
      </c>
      <c r="V99">
        <v>2.1999999999999999E-2</v>
      </c>
      <c r="W99">
        <v>6.4000000000000001E-2</v>
      </c>
      <c r="X99">
        <v>8.5999999999999993E-2</v>
      </c>
      <c r="Y99">
        <v>-2.6666666666666599E-2</v>
      </c>
      <c r="Z99">
        <v>7.1666666666666601E-2</v>
      </c>
      <c r="AA99">
        <v>-4.3999999999999997E-2</v>
      </c>
      <c r="AB99">
        <v>0</v>
      </c>
      <c r="AC99">
        <v>2.6666666666666599E-2</v>
      </c>
      <c r="AD99">
        <v>-5.1999999999999998E-2</v>
      </c>
      <c r="AE99">
        <v>-0.12299465240641699</v>
      </c>
      <c r="AF99">
        <v>-3.7037037037037E-2</v>
      </c>
      <c r="AG99">
        <v>3.7037037037037E-2</v>
      </c>
      <c r="AH99">
        <v>-0.18518518518518501</v>
      </c>
      <c r="AI99">
        <v>1</v>
      </c>
    </row>
    <row r="100" spans="1:38" x14ac:dyDescent="0.25">
      <c r="A100" t="str">
        <f>"Game" &amp; (ROW(A100) - 1)/3  + 1</f>
        <v>Game34</v>
      </c>
    </row>
    <row r="101" spans="1:38" x14ac:dyDescent="0.25">
      <c r="B101" t="s">
        <v>4</v>
      </c>
      <c r="C101">
        <v>0.18421052631578899</v>
      </c>
      <c r="D101">
        <v>5.9880239520958001E-2</v>
      </c>
      <c r="E101">
        <v>9.0090090090090003E-3</v>
      </c>
      <c r="F101">
        <v>2.4024024024024E-2</v>
      </c>
      <c r="G101">
        <v>1.06666666666666E-2</v>
      </c>
      <c r="H101">
        <v>8.0000000000000002E-3</v>
      </c>
      <c r="I101">
        <v>2.6666666666666599E-2</v>
      </c>
      <c r="J101">
        <v>0</v>
      </c>
      <c r="K101">
        <v>-6.0000000000000001E-3</v>
      </c>
      <c r="L101">
        <v>1.3986013986013899E-2</v>
      </c>
      <c r="M101">
        <v>1.16550116550116E-2</v>
      </c>
      <c r="N101">
        <v>-0.02</v>
      </c>
      <c r="O101">
        <v>2.09580838323353E-2</v>
      </c>
      <c r="P101">
        <v>-1.06666666666666E-2</v>
      </c>
      <c r="Q101">
        <v>1.2E-2</v>
      </c>
      <c r="R101">
        <v>2.5999999999999999E-2</v>
      </c>
      <c r="S101">
        <v>2.57009345794392E-2</v>
      </c>
      <c r="T101">
        <v>3.16666666666666E-2</v>
      </c>
      <c r="U101">
        <v>1.6666666666666601E-2</v>
      </c>
      <c r="V101">
        <v>1.8666666666666599E-2</v>
      </c>
      <c r="W101">
        <v>3.1914893617021198E-2</v>
      </c>
      <c r="X101">
        <v>3.0666666666666599E-2</v>
      </c>
      <c r="Y101">
        <v>-8.6448598130841103E-2</v>
      </c>
      <c r="Z101">
        <v>-3.4000000000000002E-2</v>
      </c>
      <c r="AA101">
        <v>7.4999999999999997E-2</v>
      </c>
      <c r="AB101">
        <v>-0.14000000000000001</v>
      </c>
      <c r="AC101">
        <v>0.4</v>
      </c>
      <c r="AD101">
        <v>0.32833333333333298</v>
      </c>
      <c r="AE101">
        <v>0</v>
      </c>
      <c r="AF101">
        <v>1.8018018018018001E-2</v>
      </c>
      <c r="AG101">
        <v>0</v>
      </c>
    </row>
    <row r="102" spans="1:38" x14ac:dyDescent="0.25">
      <c r="B102" t="s">
        <v>8</v>
      </c>
      <c r="C102">
        <v>9.0090090090090003E-3</v>
      </c>
      <c r="D102">
        <v>-9.0090090090090003E-2</v>
      </c>
      <c r="E102">
        <v>-2.7027027027027001E-2</v>
      </c>
      <c r="F102">
        <v>-8.6826347305389198E-2</v>
      </c>
      <c r="G102">
        <v>-0.104</v>
      </c>
      <c r="H102">
        <v>-4.5333333333333302E-2</v>
      </c>
      <c r="I102">
        <v>-0.10666666666666599</v>
      </c>
      <c r="J102">
        <v>-8.3916083916083906E-2</v>
      </c>
      <c r="K102">
        <v>-2.4E-2</v>
      </c>
      <c r="L102">
        <v>-1.3333333333333299E-2</v>
      </c>
      <c r="M102">
        <v>-1.2E-2</v>
      </c>
      <c r="N102">
        <v>8.0000000000000002E-3</v>
      </c>
      <c r="O102">
        <v>-6.07476635514018E-2</v>
      </c>
      <c r="P102">
        <v>-3.6666666666666597E-2</v>
      </c>
      <c r="Q102">
        <v>3.2710280373831703E-2</v>
      </c>
      <c r="R102">
        <v>-4.0000000000000001E-3</v>
      </c>
      <c r="S102">
        <v>-6.9333333333333302E-2</v>
      </c>
      <c r="T102">
        <v>-5.5E-2</v>
      </c>
      <c r="U102">
        <v>3.03030303030303E-2</v>
      </c>
      <c r="V102">
        <v>2.19780219780219E-2</v>
      </c>
      <c r="W102">
        <v>4.1666666666666602E-2</v>
      </c>
      <c r="X102">
        <v>0.198275862068965</v>
      </c>
      <c r="Y102">
        <v>0.16</v>
      </c>
      <c r="Z102">
        <v>0.23</v>
      </c>
      <c r="AA102">
        <v>-0.13900000000000001</v>
      </c>
      <c r="AB102">
        <v>-0.38600000000000001</v>
      </c>
      <c r="AC102">
        <v>-0.42799999999999999</v>
      </c>
      <c r="AD102">
        <v>-0.27200000000000002</v>
      </c>
      <c r="AE102">
        <v>-5.6000000000000001E-2</v>
      </c>
      <c r="AF102">
        <v>-2.8000000000000001E-2</v>
      </c>
      <c r="AG102">
        <v>0</v>
      </c>
    </row>
    <row r="103" spans="1:38" x14ac:dyDescent="0.25">
      <c r="A103" t="str">
        <f>"Game" &amp; (ROW(A103) - 1)/3  + 1</f>
        <v>Game35</v>
      </c>
    </row>
    <row r="104" spans="1:38" x14ac:dyDescent="0.25">
      <c r="B104" t="s">
        <v>8</v>
      </c>
      <c r="C104">
        <v>-0.135135135135135</v>
      </c>
      <c r="D104">
        <v>-5.7057057057056999E-2</v>
      </c>
      <c r="E104">
        <v>-3.9039039039038999E-2</v>
      </c>
      <c r="F104">
        <v>0</v>
      </c>
      <c r="G104">
        <v>-3.89221556886227E-2</v>
      </c>
      <c r="H104">
        <v>-1.6E-2</v>
      </c>
      <c r="I104">
        <v>-2.6666666666666599E-2</v>
      </c>
      <c r="J104">
        <v>0.108</v>
      </c>
      <c r="K104">
        <v>7.2429906542056E-2</v>
      </c>
      <c r="L104">
        <v>-4.2042042042041997E-2</v>
      </c>
      <c r="M104">
        <v>1.3333333333333299E-2</v>
      </c>
      <c r="N104">
        <v>-0.13600000000000001</v>
      </c>
      <c r="O104">
        <v>8.0000000000000002E-3</v>
      </c>
      <c r="P104">
        <v>-0.13317757009345699</v>
      </c>
      <c r="Q104">
        <v>-0.15833333333333299</v>
      </c>
      <c r="R104">
        <v>-0.15</v>
      </c>
      <c r="S104">
        <v>-8.9552238805970102E-2</v>
      </c>
      <c r="T104">
        <v>3.9627039627039597E-2</v>
      </c>
      <c r="U104">
        <v>8.3333333333333301E-2</v>
      </c>
      <c r="V104">
        <v>-1.1764705882352899E-2</v>
      </c>
      <c r="W104">
        <v>0.34200000000000003</v>
      </c>
      <c r="X104">
        <v>0.38</v>
      </c>
      <c r="Y104">
        <v>0.215</v>
      </c>
      <c r="Z104">
        <v>0.68666666666666598</v>
      </c>
      <c r="AA104">
        <v>0.6</v>
      </c>
      <c r="AB104">
        <v>0.76</v>
      </c>
      <c r="AC104">
        <v>0.72</v>
      </c>
      <c r="AD104">
        <v>0.32</v>
      </c>
      <c r="AE104">
        <v>1</v>
      </c>
      <c r="AF104">
        <v>1</v>
      </c>
    </row>
    <row r="105" spans="1:38" x14ac:dyDescent="0.25">
      <c r="B105" t="s">
        <v>4</v>
      </c>
      <c r="C105">
        <v>6.0060060060059999E-3</v>
      </c>
      <c r="D105">
        <v>1.79640718562874E-2</v>
      </c>
      <c r="E105">
        <v>1.8666666666666599E-2</v>
      </c>
      <c r="F105">
        <v>1.6E-2</v>
      </c>
      <c r="G105">
        <v>-1.6317016317016299E-2</v>
      </c>
      <c r="H105">
        <v>2.1021021021020998E-2</v>
      </c>
      <c r="I105">
        <v>2.10280373831775E-2</v>
      </c>
      <c r="J105">
        <v>-5.5944055944055902E-2</v>
      </c>
      <c r="K105">
        <v>-3.16666666666666E-2</v>
      </c>
      <c r="L105">
        <v>0.01</v>
      </c>
      <c r="M105">
        <v>6.3333333333333297E-2</v>
      </c>
      <c r="N105">
        <v>-1.16822429906542E-2</v>
      </c>
      <c r="O105">
        <v>2.7027027027027001E-2</v>
      </c>
      <c r="P105">
        <v>2.8037383177569999E-2</v>
      </c>
      <c r="Q105">
        <v>0</v>
      </c>
      <c r="R105">
        <v>7.8333333333333297E-2</v>
      </c>
      <c r="S105">
        <v>3.3333333333333298E-2</v>
      </c>
      <c r="T105">
        <v>2.8169014084507001E-2</v>
      </c>
      <c r="U105">
        <v>1.3333333333333299E-2</v>
      </c>
      <c r="V105">
        <v>-3.0000000000000001E-3</v>
      </c>
      <c r="W105">
        <v>1.8648018648018599E-2</v>
      </c>
      <c r="X105">
        <v>0.04</v>
      </c>
      <c r="Y105">
        <v>0.11111111111111099</v>
      </c>
      <c r="Z105">
        <v>-0.107</v>
      </c>
      <c r="AA105">
        <v>-8.5000000000000006E-2</v>
      </c>
      <c r="AB105">
        <v>0.35080645161290303</v>
      </c>
      <c r="AC105">
        <v>0.53889457523029605</v>
      </c>
      <c r="AD105">
        <v>-0.18518518518518501</v>
      </c>
      <c r="AE105">
        <v>-1</v>
      </c>
    </row>
    <row r="106" spans="1:38" x14ac:dyDescent="0.25">
      <c r="A106" t="str">
        <f>"Game" &amp; (ROW(A106) - 1)/3  + 1</f>
        <v>Game36</v>
      </c>
    </row>
    <row r="107" spans="1:38" x14ac:dyDescent="0.25">
      <c r="B107" t="s">
        <v>4</v>
      </c>
      <c r="C107">
        <v>0.24324324324324301</v>
      </c>
      <c r="D107">
        <v>1.8018018018018001E-2</v>
      </c>
      <c r="E107">
        <v>3.6036036036036001E-2</v>
      </c>
      <c r="F107">
        <v>4.67289719626168E-2</v>
      </c>
      <c r="G107">
        <v>2.7027027027027001E-2</v>
      </c>
      <c r="H107">
        <v>2.8000000000000001E-2</v>
      </c>
      <c r="I107">
        <v>2.7972027972027899E-2</v>
      </c>
      <c r="J107">
        <v>2.1333333333333301E-2</v>
      </c>
      <c r="K107">
        <v>1.06666666666666E-2</v>
      </c>
      <c r="L107">
        <v>-6.0000000000000001E-3</v>
      </c>
      <c r="M107">
        <v>4.7904191616766401E-2</v>
      </c>
      <c r="N107">
        <v>2.3310023310023301E-2</v>
      </c>
      <c r="O107">
        <v>2.9333333333333302E-2</v>
      </c>
      <c r="P107">
        <v>4.90654205607476E-2</v>
      </c>
      <c r="Q107">
        <v>1.3986013986013899E-2</v>
      </c>
      <c r="R107">
        <v>1.4E-2</v>
      </c>
      <c r="S107">
        <v>-3.8333333333333303E-2</v>
      </c>
      <c r="T107">
        <v>-4.4392523364485903E-2</v>
      </c>
      <c r="U107">
        <v>-6.0000000000000001E-3</v>
      </c>
      <c r="V107">
        <v>1.9E-2</v>
      </c>
      <c r="W107">
        <v>-1.0752688172042999E-2</v>
      </c>
      <c r="X107">
        <v>9.7087378640776604E-3</v>
      </c>
      <c r="Y107">
        <v>0</v>
      </c>
      <c r="Z107">
        <v>4.6666666666666599E-2</v>
      </c>
      <c r="AA107">
        <v>-5.9880239520958001E-3</v>
      </c>
      <c r="AB107">
        <v>-3.7037037037037E-2</v>
      </c>
      <c r="AC107">
        <v>3.5999999999999997E-2</v>
      </c>
      <c r="AD107">
        <v>3.7037037037037E-2</v>
      </c>
      <c r="AE107">
        <v>-0.18518518518518501</v>
      </c>
    </row>
    <row r="108" spans="1:38" x14ac:dyDescent="0.25">
      <c r="B108" t="s">
        <v>8</v>
      </c>
      <c r="C108">
        <v>-2.9333333333333302E-2</v>
      </c>
      <c r="D108">
        <v>2.09580838323353E-2</v>
      </c>
      <c r="E108">
        <v>3.9039039039038999E-2</v>
      </c>
      <c r="F108">
        <v>-4.5333333333333302E-2</v>
      </c>
      <c r="G108">
        <v>1.6E-2</v>
      </c>
      <c r="H108">
        <v>2.4E-2</v>
      </c>
      <c r="I108">
        <v>-6.5420560747663503E-2</v>
      </c>
      <c r="J108">
        <v>-7.7844311377245498E-2</v>
      </c>
      <c r="K108">
        <v>-0.107226107226107</v>
      </c>
      <c r="L108">
        <v>-4.8048048048047999E-2</v>
      </c>
      <c r="M108">
        <v>-0.117333333333333</v>
      </c>
      <c r="N108">
        <v>-9.3240093240093205E-3</v>
      </c>
      <c r="O108">
        <v>8.2000000000000003E-2</v>
      </c>
      <c r="P108">
        <v>-8.5000000000000006E-2</v>
      </c>
      <c r="Q108">
        <v>0.04</v>
      </c>
      <c r="R108">
        <v>0.15333333333333299</v>
      </c>
      <c r="S108">
        <v>9.8666666666666597E-2</v>
      </c>
      <c r="T108">
        <v>0.18533333333333299</v>
      </c>
      <c r="U108">
        <v>-3.4000000000000002E-2</v>
      </c>
      <c r="V108">
        <v>-0.14799999999999999</v>
      </c>
      <c r="W108">
        <v>-0.105</v>
      </c>
      <c r="X108">
        <v>-4.3999999999999997E-2</v>
      </c>
      <c r="Y108">
        <v>-3.4965034965034898E-2</v>
      </c>
      <c r="Z108">
        <v>-9.4666666666666593E-2</v>
      </c>
      <c r="AA108">
        <v>0.27</v>
      </c>
      <c r="AB108">
        <v>0.138528138528138</v>
      </c>
      <c r="AC108">
        <v>0.139194139194139</v>
      </c>
      <c r="AD108">
        <v>0.95599999999999996</v>
      </c>
      <c r="AE108">
        <v>1</v>
      </c>
    </row>
    <row r="109" spans="1:38" x14ac:dyDescent="0.25">
      <c r="A109" t="str">
        <f>"Game" &amp; (ROW(A109) - 1)/3  + 1</f>
        <v>Game37</v>
      </c>
    </row>
    <row r="110" spans="1:38" x14ac:dyDescent="0.25">
      <c r="B110" t="s">
        <v>8</v>
      </c>
      <c r="C110">
        <v>-8.1081081081081002E-2</v>
      </c>
      <c r="D110">
        <v>9.5808383233532898E-2</v>
      </c>
      <c r="E110">
        <v>8.4084084084083993E-2</v>
      </c>
      <c r="F110">
        <v>-2.9940119760479E-3</v>
      </c>
      <c r="G110">
        <v>6.5420560747663503E-2</v>
      </c>
      <c r="H110">
        <v>-5.5944055944055902E-2</v>
      </c>
      <c r="I110">
        <v>-0.114666666666666</v>
      </c>
      <c r="J110">
        <v>-1.8666666666666599E-2</v>
      </c>
      <c r="K110">
        <v>-1.8018018018018001E-2</v>
      </c>
      <c r="L110">
        <v>-2.5641025641025599E-2</v>
      </c>
      <c r="M110">
        <v>-0.116822429906542</v>
      </c>
      <c r="N110">
        <v>3.4000000000000002E-2</v>
      </c>
      <c r="O110">
        <v>-1.8648018648018599E-2</v>
      </c>
      <c r="P110">
        <v>-3.6666666666666597E-2</v>
      </c>
      <c r="Q110">
        <v>-1.2E-2</v>
      </c>
      <c r="R110">
        <v>0.14133333333333301</v>
      </c>
      <c r="S110">
        <v>0.126</v>
      </c>
      <c r="T110">
        <v>3.2000000000000001E-2</v>
      </c>
      <c r="U110">
        <v>-3.4000000000000002E-2</v>
      </c>
      <c r="V110">
        <v>3.2634032634032598E-2</v>
      </c>
      <c r="W110">
        <v>-9.6000000000000002E-2</v>
      </c>
      <c r="X110">
        <v>4.4666666666666598E-2</v>
      </c>
      <c r="Y110">
        <v>-1.6E-2</v>
      </c>
      <c r="Z110">
        <v>-4.33333333333333E-2</v>
      </c>
      <c r="AA110">
        <v>8.3333333333333297E-3</v>
      </c>
      <c r="AB110">
        <v>-0.13600000000000001</v>
      </c>
      <c r="AC110">
        <v>-0.178666666666666</v>
      </c>
      <c r="AD110">
        <v>-6.6666666666666602E-3</v>
      </c>
      <c r="AE110">
        <v>-5.1999999999999998E-2</v>
      </c>
      <c r="AF110">
        <v>-8.8999999999999996E-2</v>
      </c>
      <c r="AG110">
        <v>0.108</v>
      </c>
      <c r="AH110">
        <v>5.31914893617021E-3</v>
      </c>
      <c r="AI110">
        <v>-0.29437229437229401</v>
      </c>
      <c r="AJ110">
        <v>0.116666666666666</v>
      </c>
      <c r="AK110">
        <v>0.11799999999999999</v>
      </c>
      <c r="AL110">
        <v>-1</v>
      </c>
    </row>
    <row r="111" spans="1:38" x14ac:dyDescent="0.25">
      <c r="B111" t="s">
        <v>4</v>
      </c>
      <c r="C111">
        <v>5.9880239520958001E-3</v>
      </c>
      <c r="D111">
        <v>3.6036036036036001E-2</v>
      </c>
      <c r="E111">
        <v>6.1333333333333302E-2</v>
      </c>
      <c r="F111">
        <v>-2.6666666666666601E-3</v>
      </c>
      <c r="G111">
        <v>2.69461077844311E-2</v>
      </c>
      <c r="H111">
        <v>1.49700598802395E-2</v>
      </c>
      <c r="I111">
        <v>2.4E-2</v>
      </c>
      <c r="J111">
        <v>3.2000000000000001E-2</v>
      </c>
      <c r="K111">
        <v>3.7333333333333302E-2</v>
      </c>
      <c r="L111">
        <v>2.9333333333333302E-2</v>
      </c>
      <c r="M111">
        <v>1.4018691588785E-2</v>
      </c>
      <c r="N111">
        <v>5.6000000000000001E-2</v>
      </c>
      <c r="O111">
        <v>3.03738317757009E-2</v>
      </c>
      <c r="P111">
        <v>2.33644859813084E-2</v>
      </c>
      <c r="Q111">
        <v>1.4E-2</v>
      </c>
      <c r="R111">
        <v>3.5999999999999997E-2</v>
      </c>
      <c r="S111">
        <v>-1.4999999999999999E-2</v>
      </c>
      <c r="T111">
        <v>3.4666666666666603E-2</v>
      </c>
      <c r="U111">
        <v>3.7333333333333302E-2</v>
      </c>
      <c r="V111">
        <v>4.8333333333333298E-2</v>
      </c>
      <c r="W111">
        <v>1.9E-2</v>
      </c>
      <c r="X111">
        <v>2.6666666666666599E-2</v>
      </c>
      <c r="Y111">
        <v>6.3333333333333297E-2</v>
      </c>
      <c r="Z111">
        <v>0.02</v>
      </c>
      <c r="AA111">
        <v>0.03</v>
      </c>
      <c r="AB111">
        <v>0.02</v>
      </c>
      <c r="AC111">
        <v>2.9333333333333302E-2</v>
      </c>
      <c r="AD111">
        <v>0.08</v>
      </c>
      <c r="AE111">
        <v>2E-3</v>
      </c>
      <c r="AF111">
        <v>-7.9000000000000001E-2</v>
      </c>
      <c r="AG111">
        <v>9.8666666666666597E-2</v>
      </c>
      <c r="AH111">
        <v>9.3333333333333306E-3</v>
      </c>
      <c r="AI111">
        <v>0.355333333333333</v>
      </c>
      <c r="AJ111">
        <v>0.59633333333333305</v>
      </c>
      <c r="AK111">
        <v>0.97266666666666601</v>
      </c>
      <c r="AL111">
        <v>1</v>
      </c>
    </row>
    <row r="112" spans="1:38" x14ac:dyDescent="0.25">
      <c r="A112" t="str">
        <f>"Game" &amp; (ROW(A112) - 1)/3  + 1</f>
        <v>Game38</v>
      </c>
    </row>
    <row r="113" spans="1:38" x14ac:dyDescent="0.25">
      <c r="B113" t="s">
        <v>4</v>
      </c>
      <c r="C113">
        <v>-0.162162162162162</v>
      </c>
      <c r="D113">
        <v>1.2012012012012E-2</v>
      </c>
      <c r="E113">
        <v>3.6036036036036001E-2</v>
      </c>
      <c r="F113">
        <v>4.2042042042041997E-2</v>
      </c>
      <c r="G113">
        <v>2.6666666666666599E-2</v>
      </c>
      <c r="H113">
        <v>0.04</v>
      </c>
      <c r="I113">
        <v>3.2000000000000001E-2</v>
      </c>
      <c r="J113">
        <v>0</v>
      </c>
      <c r="K113">
        <v>1.4E-2</v>
      </c>
      <c r="L113">
        <v>2.1999999999999999E-2</v>
      </c>
      <c r="M113">
        <v>1.8666666666666599E-2</v>
      </c>
      <c r="N113">
        <v>1.16822429906542E-2</v>
      </c>
      <c r="O113">
        <v>0</v>
      </c>
      <c r="P113">
        <v>2.09790209790209E-2</v>
      </c>
      <c r="Q113">
        <v>3.4965034965034898E-2</v>
      </c>
      <c r="R113">
        <v>1.8648018648018599E-2</v>
      </c>
      <c r="S113">
        <v>2.57009345794392E-2</v>
      </c>
      <c r="T113">
        <v>0.03</v>
      </c>
      <c r="U113">
        <v>3.3333333333333301E-3</v>
      </c>
      <c r="V113">
        <v>-2E-3</v>
      </c>
      <c r="W113">
        <v>0.04</v>
      </c>
      <c r="X113">
        <v>6.6666666666666596E-2</v>
      </c>
      <c r="Y113">
        <v>2.6666666666666599E-2</v>
      </c>
      <c r="Z113">
        <v>0.126</v>
      </c>
      <c r="AA113">
        <v>0.182</v>
      </c>
      <c r="AB113">
        <v>0.184</v>
      </c>
      <c r="AC113">
        <v>3.3333333333333298E-2</v>
      </c>
      <c r="AD113">
        <v>1.8987341772151899E-2</v>
      </c>
      <c r="AE113">
        <v>0.02</v>
      </c>
      <c r="AF113">
        <v>3.2000000000000001E-2</v>
      </c>
      <c r="AG113">
        <v>1.3986013986013899E-2</v>
      </c>
      <c r="AH113">
        <v>0</v>
      </c>
      <c r="AI113">
        <v>0</v>
      </c>
      <c r="AJ113" t="s">
        <v>10</v>
      </c>
    </row>
    <row r="114" spans="1:38" x14ac:dyDescent="0.25">
      <c r="B114" t="s">
        <v>8</v>
      </c>
      <c r="C114">
        <v>-4.2666666666666603E-2</v>
      </c>
      <c r="D114">
        <v>-3.0030030030029999E-3</v>
      </c>
      <c r="E114">
        <v>9.5808383233532898E-2</v>
      </c>
      <c r="F114">
        <v>-8.9820359281437105E-3</v>
      </c>
      <c r="G114">
        <v>3.2710280373831703E-2</v>
      </c>
      <c r="H114">
        <v>4.5333333333333302E-2</v>
      </c>
      <c r="I114">
        <v>-0.10210210210210199</v>
      </c>
      <c r="J114">
        <v>-3.03030303030303E-2</v>
      </c>
      <c r="K114">
        <v>-1.06666666666666E-2</v>
      </c>
      <c r="L114">
        <v>-0.04</v>
      </c>
      <c r="M114">
        <v>-6.9930069930069894E-2</v>
      </c>
      <c r="N114">
        <v>-5.8666666666666603E-2</v>
      </c>
      <c r="O114">
        <v>-1.4E-2</v>
      </c>
      <c r="P114">
        <v>-5.1666666666666597E-2</v>
      </c>
      <c r="Q114">
        <v>-5.0666666666666603E-2</v>
      </c>
      <c r="R114">
        <v>0.05</v>
      </c>
      <c r="S114">
        <v>-9.1999999999999998E-2</v>
      </c>
      <c r="T114">
        <v>-0.14399999999999999</v>
      </c>
      <c r="U114">
        <v>-8.2666666666666597E-2</v>
      </c>
      <c r="V114">
        <v>2.7E-2</v>
      </c>
      <c r="W114">
        <v>0.02</v>
      </c>
      <c r="X114">
        <v>-5.3333333333333297E-3</v>
      </c>
      <c r="Y114">
        <v>2.5000000000000001E-2</v>
      </c>
      <c r="Z114">
        <v>-0.28828828828828801</v>
      </c>
      <c r="AA114">
        <v>-0.29166666666666602</v>
      </c>
      <c r="AB114">
        <v>-0.206666666666666</v>
      </c>
      <c r="AC114">
        <v>-6.2E-2</v>
      </c>
      <c r="AD114">
        <v>-6.2666666666666607E-2</v>
      </c>
      <c r="AE114">
        <v>3.0666666666666599E-2</v>
      </c>
      <c r="AF114">
        <v>-0.04</v>
      </c>
      <c r="AG114">
        <v>-2.1999999999999999E-2</v>
      </c>
      <c r="AH114">
        <v>0</v>
      </c>
      <c r="AI114">
        <v>0</v>
      </c>
      <c r="AJ114" t="s">
        <v>10</v>
      </c>
    </row>
    <row r="115" spans="1:38" x14ac:dyDescent="0.25">
      <c r="A115" t="str">
        <f>"Game" &amp; (ROW(A115) - 1)/3  + 1</f>
        <v>Game39</v>
      </c>
    </row>
    <row r="116" spans="1:38" x14ac:dyDescent="0.25">
      <c r="B116" t="s">
        <v>8</v>
      </c>
      <c r="C116">
        <v>-0.135135135135135</v>
      </c>
      <c r="D116">
        <v>7.1856287425149698E-2</v>
      </c>
      <c r="E116">
        <v>-3.0030030030029999E-3</v>
      </c>
      <c r="F116">
        <v>4.2666666666666603E-2</v>
      </c>
      <c r="G116">
        <v>-2.33644859813084E-2</v>
      </c>
      <c r="H116">
        <v>6.07476635514018E-2</v>
      </c>
      <c r="I116">
        <v>4.4289044289044198E-2</v>
      </c>
      <c r="J116">
        <v>9.0090090090090003E-3</v>
      </c>
      <c r="K116">
        <v>-5.6886227544910101E-2</v>
      </c>
      <c r="L116">
        <v>-7.1999999999999995E-2</v>
      </c>
      <c r="M116">
        <v>-3.6666666666666597E-2</v>
      </c>
      <c r="N116">
        <v>2.6666666666666599E-2</v>
      </c>
      <c r="O116">
        <v>7.8078078078077998E-2</v>
      </c>
      <c r="P116">
        <v>-1.4E-2</v>
      </c>
      <c r="Q116">
        <v>4.6620046620046603E-2</v>
      </c>
      <c r="R116">
        <v>2.5999999999999999E-2</v>
      </c>
      <c r="S116">
        <v>7.1999999999999995E-2</v>
      </c>
      <c r="T116">
        <v>-1.3986013986013899E-2</v>
      </c>
      <c r="U116">
        <v>-5.0000000000000001E-3</v>
      </c>
      <c r="V116">
        <v>-3.03738317757009E-2</v>
      </c>
      <c r="W116">
        <v>0.13580246913580199</v>
      </c>
      <c r="X116">
        <v>-0.01</v>
      </c>
      <c r="Y116">
        <v>9.0090090090090003E-2</v>
      </c>
      <c r="Z116">
        <v>3.59281437125748E-2</v>
      </c>
      <c r="AA116">
        <v>-6.6666666666666602E-3</v>
      </c>
      <c r="AB116">
        <v>-2.6666666666666599E-2</v>
      </c>
      <c r="AC116">
        <v>1.33333333333333E-3</v>
      </c>
      <c r="AD116">
        <v>5.2999999999999999E-2</v>
      </c>
      <c r="AE116">
        <v>9.4E-2</v>
      </c>
      <c r="AF116">
        <v>0</v>
      </c>
      <c r="AG116" t="s">
        <v>10</v>
      </c>
    </row>
    <row r="117" spans="1:38" x14ac:dyDescent="0.25">
      <c r="B117" t="s">
        <v>4</v>
      </c>
      <c r="C117">
        <v>1.19760479041916E-2</v>
      </c>
      <c r="D117">
        <v>-3.0030030030029999E-3</v>
      </c>
      <c r="E117">
        <v>2.9940119760479E-2</v>
      </c>
      <c r="F117">
        <v>3.4666666666666603E-2</v>
      </c>
      <c r="G117">
        <v>1.6E-2</v>
      </c>
      <c r="H117">
        <v>5.0666666666666603E-2</v>
      </c>
      <c r="I117">
        <v>2.8037383177569999E-2</v>
      </c>
      <c r="J117">
        <v>3.7999999999999999E-2</v>
      </c>
      <c r="K117">
        <v>2.5999999999999999E-2</v>
      </c>
      <c r="L117">
        <v>3.4666666666666603E-2</v>
      </c>
      <c r="M117">
        <v>-4.0000000000000001E-3</v>
      </c>
      <c r="N117">
        <v>3.2710280373831703E-2</v>
      </c>
      <c r="O117">
        <v>-2.33644859813084E-2</v>
      </c>
      <c r="P117">
        <v>-4.1000000000000002E-2</v>
      </c>
      <c r="Q117">
        <v>2.5999999999999999E-2</v>
      </c>
      <c r="R117">
        <v>1.2E-2</v>
      </c>
      <c r="S117">
        <v>5.1666666666666597E-2</v>
      </c>
      <c r="T117">
        <v>2.1999999999999999E-2</v>
      </c>
      <c r="U117">
        <v>3.2000000000000001E-2</v>
      </c>
      <c r="V117">
        <v>2.5000000000000001E-2</v>
      </c>
      <c r="W117">
        <v>-6.3333333333333297E-2</v>
      </c>
      <c r="X117">
        <v>2.0666666666666601E-2</v>
      </c>
      <c r="Y117">
        <v>3.8461538461538401E-2</v>
      </c>
      <c r="Z117">
        <v>3.4090909090908998E-2</v>
      </c>
      <c r="AA117">
        <v>1.9E-2</v>
      </c>
      <c r="AB117">
        <v>2.5974025974025899E-2</v>
      </c>
      <c r="AC117">
        <v>2.5641025641025599E-2</v>
      </c>
      <c r="AD117">
        <v>-9.7000000000000003E-2</v>
      </c>
      <c r="AE117">
        <v>0</v>
      </c>
      <c r="AF117">
        <v>0</v>
      </c>
      <c r="AG117" t="s">
        <v>10</v>
      </c>
    </row>
    <row r="118" spans="1:38" x14ac:dyDescent="0.25">
      <c r="A118" t="str">
        <f>"Game" &amp; (ROW(A118) - 1)/3  + 1</f>
        <v>Game40</v>
      </c>
    </row>
    <row r="119" spans="1:38" x14ac:dyDescent="0.25">
      <c r="B119" t="s">
        <v>4</v>
      </c>
      <c r="C119">
        <v>2.7027027027027001E-2</v>
      </c>
      <c r="D119">
        <v>2.7027027027027001E-2</v>
      </c>
      <c r="E119">
        <v>2.6666666666666601E-3</v>
      </c>
      <c r="F119">
        <v>2.69461077844311E-2</v>
      </c>
      <c r="G119">
        <v>1.06666666666666E-2</v>
      </c>
      <c r="H119">
        <v>3.89221556886227E-2</v>
      </c>
      <c r="I119">
        <v>9.3457943925233603E-3</v>
      </c>
      <c r="J119">
        <v>2.39520958083832E-2</v>
      </c>
      <c r="K119">
        <v>7.0093457943925198E-3</v>
      </c>
      <c r="L119">
        <v>4.5045045045045001E-2</v>
      </c>
      <c r="M119">
        <v>3.2000000000000001E-2</v>
      </c>
      <c r="N119">
        <v>-5.3333333333333297E-3</v>
      </c>
      <c r="O119">
        <v>1.3333333333333299E-2</v>
      </c>
      <c r="P119">
        <v>-1.6355140186915799E-2</v>
      </c>
      <c r="Q119">
        <v>9.0666666666666604E-2</v>
      </c>
      <c r="R119">
        <v>3.03030303030303E-2</v>
      </c>
      <c r="S119">
        <v>4.6666666666666599E-2</v>
      </c>
      <c r="T119">
        <v>-0.01</v>
      </c>
      <c r="U119">
        <v>3.6666666666666597E-2</v>
      </c>
      <c r="V119">
        <v>4.2000000000000003E-2</v>
      </c>
      <c r="W119">
        <v>0.05</v>
      </c>
      <c r="X119">
        <v>-6.6666666666666602E-3</v>
      </c>
      <c r="Y119">
        <v>6.8333333333333302E-2</v>
      </c>
      <c r="Z119">
        <v>-6.1333333333333302E-2</v>
      </c>
      <c r="AA119">
        <v>-5.0000000000000001E-3</v>
      </c>
      <c r="AB119">
        <v>5.3435114503816702E-2</v>
      </c>
      <c r="AC119">
        <v>3.4965034965034898E-2</v>
      </c>
      <c r="AD119">
        <v>-4.0000000000000001E-3</v>
      </c>
      <c r="AE119">
        <v>0.20799999999999999</v>
      </c>
      <c r="AF119">
        <v>0.42599999999999999</v>
      </c>
      <c r="AG119">
        <v>9.83333333333333E-2</v>
      </c>
      <c r="AH119">
        <v>3.7037037037037E-2</v>
      </c>
      <c r="AI119">
        <v>0.56000000000000005</v>
      </c>
      <c r="AJ119">
        <v>0</v>
      </c>
      <c r="AK119">
        <v>0</v>
      </c>
      <c r="AL119" t="s">
        <v>10</v>
      </c>
    </row>
    <row r="120" spans="1:38" x14ac:dyDescent="0.25">
      <c r="B120" t="s">
        <v>8</v>
      </c>
      <c r="C120">
        <v>-3.7333333333333302E-2</v>
      </c>
      <c r="D120">
        <v>-5.4054054054054002E-2</v>
      </c>
      <c r="E120">
        <v>-9.34579439252336E-2</v>
      </c>
      <c r="F120">
        <v>-6.0060060060059997E-2</v>
      </c>
      <c r="G120">
        <v>-3.7333333333333302E-2</v>
      </c>
      <c r="H120">
        <v>-5.4054054054054002E-2</v>
      </c>
      <c r="I120">
        <v>-0.01</v>
      </c>
      <c r="J120">
        <v>-0.128</v>
      </c>
      <c r="K120">
        <v>7.7102803738317696E-2</v>
      </c>
      <c r="L120">
        <v>-2.8000000000000001E-2</v>
      </c>
      <c r="M120">
        <v>-0.104</v>
      </c>
      <c r="N120">
        <v>-2.57009345794392E-2</v>
      </c>
      <c r="O120">
        <v>-9.11214953271028E-2</v>
      </c>
      <c r="P120">
        <v>-0.222</v>
      </c>
      <c r="Q120">
        <v>-8.1775700934579407E-2</v>
      </c>
      <c r="R120">
        <v>-4.5999999999999999E-2</v>
      </c>
      <c r="S120">
        <v>-4.2000000000000003E-2</v>
      </c>
      <c r="T120">
        <v>-6.6666666666666602E-3</v>
      </c>
      <c r="U120">
        <v>-2.2666666666666599E-2</v>
      </c>
      <c r="V120">
        <v>-9.3333333333333306E-3</v>
      </c>
      <c r="W120">
        <v>-6.4000000000000001E-2</v>
      </c>
      <c r="X120">
        <v>-8.8333333333333305E-2</v>
      </c>
      <c r="Y120">
        <v>-0.23200000000000001</v>
      </c>
      <c r="Z120">
        <v>4.8000000000000001E-2</v>
      </c>
      <c r="AA120">
        <v>7.69230769230769E-2</v>
      </c>
      <c r="AB120">
        <v>7.5999999999999998E-2</v>
      </c>
      <c r="AC120">
        <v>0.23076923076923</v>
      </c>
      <c r="AD120">
        <v>-0.18933333333333299</v>
      </c>
      <c r="AE120">
        <v>0.80933333333333302</v>
      </c>
      <c r="AF120">
        <v>0.11111111111111099</v>
      </c>
      <c r="AG120">
        <v>0.21</v>
      </c>
      <c r="AH120">
        <v>-0.22222222222222199</v>
      </c>
      <c r="AI120">
        <v>0</v>
      </c>
      <c r="AJ120">
        <v>0</v>
      </c>
      <c r="AK120" t="s">
        <v>10</v>
      </c>
    </row>
    <row r="121" spans="1:38" x14ac:dyDescent="0.25">
      <c r="A121" t="str">
        <f>"Game" &amp; (ROW(A121) - 1)/3  + 1</f>
        <v>Game41</v>
      </c>
    </row>
    <row r="122" spans="1:38" x14ac:dyDescent="0.25">
      <c r="B122" t="s">
        <v>8</v>
      </c>
      <c r="C122">
        <v>0</v>
      </c>
      <c r="D122">
        <v>-3.3033033033033003E-2</v>
      </c>
      <c r="E122">
        <v>-2.4E-2</v>
      </c>
      <c r="F122">
        <v>-4.8048048048047999E-2</v>
      </c>
      <c r="G122">
        <v>2.9333333333333302E-2</v>
      </c>
      <c r="H122">
        <v>-7.8078078078077998E-2</v>
      </c>
      <c r="I122">
        <v>-4.5045045045045001E-2</v>
      </c>
      <c r="J122">
        <v>-2.7027027027027001E-2</v>
      </c>
      <c r="K122">
        <v>4.8951048951048903E-2</v>
      </c>
      <c r="L122">
        <v>-1.79640718562874E-2</v>
      </c>
      <c r="M122">
        <v>5.5555555555555497E-2</v>
      </c>
      <c r="N122">
        <v>-0.101333333333333</v>
      </c>
      <c r="O122">
        <v>-0.05</v>
      </c>
      <c r="P122">
        <v>3.5999999999999997E-2</v>
      </c>
      <c r="Q122">
        <v>1.5873015873015799E-2</v>
      </c>
      <c r="R122">
        <v>0.121495327102803</v>
      </c>
      <c r="S122">
        <v>-2.1999999999999999E-2</v>
      </c>
      <c r="T122">
        <v>-0.11</v>
      </c>
      <c r="U122">
        <v>-9.6666666666666595E-2</v>
      </c>
      <c r="V122">
        <v>-3.2967032967032898E-2</v>
      </c>
      <c r="W122">
        <v>7.1666666666666601E-2</v>
      </c>
      <c r="X122">
        <v>7.0000000000000007E-2</v>
      </c>
      <c r="Y122">
        <v>-2.2900763358778602E-2</v>
      </c>
      <c r="Z122">
        <v>-9.0909090909090898E-2</v>
      </c>
      <c r="AA122">
        <v>0.21199999999999999</v>
      </c>
      <c r="AB122">
        <v>-6.8000000000000005E-2</v>
      </c>
      <c r="AC122">
        <v>0.51666666666666605</v>
      </c>
      <c r="AD122">
        <v>0</v>
      </c>
      <c r="AE122">
        <v>0</v>
      </c>
      <c r="AF122" t="s">
        <v>10</v>
      </c>
    </row>
    <row r="123" spans="1:38" x14ac:dyDescent="0.25">
      <c r="B123" t="s">
        <v>4</v>
      </c>
      <c r="C123">
        <v>2.09580838323353E-2</v>
      </c>
      <c r="D123">
        <v>2.1021021021020998E-2</v>
      </c>
      <c r="E123">
        <v>3.2000000000000001E-2</v>
      </c>
      <c r="F123">
        <v>-5.3333333333333297E-3</v>
      </c>
      <c r="G123">
        <v>2.57009345794392E-2</v>
      </c>
      <c r="H123">
        <v>-2.3364485981308401E-3</v>
      </c>
      <c r="I123">
        <v>2.1999999999999999E-2</v>
      </c>
      <c r="J123">
        <v>1.16550116550116E-2</v>
      </c>
      <c r="K123">
        <v>2.4E-2</v>
      </c>
      <c r="L123">
        <v>1.6317016317016299E-2</v>
      </c>
      <c r="M123">
        <v>4.67289719626168E-2</v>
      </c>
      <c r="N123">
        <v>-5.3333333333333297E-3</v>
      </c>
      <c r="O123">
        <v>3.4000000000000002E-2</v>
      </c>
      <c r="P123">
        <v>3.2258064516128997E-2</v>
      </c>
      <c r="Q123">
        <v>3.4666666666666603E-2</v>
      </c>
      <c r="R123">
        <v>5.3333333333333302E-2</v>
      </c>
      <c r="S123">
        <v>0</v>
      </c>
      <c r="T123">
        <v>0.04</v>
      </c>
      <c r="U123">
        <v>-2.1333333333333301E-2</v>
      </c>
      <c r="V123">
        <v>1.0638297872340399E-2</v>
      </c>
      <c r="W123">
        <v>-8.4000000000000005E-2</v>
      </c>
      <c r="X123">
        <v>-5.5E-2</v>
      </c>
      <c r="Y123">
        <v>7.3529411764705803E-3</v>
      </c>
      <c r="Z123">
        <v>2.1333333333333301E-2</v>
      </c>
      <c r="AA123">
        <v>0.27</v>
      </c>
      <c r="AB123">
        <v>7.3529411764705803E-3</v>
      </c>
      <c r="AC123">
        <v>0</v>
      </c>
      <c r="AD123">
        <v>0</v>
      </c>
      <c r="AE123" t="s">
        <v>10</v>
      </c>
    </row>
    <row r="124" spans="1:38" x14ac:dyDescent="0.25">
      <c r="A124" t="str">
        <f>"Game" &amp; (ROW(A124) - 1)/3  + 1</f>
        <v>Game42</v>
      </c>
    </row>
    <row r="125" spans="1:38" x14ac:dyDescent="0.25">
      <c r="B125" t="s">
        <v>4</v>
      </c>
      <c r="C125">
        <v>2.7027027027027001E-2</v>
      </c>
      <c r="D125">
        <v>2.39520958083832E-2</v>
      </c>
      <c r="E125">
        <v>4.2042042042041997E-2</v>
      </c>
      <c r="F125">
        <v>9.3240093240093205E-3</v>
      </c>
      <c r="G125">
        <v>0.04</v>
      </c>
      <c r="H125">
        <v>2.1999999999999999E-2</v>
      </c>
      <c r="I125">
        <v>9.0090090090090003E-3</v>
      </c>
      <c r="J125">
        <v>1.16666666666666E-2</v>
      </c>
      <c r="K125">
        <v>4.5333333333333302E-2</v>
      </c>
      <c r="L125">
        <v>1.6E-2</v>
      </c>
      <c r="M125">
        <v>2.9333333333333302E-2</v>
      </c>
      <c r="N125">
        <v>-3.3333333333333301E-3</v>
      </c>
      <c r="O125">
        <v>6.4000000000000001E-2</v>
      </c>
      <c r="P125">
        <v>7.0093457943925198E-3</v>
      </c>
      <c r="Q125">
        <v>0</v>
      </c>
      <c r="R125">
        <v>-5.3613053613053602E-2</v>
      </c>
      <c r="S125">
        <v>-2E-3</v>
      </c>
      <c r="T125">
        <v>1.8333333333333299E-2</v>
      </c>
      <c r="U125">
        <v>-0.29799999999999999</v>
      </c>
      <c r="V125">
        <v>-0.13752913752913701</v>
      </c>
      <c r="W125">
        <v>-0.19600000000000001</v>
      </c>
      <c r="X125">
        <v>-0.15666666666666601</v>
      </c>
      <c r="Y125">
        <v>5.8252427184466E-2</v>
      </c>
      <c r="Z125">
        <v>3.6036036036036001E-2</v>
      </c>
      <c r="AA125">
        <v>-0.107</v>
      </c>
      <c r="AB125">
        <v>-0.18533333333333299</v>
      </c>
      <c r="AC125">
        <v>-8.9333333333333306E-2</v>
      </c>
      <c r="AD125">
        <v>0.24099999999999999</v>
      </c>
      <c r="AE125">
        <v>0.19500000000000001</v>
      </c>
      <c r="AF125">
        <v>0.23200000000000001</v>
      </c>
      <c r="AG125">
        <v>0.17199999999999999</v>
      </c>
      <c r="AH125">
        <v>0.11111111111111099</v>
      </c>
      <c r="AI125">
        <v>-0.04</v>
      </c>
      <c r="AJ125" t="s">
        <v>10</v>
      </c>
    </row>
    <row r="126" spans="1:38" x14ac:dyDescent="0.25">
      <c r="B126" t="s">
        <v>8</v>
      </c>
      <c r="C126">
        <v>0</v>
      </c>
      <c r="D126">
        <v>-2.9333333333333302E-2</v>
      </c>
      <c r="E126">
        <v>-9.2814371257484998E-2</v>
      </c>
      <c r="F126">
        <v>3.59281437125748E-2</v>
      </c>
      <c r="G126">
        <v>0</v>
      </c>
      <c r="H126">
        <v>-3.4666666666666603E-2</v>
      </c>
      <c r="I126">
        <v>5.3333333333333297E-3</v>
      </c>
      <c r="J126">
        <v>1.16550116550116E-2</v>
      </c>
      <c r="K126">
        <v>2.6666666666666601E-3</v>
      </c>
      <c r="L126">
        <v>-1.6355140186915799E-2</v>
      </c>
      <c r="M126">
        <v>-1.2E-2</v>
      </c>
      <c r="N126">
        <v>0.107226107226107</v>
      </c>
      <c r="O126">
        <v>-3.2634032634032598E-2</v>
      </c>
      <c r="P126">
        <v>6.6666666666666596E-2</v>
      </c>
      <c r="Q126">
        <v>6.0060060060059999E-3</v>
      </c>
      <c r="R126">
        <v>0.16923076923076899</v>
      </c>
      <c r="S126">
        <v>-4.67289719626168E-2</v>
      </c>
      <c r="T126">
        <v>0.391666666666666</v>
      </c>
      <c r="U126">
        <v>0.21686746987951799</v>
      </c>
      <c r="V126">
        <v>0.224</v>
      </c>
      <c r="W126">
        <v>0.218</v>
      </c>
      <c r="X126">
        <v>0.13100000000000001</v>
      </c>
      <c r="Y126">
        <v>2.6666666666666599E-2</v>
      </c>
      <c r="Z126">
        <v>-0.04</v>
      </c>
      <c r="AA126">
        <v>-1.2E-2</v>
      </c>
      <c r="AB126">
        <v>0.28133333333333299</v>
      </c>
      <c r="AC126">
        <v>-0.1</v>
      </c>
      <c r="AD126">
        <v>-0.35329341317365198</v>
      </c>
      <c r="AE126">
        <v>-0.29411764705882298</v>
      </c>
      <c r="AF126">
        <v>-9.30232558139534E-3</v>
      </c>
      <c r="AG126">
        <v>0.47599999999999998</v>
      </c>
      <c r="AH126">
        <v>0.92488262910798102</v>
      </c>
      <c r="AI126">
        <v>1</v>
      </c>
      <c r="AJ126" t="s">
        <v>10</v>
      </c>
    </row>
    <row r="127" spans="1:38" x14ac:dyDescent="0.25">
      <c r="A127" t="str">
        <f>"Game" &amp; (ROW(A127) - 1)/3  + 1</f>
        <v>Game43</v>
      </c>
    </row>
    <row r="128" spans="1:38" x14ac:dyDescent="0.25">
      <c r="B128" t="s">
        <v>8</v>
      </c>
      <c r="C128">
        <v>0.162162162162162</v>
      </c>
      <c r="D128">
        <v>3.0030030030029999E-2</v>
      </c>
      <c r="E128">
        <v>0.101333333333333</v>
      </c>
      <c r="F128">
        <v>9.6096096096096095E-2</v>
      </c>
      <c r="G128">
        <v>5.0666666666666603E-2</v>
      </c>
      <c r="H128">
        <v>0.165333333333333</v>
      </c>
      <c r="I128">
        <v>-2.09580838323353E-2</v>
      </c>
      <c r="J128">
        <v>6.9930069930069904E-3</v>
      </c>
      <c r="K128">
        <v>0.12121212121212099</v>
      </c>
      <c r="L128">
        <v>5.1051051051050997E-2</v>
      </c>
      <c r="M128">
        <v>3.4666666666666603E-2</v>
      </c>
      <c r="N128">
        <v>6.07476635514018E-2</v>
      </c>
      <c r="O128">
        <v>0</v>
      </c>
      <c r="P128">
        <v>4.1666666666666602E-2</v>
      </c>
      <c r="Q128">
        <v>-2.5641025641025599E-2</v>
      </c>
      <c r="R128">
        <v>7.0093457943925198E-3</v>
      </c>
      <c r="S128">
        <v>-9.8666666666666597E-2</v>
      </c>
      <c r="T128">
        <v>8.8785046728971903E-2</v>
      </c>
      <c r="U128">
        <v>3.4666666666666603E-2</v>
      </c>
      <c r="V128">
        <v>0.01</v>
      </c>
      <c r="W128">
        <v>-0.116666666666666</v>
      </c>
      <c r="X128">
        <v>0.14606741573033699</v>
      </c>
      <c r="Y128">
        <v>-6.4000000000000001E-2</v>
      </c>
      <c r="Z128">
        <v>0.15833333333333299</v>
      </c>
      <c r="AA128">
        <v>5.3333333333333302E-2</v>
      </c>
      <c r="AB128">
        <v>6.9333333333333302E-2</v>
      </c>
      <c r="AC128">
        <v>-5.3475935828876997E-2</v>
      </c>
      <c r="AD128">
        <v>-0.289719626168224</v>
      </c>
      <c r="AE128">
        <v>-9.4666666666666593E-2</v>
      </c>
      <c r="AF128">
        <v>-0.36</v>
      </c>
      <c r="AG128">
        <v>0.32705882352941101</v>
      </c>
      <c r="AH128">
        <v>0.97866666666666602</v>
      </c>
      <c r="AI128">
        <v>0.99099999999999999</v>
      </c>
      <c r="AJ128">
        <v>1</v>
      </c>
      <c r="AK128" t="s">
        <v>10</v>
      </c>
    </row>
    <row r="129" spans="1:36" x14ac:dyDescent="0.25">
      <c r="B129" t="s">
        <v>4</v>
      </c>
      <c r="C129">
        <v>-1.8018018018018001E-2</v>
      </c>
      <c r="D129">
        <v>-1.8018018018018001E-2</v>
      </c>
      <c r="E129">
        <v>-4.5045045045045001E-2</v>
      </c>
      <c r="F129">
        <v>2.1333333333333301E-2</v>
      </c>
      <c r="G129">
        <v>-4.2666666666666603E-2</v>
      </c>
      <c r="H129">
        <v>-4.6620046620046603E-3</v>
      </c>
      <c r="I129">
        <v>3.5999999999999997E-2</v>
      </c>
      <c r="J129">
        <v>2.1999999999999999E-2</v>
      </c>
      <c r="K129">
        <v>-8.4084084084083993E-2</v>
      </c>
      <c r="L129">
        <v>-6.9333333333333302E-2</v>
      </c>
      <c r="M129">
        <v>3.8333333333333303E-2</v>
      </c>
      <c r="N129">
        <v>0.03</v>
      </c>
      <c r="O129">
        <v>3.03738317757009E-2</v>
      </c>
      <c r="P129">
        <v>0.02</v>
      </c>
      <c r="Q129">
        <v>-1.6666666666666601E-3</v>
      </c>
      <c r="R129">
        <v>3.7999999999999999E-2</v>
      </c>
      <c r="S129">
        <v>-6.2E-2</v>
      </c>
      <c r="T129">
        <v>4.3999999999999997E-2</v>
      </c>
      <c r="U129">
        <v>6.07476635514018E-2</v>
      </c>
      <c r="V129">
        <v>2.1999999999999999E-2</v>
      </c>
      <c r="W129">
        <v>0.18133333333333301</v>
      </c>
      <c r="X129">
        <v>4.4999999999999998E-2</v>
      </c>
      <c r="Y129">
        <v>1.72413793103448E-2</v>
      </c>
      <c r="Z129">
        <v>9.0666666666666604E-2</v>
      </c>
      <c r="AA129">
        <v>3.7974683544303799E-2</v>
      </c>
      <c r="AB129">
        <v>1.7333333333333301E-2</v>
      </c>
      <c r="AC129">
        <v>9.8666666666666597E-2</v>
      </c>
      <c r="AD129">
        <v>0.185</v>
      </c>
      <c r="AE129">
        <v>4.3956043956043897E-2</v>
      </c>
      <c r="AF129">
        <v>0.92533333333333301</v>
      </c>
      <c r="AG129">
        <v>0.38600000000000001</v>
      </c>
      <c r="AH129">
        <v>-3.08724832214765E-2</v>
      </c>
      <c r="AI129">
        <v>-8.9999999999999993E-3</v>
      </c>
      <c r="AJ129" t="s">
        <v>10</v>
      </c>
    </row>
    <row r="130" spans="1:36" x14ac:dyDescent="0.25">
      <c r="A130" t="str">
        <f>"Game" &amp; (ROW(A130) - 1)/3  + 1</f>
        <v>Game44</v>
      </c>
    </row>
    <row r="131" spans="1:36" x14ac:dyDescent="0.25">
      <c r="B131" t="s">
        <v>4</v>
      </c>
      <c r="C131">
        <v>0.21621621621621601</v>
      </c>
      <c r="D131">
        <v>2.6666666666666601E-3</v>
      </c>
      <c r="E131">
        <v>8.1081081081081002E-2</v>
      </c>
      <c r="F131">
        <v>5.1282051282051197E-2</v>
      </c>
      <c r="G131">
        <v>1.79640718562874E-2</v>
      </c>
      <c r="H131">
        <v>2.4E-2</v>
      </c>
      <c r="I131">
        <v>0.04</v>
      </c>
      <c r="J131">
        <v>9.0090090090090003E-3</v>
      </c>
      <c r="K131">
        <v>2.4E-2</v>
      </c>
      <c r="L131">
        <v>-1.16822429906542E-2</v>
      </c>
      <c r="M131">
        <v>2.8037383177569999E-2</v>
      </c>
      <c r="N131">
        <v>0.1002331002331</v>
      </c>
      <c r="O131">
        <v>-9.3333333333333306E-3</v>
      </c>
      <c r="P131">
        <v>2.7027027027027001E-2</v>
      </c>
      <c r="Q131">
        <v>1.06666666666666E-2</v>
      </c>
      <c r="R131">
        <v>3.2000000000000001E-2</v>
      </c>
      <c r="S131">
        <v>-1.8666666666666599E-2</v>
      </c>
      <c r="T131">
        <v>0</v>
      </c>
      <c r="U131">
        <v>7.1999999999999995E-2</v>
      </c>
      <c r="V131">
        <v>4.5333333333333302E-2</v>
      </c>
      <c r="W131">
        <v>3.5999999999999997E-2</v>
      </c>
      <c r="X131">
        <v>1.6E-2</v>
      </c>
      <c r="Y131">
        <v>6.6666666666666602E-3</v>
      </c>
      <c r="Z131">
        <v>7.7333333333333296E-2</v>
      </c>
      <c r="AA131">
        <v>-0.02</v>
      </c>
      <c r="AB131">
        <v>1.3333333333333299E-2</v>
      </c>
      <c r="AC131">
        <v>-7.6999999999999999E-2</v>
      </c>
      <c r="AD131">
        <v>4.1000000000000002E-2</v>
      </c>
      <c r="AE131">
        <v>-6.0060060060059999E-3</v>
      </c>
      <c r="AF131">
        <v>-2.10280373831775E-2</v>
      </c>
      <c r="AG131">
        <v>0</v>
      </c>
      <c r="AH131">
        <v>0</v>
      </c>
      <c r="AI131" t="s">
        <v>10</v>
      </c>
    </row>
    <row r="132" spans="1:36" x14ac:dyDescent="0.25">
      <c r="B132" t="s">
        <v>8</v>
      </c>
      <c r="C132">
        <v>-7.4850299401197598E-2</v>
      </c>
      <c r="D132">
        <v>0.156156156156156</v>
      </c>
      <c r="E132">
        <v>-4.4910179640718501E-2</v>
      </c>
      <c r="F132">
        <v>-0.10666666666666599</v>
      </c>
      <c r="G132">
        <v>-5.9880239520958001E-2</v>
      </c>
      <c r="H132">
        <v>-0.14133333333333301</v>
      </c>
      <c r="I132">
        <v>-7.4592074592074495E-2</v>
      </c>
      <c r="J132">
        <v>-0.04</v>
      </c>
      <c r="K132">
        <v>-7.0000000000000007E-2</v>
      </c>
      <c r="L132">
        <v>-0.13800000000000001</v>
      </c>
      <c r="M132">
        <v>-0.18333333333333299</v>
      </c>
      <c r="N132">
        <v>-0.152</v>
      </c>
      <c r="O132">
        <v>-1.16822429906542E-2</v>
      </c>
      <c r="P132">
        <v>-6.2E-2</v>
      </c>
      <c r="Q132">
        <v>-4.0000000000000001E-3</v>
      </c>
      <c r="R132">
        <v>-9.5794392523364399E-2</v>
      </c>
      <c r="S132">
        <v>4.8333333333333298E-2</v>
      </c>
      <c r="T132">
        <v>9.1666666666666605E-2</v>
      </c>
      <c r="U132">
        <v>3.2000000000000001E-2</v>
      </c>
      <c r="V132">
        <v>8.5333333333333303E-2</v>
      </c>
      <c r="W132">
        <v>3.2710280373831703E-2</v>
      </c>
      <c r="X132">
        <v>-6.5000000000000002E-2</v>
      </c>
      <c r="Y132">
        <v>-0.23478260869565201</v>
      </c>
      <c r="Z132">
        <v>0.37166666666666598</v>
      </c>
      <c r="AA132">
        <v>-0.26</v>
      </c>
      <c r="AB132">
        <v>0.311</v>
      </c>
      <c r="AC132">
        <v>0.64</v>
      </c>
      <c r="AD132">
        <v>-3.7037037037037E-2</v>
      </c>
      <c r="AE132">
        <v>-0.296296296296296</v>
      </c>
      <c r="AF132">
        <v>0.186</v>
      </c>
      <c r="AG132">
        <v>0</v>
      </c>
      <c r="AH132">
        <v>0</v>
      </c>
      <c r="AI132" t="s">
        <v>10</v>
      </c>
    </row>
    <row r="133" spans="1:36" x14ac:dyDescent="0.25">
      <c r="A133" t="str">
        <f>"Game" &amp; (ROW(A133) - 1)/3  + 1</f>
        <v>Game45</v>
      </c>
    </row>
    <row r="134" spans="1:36" x14ac:dyDescent="0.25">
      <c r="B134" t="s">
        <v>8</v>
      </c>
      <c r="C134">
        <v>8.1081081081081002E-2</v>
      </c>
      <c r="D134">
        <v>0.101333333333333</v>
      </c>
      <c r="E134">
        <v>9.11214953271028E-2</v>
      </c>
      <c r="F134">
        <v>1.8666666666666599E-2</v>
      </c>
      <c r="G134">
        <v>0.174174174174174</v>
      </c>
      <c r="H134">
        <v>9.5808383233532898E-2</v>
      </c>
      <c r="I134">
        <v>3.9039039039038999E-2</v>
      </c>
      <c r="J134">
        <v>0.13600000000000001</v>
      </c>
      <c r="K134">
        <v>0.14219114219114201</v>
      </c>
      <c r="L134">
        <v>2.10280373831775E-2</v>
      </c>
      <c r="M134">
        <v>-7.1999999999999995E-2</v>
      </c>
      <c r="N134">
        <v>-8.7999999999999995E-2</v>
      </c>
      <c r="O134">
        <v>1.86915887850467E-2</v>
      </c>
      <c r="P134">
        <v>-6.6000000000000003E-2</v>
      </c>
      <c r="Q134">
        <v>-1.4999999999999999E-2</v>
      </c>
      <c r="R134">
        <v>0.25352112676056299</v>
      </c>
      <c r="S134">
        <v>-3.4000000000000002E-2</v>
      </c>
      <c r="T134">
        <v>-3.16666666666666E-2</v>
      </c>
      <c r="U134">
        <v>-6.3333333333333297E-2</v>
      </c>
      <c r="V134">
        <v>2.8846153846153799E-2</v>
      </c>
      <c r="W134">
        <v>5.0666666666666603E-2</v>
      </c>
      <c r="X134">
        <v>-7.5999999999999998E-2</v>
      </c>
      <c r="Y134">
        <v>0.14133333333333301</v>
      </c>
      <c r="Z134">
        <v>0</v>
      </c>
      <c r="AA134">
        <v>-0.132911392405063</v>
      </c>
      <c r="AB134">
        <v>0.17899999999999999</v>
      </c>
      <c r="AC134">
        <v>8.0000000000000002E-3</v>
      </c>
      <c r="AD134">
        <v>0.91</v>
      </c>
      <c r="AE134">
        <v>0</v>
      </c>
      <c r="AF134">
        <v>0</v>
      </c>
      <c r="AG134" t="s">
        <v>10</v>
      </c>
    </row>
    <row r="135" spans="1:36" x14ac:dyDescent="0.25">
      <c r="B135" t="s">
        <v>4</v>
      </c>
      <c r="C135">
        <v>0</v>
      </c>
      <c r="D135">
        <v>4.8048048048047999E-2</v>
      </c>
      <c r="E135">
        <v>6.0060060060059999E-3</v>
      </c>
      <c r="F135">
        <v>3.0030030030029999E-3</v>
      </c>
      <c r="G135">
        <v>-5.6000000000000001E-2</v>
      </c>
      <c r="H135">
        <v>-2.1021021021020998E-2</v>
      </c>
      <c r="I135">
        <v>-9.3333333333333296E-2</v>
      </c>
      <c r="J135">
        <v>-6.1333333333333302E-2</v>
      </c>
      <c r="K135">
        <v>1.2E-2</v>
      </c>
      <c r="L135">
        <v>2.1333333333333301E-2</v>
      </c>
      <c r="M135">
        <v>3.50467289719626E-2</v>
      </c>
      <c r="N135">
        <v>1.86915887850467E-2</v>
      </c>
      <c r="O135">
        <v>3.4666666666666603E-2</v>
      </c>
      <c r="P135">
        <v>4.3999999999999997E-2</v>
      </c>
      <c r="Q135">
        <v>-4.6728971962616802E-3</v>
      </c>
      <c r="R135">
        <v>8.1585081585081501E-2</v>
      </c>
      <c r="S135">
        <v>0.02</v>
      </c>
      <c r="T135">
        <v>4.2000000000000003E-2</v>
      </c>
      <c r="U135">
        <v>2.8333333333333301E-2</v>
      </c>
      <c r="V135">
        <v>2.8037383177569999E-2</v>
      </c>
      <c r="W135">
        <v>4.4289044289044198E-2</v>
      </c>
      <c r="X135">
        <v>-7.9000000000000001E-2</v>
      </c>
      <c r="Y135">
        <v>-2.9000000000000001E-2</v>
      </c>
      <c r="Z135">
        <v>1.8333333333333299E-2</v>
      </c>
      <c r="AA135">
        <v>-0.05</v>
      </c>
      <c r="AB135">
        <v>0.126</v>
      </c>
      <c r="AC135">
        <v>-1.6317016317016299E-2</v>
      </c>
      <c r="AD135">
        <v>-2.9333333333333302E-2</v>
      </c>
      <c r="AE135">
        <v>0</v>
      </c>
      <c r="AF135" t="s">
        <v>10</v>
      </c>
    </row>
    <row r="136" spans="1:36" x14ac:dyDescent="0.25">
      <c r="A136" t="str">
        <f>"Game" &amp; (ROW(A136) - 1)/3  + 1</f>
        <v>Game46</v>
      </c>
    </row>
    <row r="137" spans="1:36" x14ac:dyDescent="0.25">
      <c r="B137" t="s">
        <v>4</v>
      </c>
      <c r="C137">
        <v>2.7027027027027001E-2</v>
      </c>
      <c r="D137">
        <v>1.8018018018018001E-2</v>
      </c>
      <c r="E137">
        <v>2.4024024024024E-2</v>
      </c>
      <c r="F137">
        <v>2.69461077844311E-2</v>
      </c>
      <c r="G137">
        <v>2.57009345794392E-2</v>
      </c>
      <c r="H137">
        <v>3.03030303030303E-2</v>
      </c>
      <c r="I137">
        <v>2.9940119760479E-3</v>
      </c>
      <c r="J137">
        <v>3.4666666666666603E-2</v>
      </c>
      <c r="K137">
        <v>2.09790209790209E-2</v>
      </c>
      <c r="L137">
        <v>5.8666666666666603E-2</v>
      </c>
      <c r="M137">
        <v>7.1999999999999995E-2</v>
      </c>
      <c r="N137">
        <v>5.8275058275058203E-2</v>
      </c>
      <c r="O137">
        <v>2.39520958083832E-2</v>
      </c>
      <c r="P137">
        <v>1.06666666666666E-2</v>
      </c>
      <c r="Q137">
        <v>3.4000000000000002E-2</v>
      </c>
      <c r="R137">
        <v>-0.02</v>
      </c>
      <c r="S137">
        <v>0.02</v>
      </c>
      <c r="T137">
        <v>6.5000000000000002E-2</v>
      </c>
      <c r="U137">
        <v>8.9999999999999993E-3</v>
      </c>
      <c r="V137">
        <v>5.1666666666666597E-2</v>
      </c>
      <c r="W137">
        <v>1.3333333333333299E-2</v>
      </c>
      <c r="X137">
        <v>-1.3333333333333299E-2</v>
      </c>
      <c r="Y137">
        <v>2.4E-2</v>
      </c>
      <c r="Z137">
        <v>0.03</v>
      </c>
      <c r="AA137">
        <v>2.3E-2</v>
      </c>
      <c r="AB137">
        <v>-0.133333333333333</v>
      </c>
      <c r="AC137">
        <v>0.08</v>
      </c>
      <c r="AD137">
        <v>0.18833333333333299</v>
      </c>
      <c r="AE137">
        <v>0.46</v>
      </c>
      <c r="AF137">
        <v>4.1666666666666602E-2</v>
      </c>
      <c r="AG137">
        <v>0</v>
      </c>
      <c r="AH137" t="s">
        <v>10</v>
      </c>
    </row>
    <row r="138" spans="1:36" x14ac:dyDescent="0.25">
      <c r="B138" t="s">
        <v>8</v>
      </c>
      <c r="C138">
        <v>-3.6036036036036001E-2</v>
      </c>
      <c r="D138">
        <v>-1.8666666666666599E-2</v>
      </c>
      <c r="E138">
        <v>-5.4054054054054002E-2</v>
      </c>
      <c r="F138">
        <v>-2.6666666666666601E-3</v>
      </c>
      <c r="G138">
        <v>-3.2000000000000001E-2</v>
      </c>
      <c r="H138">
        <v>-7.5999999999999998E-2</v>
      </c>
      <c r="I138">
        <v>-7.5075075075075007E-2</v>
      </c>
      <c r="J138">
        <v>-4.8000000000000001E-2</v>
      </c>
      <c r="K138">
        <v>-6.3333333333333297E-2</v>
      </c>
      <c r="L138">
        <v>-0.14799999999999999</v>
      </c>
      <c r="M138">
        <v>-0.177570093457943</v>
      </c>
      <c r="N138">
        <v>-1.4018691588785E-2</v>
      </c>
      <c r="O138">
        <v>-1.6E-2</v>
      </c>
      <c r="P138">
        <v>-4.5333333333333302E-2</v>
      </c>
      <c r="Q138">
        <v>-1.86915887850467E-2</v>
      </c>
      <c r="R138">
        <v>-5.1999999999999998E-2</v>
      </c>
      <c r="S138">
        <v>-1.8333333333333299E-2</v>
      </c>
      <c r="T138">
        <v>-6.9930069930069904E-3</v>
      </c>
      <c r="U138">
        <v>-9.3457943925233603E-3</v>
      </c>
      <c r="V138">
        <v>8.7999999999999995E-2</v>
      </c>
      <c r="W138">
        <v>0.13600000000000001</v>
      </c>
      <c r="X138">
        <v>9.0090090090090003E-3</v>
      </c>
      <c r="Y138">
        <v>3.2000000000000001E-2</v>
      </c>
      <c r="Z138">
        <v>0.124</v>
      </c>
      <c r="AA138">
        <v>0.33866666666666601</v>
      </c>
      <c r="AB138">
        <v>0.18133333333333301</v>
      </c>
      <c r="AC138">
        <v>-0.35897435897435898</v>
      </c>
      <c r="AD138">
        <v>-0.35735735735735702</v>
      </c>
      <c r="AE138">
        <v>5.3333333333333297E-3</v>
      </c>
      <c r="AF138">
        <v>0</v>
      </c>
      <c r="AG138">
        <v>0</v>
      </c>
      <c r="AH138" t="s">
        <v>10</v>
      </c>
    </row>
    <row r="139" spans="1:36" x14ac:dyDescent="0.25">
      <c r="A139" t="str">
        <f>"Game" &amp; (ROW(A139) - 1)/3  + 1</f>
        <v>Game47</v>
      </c>
    </row>
    <row r="140" spans="1:36" x14ac:dyDescent="0.25">
      <c r="B140" t="s">
        <v>8</v>
      </c>
      <c r="C140">
        <v>-0.108108108108108</v>
      </c>
      <c r="D140">
        <v>-2.7027027027027001E-2</v>
      </c>
      <c r="E140">
        <v>3.9039039039038999E-2</v>
      </c>
      <c r="F140">
        <v>0.101796407185628</v>
      </c>
      <c r="G140">
        <v>0.105140186915887</v>
      </c>
      <c r="H140">
        <v>2.6666666666666599E-2</v>
      </c>
      <c r="I140">
        <v>-2.1021021021020998E-2</v>
      </c>
      <c r="J140">
        <v>5.3333333333333297E-3</v>
      </c>
      <c r="K140">
        <v>-2.09790209790209E-2</v>
      </c>
      <c r="L140">
        <v>3.89221556886227E-2</v>
      </c>
      <c r="M140">
        <v>-6.3084112149532703E-2</v>
      </c>
      <c r="N140">
        <v>0.04</v>
      </c>
      <c r="O140">
        <v>4.8000000000000001E-2</v>
      </c>
      <c r="P140">
        <v>-7.9254079254079193E-2</v>
      </c>
      <c r="Q140">
        <v>-0.11</v>
      </c>
      <c r="R140">
        <v>2.33333333333333E-2</v>
      </c>
      <c r="S140">
        <v>-4.5333333333333302E-2</v>
      </c>
      <c r="T140">
        <v>2E-3</v>
      </c>
      <c r="U140">
        <v>-2.1999999999999999E-2</v>
      </c>
      <c r="V140">
        <v>0.198333333333333</v>
      </c>
      <c r="W140">
        <v>3.5999999999999997E-2</v>
      </c>
      <c r="X140">
        <v>-7.6666666666666605E-2</v>
      </c>
      <c r="Y140">
        <v>-0.17733333333333301</v>
      </c>
      <c r="Z140">
        <v>-0.29733333333333301</v>
      </c>
      <c r="AA140">
        <v>-0.26533333333333298</v>
      </c>
      <c r="AB140">
        <v>-0.18666666666666601</v>
      </c>
      <c r="AC140">
        <v>0.11799999999999999</v>
      </c>
      <c r="AD140">
        <v>-0.25600000000000001</v>
      </c>
      <c r="AE140">
        <v>-0.201333333333333</v>
      </c>
      <c r="AF140">
        <v>-0.242990654205607</v>
      </c>
      <c r="AG140">
        <v>0.44485294117647001</v>
      </c>
      <c r="AH140">
        <v>0.77777777777777701</v>
      </c>
      <c r="AI140">
        <v>-1</v>
      </c>
      <c r="AJ140" t="s">
        <v>10</v>
      </c>
    </row>
    <row r="141" spans="1:36" x14ac:dyDescent="0.25">
      <c r="B141" t="s">
        <v>4</v>
      </c>
      <c r="C141">
        <v>6.0060060060059999E-3</v>
      </c>
      <c r="D141">
        <v>2.9333333333333302E-2</v>
      </c>
      <c r="E141">
        <v>3.7333333333333302E-2</v>
      </c>
      <c r="F141">
        <v>2.4024024024024E-2</v>
      </c>
      <c r="G141">
        <v>3.9039039039038999E-2</v>
      </c>
      <c r="H141">
        <v>3.03030303030303E-2</v>
      </c>
      <c r="I141">
        <v>5.3333333333333302E-2</v>
      </c>
      <c r="J141">
        <v>0</v>
      </c>
      <c r="K141">
        <v>-1.6E-2</v>
      </c>
      <c r="L141">
        <v>4.8000000000000001E-2</v>
      </c>
      <c r="M141">
        <v>0.01</v>
      </c>
      <c r="N141">
        <v>-2.4E-2</v>
      </c>
      <c r="O141">
        <v>3.2000000000000001E-2</v>
      </c>
      <c r="P141">
        <v>2.5641025641025599E-2</v>
      </c>
      <c r="Q141">
        <v>0.02</v>
      </c>
      <c r="R141">
        <v>2.6666666666666599E-2</v>
      </c>
      <c r="S141">
        <v>-0.02</v>
      </c>
      <c r="T141">
        <v>4.4392523364485903E-2</v>
      </c>
      <c r="U141">
        <v>4.6620046620046603E-3</v>
      </c>
      <c r="V141">
        <v>-0.13752913752913701</v>
      </c>
      <c r="W141">
        <v>3.6666666666666597E-2</v>
      </c>
      <c r="X141">
        <v>0.152</v>
      </c>
      <c r="Y141">
        <v>2.8000000000000001E-2</v>
      </c>
      <c r="Z141">
        <v>0.25</v>
      </c>
      <c r="AA141">
        <v>-3.2000000000000001E-2</v>
      </c>
      <c r="AB141">
        <v>-3.0534351145038101E-2</v>
      </c>
      <c r="AC141">
        <v>5.6962025316455597E-2</v>
      </c>
      <c r="AD141">
        <v>0.90633333333333299</v>
      </c>
      <c r="AE141">
        <v>0</v>
      </c>
      <c r="AF141">
        <v>0.45333333333333298</v>
      </c>
      <c r="AG141">
        <v>-0.04</v>
      </c>
      <c r="AH141">
        <v>1</v>
      </c>
      <c r="AI141">
        <v>1</v>
      </c>
      <c r="AJ141" t="s">
        <v>10</v>
      </c>
    </row>
    <row r="142" spans="1:36" x14ac:dyDescent="0.25">
      <c r="A142" t="str">
        <f>"Game" &amp; (ROW(A142) - 1)/3  + 1</f>
        <v>Game48</v>
      </c>
    </row>
    <row r="143" spans="1:36" x14ac:dyDescent="0.25">
      <c r="B143" t="s">
        <v>4</v>
      </c>
      <c r="C143">
        <v>-0.162162162162162</v>
      </c>
      <c r="D143">
        <v>8.0000000000000002E-3</v>
      </c>
      <c r="E143">
        <v>3.3033033033033003E-2</v>
      </c>
      <c r="F143">
        <v>1.49700598802395E-2</v>
      </c>
      <c r="G143">
        <v>-5.3333333333333297E-3</v>
      </c>
      <c r="H143">
        <v>1.3333333333333299E-2</v>
      </c>
      <c r="I143">
        <v>-7.0093457943925198E-3</v>
      </c>
      <c r="J143">
        <v>5.3333333333333297E-3</v>
      </c>
      <c r="K143">
        <v>0.05</v>
      </c>
      <c r="L143">
        <v>1.8018018018018001E-2</v>
      </c>
      <c r="M143">
        <v>-1.4018691588785E-2</v>
      </c>
      <c r="N143">
        <v>3.7333333333333302E-2</v>
      </c>
      <c r="O143">
        <v>0.02</v>
      </c>
      <c r="P143">
        <v>3.9719626168224297E-2</v>
      </c>
      <c r="Q143">
        <v>2.4E-2</v>
      </c>
      <c r="R143">
        <v>-1.4999999999999999E-2</v>
      </c>
      <c r="S143">
        <v>2.5641025641025599E-2</v>
      </c>
      <c r="T143">
        <v>2.09790209790209E-2</v>
      </c>
      <c r="U143">
        <v>6.6666666666666602E-3</v>
      </c>
      <c r="V143">
        <v>0.01</v>
      </c>
      <c r="W143">
        <v>-0.156</v>
      </c>
      <c r="X143">
        <v>-0.26500000000000001</v>
      </c>
      <c r="Y143">
        <v>-0.15866666666666601</v>
      </c>
      <c r="Z143">
        <v>-3.16666666666666E-2</v>
      </c>
      <c r="AA143">
        <v>8.6206896551724102E-3</v>
      </c>
      <c r="AB143">
        <v>-3.2000000000000001E-2</v>
      </c>
      <c r="AC143">
        <v>-0.29399999999999998</v>
      </c>
      <c r="AD143">
        <v>-0.34200000000000003</v>
      </c>
      <c r="AE143">
        <v>0.29799999999999999</v>
      </c>
      <c r="AF143">
        <v>-0.407407407407407</v>
      </c>
      <c r="AG143">
        <v>-0.18518518518518501</v>
      </c>
      <c r="AH143" t="s">
        <v>10</v>
      </c>
    </row>
    <row r="144" spans="1:36" x14ac:dyDescent="0.25">
      <c r="B144" t="s">
        <v>8</v>
      </c>
      <c r="C144">
        <v>-6.6066066066066007E-2</v>
      </c>
      <c r="D144">
        <v>1.49700598802395E-2</v>
      </c>
      <c r="E144">
        <v>-5.0898203592814301E-2</v>
      </c>
      <c r="F144">
        <v>-6.9333333333333302E-2</v>
      </c>
      <c r="G144">
        <v>-6.9069069069068997E-2</v>
      </c>
      <c r="H144">
        <v>-8.8785046728971903E-2</v>
      </c>
      <c r="I144">
        <v>-5.1051051051050997E-2</v>
      </c>
      <c r="J144">
        <v>-9.8666666666666597E-2</v>
      </c>
      <c r="K144">
        <v>-4.33333333333333E-2</v>
      </c>
      <c r="L144">
        <v>-5.8666666666666603E-2</v>
      </c>
      <c r="M144">
        <v>4.6620046620046603E-2</v>
      </c>
      <c r="N144">
        <v>1.6355140186915799E-2</v>
      </c>
      <c r="O144">
        <v>-4.0000000000000001E-3</v>
      </c>
      <c r="P144">
        <v>4.6620046620046603E-3</v>
      </c>
      <c r="Q144">
        <v>-5.6000000000000001E-2</v>
      </c>
      <c r="R144">
        <v>-6.4000000000000001E-2</v>
      </c>
      <c r="S144">
        <v>-1.4E-2</v>
      </c>
      <c r="T144">
        <v>-5.3999999999999999E-2</v>
      </c>
      <c r="U144">
        <v>-0.14933333333333301</v>
      </c>
      <c r="V144">
        <v>-0.15833333333333299</v>
      </c>
      <c r="W144">
        <v>0.34</v>
      </c>
      <c r="X144">
        <v>0.23200000000000001</v>
      </c>
      <c r="Y144">
        <v>0.103333333333333</v>
      </c>
      <c r="Z144">
        <v>-0.12266666666666599</v>
      </c>
      <c r="AA144">
        <v>-0.29166666666666602</v>
      </c>
      <c r="AB144">
        <v>0.59199999999999997</v>
      </c>
      <c r="AC144">
        <v>0.61166666666666603</v>
      </c>
      <c r="AD144">
        <v>0.68799999999999994</v>
      </c>
      <c r="AE144">
        <v>0.148148148148148</v>
      </c>
      <c r="AF144">
        <v>0.55555555555555503</v>
      </c>
      <c r="AG144">
        <v>1</v>
      </c>
      <c r="AH144" t="s">
        <v>10</v>
      </c>
    </row>
    <row r="145" spans="1:35" x14ac:dyDescent="0.25">
      <c r="A145" t="str">
        <f>"Game" &amp; (ROW(A145) - 1)/3  + 1</f>
        <v>Game49</v>
      </c>
    </row>
    <row r="146" spans="1:35" x14ac:dyDescent="0.25">
      <c r="B146" t="s">
        <v>8</v>
      </c>
      <c r="C146">
        <v>2.7027027027027001E-2</v>
      </c>
      <c r="D146">
        <v>7.5075075075075007E-2</v>
      </c>
      <c r="E146">
        <v>2.39520958083832E-2</v>
      </c>
      <c r="F146">
        <v>0.12266666666666599</v>
      </c>
      <c r="G146">
        <v>1.3333333333333299E-2</v>
      </c>
      <c r="H146">
        <v>-6.1333333333333302E-2</v>
      </c>
      <c r="I146">
        <v>-6.5268065268065195E-2</v>
      </c>
      <c r="J146">
        <v>1.8666666666666599E-2</v>
      </c>
      <c r="K146">
        <v>6.75990675990676E-2</v>
      </c>
      <c r="L146">
        <v>-2.3310023310023301E-3</v>
      </c>
      <c r="M146">
        <v>-3.6036036036036001E-2</v>
      </c>
      <c r="N146">
        <v>-6.3084112149532703E-2</v>
      </c>
      <c r="O146">
        <v>3.2000000000000001E-2</v>
      </c>
      <c r="P146">
        <v>-1.63934426229508E-2</v>
      </c>
      <c r="Q146">
        <v>0.20166666666666599</v>
      </c>
      <c r="R146">
        <v>0.13</v>
      </c>
      <c r="S146">
        <v>-0.32266666666666599</v>
      </c>
      <c r="T146">
        <v>-1.23456790123456E-2</v>
      </c>
      <c r="U146">
        <v>-5.1999999999999998E-2</v>
      </c>
      <c r="V146">
        <v>-8.5999999999999993E-2</v>
      </c>
      <c r="W146">
        <v>-0.15333333333333299</v>
      </c>
      <c r="X146">
        <v>-8.66666666666666E-2</v>
      </c>
      <c r="Y146">
        <v>-0.105333333333333</v>
      </c>
      <c r="Z146">
        <v>1.2999999999999999E-2</v>
      </c>
      <c r="AA146">
        <v>0.13866666666666599</v>
      </c>
      <c r="AB146">
        <v>0.36723163841807899</v>
      </c>
      <c r="AC146">
        <v>-0.48799999999999999</v>
      </c>
      <c r="AD146">
        <v>0.119617224880382</v>
      </c>
      <c r="AE146">
        <v>-0.25925925925925902</v>
      </c>
      <c r="AF146">
        <v>3.7037037037037E-2</v>
      </c>
      <c r="AG146">
        <v>0.77777777777777701</v>
      </c>
      <c r="AH146">
        <v>-1</v>
      </c>
      <c r="AI146" t="s">
        <v>10</v>
      </c>
    </row>
    <row r="147" spans="1:35" x14ac:dyDescent="0.25">
      <c r="B147" t="s">
        <v>4</v>
      </c>
      <c r="C147">
        <v>1.19760479041916E-2</v>
      </c>
      <c r="D147">
        <v>6.0060060060059997E-2</v>
      </c>
      <c r="E147">
        <v>2.1333333333333301E-2</v>
      </c>
      <c r="F147">
        <v>4.8048048048047999E-2</v>
      </c>
      <c r="G147">
        <v>3.0030030030029999E-2</v>
      </c>
      <c r="H147">
        <v>4.8048048048047999E-2</v>
      </c>
      <c r="I147">
        <v>5.3333333333333297E-3</v>
      </c>
      <c r="J147">
        <v>2.4E-2</v>
      </c>
      <c r="K147">
        <v>1.2E-2</v>
      </c>
      <c r="L147">
        <v>3.7999999999999999E-2</v>
      </c>
      <c r="M147">
        <v>2.7972027972027899E-2</v>
      </c>
      <c r="N147">
        <v>2.09790209790209E-2</v>
      </c>
      <c r="O147">
        <v>3.03030303030303E-2</v>
      </c>
      <c r="P147">
        <v>-4.8000000000000001E-2</v>
      </c>
      <c r="Q147">
        <v>-9.8000000000000004E-2</v>
      </c>
      <c r="R147">
        <v>0.14499999999999999</v>
      </c>
      <c r="S147">
        <v>4.8000000000000001E-2</v>
      </c>
      <c r="T147">
        <v>2.3809523809523801E-2</v>
      </c>
      <c r="U147">
        <v>5.6074766355140103E-2</v>
      </c>
      <c r="V147">
        <v>1.0638297872340399E-2</v>
      </c>
      <c r="W147">
        <v>0.02</v>
      </c>
      <c r="X147">
        <v>0.12</v>
      </c>
      <c r="Y147">
        <v>4.0000000000000001E-3</v>
      </c>
      <c r="Z147">
        <v>0.11333333333333299</v>
      </c>
      <c r="AA147">
        <v>5.9880239520958001E-2</v>
      </c>
      <c r="AB147">
        <v>0.31866666666666599</v>
      </c>
      <c r="AC147">
        <v>0.95199999999999996</v>
      </c>
      <c r="AD147">
        <v>0.28000000000000003</v>
      </c>
      <c r="AE147">
        <v>0.04</v>
      </c>
      <c r="AF147">
        <v>0.48148148148148101</v>
      </c>
      <c r="AG147">
        <v>0.99461823074335598</v>
      </c>
      <c r="AH147">
        <v>1</v>
      </c>
      <c r="AI147" t="s">
        <v>10</v>
      </c>
    </row>
    <row r="148" spans="1:35" x14ac:dyDescent="0.25">
      <c r="A148" t="str">
        <f>"Game" &amp; (ROW(A148) - 1)/3  + 1</f>
        <v>Game50</v>
      </c>
    </row>
    <row r="149" spans="1:35" x14ac:dyDescent="0.25">
      <c r="B149" t="s">
        <v>4</v>
      </c>
      <c r="C149">
        <v>-0.162162162162162</v>
      </c>
      <c r="D149">
        <v>1.8018018018018001E-2</v>
      </c>
      <c r="E149">
        <v>3.3033033033033003E-2</v>
      </c>
      <c r="F149">
        <v>3.6036036036036001E-2</v>
      </c>
      <c r="G149">
        <v>6.2937062937062901E-2</v>
      </c>
      <c r="H149">
        <v>1.49700598802395E-2</v>
      </c>
      <c r="I149">
        <v>8.0000000000000002E-3</v>
      </c>
      <c r="J149">
        <v>2.7027027027027001E-2</v>
      </c>
      <c r="K149">
        <v>5.6000000000000001E-2</v>
      </c>
      <c r="L149">
        <v>-4.6728971962616802E-3</v>
      </c>
      <c r="M149">
        <v>-3.3333333333333298E-2</v>
      </c>
      <c r="N149">
        <v>2.4E-2</v>
      </c>
      <c r="O149">
        <v>-0.02</v>
      </c>
      <c r="P149">
        <v>-1.3333333333333299E-2</v>
      </c>
      <c r="Q149">
        <v>5.83333333333333E-2</v>
      </c>
      <c r="R149">
        <v>3.7333333333333302E-2</v>
      </c>
      <c r="S149">
        <v>-2.5999999999999999E-2</v>
      </c>
      <c r="T149">
        <v>-0.110666666666666</v>
      </c>
      <c r="U149">
        <v>-0.16800000000000001</v>
      </c>
      <c r="V149">
        <v>0</v>
      </c>
      <c r="W149">
        <v>0.06</v>
      </c>
      <c r="X149">
        <v>-2.2666666666666599E-2</v>
      </c>
      <c r="Y149">
        <v>-5.5E-2</v>
      </c>
      <c r="Z149">
        <v>3.8333333333333303E-2</v>
      </c>
      <c r="AA149">
        <v>0.40533333333333299</v>
      </c>
      <c r="AB149">
        <v>0.30434782608695599</v>
      </c>
      <c r="AC149">
        <v>0.65800000000000003</v>
      </c>
      <c r="AD149">
        <v>0.36</v>
      </c>
      <c r="AE149">
        <v>0</v>
      </c>
      <c r="AF149" t="s">
        <v>10</v>
      </c>
    </row>
    <row r="150" spans="1:35" x14ac:dyDescent="0.25">
      <c r="B150" t="s">
        <v>8</v>
      </c>
      <c r="C150">
        <v>0</v>
      </c>
      <c r="D150">
        <v>1.8018018018018001E-2</v>
      </c>
      <c r="E150">
        <v>5.0898203592814301E-2</v>
      </c>
      <c r="F150">
        <v>5.3333333333333297E-3</v>
      </c>
      <c r="G150">
        <v>-0.08</v>
      </c>
      <c r="H150">
        <v>-3.4000000000000002E-2</v>
      </c>
      <c r="I150">
        <v>-3.0030030030029999E-2</v>
      </c>
      <c r="J150">
        <v>-2.3310023310023301E-3</v>
      </c>
      <c r="K150">
        <v>-7.4766355140186896E-2</v>
      </c>
      <c r="L150">
        <v>3.2000000000000001E-2</v>
      </c>
      <c r="M150">
        <v>2.6666666666666601E-3</v>
      </c>
      <c r="N150">
        <v>-6.9333333333333302E-2</v>
      </c>
      <c r="O150">
        <v>-0.128205128205128</v>
      </c>
      <c r="P150">
        <v>-3.9627039627039597E-2</v>
      </c>
      <c r="Q150">
        <v>5.3613053613053602E-2</v>
      </c>
      <c r="R150">
        <v>5.83333333333333E-2</v>
      </c>
      <c r="S150">
        <v>0.234666666666666</v>
      </c>
      <c r="T150">
        <v>0.24399999999999999</v>
      </c>
      <c r="U150">
        <v>0.34200000000000003</v>
      </c>
      <c r="V150">
        <v>0.13166666666666599</v>
      </c>
      <c r="W150">
        <v>0.27184466019417403</v>
      </c>
      <c r="X150">
        <v>0.29833333333333301</v>
      </c>
      <c r="Y150">
        <v>3.7037037037037E-2</v>
      </c>
      <c r="Z150">
        <v>0.38733333333333297</v>
      </c>
      <c r="AA150">
        <v>-0.5</v>
      </c>
      <c r="AB150">
        <v>-0.04</v>
      </c>
      <c r="AC150">
        <v>0.69199999999999995</v>
      </c>
      <c r="AD150">
        <v>-0.04</v>
      </c>
      <c r="AE150">
        <v>1</v>
      </c>
      <c r="AF15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E620-8F2E-47EE-92FF-D628BDBB1116}">
  <sheetPr codeName="Sheet5"/>
  <dimension ref="A1:O51"/>
  <sheetViews>
    <sheetView topLeftCell="A2" workbookViewId="0">
      <selection activeCell="F6" sqref="F6"/>
    </sheetView>
  </sheetViews>
  <sheetFormatPr defaultRowHeight="15" x14ac:dyDescent="0.25"/>
  <cols>
    <col min="1" max="1" width="11.140625" bestFit="1" customWidth="1"/>
    <col min="2" max="3" width="12.5703125" bestFit="1" customWidth="1"/>
    <col min="4" max="4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16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COUNTIF(Good_dad_80_20_vs_random[Winner], "=Random")</f>
        <v>18</v>
      </c>
      <c r="J4" t="s">
        <v>19</v>
      </c>
      <c r="K4">
        <f>COUNTIFS(C:C,"=Random",A:A,"=Random")</f>
        <v>6</v>
      </c>
      <c r="N4" t="s">
        <v>19</v>
      </c>
      <c r="O4">
        <f>COUNTIFS(A:A,"=Good dad",C:C,"=Random")</f>
        <v>12</v>
      </c>
    </row>
    <row r="5" spans="1:15" x14ac:dyDescent="0.25">
      <c r="A5" t="s">
        <v>4</v>
      </c>
      <c r="B5" t="s">
        <v>16</v>
      </c>
      <c r="C5" t="s">
        <v>16</v>
      </c>
      <c r="F5" t="s">
        <v>81</v>
      </c>
      <c r="G5">
        <f>COUNTIF(Good_dad_80_20_vs_random[Winner], "=Good dad")</f>
        <v>8</v>
      </c>
      <c r="J5" t="s">
        <v>20</v>
      </c>
      <c r="K5">
        <f>COUNTIFS(C:C,"=Good dad",A:A,"=Random")</f>
        <v>7</v>
      </c>
      <c r="N5" t="s">
        <v>20</v>
      </c>
      <c r="O5">
        <f>COUNTIFS(A:A,"=Good dad",C:C,"=Good dad")</f>
        <v>1</v>
      </c>
    </row>
    <row r="6" spans="1:15" x14ac:dyDescent="0.25">
      <c r="A6" t="s">
        <v>4</v>
      </c>
      <c r="B6" t="s">
        <v>16</v>
      </c>
      <c r="C6" t="s">
        <v>16</v>
      </c>
      <c r="F6" t="s">
        <v>17</v>
      </c>
      <c r="G6">
        <f>COUNTIF(Good_dad_80_20_vs_random[Winner], "=draw")</f>
        <v>24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12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16</v>
      </c>
      <c r="B8" t="s">
        <v>4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16</v>
      </c>
      <c r="B10" t="s">
        <v>4</v>
      </c>
      <c r="C10" t="s">
        <v>16</v>
      </c>
    </row>
    <row r="11" spans="1:15" x14ac:dyDescent="0.25">
      <c r="A11" t="s">
        <v>4</v>
      </c>
      <c r="B11" t="s">
        <v>16</v>
      </c>
      <c r="C11" t="s">
        <v>16</v>
      </c>
    </row>
    <row r="12" spans="1:15" x14ac:dyDescent="0.25">
      <c r="A12" t="s">
        <v>16</v>
      </c>
      <c r="B12" t="s">
        <v>4</v>
      </c>
      <c r="C12" t="s">
        <v>4</v>
      </c>
    </row>
    <row r="13" spans="1:15" x14ac:dyDescent="0.25">
      <c r="A13" t="s">
        <v>4</v>
      </c>
      <c r="B13" t="s">
        <v>16</v>
      </c>
      <c r="C13" t="s">
        <v>16</v>
      </c>
    </row>
    <row r="14" spans="1:15" x14ac:dyDescent="0.25">
      <c r="A14" t="s">
        <v>16</v>
      </c>
      <c r="B14" t="s">
        <v>4</v>
      </c>
      <c r="C14" t="s">
        <v>4</v>
      </c>
    </row>
    <row r="15" spans="1:15" x14ac:dyDescent="0.25">
      <c r="A15" t="s">
        <v>4</v>
      </c>
      <c r="B15" t="s">
        <v>16</v>
      </c>
      <c r="C15" t="s">
        <v>16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16</v>
      </c>
    </row>
    <row r="18" spans="1:3" x14ac:dyDescent="0.25">
      <c r="A18" t="s">
        <v>16</v>
      </c>
      <c r="B18" t="s">
        <v>4</v>
      </c>
      <c r="C18" t="s">
        <v>17</v>
      </c>
    </row>
    <row r="19" spans="1:3" x14ac:dyDescent="0.25">
      <c r="A19" t="s">
        <v>16</v>
      </c>
      <c r="B19" t="s">
        <v>4</v>
      </c>
      <c r="C19" t="s">
        <v>17</v>
      </c>
    </row>
    <row r="20" spans="1:3" x14ac:dyDescent="0.25">
      <c r="A20" t="s">
        <v>16</v>
      </c>
      <c r="B20" t="s">
        <v>4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16</v>
      </c>
      <c r="B22" t="s">
        <v>4</v>
      </c>
      <c r="C22" t="s">
        <v>17</v>
      </c>
    </row>
    <row r="23" spans="1:3" x14ac:dyDescent="0.25">
      <c r="A23" t="s">
        <v>4</v>
      </c>
      <c r="B23" t="s">
        <v>16</v>
      </c>
      <c r="C23" t="s">
        <v>16</v>
      </c>
    </row>
    <row r="24" spans="1:3" x14ac:dyDescent="0.25">
      <c r="A24" t="s">
        <v>4</v>
      </c>
      <c r="B24" t="s">
        <v>16</v>
      </c>
      <c r="C24" t="s">
        <v>16</v>
      </c>
    </row>
    <row r="25" spans="1:3" x14ac:dyDescent="0.25">
      <c r="A25" t="s">
        <v>16</v>
      </c>
      <c r="B25" t="s">
        <v>4</v>
      </c>
      <c r="C25" t="s">
        <v>16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4</v>
      </c>
      <c r="B27" t="s">
        <v>16</v>
      </c>
      <c r="C27" t="s">
        <v>16</v>
      </c>
    </row>
    <row r="28" spans="1:3" x14ac:dyDescent="0.25">
      <c r="A28" t="s">
        <v>16</v>
      </c>
      <c r="B28" t="s">
        <v>4</v>
      </c>
      <c r="C28" t="s">
        <v>16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16</v>
      </c>
    </row>
    <row r="32" spans="1:3" x14ac:dyDescent="0.25">
      <c r="A32" t="s">
        <v>16</v>
      </c>
      <c r="B32" t="s">
        <v>4</v>
      </c>
      <c r="C32" t="s">
        <v>16</v>
      </c>
    </row>
    <row r="33" spans="1:3" x14ac:dyDescent="0.25">
      <c r="A33" t="s">
        <v>16</v>
      </c>
      <c r="B33" t="s">
        <v>4</v>
      </c>
      <c r="C33" t="s">
        <v>17</v>
      </c>
    </row>
    <row r="34" spans="1:3" x14ac:dyDescent="0.25">
      <c r="A34" t="s">
        <v>16</v>
      </c>
      <c r="B34" t="s">
        <v>4</v>
      </c>
      <c r="C34" t="s">
        <v>17</v>
      </c>
    </row>
    <row r="35" spans="1:3" x14ac:dyDescent="0.25">
      <c r="A35" t="s">
        <v>16</v>
      </c>
      <c r="B35" t="s">
        <v>4</v>
      </c>
      <c r="C35" t="s">
        <v>17</v>
      </c>
    </row>
    <row r="36" spans="1:3" x14ac:dyDescent="0.25">
      <c r="A36" t="s">
        <v>16</v>
      </c>
      <c r="B36" t="s">
        <v>4</v>
      </c>
      <c r="C36" t="s">
        <v>17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16</v>
      </c>
      <c r="B39" t="s">
        <v>4</v>
      </c>
      <c r="C39" t="s">
        <v>17</v>
      </c>
    </row>
    <row r="40" spans="1:3" x14ac:dyDescent="0.25">
      <c r="A40" t="s">
        <v>4</v>
      </c>
      <c r="B40" t="s">
        <v>16</v>
      </c>
      <c r="C40" t="s">
        <v>17</v>
      </c>
    </row>
    <row r="41" spans="1:3" x14ac:dyDescent="0.25">
      <c r="A41" t="s">
        <v>4</v>
      </c>
      <c r="B41" t="s">
        <v>16</v>
      </c>
      <c r="C41" t="s">
        <v>17</v>
      </c>
    </row>
    <row r="42" spans="1:3" x14ac:dyDescent="0.25">
      <c r="A42" t="s">
        <v>4</v>
      </c>
      <c r="B42" t="s">
        <v>16</v>
      </c>
      <c r="C42" t="s">
        <v>17</v>
      </c>
    </row>
    <row r="43" spans="1:3" x14ac:dyDescent="0.25">
      <c r="A43" t="s">
        <v>4</v>
      </c>
      <c r="B43" t="s">
        <v>16</v>
      </c>
      <c r="C43" t="s">
        <v>17</v>
      </c>
    </row>
    <row r="44" spans="1:3" x14ac:dyDescent="0.25">
      <c r="A44" t="s">
        <v>4</v>
      </c>
      <c r="B44" t="s">
        <v>16</v>
      </c>
      <c r="C44" t="s">
        <v>17</v>
      </c>
    </row>
    <row r="45" spans="1:3" x14ac:dyDescent="0.25">
      <c r="A45" t="s">
        <v>4</v>
      </c>
      <c r="B45" t="s">
        <v>16</v>
      </c>
      <c r="C45" t="s">
        <v>17</v>
      </c>
    </row>
    <row r="46" spans="1:3" x14ac:dyDescent="0.25">
      <c r="A46" t="s">
        <v>4</v>
      </c>
      <c r="B46" t="s">
        <v>16</v>
      </c>
      <c r="C46" t="s">
        <v>17</v>
      </c>
    </row>
    <row r="47" spans="1:3" x14ac:dyDescent="0.25">
      <c r="A47" t="s">
        <v>4</v>
      </c>
      <c r="B47" t="s">
        <v>16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4</v>
      </c>
      <c r="B49" t="s">
        <v>16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E4DA7-93B3-4BE2-B22B-0443929F073E}">
  <sheetPr codeName="Sheet6"/>
  <dimension ref="A1:O51"/>
  <sheetViews>
    <sheetView workbookViewId="0">
      <selection activeCell="E5" sqref="E5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1</v>
      </c>
      <c r="F4" t="s">
        <v>1</v>
      </c>
      <c r="G4">
        <f>COUNTIF(C:C, F4)</f>
        <v>43</v>
      </c>
      <c r="J4" t="s">
        <v>1</v>
      </c>
      <c r="K4">
        <f>COUNTIFS(C:C,J4,A:A,J$4)</f>
        <v>24</v>
      </c>
      <c r="N4" t="s">
        <v>1</v>
      </c>
      <c r="O4">
        <f>COUNTIFS(A:A,N$5,C:C,N4)</f>
        <v>19</v>
      </c>
    </row>
    <row r="5" spans="1:15" x14ac:dyDescent="0.25">
      <c r="A5" t="s">
        <v>4</v>
      </c>
      <c r="B5" t="s">
        <v>1</v>
      </c>
      <c r="C5" t="s">
        <v>1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F6)</f>
        <v>7</v>
      </c>
      <c r="J6" t="s">
        <v>17</v>
      </c>
      <c r="K6">
        <f>COUNTIFS(C:C,J6,A:A,J$4)</f>
        <v>1</v>
      </c>
      <c r="N6" t="s">
        <v>17</v>
      </c>
      <c r="O6">
        <f>COUNTIFS(A:A,N$5,C:C,N6)</f>
        <v>6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4</v>
      </c>
      <c r="B13" t="s">
        <v>1</v>
      </c>
      <c r="C13" t="s">
        <v>1</v>
      </c>
    </row>
    <row r="14" spans="1:15" x14ac:dyDescent="0.25">
      <c r="A14" t="s">
        <v>1</v>
      </c>
      <c r="B14" t="s">
        <v>4</v>
      </c>
      <c r="C14" t="s">
        <v>1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1</v>
      </c>
    </row>
    <row r="25" spans="1:3" x14ac:dyDescent="0.25">
      <c r="A25" t="s">
        <v>1</v>
      </c>
      <c r="B25" t="s">
        <v>4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1</v>
      </c>
      <c r="B27" t="s">
        <v>4</v>
      </c>
      <c r="C27" t="s">
        <v>1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4</v>
      </c>
      <c r="B29" t="s">
        <v>1</v>
      </c>
      <c r="C29" t="s">
        <v>1</v>
      </c>
    </row>
    <row r="30" spans="1:3" x14ac:dyDescent="0.25">
      <c r="A30" t="s">
        <v>1</v>
      </c>
      <c r="B30" t="s">
        <v>4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4</v>
      </c>
      <c r="B32" t="s">
        <v>1</v>
      </c>
      <c r="C32" t="s">
        <v>1</v>
      </c>
    </row>
    <row r="33" spans="1:3" x14ac:dyDescent="0.25">
      <c r="A33" t="s">
        <v>1</v>
      </c>
      <c r="B33" t="s">
        <v>4</v>
      </c>
      <c r="C33" t="s">
        <v>1</v>
      </c>
    </row>
    <row r="34" spans="1:3" x14ac:dyDescent="0.25">
      <c r="A34" t="s">
        <v>4</v>
      </c>
      <c r="B34" t="s">
        <v>1</v>
      </c>
      <c r="C34" t="s">
        <v>1</v>
      </c>
    </row>
    <row r="35" spans="1:3" x14ac:dyDescent="0.25">
      <c r="A35" t="s">
        <v>1</v>
      </c>
      <c r="B35" t="s">
        <v>4</v>
      </c>
      <c r="C35" t="s">
        <v>1</v>
      </c>
    </row>
    <row r="36" spans="1:3" x14ac:dyDescent="0.25">
      <c r="A36" t="s">
        <v>4</v>
      </c>
      <c r="B36" t="s">
        <v>1</v>
      </c>
      <c r="C36" t="s">
        <v>1</v>
      </c>
    </row>
    <row r="37" spans="1:3" x14ac:dyDescent="0.25">
      <c r="A37" t="s">
        <v>1</v>
      </c>
      <c r="B37" t="s">
        <v>4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1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17</v>
      </c>
    </row>
    <row r="45" spans="1:3" x14ac:dyDescent="0.25">
      <c r="A45" t="s">
        <v>4</v>
      </c>
      <c r="B45" t="s">
        <v>1</v>
      </c>
      <c r="C45" t="s">
        <v>17</v>
      </c>
    </row>
    <row r="46" spans="1:3" x14ac:dyDescent="0.25">
      <c r="A46" t="s">
        <v>4</v>
      </c>
      <c r="B46" t="s">
        <v>1</v>
      </c>
      <c r="C46" t="s">
        <v>17</v>
      </c>
    </row>
    <row r="47" spans="1:3" x14ac:dyDescent="0.25">
      <c r="A47" t="s">
        <v>4</v>
      </c>
      <c r="B47" t="s">
        <v>1</v>
      </c>
      <c r="C47" t="s">
        <v>17</v>
      </c>
    </row>
    <row r="48" spans="1:3" x14ac:dyDescent="0.25">
      <c r="A48" t="s">
        <v>4</v>
      </c>
      <c r="B48" t="s">
        <v>1</v>
      </c>
      <c r="C48" t="s">
        <v>17</v>
      </c>
    </row>
    <row r="49" spans="1:3" x14ac:dyDescent="0.25">
      <c r="A49" t="s">
        <v>4</v>
      </c>
      <c r="B49" t="s">
        <v>1</v>
      </c>
      <c r="C49" t="s">
        <v>17</v>
      </c>
    </row>
    <row r="50" spans="1:3" x14ac:dyDescent="0.25">
      <c r="A50" t="s">
        <v>4</v>
      </c>
      <c r="B50" t="s">
        <v>1</v>
      </c>
      <c r="C50" t="s">
        <v>17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0553-7398-4972-AAC0-48863B367ACB}">
  <sheetPr codeName="Sheet7"/>
  <dimension ref="A1:O51"/>
  <sheetViews>
    <sheetView workbookViewId="0">
      <selection sqref="A1:C5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24</v>
      </c>
      <c r="C4" t="s">
        <v>24</v>
      </c>
      <c r="F4" t="s">
        <v>24</v>
      </c>
      <c r="G4">
        <f>COUNTIF(C:C, F4)</f>
        <v>46</v>
      </c>
      <c r="J4" t="s">
        <v>24</v>
      </c>
      <c r="K4">
        <f>COUNTIFS(C:C,J4,A:A,J$4)</f>
        <v>24</v>
      </c>
      <c r="N4" t="s">
        <v>24</v>
      </c>
      <c r="O4">
        <f>COUNTIFS(A:A,N$5,C:C,N4)</f>
        <v>22</v>
      </c>
    </row>
    <row r="5" spans="1:15" x14ac:dyDescent="0.25">
      <c r="A5" t="s">
        <v>24</v>
      </c>
      <c r="B5" t="s">
        <v>4</v>
      </c>
      <c r="C5" t="s">
        <v>24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4</v>
      </c>
      <c r="B6" t="s">
        <v>24</v>
      </c>
      <c r="C6" t="s">
        <v>24</v>
      </c>
      <c r="F6" t="s">
        <v>17</v>
      </c>
      <c r="G6">
        <f>COUNTIF(C:C, F6)</f>
        <v>4</v>
      </c>
      <c r="J6" t="s">
        <v>17</v>
      </c>
      <c r="K6">
        <f>COUNTIFS(C:C,J6,A:A,J$4)</f>
        <v>1</v>
      </c>
      <c r="N6" t="s">
        <v>17</v>
      </c>
      <c r="O6">
        <f>COUNTIFS(A:A,N$5,C:C,N6)</f>
        <v>3</v>
      </c>
    </row>
    <row r="7" spans="1:15" x14ac:dyDescent="0.25">
      <c r="A7" t="s">
        <v>24</v>
      </c>
      <c r="B7" t="s">
        <v>4</v>
      </c>
      <c r="C7" t="s">
        <v>24</v>
      </c>
    </row>
    <row r="8" spans="1:15" x14ac:dyDescent="0.25">
      <c r="A8" t="s">
        <v>4</v>
      </c>
      <c r="B8" t="s">
        <v>24</v>
      </c>
      <c r="C8" t="s">
        <v>24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24</v>
      </c>
      <c r="B13" t="s">
        <v>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24</v>
      </c>
      <c r="B16" t="s">
        <v>4</v>
      </c>
      <c r="C16" t="s">
        <v>24</v>
      </c>
    </row>
    <row r="17" spans="1:3" x14ac:dyDescent="0.25">
      <c r="A17" t="s">
        <v>4</v>
      </c>
      <c r="B17" t="s">
        <v>24</v>
      </c>
      <c r="C17" t="s">
        <v>24</v>
      </c>
    </row>
    <row r="18" spans="1:3" x14ac:dyDescent="0.25">
      <c r="A18" t="s">
        <v>24</v>
      </c>
      <c r="B18" t="s">
        <v>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4</v>
      </c>
      <c r="B30" t="s">
        <v>24</v>
      </c>
      <c r="C30" t="s">
        <v>24</v>
      </c>
    </row>
    <row r="31" spans="1:3" x14ac:dyDescent="0.25">
      <c r="A31" t="s">
        <v>4</v>
      </c>
      <c r="B31" t="s">
        <v>24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24</v>
      </c>
      <c r="B34" t="s">
        <v>4</v>
      </c>
      <c r="C34" t="s">
        <v>24</v>
      </c>
    </row>
    <row r="35" spans="1:3" x14ac:dyDescent="0.25">
      <c r="A35" t="s">
        <v>4</v>
      </c>
      <c r="B35" t="s">
        <v>24</v>
      </c>
      <c r="C35" t="s">
        <v>24</v>
      </c>
    </row>
    <row r="36" spans="1:3" x14ac:dyDescent="0.25">
      <c r="A36" t="s">
        <v>24</v>
      </c>
      <c r="B36" t="s">
        <v>4</v>
      </c>
      <c r="C36" t="s">
        <v>24</v>
      </c>
    </row>
    <row r="37" spans="1:3" x14ac:dyDescent="0.25">
      <c r="A37" t="s">
        <v>4</v>
      </c>
      <c r="B37" t="s">
        <v>24</v>
      </c>
      <c r="C37" t="s">
        <v>24</v>
      </c>
    </row>
    <row r="38" spans="1:3" x14ac:dyDescent="0.25">
      <c r="A38" t="s">
        <v>4</v>
      </c>
      <c r="B38" t="s">
        <v>24</v>
      </c>
      <c r="C38" t="s">
        <v>17</v>
      </c>
    </row>
    <row r="39" spans="1:3" x14ac:dyDescent="0.25">
      <c r="A39" t="s">
        <v>4</v>
      </c>
      <c r="B39" t="s">
        <v>24</v>
      </c>
      <c r="C39" t="s">
        <v>17</v>
      </c>
    </row>
    <row r="40" spans="1:3" x14ac:dyDescent="0.25">
      <c r="A40" t="s">
        <v>4</v>
      </c>
      <c r="B40" t="s">
        <v>24</v>
      </c>
      <c r="C40" t="s">
        <v>17</v>
      </c>
    </row>
    <row r="41" spans="1:3" x14ac:dyDescent="0.25">
      <c r="A41" t="s">
        <v>24</v>
      </c>
      <c r="B41" t="s">
        <v>4</v>
      </c>
      <c r="C41" t="s">
        <v>24</v>
      </c>
    </row>
    <row r="42" spans="1:3" x14ac:dyDescent="0.25">
      <c r="A42" t="s">
        <v>4</v>
      </c>
      <c r="B42" t="s">
        <v>24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24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24</v>
      </c>
      <c r="B47" t="s">
        <v>4</v>
      </c>
      <c r="C47" t="s">
        <v>24</v>
      </c>
    </row>
    <row r="48" spans="1:3" x14ac:dyDescent="0.25">
      <c r="A48" t="s">
        <v>4</v>
      </c>
      <c r="B48" t="s">
        <v>24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24</v>
      </c>
      <c r="B50" t="s">
        <v>4</v>
      </c>
      <c r="C50" t="s">
        <v>24</v>
      </c>
    </row>
    <row r="51" spans="1:3" x14ac:dyDescent="0.25">
      <c r="A51" t="s">
        <v>24</v>
      </c>
      <c r="B51" t="s">
        <v>4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MR34"/>
  <sheetViews>
    <sheetView topLeftCell="A4" workbookViewId="0">
      <selection activeCell="F4" sqref="F4:F25"/>
    </sheetView>
  </sheetViews>
  <sheetFormatPr defaultRowHeight="15" x14ac:dyDescent="0.25"/>
  <cols>
    <col min="352" max="352" width="10.7109375" customWidth="1"/>
    <col min="353" max="353" width="11.28515625" customWidth="1"/>
    <col min="355" max="355" width="10.140625" customWidth="1"/>
    <col min="356" max="356" width="9.7109375" customWidth="1"/>
    <col min="357" max="358" width="9.140625" customWidth="1"/>
    <col min="359" max="359" width="15.85546875" customWidth="1"/>
    <col min="360" max="360" width="12.7109375" customWidth="1"/>
    <col min="361" max="361" width="13.28515625" customWidth="1"/>
    <col min="363" max="363" width="13.7109375" customWidth="1"/>
    <col min="364" max="364" width="13" customWidth="1"/>
  </cols>
  <sheetData>
    <row r="1" spans="1:356" x14ac:dyDescent="0.25">
      <c r="A1" t="str">
        <f>"Game" &amp; (COLUMN(A1) - 1)/3  + 1</f>
        <v>Game1</v>
      </c>
      <c r="C1" t="s">
        <v>30</v>
      </c>
      <c r="D1" t="s">
        <v>30</v>
      </c>
      <c r="F1" t="s">
        <v>31</v>
      </c>
      <c r="G1" t="s">
        <v>31</v>
      </c>
      <c r="H1" t="str">
        <f>"Game" &amp; (COLUMN(H1) - 1)/7  + 1</f>
        <v>Game2</v>
      </c>
      <c r="J1" t="s">
        <v>30</v>
      </c>
      <c r="K1" t="s">
        <v>30</v>
      </c>
      <c r="M1" t="s">
        <v>31</v>
      </c>
      <c r="N1" t="s">
        <v>31</v>
      </c>
      <c r="O1" t="str">
        <f>"Game" &amp; (COLUMN(O1) - 1)/7  + 1</f>
        <v>Game3</v>
      </c>
      <c r="Q1" t="s">
        <v>30</v>
      </c>
      <c r="R1" t="s">
        <v>30</v>
      </c>
      <c r="T1" t="s">
        <v>31</v>
      </c>
      <c r="U1" t="s">
        <v>31</v>
      </c>
      <c r="V1" t="str">
        <f>"Game" &amp; (COLUMN(V1) - 1)/7  + 1</f>
        <v>Game4</v>
      </c>
      <c r="X1" t="s">
        <v>30</v>
      </c>
      <c r="Y1" t="s">
        <v>30</v>
      </c>
      <c r="AA1" t="s">
        <v>31</v>
      </c>
      <c r="AB1" t="s">
        <v>31</v>
      </c>
      <c r="AC1" t="str">
        <f>"Game" &amp; (COLUMN(AC1) - 1)/7  + 1</f>
        <v>Game5</v>
      </c>
      <c r="AE1" t="s">
        <v>30</v>
      </c>
      <c r="AF1" t="s">
        <v>30</v>
      </c>
      <c r="AH1" t="s">
        <v>31</v>
      </c>
      <c r="AI1" t="s">
        <v>31</v>
      </c>
      <c r="AJ1" t="str">
        <f>"Game" &amp; (COLUMN(AJ1) - 1)/7  + 1</f>
        <v>Game6</v>
      </c>
      <c r="AL1" t="s">
        <v>30</v>
      </c>
      <c r="AM1" t="s">
        <v>30</v>
      </c>
      <c r="AO1" t="s">
        <v>31</v>
      </c>
      <c r="AP1" t="s">
        <v>31</v>
      </c>
      <c r="AQ1" t="str">
        <f>"Game" &amp; (COLUMN(AQ1) - 1)/7  + 1</f>
        <v>Game7</v>
      </c>
      <c r="AS1" t="s">
        <v>30</v>
      </c>
      <c r="AT1" t="s">
        <v>30</v>
      </c>
      <c r="AV1" t="s">
        <v>31</v>
      </c>
      <c r="AW1" t="s">
        <v>31</v>
      </c>
      <c r="AX1" t="str">
        <f>"Game" &amp; (COLUMN(AX1) - 1)/7  + 1</f>
        <v>Game8</v>
      </c>
      <c r="AZ1" t="s">
        <v>30</v>
      </c>
      <c r="BA1" t="s">
        <v>30</v>
      </c>
      <c r="BC1" t="s">
        <v>31</v>
      </c>
      <c r="BD1" t="s">
        <v>31</v>
      </c>
      <c r="BE1" t="str">
        <f>"Game" &amp; (COLUMN(BE1) - 1)/7  + 1</f>
        <v>Game9</v>
      </c>
      <c r="BG1" t="s">
        <v>30</v>
      </c>
      <c r="BH1" t="s">
        <v>30</v>
      </c>
      <c r="BJ1" t="s">
        <v>31</v>
      </c>
      <c r="BK1" t="s">
        <v>31</v>
      </c>
      <c r="BL1" t="str">
        <f>"Game" &amp; (COLUMN(BL1) - 1)/7  + 1</f>
        <v>Game10</v>
      </c>
      <c r="BN1" t="s">
        <v>30</v>
      </c>
      <c r="BO1" t="s">
        <v>30</v>
      </c>
      <c r="BQ1" t="s">
        <v>31</v>
      </c>
      <c r="BR1" t="s">
        <v>31</v>
      </c>
      <c r="BS1" t="str">
        <f>"Game" &amp; (COLUMN(BS1) - 1)/7  + 1</f>
        <v>Game11</v>
      </c>
      <c r="BU1" t="s">
        <v>30</v>
      </c>
      <c r="BV1" t="s">
        <v>30</v>
      </c>
      <c r="BX1" t="s">
        <v>31</v>
      </c>
      <c r="BY1" t="s">
        <v>31</v>
      </c>
      <c r="BZ1" t="str">
        <f>"Game" &amp; (COLUMN(BZ1) - 1)/7  + 1</f>
        <v>Game12</v>
      </c>
      <c r="CB1" t="s">
        <v>30</v>
      </c>
      <c r="CC1" t="s">
        <v>30</v>
      </c>
      <c r="CE1" t="s">
        <v>31</v>
      </c>
      <c r="CF1" t="s">
        <v>31</v>
      </c>
      <c r="CG1" t="str">
        <f>"Game" &amp; (COLUMN(CG1) - 1)/7  + 1</f>
        <v>Game13</v>
      </c>
      <c r="CI1" t="s">
        <v>30</v>
      </c>
      <c r="CJ1" t="s">
        <v>30</v>
      </c>
      <c r="CL1" t="s">
        <v>31</v>
      </c>
      <c r="CM1" t="s">
        <v>31</v>
      </c>
      <c r="CN1" t="str">
        <f>"Game" &amp; (COLUMN(CN1) - 1)/7  + 1</f>
        <v>Game14</v>
      </c>
      <c r="CP1" t="s">
        <v>30</v>
      </c>
      <c r="CQ1" t="s">
        <v>30</v>
      </c>
      <c r="CS1" t="s">
        <v>31</v>
      </c>
      <c r="CT1" t="s">
        <v>31</v>
      </c>
      <c r="CU1" t="str">
        <f>"Game" &amp; (COLUMN(CU1) - 1)/7  + 1</f>
        <v>Game15</v>
      </c>
      <c r="CW1" t="s">
        <v>30</v>
      </c>
      <c r="CX1" t="s">
        <v>30</v>
      </c>
      <c r="CZ1" t="s">
        <v>31</v>
      </c>
      <c r="DA1" t="s">
        <v>31</v>
      </c>
      <c r="DB1" t="str">
        <f>"Game" &amp; (COLUMN(DB1) - 1)/7  + 1</f>
        <v>Game16</v>
      </c>
      <c r="DD1" t="s">
        <v>30</v>
      </c>
      <c r="DE1" t="s">
        <v>30</v>
      </c>
      <c r="DG1" t="s">
        <v>31</v>
      </c>
      <c r="DH1" t="s">
        <v>31</v>
      </c>
      <c r="DI1" t="str">
        <f>"Game" &amp; (COLUMN(DI1) - 1)/7  + 1</f>
        <v>Game17</v>
      </c>
      <c r="DK1" t="s">
        <v>30</v>
      </c>
      <c r="DL1" t="s">
        <v>30</v>
      </c>
      <c r="DN1" t="s">
        <v>31</v>
      </c>
      <c r="DO1" t="s">
        <v>31</v>
      </c>
      <c r="DP1" t="str">
        <f>"Game" &amp; (COLUMN(DP1) - 1)/7  + 1</f>
        <v>Game18</v>
      </c>
      <c r="DR1" t="s">
        <v>30</v>
      </c>
      <c r="DS1" t="s">
        <v>30</v>
      </c>
      <c r="DU1" t="s">
        <v>31</v>
      </c>
      <c r="DV1" t="s">
        <v>31</v>
      </c>
      <c r="DW1" t="str">
        <f>"Game" &amp; (COLUMN(DW1) - 1)/7  + 1</f>
        <v>Game19</v>
      </c>
      <c r="DY1" t="s">
        <v>30</v>
      </c>
      <c r="DZ1" t="s">
        <v>30</v>
      </c>
      <c r="EB1" t="s">
        <v>31</v>
      </c>
      <c r="EC1" t="s">
        <v>31</v>
      </c>
      <c r="ED1" t="str">
        <f>"Game" &amp; (COLUMN(ED1) - 1)/7  + 1</f>
        <v>Game20</v>
      </c>
      <c r="EF1" t="s">
        <v>30</v>
      </c>
      <c r="EG1" t="s">
        <v>30</v>
      </c>
      <c r="EI1" t="s">
        <v>31</v>
      </c>
      <c r="EJ1" t="s">
        <v>31</v>
      </c>
      <c r="EK1" t="str">
        <f>"Game" &amp; (COLUMN(EK1) - 1)/7  + 1</f>
        <v>Game21</v>
      </c>
      <c r="EM1" t="s">
        <v>30</v>
      </c>
      <c r="EN1" t="s">
        <v>30</v>
      </c>
      <c r="EP1" t="s">
        <v>31</v>
      </c>
      <c r="EQ1" t="s">
        <v>31</v>
      </c>
      <c r="ER1" t="str">
        <f>"Game" &amp; (COLUMN(ER1) - 1)/7  + 1</f>
        <v>Game22</v>
      </c>
      <c r="ET1" t="s">
        <v>30</v>
      </c>
      <c r="EU1" t="s">
        <v>30</v>
      </c>
      <c r="EW1" t="s">
        <v>31</v>
      </c>
      <c r="EX1" t="s">
        <v>31</v>
      </c>
      <c r="EY1" t="str">
        <f>"Game" &amp; (COLUMN(EY1) - 1)/7  + 1</f>
        <v>Game23</v>
      </c>
      <c r="FA1" t="s">
        <v>30</v>
      </c>
      <c r="FB1" t="s">
        <v>30</v>
      </c>
      <c r="FD1" t="s">
        <v>31</v>
      </c>
      <c r="FE1" t="s">
        <v>31</v>
      </c>
      <c r="FF1" t="str">
        <f>"Game" &amp; (COLUMN(FF1) - 1)/7  + 1</f>
        <v>Game24</v>
      </c>
      <c r="FH1" t="s">
        <v>30</v>
      </c>
      <c r="FI1" t="s">
        <v>30</v>
      </c>
      <c r="FK1" t="s">
        <v>31</v>
      </c>
      <c r="FL1" t="s">
        <v>31</v>
      </c>
      <c r="FM1" t="str">
        <f>"Game" &amp; (COLUMN(FM1) - 1)/7  + 1</f>
        <v>Game25</v>
      </c>
      <c r="FO1" t="s">
        <v>30</v>
      </c>
      <c r="FP1" t="s">
        <v>30</v>
      </c>
      <c r="FR1" t="s">
        <v>31</v>
      </c>
      <c r="FS1" t="s">
        <v>31</v>
      </c>
      <c r="FT1" t="str">
        <f>"Game" &amp; (COLUMN(FT1) - 1)/7  + 1</f>
        <v>Game26</v>
      </c>
      <c r="FV1" t="s">
        <v>30</v>
      </c>
      <c r="FW1" t="s">
        <v>30</v>
      </c>
      <c r="FY1" t="s">
        <v>31</v>
      </c>
      <c r="FZ1" t="s">
        <v>31</v>
      </c>
      <c r="GA1" t="str">
        <f>"Game" &amp; (COLUMN(GA1) - 1)/7  + 1</f>
        <v>Game27</v>
      </c>
      <c r="GC1" t="s">
        <v>30</v>
      </c>
      <c r="GD1" t="s">
        <v>30</v>
      </c>
      <c r="GF1" t="s">
        <v>31</v>
      </c>
      <c r="GG1" t="s">
        <v>31</v>
      </c>
      <c r="GH1" t="str">
        <f>"Game" &amp; (COLUMN(GH1) - 1)/7  + 1</f>
        <v>Game28</v>
      </c>
      <c r="GJ1" t="s">
        <v>30</v>
      </c>
      <c r="GK1" t="s">
        <v>30</v>
      </c>
      <c r="GM1" t="s">
        <v>31</v>
      </c>
      <c r="GN1" t="s">
        <v>31</v>
      </c>
      <c r="GO1" t="str">
        <f>"Game" &amp; (COLUMN(GO1) - 1)/7  + 1</f>
        <v>Game29</v>
      </c>
      <c r="GQ1" t="s">
        <v>30</v>
      </c>
      <c r="GR1" t="s">
        <v>30</v>
      </c>
      <c r="GT1" t="s">
        <v>31</v>
      </c>
      <c r="GU1" t="s">
        <v>31</v>
      </c>
      <c r="GV1" t="str">
        <f>"Game" &amp; (COLUMN(GV1) - 1)/7  + 1</f>
        <v>Game30</v>
      </c>
      <c r="GX1" t="s">
        <v>30</v>
      </c>
      <c r="GY1" t="s">
        <v>30</v>
      </c>
      <c r="HA1" t="s">
        <v>31</v>
      </c>
      <c r="HB1" t="s">
        <v>31</v>
      </c>
      <c r="HC1" t="str">
        <f>"Game" &amp; (COLUMN(HC1) - 1)/7  + 1</f>
        <v>Game31</v>
      </c>
      <c r="HE1" t="s">
        <v>30</v>
      </c>
      <c r="HF1" t="s">
        <v>30</v>
      </c>
      <c r="HH1" t="s">
        <v>31</v>
      </c>
      <c r="HI1" t="s">
        <v>31</v>
      </c>
      <c r="HJ1" t="str">
        <f>"Game" &amp; (COLUMN(HJ1) - 1)/7  + 1</f>
        <v>Game32</v>
      </c>
      <c r="HL1" t="s">
        <v>30</v>
      </c>
      <c r="HM1" t="s">
        <v>30</v>
      </c>
      <c r="HO1" t="s">
        <v>31</v>
      </c>
      <c r="HP1" t="s">
        <v>31</v>
      </c>
      <c r="HQ1" t="str">
        <f>"Game" &amp; (COLUMN(HQ1) - 1)/7  + 1</f>
        <v>Game33</v>
      </c>
      <c r="HS1" t="s">
        <v>30</v>
      </c>
      <c r="HT1" t="s">
        <v>30</v>
      </c>
      <c r="HV1" t="s">
        <v>31</v>
      </c>
      <c r="HW1" t="s">
        <v>31</v>
      </c>
      <c r="HX1" t="str">
        <f>"Game" &amp; (COLUMN(HX1) - 1)/7  + 1</f>
        <v>Game34</v>
      </c>
      <c r="HZ1" t="s">
        <v>30</v>
      </c>
      <c r="IA1" t="s">
        <v>30</v>
      </c>
      <c r="IC1" t="s">
        <v>31</v>
      </c>
      <c r="ID1" t="s">
        <v>31</v>
      </c>
      <c r="IE1" t="str">
        <f>"Game" &amp; (COLUMN(IE1) - 1)/7  + 1</f>
        <v>Game35</v>
      </c>
      <c r="IG1" t="s">
        <v>30</v>
      </c>
      <c r="IH1" t="s">
        <v>30</v>
      </c>
      <c r="IJ1" t="s">
        <v>31</v>
      </c>
      <c r="IK1" t="s">
        <v>31</v>
      </c>
      <c r="IL1" t="str">
        <f>"Game" &amp; (COLUMN(IL1) - 1)/7  + 1</f>
        <v>Game36</v>
      </c>
      <c r="IN1" t="s">
        <v>30</v>
      </c>
      <c r="IO1" t="s">
        <v>30</v>
      </c>
      <c r="IQ1" t="s">
        <v>31</v>
      </c>
      <c r="IR1" t="s">
        <v>31</v>
      </c>
      <c r="IS1" t="str">
        <f>"Game" &amp; (COLUMN(IS1) - 1)/7  + 1</f>
        <v>Game37</v>
      </c>
      <c r="IU1" t="s">
        <v>30</v>
      </c>
      <c r="IV1" t="s">
        <v>30</v>
      </c>
      <c r="IX1" t="s">
        <v>31</v>
      </c>
      <c r="IY1" t="s">
        <v>31</v>
      </c>
      <c r="IZ1" t="str">
        <f>"Game" &amp; (COLUMN(IZ1) - 1)/7  + 1</f>
        <v>Game38</v>
      </c>
      <c r="JB1" t="s">
        <v>30</v>
      </c>
      <c r="JC1" t="s">
        <v>30</v>
      </c>
      <c r="JE1" t="s">
        <v>31</v>
      </c>
      <c r="JF1" t="s">
        <v>31</v>
      </c>
      <c r="JG1" t="str">
        <f>"Game" &amp; (COLUMN(JG1) - 1)/7  + 1</f>
        <v>Game39</v>
      </c>
      <c r="JI1" t="s">
        <v>30</v>
      </c>
      <c r="JJ1" t="s">
        <v>30</v>
      </c>
      <c r="JL1" t="s">
        <v>31</v>
      </c>
      <c r="JM1" t="s">
        <v>31</v>
      </c>
      <c r="JN1" t="str">
        <f>"Game" &amp; (COLUMN(JN1) - 1)/7  + 1</f>
        <v>Game40</v>
      </c>
      <c r="JP1" t="s">
        <v>30</v>
      </c>
      <c r="JQ1" t="s">
        <v>30</v>
      </c>
      <c r="JS1" t="s">
        <v>31</v>
      </c>
      <c r="JT1" t="s">
        <v>31</v>
      </c>
      <c r="JU1" t="str">
        <f>"Game" &amp; (COLUMN(JU1) - 1)/7  + 1</f>
        <v>Game41</v>
      </c>
      <c r="JW1" t="s">
        <v>30</v>
      </c>
      <c r="JX1" t="s">
        <v>30</v>
      </c>
      <c r="JZ1" t="s">
        <v>31</v>
      </c>
      <c r="KA1" t="s">
        <v>31</v>
      </c>
      <c r="KB1" t="str">
        <f>"Game" &amp; (COLUMN(KB1) - 1)/7  + 1</f>
        <v>Game42</v>
      </c>
      <c r="KD1" t="s">
        <v>30</v>
      </c>
      <c r="KE1" t="s">
        <v>30</v>
      </c>
      <c r="KG1" t="s">
        <v>31</v>
      </c>
      <c r="KH1" t="s">
        <v>31</v>
      </c>
      <c r="KI1" t="str">
        <f>"Game" &amp; (COLUMN(KI1) - 1)/7  + 1</f>
        <v>Game43</v>
      </c>
      <c r="KK1" t="s">
        <v>30</v>
      </c>
      <c r="KL1" t="s">
        <v>30</v>
      </c>
      <c r="KN1" t="s">
        <v>31</v>
      </c>
      <c r="KO1" t="s">
        <v>31</v>
      </c>
      <c r="KP1" t="str">
        <f>"Game" &amp; (COLUMN(KP1) - 1)/7  + 1</f>
        <v>Game44</v>
      </c>
      <c r="KR1" t="s">
        <v>30</v>
      </c>
      <c r="KS1" t="s">
        <v>30</v>
      </c>
      <c r="KU1" t="s">
        <v>31</v>
      </c>
      <c r="KV1" t="s">
        <v>31</v>
      </c>
      <c r="KW1" t="str">
        <f>"Game" &amp; (COLUMN(KW1) - 1)/7  + 1</f>
        <v>Game45</v>
      </c>
      <c r="KY1" t="s">
        <v>30</v>
      </c>
      <c r="KZ1" t="s">
        <v>30</v>
      </c>
      <c r="LB1" t="s">
        <v>31</v>
      </c>
      <c r="LC1" t="s">
        <v>31</v>
      </c>
      <c r="LD1" t="str">
        <f>"Game" &amp; (COLUMN(LD1) - 1)/7  + 1</f>
        <v>Game46</v>
      </c>
      <c r="LF1" t="s">
        <v>30</v>
      </c>
      <c r="LG1" t="s">
        <v>30</v>
      </c>
      <c r="LI1" t="s">
        <v>31</v>
      </c>
      <c r="LJ1" t="s">
        <v>31</v>
      </c>
      <c r="LK1" t="str">
        <f>"Game" &amp; (COLUMN(LK1) - 1)/7  + 1</f>
        <v>Game47</v>
      </c>
      <c r="LM1" t="s">
        <v>30</v>
      </c>
      <c r="LN1" t="s">
        <v>30</v>
      </c>
      <c r="LP1" t="s">
        <v>31</v>
      </c>
      <c r="LQ1" t="s">
        <v>31</v>
      </c>
      <c r="LR1" t="str">
        <f>"Game" &amp; (COLUMN(LR1) - 1)/7  + 1</f>
        <v>Game48</v>
      </c>
      <c r="LT1" t="s">
        <v>30</v>
      </c>
      <c r="LU1" t="s">
        <v>30</v>
      </c>
      <c r="LW1" t="s">
        <v>31</v>
      </c>
      <c r="LX1" t="s">
        <v>31</v>
      </c>
      <c r="LY1" t="str">
        <f>"Game" &amp; (COLUMN(LY1) - 1)/7  + 1</f>
        <v>Game49</v>
      </c>
      <c r="MA1" t="s">
        <v>30</v>
      </c>
      <c r="MB1" t="s">
        <v>30</v>
      </c>
      <c r="MD1" t="s">
        <v>31</v>
      </c>
      <c r="ME1" t="s">
        <v>31</v>
      </c>
      <c r="MF1" t="str">
        <f>"Game" &amp; (COLUMN(MF1) - 1)/7  + 1</f>
        <v>Game50</v>
      </c>
      <c r="MH1" t="s">
        <v>30</v>
      </c>
      <c r="MI1" t="s">
        <v>30</v>
      </c>
      <c r="MK1" t="s">
        <v>31</v>
      </c>
      <c r="ML1" t="s">
        <v>31</v>
      </c>
    </row>
    <row r="2" spans="1:356" x14ac:dyDescent="0.25">
      <c r="C2" t="s">
        <v>1</v>
      </c>
      <c r="D2" t="s">
        <v>1</v>
      </c>
      <c r="F2" t="s">
        <v>4</v>
      </c>
      <c r="G2" t="s">
        <v>4</v>
      </c>
      <c r="J2" t="s">
        <v>4</v>
      </c>
      <c r="K2" t="s">
        <v>4</v>
      </c>
      <c r="M2" t="s">
        <v>1</v>
      </c>
      <c r="N2" t="s">
        <v>1</v>
      </c>
      <c r="Q2" t="s">
        <v>1</v>
      </c>
      <c r="R2" t="s">
        <v>1</v>
      </c>
      <c r="T2" t="s">
        <v>4</v>
      </c>
      <c r="U2" t="s">
        <v>4</v>
      </c>
      <c r="X2" t="s">
        <v>4</v>
      </c>
      <c r="Y2" t="s">
        <v>4</v>
      </c>
      <c r="AA2" t="s">
        <v>1</v>
      </c>
      <c r="AB2" t="s">
        <v>1</v>
      </c>
      <c r="AE2" t="s">
        <v>1</v>
      </c>
      <c r="AF2" t="s">
        <v>1</v>
      </c>
      <c r="AH2" t="s">
        <v>4</v>
      </c>
      <c r="AI2" t="s">
        <v>4</v>
      </c>
      <c r="AL2" t="s">
        <v>4</v>
      </c>
      <c r="AM2" t="s">
        <v>4</v>
      </c>
      <c r="AO2" t="s">
        <v>1</v>
      </c>
      <c r="AP2" t="s">
        <v>1</v>
      </c>
      <c r="AS2" t="s">
        <v>1</v>
      </c>
      <c r="AT2" t="s">
        <v>1</v>
      </c>
      <c r="AV2" t="s">
        <v>4</v>
      </c>
      <c r="AW2" t="s">
        <v>4</v>
      </c>
      <c r="AZ2" t="s">
        <v>4</v>
      </c>
      <c r="BA2" t="s">
        <v>4</v>
      </c>
      <c r="BC2" t="s">
        <v>1</v>
      </c>
      <c r="BD2" t="s">
        <v>1</v>
      </c>
      <c r="BG2" t="s">
        <v>1</v>
      </c>
      <c r="BH2" t="s">
        <v>1</v>
      </c>
      <c r="BJ2" t="s">
        <v>4</v>
      </c>
      <c r="BK2" t="s">
        <v>4</v>
      </c>
      <c r="BN2" t="s">
        <v>4</v>
      </c>
      <c r="BO2" t="s">
        <v>4</v>
      </c>
      <c r="BQ2" t="s">
        <v>1</v>
      </c>
      <c r="BR2" t="s">
        <v>1</v>
      </c>
      <c r="BU2" t="s">
        <v>1</v>
      </c>
      <c r="BV2" t="s">
        <v>1</v>
      </c>
      <c r="BX2" t="s">
        <v>4</v>
      </c>
      <c r="BY2" t="s">
        <v>4</v>
      </c>
      <c r="CB2" t="s">
        <v>4</v>
      </c>
      <c r="CC2" t="s">
        <v>4</v>
      </c>
      <c r="CE2" t="s">
        <v>1</v>
      </c>
      <c r="CF2" t="s">
        <v>1</v>
      </c>
      <c r="CI2" t="s">
        <v>1</v>
      </c>
      <c r="CJ2" t="s">
        <v>1</v>
      </c>
      <c r="CL2" t="s">
        <v>4</v>
      </c>
      <c r="CM2" t="s">
        <v>4</v>
      </c>
      <c r="CP2" t="s">
        <v>4</v>
      </c>
      <c r="CQ2" t="s">
        <v>4</v>
      </c>
      <c r="CS2" t="s">
        <v>1</v>
      </c>
      <c r="CT2" t="s">
        <v>1</v>
      </c>
      <c r="CW2" t="s">
        <v>1</v>
      </c>
      <c r="CX2" t="s">
        <v>1</v>
      </c>
      <c r="CZ2" t="s">
        <v>4</v>
      </c>
      <c r="DA2" t="s">
        <v>4</v>
      </c>
      <c r="DD2" t="s">
        <v>4</v>
      </c>
      <c r="DE2" t="s">
        <v>4</v>
      </c>
      <c r="DG2" t="s">
        <v>1</v>
      </c>
      <c r="DH2" t="s">
        <v>1</v>
      </c>
      <c r="DK2" t="s">
        <v>1</v>
      </c>
      <c r="DL2" t="s">
        <v>1</v>
      </c>
      <c r="DN2" t="s">
        <v>4</v>
      </c>
      <c r="DO2" t="s">
        <v>4</v>
      </c>
      <c r="DR2" t="s">
        <v>4</v>
      </c>
      <c r="DS2" t="s">
        <v>4</v>
      </c>
      <c r="DU2" t="s">
        <v>1</v>
      </c>
      <c r="DV2" t="s">
        <v>1</v>
      </c>
      <c r="DY2" t="s">
        <v>1</v>
      </c>
      <c r="DZ2" t="s">
        <v>1</v>
      </c>
      <c r="EB2" t="s">
        <v>4</v>
      </c>
      <c r="EC2" t="s">
        <v>4</v>
      </c>
      <c r="EF2" t="s">
        <v>4</v>
      </c>
      <c r="EG2" t="s">
        <v>4</v>
      </c>
      <c r="EI2" t="s">
        <v>1</v>
      </c>
      <c r="EJ2" t="s">
        <v>1</v>
      </c>
      <c r="EM2" t="s">
        <v>1</v>
      </c>
      <c r="EN2" t="s">
        <v>1</v>
      </c>
      <c r="EP2" t="s">
        <v>4</v>
      </c>
      <c r="EQ2" t="s">
        <v>4</v>
      </c>
      <c r="ET2" t="s">
        <v>4</v>
      </c>
      <c r="EU2" t="s">
        <v>4</v>
      </c>
      <c r="EW2" t="s">
        <v>1</v>
      </c>
      <c r="EX2" t="s">
        <v>1</v>
      </c>
      <c r="FA2" t="s">
        <v>1</v>
      </c>
      <c r="FB2" t="s">
        <v>1</v>
      </c>
      <c r="FD2" t="s">
        <v>4</v>
      </c>
      <c r="FE2" t="s">
        <v>4</v>
      </c>
      <c r="FH2" t="s">
        <v>4</v>
      </c>
      <c r="FI2" t="s">
        <v>4</v>
      </c>
      <c r="FK2" t="s">
        <v>1</v>
      </c>
      <c r="FL2" t="s">
        <v>1</v>
      </c>
      <c r="FO2" t="s">
        <v>1</v>
      </c>
      <c r="FP2" t="s">
        <v>1</v>
      </c>
      <c r="FR2" t="s">
        <v>4</v>
      </c>
      <c r="FS2" t="s">
        <v>4</v>
      </c>
      <c r="FV2" t="s">
        <v>4</v>
      </c>
      <c r="FW2" t="s">
        <v>4</v>
      </c>
      <c r="FY2" t="s">
        <v>1</v>
      </c>
      <c r="FZ2" t="s">
        <v>1</v>
      </c>
      <c r="GC2" t="s">
        <v>1</v>
      </c>
      <c r="GD2" t="s">
        <v>1</v>
      </c>
      <c r="GF2" t="s">
        <v>4</v>
      </c>
      <c r="GG2" t="s">
        <v>4</v>
      </c>
      <c r="GJ2" t="s">
        <v>4</v>
      </c>
      <c r="GK2" t="s">
        <v>4</v>
      </c>
      <c r="GM2" t="s">
        <v>1</v>
      </c>
      <c r="GN2" t="s">
        <v>1</v>
      </c>
      <c r="GQ2" t="s">
        <v>1</v>
      </c>
      <c r="GR2" t="s">
        <v>1</v>
      </c>
      <c r="GT2" t="s">
        <v>4</v>
      </c>
      <c r="GU2" t="s">
        <v>4</v>
      </c>
      <c r="GX2" t="s">
        <v>4</v>
      </c>
      <c r="GY2" t="s">
        <v>4</v>
      </c>
      <c r="HA2" t="s">
        <v>1</v>
      </c>
      <c r="HB2" t="s">
        <v>1</v>
      </c>
      <c r="HE2" t="s">
        <v>1</v>
      </c>
      <c r="HF2" t="s">
        <v>1</v>
      </c>
      <c r="HH2" t="s">
        <v>4</v>
      </c>
      <c r="HI2" t="s">
        <v>4</v>
      </c>
      <c r="HL2" t="s">
        <v>4</v>
      </c>
      <c r="HM2" t="s">
        <v>4</v>
      </c>
      <c r="HO2" t="s">
        <v>1</v>
      </c>
      <c r="HP2" t="s">
        <v>1</v>
      </c>
      <c r="HS2" t="s">
        <v>1</v>
      </c>
      <c r="HT2" t="s">
        <v>1</v>
      </c>
      <c r="HV2" t="s">
        <v>4</v>
      </c>
      <c r="HW2" t="s">
        <v>4</v>
      </c>
      <c r="HZ2" t="s">
        <v>4</v>
      </c>
      <c r="IA2" t="s">
        <v>4</v>
      </c>
      <c r="IC2" t="s">
        <v>1</v>
      </c>
      <c r="ID2" t="s">
        <v>1</v>
      </c>
      <c r="IG2" t="s">
        <v>1</v>
      </c>
      <c r="IH2" t="s">
        <v>1</v>
      </c>
      <c r="IJ2" t="s">
        <v>4</v>
      </c>
      <c r="IK2" t="s">
        <v>4</v>
      </c>
      <c r="IN2" t="s">
        <v>4</v>
      </c>
      <c r="IO2" t="s">
        <v>4</v>
      </c>
      <c r="IQ2" t="s">
        <v>1</v>
      </c>
      <c r="IR2" t="s">
        <v>1</v>
      </c>
      <c r="IU2" t="s">
        <v>1</v>
      </c>
      <c r="IV2" t="s">
        <v>1</v>
      </c>
      <c r="IX2" t="s">
        <v>4</v>
      </c>
      <c r="IY2" t="s">
        <v>4</v>
      </c>
      <c r="JB2" t="s">
        <v>4</v>
      </c>
      <c r="JC2" t="s">
        <v>4</v>
      </c>
      <c r="JE2" t="s">
        <v>1</v>
      </c>
      <c r="JF2" t="s">
        <v>1</v>
      </c>
      <c r="JI2" t="s">
        <v>1</v>
      </c>
      <c r="JJ2" t="s">
        <v>1</v>
      </c>
      <c r="JL2" t="s">
        <v>4</v>
      </c>
      <c r="JM2" t="s">
        <v>4</v>
      </c>
      <c r="JP2" t="s">
        <v>4</v>
      </c>
      <c r="JQ2" t="s">
        <v>4</v>
      </c>
      <c r="JS2" t="s">
        <v>1</v>
      </c>
      <c r="JT2" t="s">
        <v>1</v>
      </c>
      <c r="JW2" t="s">
        <v>1</v>
      </c>
      <c r="JX2" t="s">
        <v>1</v>
      </c>
      <c r="JZ2" t="s">
        <v>4</v>
      </c>
      <c r="KA2" t="s">
        <v>4</v>
      </c>
      <c r="KD2" t="s">
        <v>4</v>
      </c>
      <c r="KE2" t="s">
        <v>4</v>
      </c>
      <c r="KG2" t="s">
        <v>1</v>
      </c>
      <c r="KH2" t="s">
        <v>1</v>
      </c>
      <c r="KK2" t="s">
        <v>1</v>
      </c>
      <c r="KL2" t="s">
        <v>1</v>
      </c>
      <c r="KN2" t="s">
        <v>4</v>
      </c>
      <c r="KO2" t="s">
        <v>4</v>
      </c>
      <c r="KR2" t="s">
        <v>4</v>
      </c>
      <c r="KS2" t="s">
        <v>4</v>
      </c>
      <c r="KU2" t="s">
        <v>1</v>
      </c>
      <c r="KV2" t="s">
        <v>1</v>
      </c>
      <c r="KY2" t="s">
        <v>1</v>
      </c>
      <c r="KZ2" t="s">
        <v>1</v>
      </c>
      <c r="LB2" t="s">
        <v>4</v>
      </c>
      <c r="LC2" t="s">
        <v>4</v>
      </c>
      <c r="LF2" t="s">
        <v>4</v>
      </c>
      <c r="LG2" t="s">
        <v>4</v>
      </c>
      <c r="LI2" t="s">
        <v>1</v>
      </c>
      <c r="LJ2" t="s">
        <v>1</v>
      </c>
      <c r="LM2" t="s">
        <v>1</v>
      </c>
      <c r="LN2" t="s">
        <v>1</v>
      </c>
      <c r="LP2" t="s">
        <v>4</v>
      </c>
      <c r="LQ2" t="s">
        <v>4</v>
      </c>
      <c r="LT2" t="s">
        <v>4</v>
      </c>
      <c r="LU2" t="s">
        <v>4</v>
      </c>
      <c r="LW2" t="s">
        <v>1</v>
      </c>
      <c r="LX2" t="s">
        <v>1</v>
      </c>
      <c r="MA2" t="s">
        <v>1</v>
      </c>
      <c r="MB2" t="s">
        <v>1</v>
      </c>
      <c r="MD2" t="s">
        <v>4</v>
      </c>
      <c r="ME2" t="s">
        <v>4</v>
      </c>
      <c r="MH2" t="s">
        <v>4</v>
      </c>
      <c r="MI2" t="s">
        <v>4</v>
      </c>
      <c r="MK2" t="s">
        <v>1</v>
      </c>
      <c r="ML2" t="s">
        <v>1</v>
      </c>
      <c r="MN2" t="s">
        <v>30</v>
      </c>
      <c r="MO2" t="s">
        <v>30</v>
      </c>
      <c r="MQ2" t="s">
        <v>31</v>
      </c>
      <c r="MR2" t="s">
        <v>31</v>
      </c>
    </row>
    <row r="3" spans="1:356" x14ac:dyDescent="0.25">
      <c r="C3" s="1" t="s">
        <v>11</v>
      </c>
      <c r="D3" s="1" t="s">
        <v>12</v>
      </c>
      <c r="F3" s="1" t="s">
        <v>11</v>
      </c>
      <c r="G3" s="1" t="s">
        <v>12</v>
      </c>
      <c r="J3" s="1" t="s">
        <v>11</v>
      </c>
      <c r="K3" s="1" t="s">
        <v>12</v>
      </c>
      <c r="M3" s="1" t="s">
        <v>11</v>
      </c>
      <c r="N3" s="1" t="s">
        <v>12</v>
      </c>
      <c r="Q3" s="1" t="s">
        <v>11</v>
      </c>
      <c r="R3" s="1" t="s">
        <v>12</v>
      </c>
      <c r="T3" s="1" t="s">
        <v>11</v>
      </c>
      <c r="U3" s="1" t="s">
        <v>12</v>
      </c>
      <c r="X3" s="1" t="s">
        <v>11</v>
      </c>
      <c r="Y3" s="1" t="s">
        <v>12</v>
      </c>
      <c r="AA3" s="1" t="s">
        <v>11</v>
      </c>
      <c r="AB3" s="1" t="s">
        <v>12</v>
      </c>
      <c r="AE3" s="1" t="s">
        <v>11</v>
      </c>
      <c r="AF3" s="1" t="s">
        <v>12</v>
      </c>
      <c r="AH3" s="1" t="s">
        <v>11</v>
      </c>
      <c r="AI3" s="1" t="s">
        <v>12</v>
      </c>
      <c r="AL3" s="1" t="s">
        <v>11</v>
      </c>
      <c r="AM3" s="1" t="s">
        <v>12</v>
      </c>
      <c r="AO3" s="1" t="s">
        <v>11</v>
      </c>
      <c r="AP3" s="1" t="s">
        <v>12</v>
      </c>
      <c r="AS3" s="1" t="s">
        <v>11</v>
      </c>
      <c r="AT3" s="1" t="s">
        <v>12</v>
      </c>
      <c r="AV3" s="1" t="s">
        <v>11</v>
      </c>
      <c r="AW3" s="1" t="s">
        <v>12</v>
      </c>
      <c r="AZ3" s="1" t="s">
        <v>11</v>
      </c>
      <c r="BA3" s="1" t="s">
        <v>12</v>
      </c>
      <c r="BC3" s="1" t="s">
        <v>11</v>
      </c>
      <c r="BD3" s="1" t="s">
        <v>12</v>
      </c>
      <c r="BG3" s="1" t="s">
        <v>11</v>
      </c>
      <c r="BH3" s="1" t="s">
        <v>12</v>
      </c>
      <c r="BJ3" s="1" t="s">
        <v>11</v>
      </c>
      <c r="BK3" s="1" t="s">
        <v>12</v>
      </c>
      <c r="BN3" s="1" t="s">
        <v>11</v>
      </c>
      <c r="BO3" s="1" t="s">
        <v>12</v>
      </c>
      <c r="BQ3" s="1" t="s">
        <v>11</v>
      </c>
      <c r="BR3" s="1" t="s">
        <v>12</v>
      </c>
      <c r="BU3" s="1" t="s">
        <v>11</v>
      </c>
      <c r="BV3" s="1" t="s">
        <v>12</v>
      </c>
      <c r="BX3" s="1" t="s">
        <v>11</v>
      </c>
      <c r="BY3" s="1" t="s">
        <v>12</v>
      </c>
      <c r="CB3" s="1" t="s">
        <v>11</v>
      </c>
      <c r="CC3" s="1" t="s">
        <v>12</v>
      </c>
      <c r="CE3" s="1" t="s">
        <v>11</v>
      </c>
      <c r="CF3" s="1" t="s">
        <v>12</v>
      </c>
      <c r="CI3" s="1" t="s">
        <v>11</v>
      </c>
      <c r="CJ3" s="1" t="s">
        <v>12</v>
      </c>
      <c r="CL3" s="1" t="s">
        <v>11</v>
      </c>
      <c r="CM3" s="1" t="s">
        <v>12</v>
      </c>
      <c r="CP3" s="1" t="s">
        <v>11</v>
      </c>
      <c r="CQ3" s="1" t="s">
        <v>12</v>
      </c>
      <c r="CS3" s="1" t="s">
        <v>11</v>
      </c>
      <c r="CT3" s="1" t="s">
        <v>12</v>
      </c>
      <c r="CW3" s="1" t="s">
        <v>11</v>
      </c>
      <c r="CX3" s="1" t="s">
        <v>12</v>
      </c>
      <c r="CZ3" s="1" t="s">
        <v>11</v>
      </c>
      <c r="DA3" s="1" t="s">
        <v>12</v>
      </c>
      <c r="DD3" s="1" t="s">
        <v>11</v>
      </c>
      <c r="DE3" s="1" t="s">
        <v>12</v>
      </c>
      <c r="DG3" s="1" t="s">
        <v>11</v>
      </c>
      <c r="DH3" s="1" t="s">
        <v>12</v>
      </c>
      <c r="DK3" s="1" t="s">
        <v>11</v>
      </c>
      <c r="DL3" s="1" t="s">
        <v>12</v>
      </c>
      <c r="DN3" s="1" t="s">
        <v>11</v>
      </c>
      <c r="DO3" s="1" t="s">
        <v>12</v>
      </c>
      <c r="DR3" s="1" t="s">
        <v>11</v>
      </c>
      <c r="DS3" s="1" t="s">
        <v>12</v>
      </c>
      <c r="DU3" s="1" t="s">
        <v>11</v>
      </c>
      <c r="DV3" s="1" t="s">
        <v>12</v>
      </c>
      <c r="DY3" s="1" t="s">
        <v>11</v>
      </c>
      <c r="DZ3" s="1" t="s">
        <v>12</v>
      </c>
      <c r="EB3" s="1" t="s">
        <v>11</v>
      </c>
      <c r="EC3" s="1" t="s">
        <v>12</v>
      </c>
      <c r="EF3" s="1" t="s">
        <v>11</v>
      </c>
      <c r="EG3" s="1" t="s">
        <v>12</v>
      </c>
      <c r="EI3" s="1" t="s">
        <v>11</v>
      </c>
      <c r="EJ3" s="1" t="s">
        <v>12</v>
      </c>
      <c r="EM3" s="1" t="s">
        <v>11</v>
      </c>
      <c r="EN3" s="1" t="s">
        <v>12</v>
      </c>
      <c r="EP3" s="1" t="s">
        <v>11</v>
      </c>
      <c r="EQ3" s="1" t="s">
        <v>12</v>
      </c>
      <c r="ET3" s="1" t="s">
        <v>11</v>
      </c>
      <c r="EU3" s="1" t="s">
        <v>12</v>
      </c>
      <c r="EW3" s="1" t="s">
        <v>11</v>
      </c>
      <c r="EX3" s="1" t="s">
        <v>12</v>
      </c>
      <c r="FA3" s="1" t="s">
        <v>11</v>
      </c>
      <c r="FB3" s="1" t="s">
        <v>12</v>
      </c>
      <c r="FD3" s="1" t="s">
        <v>11</v>
      </c>
      <c r="FE3" s="1" t="s">
        <v>12</v>
      </c>
      <c r="FH3" s="1" t="s">
        <v>11</v>
      </c>
      <c r="FI3" s="1" t="s">
        <v>12</v>
      </c>
      <c r="FK3" s="1" t="s">
        <v>11</v>
      </c>
      <c r="FL3" s="1" t="s">
        <v>12</v>
      </c>
      <c r="FO3" s="1" t="s">
        <v>11</v>
      </c>
      <c r="FP3" s="1" t="s">
        <v>12</v>
      </c>
      <c r="FR3" s="1" t="s">
        <v>11</v>
      </c>
      <c r="FS3" s="1" t="s">
        <v>12</v>
      </c>
      <c r="FV3" s="1" t="s">
        <v>11</v>
      </c>
      <c r="FW3" s="1" t="s">
        <v>12</v>
      </c>
      <c r="FY3" s="1" t="s">
        <v>11</v>
      </c>
      <c r="FZ3" s="1" t="s">
        <v>12</v>
      </c>
      <c r="GC3" s="1" t="s">
        <v>11</v>
      </c>
      <c r="GD3" s="1" t="s">
        <v>12</v>
      </c>
      <c r="GF3" s="1" t="s">
        <v>11</v>
      </c>
      <c r="GG3" s="1" t="s">
        <v>12</v>
      </c>
      <c r="GJ3" s="1" t="s">
        <v>11</v>
      </c>
      <c r="GK3" s="1" t="s">
        <v>12</v>
      </c>
      <c r="GM3" s="1" t="s">
        <v>11</v>
      </c>
      <c r="GN3" s="1" t="s">
        <v>12</v>
      </c>
      <c r="GQ3" s="1" t="s">
        <v>11</v>
      </c>
      <c r="GR3" s="1" t="s">
        <v>12</v>
      </c>
      <c r="GT3" s="1" t="s">
        <v>11</v>
      </c>
      <c r="GU3" s="1" t="s">
        <v>12</v>
      </c>
      <c r="GX3" s="1" t="s">
        <v>11</v>
      </c>
      <c r="GY3" s="1" t="s">
        <v>12</v>
      </c>
      <c r="HA3" s="1" t="s">
        <v>11</v>
      </c>
      <c r="HB3" s="1" t="s">
        <v>12</v>
      </c>
      <c r="HE3" s="1" t="s">
        <v>11</v>
      </c>
      <c r="HF3" s="1" t="s">
        <v>12</v>
      </c>
      <c r="HH3" s="1" t="s">
        <v>11</v>
      </c>
      <c r="HI3" s="1" t="s">
        <v>12</v>
      </c>
      <c r="HL3" s="1" t="s">
        <v>11</v>
      </c>
      <c r="HM3" s="1" t="s">
        <v>12</v>
      </c>
      <c r="HO3" s="1" t="s">
        <v>11</v>
      </c>
      <c r="HP3" s="1" t="s">
        <v>12</v>
      </c>
      <c r="HS3" s="1" t="s">
        <v>11</v>
      </c>
      <c r="HT3" s="1" t="s">
        <v>12</v>
      </c>
      <c r="HV3" s="1" t="s">
        <v>11</v>
      </c>
      <c r="HW3" s="1" t="s">
        <v>12</v>
      </c>
      <c r="HZ3" s="1" t="s">
        <v>11</v>
      </c>
      <c r="IA3" s="1" t="s">
        <v>12</v>
      </c>
      <c r="IC3" s="1" t="s">
        <v>11</v>
      </c>
      <c r="ID3" s="1" t="s">
        <v>12</v>
      </c>
      <c r="IG3" s="1" t="s">
        <v>11</v>
      </c>
      <c r="IH3" s="1" t="s">
        <v>12</v>
      </c>
      <c r="IJ3" s="1" t="s">
        <v>11</v>
      </c>
      <c r="IK3" s="1" t="s">
        <v>12</v>
      </c>
      <c r="IN3" s="1" t="s">
        <v>11</v>
      </c>
      <c r="IO3" s="1" t="s">
        <v>12</v>
      </c>
      <c r="IQ3" s="1" t="s">
        <v>11</v>
      </c>
      <c r="IR3" s="1" t="s">
        <v>12</v>
      </c>
      <c r="IU3" s="1" t="s">
        <v>11</v>
      </c>
      <c r="IV3" s="1" t="s">
        <v>12</v>
      </c>
      <c r="IX3" s="1" t="s">
        <v>11</v>
      </c>
      <c r="IY3" s="1" t="s">
        <v>12</v>
      </c>
      <c r="JB3" s="1" t="s">
        <v>11</v>
      </c>
      <c r="JC3" s="1" t="s">
        <v>12</v>
      </c>
      <c r="JE3" s="1" t="s">
        <v>11</v>
      </c>
      <c r="JF3" s="1" t="s">
        <v>12</v>
      </c>
      <c r="JI3" s="1" t="s">
        <v>11</v>
      </c>
      <c r="JJ3" s="1" t="s">
        <v>12</v>
      </c>
      <c r="JL3" s="1" t="s">
        <v>11</v>
      </c>
      <c r="JM3" s="1" t="s">
        <v>12</v>
      </c>
      <c r="JP3" s="1" t="s">
        <v>11</v>
      </c>
      <c r="JQ3" s="1" t="s">
        <v>12</v>
      </c>
      <c r="JS3" s="1" t="s">
        <v>11</v>
      </c>
      <c r="JT3" s="1" t="s">
        <v>12</v>
      </c>
      <c r="JW3" s="1" t="s">
        <v>11</v>
      </c>
      <c r="JX3" s="1" t="s">
        <v>12</v>
      </c>
      <c r="JZ3" s="1" t="s">
        <v>11</v>
      </c>
      <c r="KA3" s="1" t="s">
        <v>12</v>
      </c>
      <c r="KD3" s="1" t="s">
        <v>11</v>
      </c>
      <c r="KE3" s="1" t="s">
        <v>12</v>
      </c>
      <c r="KG3" s="1" t="s">
        <v>11</v>
      </c>
      <c r="KH3" s="1" t="s">
        <v>12</v>
      </c>
      <c r="KK3" s="1" t="s">
        <v>11</v>
      </c>
      <c r="KL3" s="1" t="s">
        <v>12</v>
      </c>
      <c r="KN3" s="1" t="s">
        <v>11</v>
      </c>
      <c r="KO3" s="1" t="s">
        <v>12</v>
      </c>
      <c r="KR3" s="1" t="s">
        <v>11</v>
      </c>
      <c r="KS3" s="1" t="s">
        <v>12</v>
      </c>
      <c r="KU3" s="1" t="s">
        <v>11</v>
      </c>
      <c r="KV3" s="1" t="s">
        <v>12</v>
      </c>
      <c r="KY3" s="1" t="s">
        <v>11</v>
      </c>
      <c r="KZ3" s="1" t="s">
        <v>12</v>
      </c>
      <c r="LB3" s="1" t="s">
        <v>11</v>
      </c>
      <c r="LC3" s="1" t="s">
        <v>12</v>
      </c>
      <c r="LF3" s="1" t="s">
        <v>11</v>
      </c>
      <c r="LG3" s="1" t="s">
        <v>12</v>
      </c>
      <c r="LI3" s="1" t="s">
        <v>11</v>
      </c>
      <c r="LJ3" s="1" t="s">
        <v>12</v>
      </c>
      <c r="LM3" s="1" t="s">
        <v>11</v>
      </c>
      <c r="LN3" s="1" t="s">
        <v>12</v>
      </c>
      <c r="LP3" s="1" t="s">
        <v>11</v>
      </c>
      <c r="LQ3" s="1" t="s">
        <v>12</v>
      </c>
      <c r="LT3" s="1" t="s">
        <v>11</v>
      </c>
      <c r="LU3" s="1" t="s">
        <v>12</v>
      </c>
      <c r="LW3" s="1" t="s">
        <v>11</v>
      </c>
      <c r="LX3" s="1" t="s">
        <v>12</v>
      </c>
      <c r="MA3" s="1" t="s">
        <v>11</v>
      </c>
      <c r="MB3" s="1" t="s">
        <v>12</v>
      </c>
      <c r="MD3" s="1" t="s">
        <v>11</v>
      </c>
      <c r="ME3" s="1" t="s">
        <v>12</v>
      </c>
      <c r="MH3" s="1" t="s">
        <v>11</v>
      </c>
      <c r="MI3" s="1" t="s">
        <v>12</v>
      </c>
      <c r="MK3" s="1" t="s">
        <v>11</v>
      </c>
      <c r="ML3" s="1" t="s">
        <v>12</v>
      </c>
      <c r="MN3" t="s">
        <v>28</v>
      </c>
      <c r="MO3" t="s">
        <v>29</v>
      </c>
      <c r="MQ3" t="s">
        <v>28</v>
      </c>
      <c r="MR3" t="s">
        <v>29</v>
      </c>
    </row>
    <row r="4" spans="1:356" x14ac:dyDescent="0.25">
      <c r="C4">
        <v>0.32432432432432401</v>
      </c>
      <c r="D4">
        <v>-0.29729729729729698</v>
      </c>
      <c r="F4">
        <v>5.3333333333333297E-3</v>
      </c>
      <c r="G4">
        <v>-0.101333333333333</v>
      </c>
      <c r="J4">
        <v>0.37837837837837801</v>
      </c>
      <c r="K4">
        <v>-0.24324324324324301</v>
      </c>
      <c r="M4">
        <v>4.5045045045045001E-2</v>
      </c>
      <c r="N4">
        <v>-0.117117117117117</v>
      </c>
      <c r="Q4">
        <v>0.43243243243243201</v>
      </c>
      <c r="R4">
        <v>-0.24324324324324301</v>
      </c>
      <c r="T4">
        <v>5.7057057057056999E-2</v>
      </c>
      <c r="U4">
        <v>-7.2072072072072002E-2</v>
      </c>
      <c r="X4">
        <v>0.45945945945945899</v>
      </c>
      <c r="Y4">
        <v>-0.27027027027027001</v>
      </c>
      <c r="AA4">
        <v>-5.1051051051050997E-2</v>
      </c>
      <c r="AB4">
        <v>-9.6096096096096095E-2</v>
      </c>
      <c r="AE4">
        <v>0.51351351351351304</v>
      </c>
      <c r="AF4">
        <v>-0.35135135135135098</v>
      </c>
      <c r="AH4">
        <v>-2.7027027027027001E-2</v>
      </c>
      <c r="AI4">
        <v>-0.17664670658682599</v>
      </c>
      <c r="AL4">
        <v>0.32432432432432401</v>
      </c>
      <c r="AM4">
        <v>-0.35135135135135098</v>
      </c>
      <c r="AO4">
        <v>8.7087087087086998E-2</v>
      </c>
      <c r="AP4">
        <v>-6.8862275449101798E-2</v>
      </c>
      <c r="AS4">
        <v>0.45945945945945899</v>
      </c>
      <c r="AT4">
        <v>-0.35135135135135098</v>
      </c>
      <c r="AV4">
        <v>5.3892215568862201E-2</v>
      </c>
      <c r="AW4">
        <v>-0.117117117117117</v>
      </c>
      <c r="AZ4">
        <v>0.40540540540540498</v>
      </c>
      <c r="BA4">
        <v>-0.29729729729729698</v>
      </c>
      <c r="BC4">
        <v>-4.1916167664670601E-2</v>
      </c>
      <c r="BD4">
        <v>-0.171171171171171</v>
      </c>
      <c r="BG4">
        <v>0.32432432432432401</v>
      </c>
      <c r="BH4">
        <v>-0.32432432432432401</v>
      </c>
      <c r="BJ4">
        <v>2.1021021021020998E-2</v>
      </c>
      <c r="BK4">
        <v>-0.19519519519519499</v>
      </c>
      <c r="BN4">
        <v>0.32432432432432401</v>
      </c>
      <c r="BO4">
        <v>-0.29729729729729698</v>
      </c>
      <c r="BQ4">
        <v>4.8048048048047999E-2</v>
      </c>
      <c r="BR4">
        <v>-0.14670658682634699</v>
      </c>
      <c r="BU4">
        <v>0.37837837837837801</v>
      </c>
      <c r="BV4">
        <v>-0.29729729729729698</v>
      </c>
      <c r="BX4">
        <v>-3.9039039039038999E-2</v>
      </c>
      <c r="BY4">
        <v>-0.10210210210210199</v>
      </c>
      <c r="CB4">
        <v>0.45945945945945899</v>
      </c>
      <c r="CC4">
        <v>-0.32432432432432401</v>
      </c>
      <c r="CE4">
        <v>6.9333333333333302E-2</v>
      </c>
      <c r="CF4">
        <v>-0.128</v>
      </c>
      <c r="CI4">
        <v>0.32432432432432401</v>
      </c>
      <c r="CJ4">
        <v>-0.27027027027027001</v>
      </c>
      <c r="CL4">
        <v>-2.69461077844311E-2</v>
      </c>
      <c r="CM4">
        <v>-0.144144144144144</v>
      </c>
      <c r="CP4">
        <v>0.32432432432432401</v>
      </c>
      <c r="CQ4">
        <v>-0.27027027027027001</v>
      </c>
      <c r="CS4">
        <v>2.7027027027027001E-2</v>
      </c>
      <c r="CT4">
        <v>-0.135135135135135</v>
      </c>
      <c r="CW4">
        <v>0.43243243243243201</v>
      </c>
      <c r="CX4">
        <v>-0.27027027027027001</v>
      </c>
      <c r="CZ4">
        <v>-2.1021021021020998E-2</v>
      </c>
      <c r="DA4">
        <v>-0.162162162162162</v>
      </c>
      <c r="DD4">
        <v>0.40540540540540498</v>
      </c>
      <c r="DE4">
        <v>-0.27027027027027001</v>
      </c>
      <c r="DG4">
        <v>4.1916167664670601E-2</v>
      </c>
      <c r="DH4">
        <v>-6.9069069069068997E-2</v>
      </c>
      <c r="DK4">
        <v>0.42105263157894701</v>
      </c>
      <c r="DL4">
        <v>-0.40540540540540498</v>
      </c>
      <c r="DN4">
        <v>-8.0000000000000002E-3</v>
      </c>
      <c r="DO4">
        <v>-0.13866666666666599</v>
      </c>
      <c r="DR4">
        <v>0.45945945945945899</v>
      </c>
      <c r="DS4">
        <v>-0.27027027027027001</v>
      </c>
      <c r="DU4">
        <v>-1.5015015015014999E-2</v>
      </c>
      <c r="DV4">
        <v>-0.114114114114114</v>
      </c>
      <c r="DY4">
        <v>0.37837837837837801</v>
      </c>
      <c r="DZ4">
        <v>-0.35135135135135098</v>
      </c>
      <c r="EB4">
        <v>2.69461077844311E-2</v>
      </c>
      <c r="EC4">
        <v>-0.18018018018018001</v>
      </c>
      <c r="EF4">
        <v>0.35135135135135098</v>
      </c>
      <c r="EG4">
        <v>-0.32432432432432401</v>
      </c>
      <c r="EI4">
        <v>2.39520958083832E-2</v>
      </c>
      <c r="EJ4">
        <v>-0.12012012012011999</v>
      </c>
      <c r="EM4">
        <v>0.29729729729729698</v>
      </c>
      <c r="EN4">
        <v>-0.24324324324324301</v>
      </c>
      <c r="EP4">
        <v>-1.2012012012012E-2</v>
      </c>
      <c r="EQ4">
        <v>-0.15015015015015001</v>
      </c>
      <c r="ET4">
        <v>0.43243243243243201</v>
      </c>
      <c r="EU4">
        <v>-0.48648648648648601</v>
      </c>
      <c r="EW4">
        <v>2.9333333333333302E-2</v>
      </c>
      <c r="EX4">
        <v>-9.6000000000000002E-2</v>
      </c>
      <c r="FA4">
        <v>0.40540540540540498</v>
      </c>
      <c r="FB4">
        <v>-0.27027027027027001</v>
      </c>
      <c r="FD4">
        <v>-2.9940119760479E-2</v>
      </c>
      <c r="FE4">
        <v>-0.14714714714714699</v>
      </c>
      <c r="FH4">
        <v>0.32432432432432401</v>
      </c>
      <c r="FI4">
        <v>-0.40540540540540498</v>
      </c>
      <c r="FK4">
        <v>0.107784431137724</v>
      </c>
      <c r="FL4">
        <v>-1.8018018018018001E-2</v>
      </c>
      <c r="FO4">
        <v>0.32432432432432401</v>
      </c>
      <c r="FP4">
        <v>-0.32432432432432401</v>
      </c>
      <c r="FR4">
        <v>4.8048048048047999E-2</v>
      </c>
      <c r="FS4">
        <v>-3.3033033033033003E-2</v>
      </c>
      <c r="FV4">
        <v>0.32432432432432401</v>
      </c>
      <c r="FW4">
        <v>-0.21621621621621601</v>
      </c>
      <c r="FY4">
        <v>0</v>
      </c>
      <c r="FZ4">
        <v>-0.13173652694610699</v>
      </c>
      <c r="GC4">
        <v>0.37837837837837801</v>
      </c>
      <c r="GD4">
        <v>-0.48648648648648601</v>
      </c>
      <c r="GF4">
        <v>-4.2042042042041997E-2</v>
      </c>
      <c r="GG4">
        <v>-0.140718562874251</v>
      </c>
      <c r="GJ4">
        <v>0.35135135135135098</v>
      </c>
      <c r="GK4">
        <v>-0.27027027027027001</v>
      </c>
      <c r="GM4">
        <v>-5.7057057057056999E-2</v>
      </c>
      <c r="GN4">
        <v>-0.140718562874251</v>
      </c>
      <c r="GQ4">
        <v>0.43243243243243201</v>
      </c>
      <c r="GR4">
        <v>-0.45945945945945899</v>
      </c>
      <c r="GT4">
        <v>2.4024024024024E-2</v>
      </c>
      <c r="GU4">
        <v>-4.5045045045045001E-2</v>
      </c>
      <c r="GX4">
        <v>0.35135135135135098</v>
      </c>
      <c r="GY4">
        <v>-0.32432432432432401</v>
      </c>
      <c r="HA4">
        <v>2.9940119760479E-3</v>
      </c>
      <c r="HB4">
        <v>-0.119760479041916</v>
      </c>
      <c r="HE4">
        <v>0.35135135135135098</v>
      </c>
      <c r="HF4">
        <v>-0.43243243243243201</v>
      </c>
      <c r="HH4">
        <v>4.2042042042041997E-2</v>
      </c>
      <c r="HI4">
        <v>-0.116766467065868</v>
      </c>
      <c r="HL4">
        <v>0.29729729729729698</v>
      </c>
      <c r="HM4">
        <v>-0.21621621621621601</v>
      </c>
      <c r="HO4">
        <v>-1.2012012012012E-2</v>
      </c>
      <c r="HP4">
        <v>-0.117117117117117</v>
      </c>
      <c r="HS4">
        <v>0.48648648648648601</v>
      </c>
      <c r="HT4">
        <v>-0.21621621621621601</v>
      </c>
      <c r="HV4">
        <v>0.107784431137724</v>
      </c>
      <c r="HW4">
        <v>-7.2072072072072002E-2</v>
      </c>
      <c r="HZ4">
        <v>0.35135135135135098</v>
      </c>
      <c r="IA4">
        <v>-0.27027027027027001</v>
      </c>
      <c r="IC4">
        <v>2.7027027027027001E-2</v>
      </c>
      <c r="ID4">
        <v>-0.12012012012011999</v>
      </c>
      <c r="IG4">
        <v>0.45945945945945899</v>
      </c>
      <c r="IH4">
        <v>-0.35135135135135098</v>
      </c>
      <c r="IJ4">
        <v>-2.4024024024024E-2</v>
      </c>
      <c r="IK4">
        <v>-0.108108108108108</v>
      </c>
      <c r="IN4">
        <v>0.32432432432432401</v>
      </c>
      <c r="IO4">
        <v>-0.29729729729729698</v>
      </c>
      <c r="IQ4">
        <v>8.0000000000000002E-3</v>
      </c>
      <c r="IR4">
        <v>-0.133333333333333</v>
      </c>
      <c r="IU4">
        <v>0.48648648648648601</v>
      </c>
      <c r="IV4">
        <v>-0.24324324324324301</v>
      </c>
      <c r="IX4">
        <v>3.0030030030029999E-2</v>
      </c>
      <c r="IY4">
        <v>-0.14371257485029901</v>
      </c>
      <c r="JB4">
        <v>0.37837837837837801</v>
      </c>
      <c r="JC4">
        <v>-0.27027027027027001</v>
      </c>
      <c r="JE4">
        <v>1.6E-2</v>
      </c>
      <c r="JF4">
        <v>-0.112</v>
      </c>
      <c r="JI4">
        <v>0.32432432432432401</v>
      </c>
      <c r="JJ4">
        <v>-0.29729729729729698</v>
      </c>
      <c r="JL4">
        <v>4.8048048048047999E-2</v>
      </c>
      <c r="JM4">
        <v>-0.12874251497005901</v>
      </c>
      <c r="JP4">
        <v>0.32432432432432401</v>
      </c>
      <c r="JQ4">
        <v>-0.31578947368421001</v>
      </c>
      <c r="JS4">
        <v>6.0060060060059999E-3</v>
      </c>
      <c r="JT4">
        <v>-0.126126126126126</v>
      </c>
      <c r="JW4">
        <v>0.32432432432432401</v>
      </c>
      <c r="JX4">
        <v>-0.29729729729729698</v>
      </c>
      <c r="JZ4">
        <v>0</v>
      </c>
      <c r="KA4">
        <v>-0.12012012012011999</v>
      </c>
      <c r="KD4">
        <v>0.43243243243243201</v>
      </c>
      <c r="KE4">
        <v>-0.35135135135135098</v>
      </c>
      <c r="KG4">
        <v>-6.0060060060059999E-3</v>
      </c>
      <c r="KH4">
        <v>-8.9820359281437098E-2</v>
      </c>
      <c r="KK4">
        <v>0.54054054054054002</v>
      </c>
      <c r="KL4">
        <v>-0.35135135135135098</v>
      </c>
      <c r="KN4">
        <v>-3.0030030030029999E-2</v>
      </c>
      <c r="KO4">
        <v>-8.7087087087086998E-2</v>
      </c>
      <c r="KR4">
        <v>0.29729729729729698</v>
      </c>
      <c r="KS4">
        <v>-0.24324324324324301</v>
      </c>
      <c r="KU4">
        <v>-3.89221556886227E-2</v>
      </c>
      <c r="KV4">
        <v>-0.13813813813813799</v>
      </c>
      <c r="KY4">
        <v>0.45945945945945899</v>
      </c>
      <c r="KZ4">
        <v>-0.24324324324324301</v>
      </c>
      <c r="LB4">
        <v>-2.39520958083832E-2</v>
      </c>
      <c r="LC4">
        <v>-0.108108108108108</v>
      </c>
      <c r="LF4">
        <v>0.40540540540540498</v>
      </c>
      <c r="LG4">
        <v>-0.32432432432432401</v>
      </c>
      <c r="LI4">
        <v>-1.2012012012012E-2</v>
      </c>
      <c r="LJ4">
        <v>-0.135135135135135</v>
      </c>
      <c r="LM4">
        <v>0.40540540540540498</v>
      </c>
      <c r="LN4">
        <v>-0.29729729729729698</v>
      </c>
      <c r="LP4">
        <v>-6.6066066066066007E-2</v>
      </c>
      <c r="LQ4">
        <v>-0.21257485029940101</v>
      </c>
      <c r="LT4">
        <v>0.48648648648648601</v>
      </c>
      <c r="LU4">
        <v>-0.29729729729729698</v>
      </c>
      <c r="LW4">
        <v>5.6000000000000001E-2</v>
      </c>
      <c r="LX4">
        <v>-0.20799999999999999</v>
      </c>
      <c r="MA4">
        <v>0.32432432432432401</v>
      </c>
      <c r="MB4">
        <v>-0.43243243243243201</v>
      </c>
      <c r="MD4">
        <v>-8.9820359281437105E-3</v>
      </c>
      <c r="ME4">
        <v>-0.12912912912912899</v>
      </c>
      <c r="MH4">
        <v>0.37837837837837801</v>
      </c>
      <c r="MI4">
        <v>-0.45945945945945899</v>
      </c>
      <c r="MK4">
        <v>3.0030030030029999E-2</v>
      </c>
      <c r="ML4">
        <v>-0.105105105105105</v>
      </c>
      <c r="MN4">
        <f t="shared" ref="MN4:MN33" si="0">SUMIFS($C4:$ML4, $C$3:$ML$3,"=High", $C$2:$ML$2,"=MCTS", $C$1:$ML$1, "=Player1")/COUNTIFS($C4:$ML4, "&lt;&gt;"&amp;"", $C$3:$ML$3,"=High", $C$2:$ML$2,"=MCTS", $C$1:$ML$1, "=Player1")</f>
        <v>0.39954480796586028</v>
      </c>
      <c r="MO4">
        <f t="shared" ref="MO4:MO33" si="1">SUMIFS($C4:$ML4, $C$3:$ML$3,"=Low", $C$2:$ML$2,"=MCTS", $C$1:$ML$1, "=Player1")/COUNTIFS($C4:$ML4, "&lt;&gt;"&amp;"", $C$3:$ML$3,"=Low", $C$2:$ML$2,"=MCTS", $C$1:$ML$1, "=Player1")</f>
        <v>-0.32432432432432406</v>
      </c>
      <c r="MQ4">
        <f t="shared" ref="MQ4:MQ34" si="2">SUMIFS($C4:$ML4, $C$3:$ML$3,"=High", $C$2:$ML$2,"=MCTS", $C$1:$ML$1, "=Player2")/COUNTIFS($C4:$ML4, "&lt;&gt;"&amp;"", $C$3:$ML$3,"=High", $C$2:$ML$2,"=MCTS", $C$1:$ML$1, "=Player1")</f>
        <v>1.5663686680692641E-2</v>
      </c>
      <c r="MR4">
        <f t="shared" ref="MR4:MR34" si="3">SUMIFS($C4:$ML4, $C$3:$ML$3,"=Low", $C$2:$ML$2,"=MCTS", $C$1:$ML$1, "=Player2")/COUNTIFS($C4:$ML4, "&lt;&gt;"&amp;"", $C$3:$ML$3,"=Low", $C$2:$ML$2,"=MCTS", $C$1:$ML$1, "=Player1")</f>
        <v>-0.11830082825340299</v>
      </c>
    </row>
    <row r="5" spans="1:356" x14ac:dyDescent="0.25">
      <c r="C5">
        <v>4.7904191616766401E-2</v>
      </c>
      <c r="D5">
        <v>-6.6066066066066007E-2</v>
      </c>
      <c r="F5">
        <v>8.4084084084083993E-2</v>
      </c>
      <c r="G5">
        <v>-3.3033033033033003E-2</v>
      </c>
      <c r="J5">
        <v>8.6826347305389198E-2</v>
      </c>
      <c r="K5">
        <v>-7.5075075075075007E-2</v>
      </c>
      <c r="M5">
        <v>4.8048048048047999E-2</v>
      </c>
      <c r="N5">
        <v>-0.108108108108108</v>
      </c>
      <c r="Q5">
        <v>7.5075075075075007E-2</v>
      </c>
      <c r="R5">
        <v>-5.7057057057056999E-2</v>
      </c>
      <c r="T5">
        <v>7.2072072072072002E-2</v>
      </c>
      <c r="U5">
        <v>-0.104790419161676</v>
      </c>
      <c r="X5">
        <v>0.14670658682634699</v>
      </c>
      <c r="Y5">
        <v>-2.1021021021020998E-2</v>
      </c>
      <c r="AA5">
        <v>6.9333333333333302E-2</v>
      </c>
      <c r="AB5">
        <v>-0.104</v>
      </c>
      <c r="AE5">
        <v>0.19161676646706499</v>
      </c>
      <c r="AF5">
        <v>-1.5015015015014999E-2</v>
      </c>
      <c r="AH5">
        <v>0</v>
      </c>
      <c r="AI5">
        <v>-0.15015015015015001</v>
      </c>
      <c r="AL5">
        <v>6.9333333333333302E-2</v>
      </c>
      <c r="AM5">
        <v>-2.1333333333333301E-2</v>
      </c>
      <c r="AO5">
        <v>5.4054054054054002E-2</v>
      </c>
      <c r="AP5">
        <v>-0.108108108108108</v>
      </c>
      <c r="AS5">
        <v>8.0838323353293398E-2</v>
      </c>
      <c r="AT5">
        <v>8.9820359281437105E-3</v>
      </c>
      <c r="AV5">
        <v>2.4024024024024E-2</v>
      </c>
      <c r="AW5">
        <v>-7.2072072072072002E-2</v>
      </c>
      <c r="AZ5">
        <v>0.149700598802395</v>
      </c>
      <c r="BA5">
        <v>4.5045045045045001E-2</v>
      </c>
      <c r="BC5">
        <v>-1.8018018018018001E-2</v>
      </c>
      <c r="BD5">
        <v>-0.219219219219219</v>
      </c>
      <c r="BG5">
        <v>9.6096096096096095E-2</v>
      </c>
      <c r="BH5">
        <v>-2.4024024024024E-2</v>
      </c>
      <c r="BJ5">
        <v>-3.2000000000000001E-2</v>
      </c>
      <c r="BK5">
        <v>-0.133333333333333</v>
      </c>
      <c r="BN5">
        <v>0.12912912912912899</v>
      </c>
      <c r="BO5">
        <v>-2.4024024024024E-2</v>
      </c>
      <c r="BQ5">
        <v>-1.6E-2</v>
      </c>
      <c r="BR5">
        <v>-0.117333333333333</v>
      </c>
      <c r="BU5">
        <v>0.126126126126126</v>
      </c>
      <c r="BV5">
        <v>-6.0060060060059999E-3</v>
      </c>
      <c r="BX5">
        <v>-3.7333333333333302E-2</v>
      </c>
      <c r="BY5">
        <v>-0.114666666666666</v>
      </c>
      <c r="CB5">
        <v>0.105105105105105</v>
      </c>
      <c r="CC5">
        <v>-4.2042042042041997E-2</v>
      </c>
      <c r="CE5">
        <v>3.9039039039038999E-2</v>
      </c>
      <c r="CF5">
        <v>-8.6826347305389198E-2</v>
      </c>
      <c r="CI5">
        <v>0.11111111111111099</v>
      </c>
      <c r="CJ5">
        <v>-5.1051051051050997E-2</v>
      </c>
      <c r="CL5">
        <v>-6.0060060060059999E-3</v>
      </c>
      <c r="CM5">
        <v>-0.171171171171171</v>
      </c>
      <c r="CP5">
        <v>0.16</v>
      </c>
      <c r="CQ5">
        <v>-6.1333333333333302E-2</v>
      </c>
      <c r="CS5">
        <v>-2.1021021021020998E-2</v>
      </c>
      <c r="CT5">
        <v>-0.165165165165165</v>
      </c>
      <c r="CW5">
        <v>0.162162162162162</v>
      </c>
      <c r="CX5">
        <v>2.69461077844311E-2</v>
      </c>
      <c r="CZ5">
        <v>1.06666666666666E-2</v>
      </c>
      <c r="DA5">
        <v>-0.14933333333333301</v>
      </c>
      <c r="DD5">
        <v>7.4666666666666603E-2</v>
      </c>
      <c r="DE5">
        <v>-0.12266666666666599</v>
      </c>
      <c r="DG5">
        <v>4.7904191616766401E-2</v>
      </c>
      <c r="DH5">
        <v>-7.5075075075075007E-2</v>
      </c>
      <c r="DK5">
        <v>0.135135135135135</v>
      </c>
      <c r="DL5">
        <v>5.9880239520958001E-3</v>
      </c>
      <c r="DN5">
        <v>3.0030030030029999E-3</v>
      </c>
      <c r="DO5">
        <v>-0.12912912912912899</v>
      </c>
      <c r="DR5">
        <v>0.12912912912912899</v>
      </c>
      <c r="DS5">
        <v>-3.0030030030029999E-3</v>
      </c>
      <c r="DU5">
        <v>-3.2000000000000001E-2</v>
      </c>
      <c r="DV5">
        <v>-0.152</v>
      </c>
      <c r="DY5">
        <v>0.164670658682634</v>
      </c>
      <c r="DZ5">
        <v>1.8018018018018001E-2</v>
      </c>
      <c r="EB5">
        <v>1.2012012012012E-2</v>
      </c>
      <c r="EC5">
        <v>-0.116766467065868</v>
      </c>
      <c r="EF5">
        <v>0.153153153153153</v>
      </c>
      <c r="EG5">
        <v>8.9820359281437105E-3</v>
      </c>
      <c r="EI5">
        <v>6.0060060060059999E-3</v>
      </c>
      <c r="EJ5">
        <v>-0.116766467065868</v>
      </c>
      <c r="EM5">
        <v>0.184</v>
      </c>
      <c r="EN5">
        <v>5.3333333333333297E-3</v>
      </c>
      <c r="EP5">
        <v>-9.0090090090090003E-3</v>
      </c>
      <c r="EQ5">
        <v>-0.12912912912912899</v>
      </c>
      <c r="ET5">
        <v>0.125748502994011</v>
      </c>
      <c r="EU5">
        <v>-6.0060060060059997E-2</v>
      </c>
      <c r="EW5">
        <v>8.7087087087086998E-2</v>
      </c>
      <c r="EX5">
        <v>-8.1081081081081002E-2</v>
      </c>
      <c r="FA5">
        <v>0.149700598802395</v>
      </c>
      <c r="FB5">
        <v>6.5868263473053898E-2</v>
      </c>
      <c r="FD5">
        <v>-2.1021021021020998E-2</v>
      </c>
      <c r="FE5">
        <v>-0.18263473053892201</v>
      </c>
      <c r="FH5">
        <v>0.13173652694610699</v>
      </c>
      <c r="FI5">
        <v>-3.6036036036036001E-2</v>
      </c>
      <c r="FK5">
        <v>2.1333333333333301E-2</v>
      </c>
      <c r="FL5">
        <v>-9.0666666666666604E-2</v>
      </c>
      <c r="FO5">
        <v>0.14399999999999999</v>
      </c>
      <c r="FP5">
        <v>-4.5333333333333302E-2</v>
      </c>
      <c r="FR5">
        <v>3.4666666666666603E-2</v>
      </c>
      <c r="FS5">
        <v>-0.12</v>
      </c>
      <c r="FV5">
        <v>0.16816816816816799</v>
      </c>
      <c r="FW5">
        <v>-4.8048048048047999E-2</v>
      </c>
      <c r="FY5">
        <v>1.8666666666666599E-2</v>
      </c>
      <c r="FZ5">
        <v>-0.13866666666666599</v>
      </c>
      <c r="GC5">
        <v>0.128</v>
      </c>
      <c r="GD5">
        <v>-8.0000000000000002E-3</v>
      </c>
      <c r="GF5">
        <v>-0.04</v>
      </c>
      <c r="GG5">
        <v>-0.165333333333333</v>
      </c>
      <c r="GJ5">
        <v>0.108108108108108</v>
      </c>
      <c r="GK5">
        <v>9.0090090090090003E-3</v>
      </c>
      <c r="GM5">
        <v>-2.39520958083832E-2</v>
      </c>
      <c r="GN5">
        <v>-0.15015015015015001</v>
      </c>
      <c r="GQ5">
        <v>0.153153153153153</v>
      </c>
      <c r="GR5">
        <v>9.0090090090090003E-3</v>
      </c>
      <c r="GT5">
        <v>-4.2666666666666603E-2</v>
      </c>
      <c r="GU5">
        <v>-0.15466666666666601</v>
      </c>
      <c r="GX5">
        <v>0.19161676646706499</v>
      </c>
      <c r="GY5">
        <v>2.4024024024024E-2</v>
      </c>
      <c r="HA5">
        <v>6.8862275449101798E-2</v>
      </c>
      <c r="HB5">
        <v>-0.14114114114114101</v>
      </c>
      <c r="HE5">
        <v>0.123123123123123</v>
      </c>
      <c r="HF5">
        <v>-5.9880239520958001E-3</v>
      </c>
      <c r="HH5">
        <v>-6.0060060060059999E-3</v>
      </c>
      <c r="HI5">
        <v>-0.110778443113772</v>
      </c>
      <c r="HL5">
        <v>0.156156156156156</v>
      </c>
      <c r="HM5">
        <v>-7.2072072072072002E-2</v>
      </c>
      <c r="HO5">
        <v>3.2000000000000001E-2</v>
      </c>
      <c r="HP5">
        <v>-0.15733333333333299</v>
      </c>
      <c r="HS5">
        <v>5.4054054054054002E-2</v>
      </c>
      <c r="HT5">
        <v>-8.9820359281437098E-2</v>
      </c>
      <c r="HV5">
        <v>6.9333333333333302E-2</v>
      </c>
      <c r="HW5">
        <v>-5.8666666666666603E-2</v>
      </c>
      <c r="HZ5">
        <v>0.146666666666666</v>
      </c>
      <c r="IA5">
        <v>-5.3333333333333297E-3</v>
      </c>
      <c r="IC5">
        <v>3.0030030030029999E-3</v>
      </c>
      <c r="ID5">
        <v>-0.12912912912912899</v>
      </c>
      <c r="IG5">
        <v>0.13213213213213201</v>
      </c>
      <c r="IH5">
        <v>-1.79640718562874E-2</v>
      </c>
      <c r="IJ5">
        <v>-2.39520958083832E-2</v>
      </c>
      <c r="IK5">
        <v>-0.135135135135135</v>
      </c>
      <c r="IN5">
        <v>0.119760479041916</v>
      </c>
      <c r="IO5">
        <v>-7.2072072072072002E-2</v>
      </c>
      <c r="IQ5">
        <v>5.9880239520958001E-2</v>
      </c>
      <c r="IR5">
        <v>-8.6826347305389198E-2</v>
      </c>
      <c r="IU5">
        <v>0.164670658682634</v>
      </c>
      <c r="IV5">
        <v>-5.1051051051050997E-2</v>
      </c>
      <c r="IX5">
        <v>5.6000000000000001E-2</v>
      </c>
      <c r="IY5">
        <v>-5.8666666666666603E-2</v>
      </c>
      <c r="JB5">
        <v>0.144144144144144</v>
      </c>
      <c r="JC5">
        <v>-3.0030030030029999E-2</v>
      </c>
      <c r="JE5">
        <v>0</v>
      </c>
      <c r="JF5">
        <v>-0.14714714714714699</v>
      </c>
      <c r="JI5">
        <v>0.134730538922155</v>
      </c>
      <c r="JJ5">
        <v>-6.0060060060059997E-2</v>
      </c>
      <c r="JL5">
        <v>4.4910179640718501E-2</v>
      </c>
      <c r="JM5">
        <v>-8.1081081081081002E-2</v>
      </c>
      <c r="JP5">
        <v>0.104</v>
      </c>
      <c r="JQ5">
        <v>-2.1333333333333301E-2</v>
      </c>
      <c r="JS5">
        <v>4.7904191616766401E-2</v>
      </c>
      <c r="JT5">
        <v>-0.13772455089820301</v>
      </c>
      <c r="JW5">
        <v>0.12533333333333299</v>
      </c>
      <c r="JX5">
        <v>-2.6666666666666601E-3</v>
      </c>
      <c r="JZ5">
        <v>3.3033033033033003E-2</v>
      </c>
      <c r="KA5">
        <v>-9.3093093093092993E-2</v>
      </c>
      <c r="KD5">
        <v>0.10210210210210199</v>
      </c>
      <c r="KE5">
        <v>2.7027027027027001E-2</v>
      </c>
      <c r="KG5">
        <v>3.0030030030029999E-2</v>
      </c>
      <c r="KH5">
        <v>-8.6826347305389198E-2</v>
      </c>
      <c r="KK5">
        <v>7.8078078078077998E-2</v>
      </c>
      <c r="KL5">
        <v>-5.7057057057056999E-2</v>
      </c>
      <c r="KN5">
        <v>-0.04</v>
      </c>
      <c r="KO5">
        <v>-0.13600000000000001</v>
      </c>
      <c r="KR5">
        <v>0.12874251497005901</v>
      </c>
      <c r="KS5">
        <v>0</v>
      </c>
      <c r="KU5">
        <v>-3.2000000000000001E-2</v>
      </c>
      <c r="KV5">
        <v>-0.14133333333333301</v>
      </c>
      <c r="KY5">
        <v>0.17717717717717699</v>
      </c>
      <c r="KZ5">
        <v>-4.2042042042041997E-2</v>
      </c>
      <c r="LB5">
        <v>6.6066066066066007E-2</v>
      </c>
      <c r="LC5">
        <v>-0.17065868263473</v>
      </c>
      <c r="LF5">
        <v>0.133333333333333</v>
      </c>
      <c r="LG5">
        <v>1.8666666666666599E-2</v>
      </c>
      <c r="LI5">
        <v>-2.69461077844311E-2</v>
      </c>
      <c r="LJ5">
        <v>-0.153153153153153</v>
      </c>
      <c r="LM5">
        <v>0.178666666666666</v>
      </c>
      <c r="LN5">
        <v>2.9333333333333302E-2</v>
      </c>
      <c r="LP5">
        <v>-5.1051051051050997E-2</v>
      </c>
      <c r="LQ5">
        <v>-0.162162162162162</v>
      </c>
      <c r="LT5">
        <v>8.9820359281437098E-2</v>
      </c>
      <c r="LU5">
        <v>-3.0030030030029999E-2</v>
      </c>
      <c r="LW5">
        <v>1.8018018018018001E-2</v>
      </c>
      <c r="LX5">
        <v>-6.8862275449101798E-2</v>
      </c>
      <c r="MA5">
        <v>0.156156156156156</v>
      </c>
      <c r="MB5">
        <v>-3.0030030030029999E-2</v>
      </c>
      <c r="MD5">
        <v>3.89221556886227E-2</v>
      </c>
      <c r="ME5">
        <v>-8.4084084084083993E-2</v>
      </c>
      <c r="MH5">
        <v>0.123123123123123</v>
      </c>
      <c r="MI5">
        <v>-2.1021021021020998E-2</v>
      </c>
      <c r="MK5">
        <v>6.2874251497005901E-2</v>
      </c>
      <c r="ML5">
        <v>-0.11377245508981999</v>
      </c>
      <c r="MN5">
        <f t="shared" si="0"/>
        <v>0.13094845264426078</v>
      </c>
      <c r="MO5">
        <f t="shared" si="1"/>
        <v>-1.8390151588714446E-2</v>
      </c>
      <c r="MQ5">
        <f t="shared" si="2"/>
        <v>2.1764261027494534E-2</v>
      </c>
      <c r="MR5">
        <f t="shared" si="3"/>
        <v>-0.1230566240491987</v>
      </c>
    </row>
    <row r="6" spans="1:356" x14ac:dyDescent="0.25">
      <c r="C6">
        <v>7.4592074592074495E-2</v>
      </c>
      <c r="D6">
        <v>-6.0606060606060601E-2</v>
      </c>
      <c r="F6">
        <v>2.1333333333333301E-2</v>
      </c>
      <c r="G6">
        <v>-7.1999999999999995E-2</v>
      </c>
      <c r="J6">
        <v>7.4666666666666603E-2</v>
      </c>
      <c r="K6">
        <v>-4.8000000000000001E-2</v>
      </c>
      <c r="M6">
        <v>3.73831775700934E-2</v>
      </c>
      <c r="N6">
        <v>-8.6448598130841103E-2</v>
      </c>
      <c r="Q6">
        <v>0.04</v>
      </c>
      <c r="R6">
        <v>-9.8666666666666597E-2</v>
      </c>
      <c r="T6">
        <v>9.0666666666666604E-2</v>
      </c>
      <c r="U6">
        <v>2.1333333333333301E-2</v>
      </c>
      <c r="X6">
        <v>0.156156156156156</v>
      </c>
      <c r="Y6">
        <v>-2.7027027027027001E-2</v>
      </c>
      <c r="AA6">
        <v>6.5868263473053898E-2</v>
      </c>
      <c r="AB6">
        <v>-0.117117117117117</v>
      </c>
      <c r="AE6">
        <v>0.183183183183183</v>
      </c>
      <c r="AF6">
        <v>3.6036036036036001E-2</v>
      </c>
      <c r="AH6">
        <v>-1.79640718562874E-2</v>
      </c>
      <c r="AI6">
        <v>-0.135135135135135</v>
      </c>
      <c r="AL6">
        <v>5.3333333333333302E-2</v>
      </c>
      <c r="AM6">
        <v>-4.5333333333333302E-2</v>
      </c>
      <c r="AO6">
        <v>4.5045045045045001E-2</v>
      </c>
      <c r="AP6">
        <v>-2.1021021021020998E-2</v>
      </c>
      <c r="AS6">
        <v>0.10210210210210199</v>
      </c>
      <c r="AT6">
        <v>-4.8048048048047999E-2</v>
      </c>
      <c r="AV6">
        <v>3.29341317365269E-2</v>
      </c>
      <c r="AW6">
        <v>-5.4054054054054002E-2</v>
      </c>
      <c r="AZ6">
        <v>0.17599999999999999</v>
      </c>
      <c r="BA6">
        <v>6.6666666666666596E-2</v>
      </c>
      <c r="BC6">
        <v>-8.8578088578088507E-2</v>
      </c>
      <c r="BD6">
        <v>-0.19859813084112099</v>
      </c>
      <c r="BG6">
        <v>7.1856287425149698E-2</v>
      </c>
      <c r="BH6">
        <v>-2.39520958083832E-2</v>
      </c>
      <c r="BJ6">
        <v>-3.4666666666666603E-2</v>
      </c>
      <c r="BK6">
        <v>-0.109333333333333</v>
      </c>
      <c r="BN6">
        <v>0.12912912912912899</v>
      </c>
      <c r="BO6">
        <v>2.69461077844311E-2</v>
      </c>
      <c r="BQ6">
        <v>6.3063063063063002E-2</v>
      </c>
      <c r="BR6">
        <v>-0.13772455089820301</v>
      </c>
      <c r="BU6">
        <v>0.126126126126126</v>
      </c>
      <c r="BV6">
        <v>-5.9880239520958001E-3</v>
      </c>
      <c r="BX6">
        <v>1.06666666666666E-2</v>
      </c>
      <c r="BY6">
        <v>-0.101333333333333</v>
      </c>
      <c r="CB6">
        <v>9.90990990990991E-2</v>
      </c>
      <c r="CC6">
        <v>-5.9880239520958001E-3</v>
      </c>
      <c r="CE6">
        <v>6.3063063063063002E-2</v>
      </c>
      <c r="CF6">
        <v>-0.14714714714714699</v>
      </c>
      <c r="CI6">
        <v>0.117117117117117</v>
      </c>
      <c r="CJ6">
        <v>-3.0030030030029999E-2</v>
      </c>
      <c r="CL6">
        <v>3.89221556886227E-2</v>
      </c>
      <c r="CM6">
        <v>-9.90990990990991E-2</v>
      </c>
      <c r="CP6">
        <v>9.0090090090090003E-2</v>
      </c>
      <c r="CQ6">
        <v>-3.0030030030029999E-3</v>
      </c>
      <c r="CS6">
        <v>1.6E-2</v>
      </c>
      <c r="CT6">
        <v>-0.13866666666666599</v>
      </c>
      <c r="CW6">
        <v>0.16588785046728899</v>
      </c>
      <c r="CX6">
        <v>5.1282051282051197E-2</v>
      </c>
      <c r="CZ6">
        <v>-5.4054054054054002E-2</v>
      </c>
      <c r="DA6">
        <v>-0.155688622754491</v>
      </c>
      <c r="DD6">
        <v>0.116822429906542</v>
      </c>
      <c r="DE6">
        <v>-7.0093457943925198E-3</v>
      </c>
      <c r="DG6">
        <v>3.9039039039038999E-2</v>
      </c>
      <c r="DH6">
        <v>-6.0060060060059997E-2</v>
      </c>
      <c r="DK6">
        <v>0.12912912912912899</v>
      </c>
      <c r="DL6">
        <v>-1.8018018018018001E-2</v>
      </c>
      <c r="DN6">
        <v>2.6666666666666601E-3</v>
      </c>
      <c r="DO6">
        <v>-0.18666666666666601</v>
      </c>
      <c r="DR6">
        <v>0.22754491017963999</v>
      </c>
      <c r="DS6">
        <v>-6.0060060060059999E-3</v>
      </c>
      <c r="DU6">
        <v>-2.7027027027027001E-2</v>
      </c>
      <c r="DV6">
        <v>-0.140718562874251</v>
      </c>
      <c r="DY6">
        <v>0.125748502994011</v>
      </c>
      <c r="DZ6">
        <v>-4.8048048048047999E-2</v>
      </c>
      <c r="EB6">
        <v>-2.9333333333333302E-2</v>
      </c>
      <c r="EC6">
        <v>-0.13066666666666599</v>
      </c>
      <c r="EF6">
        <v>0.144144144144144</v>
      </c>
      <c r="EG6">
        <v>2.09580838323353E-2</v>
      </c>
      <c r="EI6">
        <v>1.79640718562874E-2</v>
      </c>
      <c r="EJ6">
        <v>-0.10210210210210199</v>
      </c>
      <c r="EM6">
        <v>6.0060060060059997E-2</v>
      </c>
      <c r="EN6">
        <v>-1.8018018018018001E-2</v>
      </c>
      <c r="EP6">
        <v>2.4024024024024E-2</v>
      </c>
      <c r="EQ6">
        <v>-9.3093093093092993E-2</v>
      </c>
      <c r="ET6">
        <v>5.4054054054054002E-2</v>
      </c>
      <c r="EU6">
        <v>-2.1021021021020998E-2</v>
      </c>
      <c r="EW6">
        <v>9.34579439252336E-2</v>
      </c>
      <c r="EX6">
        <v>-2.10280373831775E-2</v>
      </c>
      <c r="FA6">
        <v>0.13066666666666599</v>
      </c>
      <c r="FB6">
        <v>-1.3333333333333299E-2</v>
      </c>
      <c r="FD6">
        <v>2.9940119760479E-3</v>
      </c>
      <c r="FE6">
        <v>-0.15015015015015001</v>
      </c>
      <c r="FH6">
        <v>9.6096096096096095E-2</v>
      </c>
      <c r="FI6">
        <v>-7.2072072072072002E-2</v>
      </c>
      <c r="FK6">
        <v>4.5333333333333302E-2</v>
      </c>
      <c r="FL6">
        <v>-7.4666666666666603E-2</v>
      </c>
      <c r="FO6">
        <v>6.9069069069068997E-2</v>
      </c>
      <c r="FP6">
        <v>5.9880239520958001E-3</v>
      </c>
      <c r="FR6">
        <v>6.2874251497005901E-2</v>
      </c>
      <c r="FS6">
        <v>-9.0090090090090003E-2</v>
      </c>
      <c r="FV6">
        <v>0.11111111111111099</v>
      </c>
      <c r="FW6">
        <v>3.0030030030029999E-3</v>
      </c>
      <c r="FY6">
        <v>1.8018018018018001E-2</v>
      </c>
      <c r="FZ6">
        <v>-0.10210210210210199</v>
      </c>
      <c r="GC6">
        <v>0.105105105105105</v>
      </c>
      <c r="GD6">
        <v>-6.8862275449101798E-2</v>
      </c>
      <c r="GF6">
        <v>2.9940119760479E-3</v>
      </c>
      <c r="GG6">
        <v>-0.135135135135135</v>
      </c>
      <c r="GJ6">
        <v>0.117117117117117</v>
      </c>
      <c r="GK6">
        <v>-2.7027027027027001E-2</v>
      </c>
      <c r="GM6">
        <v>-4.5333333333333302E-2</v>
      </c>
      <c r="GN6">
        <v>-0.13600000000000001</v>
      </c>
      <c r="GQ6">
        <v>0.14714714714714699</v>
      </c>
      <c r="GR6">
        <v>8.6826347305389198E-2</v>
      </c>
      <c r="GT6">
        <v>-5.6000000000000001E-2</v>
      </c>
      <c r="GU6">
        <v>-0.13066666666666599</v>
      </c>
      <c r="GX6">
        <v>0.108108108108108</v>
      </c>
      <c r="GY6">
        <v>2.9940119760479E-2</v>
      </c>
      <c r="HA6">
        <v>-1.06666666666666E-2</v>
      </c>
      <c r="HB6">
        <v>-0.14399999999999999</v>
      </c>
      <c r="HE6">
        <v>0.12533333333333299</v>
      </c>
      <c r="HF6">
        <v>-5.0666666666666603E-2</v>
      </c>
      <c r="HH6">
        <v>-1.6E-2</v>
      </c>
      <c r="HI6">
        <v>-9.8666666666666597E-2</v>
      </c>
      <c r="HL6">
        <v>0.12012012012011999</v>
      </c>
      <c r="HM6">
        <v>8.9820359281437105E-3</v>
      </c>
      <c r="HO6">
        <v>-3.4666666666666603E-2</v>
      </c>
      <c r="HP6">
        <v>-0.12</v>
      </c>
      <c r="HS6">
        <v>5.6886227544910101E-2</v>
      </c>
      <c r="HT6">
        <v>-9.3093093093092993E-2</v>
      </c>
      <c r="HV6">
        <v>7.5075075075075007E-2</v>
      </c>
      <c r="HW6">
        <v>-2.69461077844311E-2</v>
      </c>
      <c r="HZ6">
        <v>0.135514018691588</v>
      </c>
      <c r="IA6">
        <v>4.6728971962616802E-3</v>
      </c>
      <c r="IC6">
        <v>-0.12012012012011999</v>
      </c>
      <c r="ID6">
        <v>-0.24850299401197601</v>
      </c>
      <c r="IG6">
        <v>0.20720720720720701</v>
      </c>
      <c r="IH6">
        <v>7.8078078078077998E-2</v>
      </c>
      <c r="IJ6">
        <v>-5.3333333333333297E-3</v>
      </c>
      <c r="IK6">
        <v>-0.178666666666666</v>
      </c>
      <c r="IN6">
        <v>7.4666666666666603E-2</v>
      </c>
      <c r="IO6">
        <v>-5.0666666666666603E-2</v>
      </c>
      <c r="IQ6">
        <v>4.5045045045045001E-2</v>
      </c>
      <c r="IR6">
        <v>-0.17717717717717699</v>
      </c>
      <c r="IU6">
        <v>0.126126126126126</v>
      </c>
      <c r="IV6">
        <v>6.0060060060059999E-3</v>
      </c>
      <c r="IX6">
        <v>-2.6666666666666601E-3</v>
      </c>
      <c r="IY6">
        <v>-0.14133333333333301</v>
      </c>
      <c r="JB6">
        <v>0.125748502994011</v>
      </c>
      <c r="JC6">
        <v>-1.5015015015014999E-2</v>
      </c>
      <c r="JE6">
        <v>-1.2012012012012E-2</v>
      </c>
      <c r="JF6">
        <v>-0.13772455089820301</v>
      </c>
      <c r="JI6">
        <v>6.5868263473053898E-2</v>
      </c>
      <c r="JJ6">
        <v>-4.7904191616766401E-2</v>
      </c>
      <c r="JL6">
        <v>3.2000000000000001E-2</v>
      </c>
      <c r="JM6">
        <v>-6.4000000000000001E-2</v>
      </c>
      <c r="JP6">
        <v>0.105105105105105</v>
      </c>
      <c r="JQ6">
        <v>-7.5075075075075007E-2</v>
      </c>
      <c r="JS6">
        <v>5.9880239520958001E-3</v>
      </c>
      <c r="JT6">
        <v>-0.108108108108108</v>
      </c>
      <c r="JW6">
        <v>8.5333333333333303E-2</v>
      </c>
      <c r="JX6">
        <v>-2.4E-2</v>
      </c>
      <c r="JZ6">
        <v>-6.0060060060059999E-3</v>
      </c>
      <c r="KA6">
        <v>-0.123123123123123</v>
      </c>
      <c r="KD6">
        <v>0.104790419161676</v>
      </c>
      <c r="KE6">
        <v>-0.108108108108108</v>
      </c>
      <c r="KG6">
        <v>3.9039039039038999E-2</v>
      </c>
      <c r="KH6">
        <v>-8.1081081081081002E-2</v>
      </c>
      <c r="KK6">
        <v>9.5808383233532898E-2</v>
      </c>
      <c r="KL6">
        <v>-2.69461077844311E-2</v>
      </c>
      <c r="KN6">
        <v>2.7027027027027001E-2</v>
      </c>
      <c r="KO6">
        <v>-0.18562874251497</v>
      </c>
      <c r="KR6">
        <v>8.7087087087086998E-2</v>
      </c>
      <c r="KS6">
        <v>-8.9820359281437105E-3</v>
      </c>
      <c r="KU6">
        <v>-3.6036036036036001E-2</v>
      </c>
      <c r="KV6">
        <v>-0.200598802395209</v>
      </c>
      <c r="KY6">
        <v>0.12266666666666599</v>
      </c>
      <c r="KZ6">
        <v>-2.9333333333333302E-2</v>
      </c>
      <c r="LB6">
        <v>0</v>
      </c>
      <c r="LC6">
        <v>-8.7087087087086998E-2</v>
      </c>
      <c r="LF6">
        <v>0.13213213213213201</v>
      </c>
      <c r="LG6">
        <v>-3.0030030030029999E-3</v>
      </c>
      <c r="LI6">
        <v>-9.0090090090090003E-3</v>
      </c>
      <c r="LJ6">
        <v>-0.15269461077844301</v>
      </c>
      <c r="LM6">
        <v>0.18933333333333299</v>
      </c>
      <c r="LN6">
        <v>3.4666666666666603E-2</v>
      </c>
      <c r="LP6">
        <v>-3.50467289719626E-2</v>
      </c>
      <c r="LQ6">
        <v>-0.210280373831775</v>
      </c>
      <c r="LT6">
        <v>9.90990990990991E-2</v>
      </c>
      <c r="LU6">
        <v>-3.29341317365269E-2</v>
      </c>
      <c r="LW6">
        <v>2.4024024024024E-2</v>
      </c>
      <c r="LX6">
        <v>-0.107784431137724</v>
      </c>
      <c r="MA6">
        <v>0.128</v>
      </c>
      <c r="MB6">
        <v>3.2000000000000001E-2</v>
      </c>
      <c r="MD6">
        <v>2.33644859813084E-2</v>
      </c>
      <c r="ME6">
        <v>-0.107226107226107</v>
      </c>
      <c r="MH6">
        <v>0.11111111111111099</v>
      </c>
      <c r="MI6">
        <v>-1.8018018018018001E-2</v>
      </c>
      <c r="MK6">
        <v>0.04</v>
      </c>
      <c r="ML6">
        <v>-0.08</v>
      </c>
      <c r="MN6">
        <f t="shared" si="0"/>
        <v>0.11401413181742896</v>
      </c>
      <c r="MO6">
        <f t="shared" si="1"/>
        <v>-1.4985232045830838E-2</v>
      </c>
      <c r="MQ6">
        <f t="shared" si="2"/>
        <v>1.0995287639898977E-2</v>
      </c>
      <c r="MR6">
        <f t="shared" si="3"/>
        <v>-0.12164290074393584</v>
      </c>
    </row>
    <row r="7" spans="1:356" x14ac:dyDescent="0.25">
      <c r="C7">
        <v>0.108108108108108</v>
      </c>
      <c r="D7">
        <v>-1.5015015015014999E-2</v>
      </c>
      <c r="F7">
        <v>5.7057057057056999E-2</v>
      </c>
      <c r="G7">
        <v>-0.11111111111111099</v>
      </c>
      <c r="J7">
        <v>2.7027027027027001E-2</v>
      </c>
      <c r="K7">
        <v>-4.8048048048047999E-2</v>
      </c>
      <c r="M7">
        <v>7.5075075075075007E-2</v>
      </c>
      <c r="N7">
        <v>-2.7027027027027001E-2</v>
      </c>
      <c r="Q7">
        <v>4.2056074766355103E-2</v>
      </c>
      <c r="R7">
        <v>-0.18181818181818099</v>
      </c>
      <c r="T7">
        <v>0.156156156156156</v>
      </c>
      <c r="U7">
        <v>-3.9039039039038999E-2</v>
      </c>
      <c r="X7">
        <v>0.109333333333333</v>
      </c>
      <c r="Y7">
        <v>-2.4E-2</v>
      </c>
      <c r="AA7">
        <v>1.06666666666666E-2</v>
      </c>
      <c r="AB7">
        <v>-0.146666666666666</v>
      </c>
      <c r="AE7">
        <v>0.13600000000000001</v>
      </c>
      <c r="AF7">
        <v>8.0000000000000002E-3</v>
      </c>
      <c r="AH7">
        <v>-1.6317016317016299E-2</v>
      </c>
      <c r="AI7">
        <v>-0.23543123543123501</v>
      </c>
      <c r="AL7">
        <v>4.8048048048047999E-2</v>
      </c>
      <c r="AM7">
        <v>-6.9069069069068997E-2</v>
      </c>
      <c r="AO7">
        <v>0.112</v>
      </c>
      <c r="AP7">
        <v>-3.4666666666666603E-2</v>
      </c>
      <c r="AS7">
        <v>9.0666666666666604E-2</v>
      </c>
      <c r="AT7">
        <v>-4.5333333333333302E-2</v>
      </c>
      <c r="AV7">
        <v>3.3033033033033003E-2</v>
      </c>
      <c r="AW7">
        <v>-0.11111111111111099</v>
      </c>
      <c r="AZ7">
        <v>0.197333333333333</v>
      </c>
      <c r="BA7">
        <v>7.1999999999999995E-2</v>
      </c>
      <c r="BC7">
        <v>-6.5868263473053898E-2</v>
      </c>
      <c r="BD7">
        <v>-0.192192192192192</v>
      </c>
      <c r="BG7">
        <v>0.109333333333333</v>
      </c>
      <c r="BH7">
        <v>-8.0000000000000002E-3</v>
      </c>
      <c r="BJ7">
        <v>-2.8037383177569999E-2</v>
      </c>
      <c r="BK7">
        <v>-0.15887850467289699</v>
      </c>
      <c r="BN7">
        <v>0.125748502994011</v>
      </c>
      <c r="BO7">
        <v>-3.9039039039038999E-2</v>
      </c>
      <c r="BQ7">
        <v>-3.4666666666666603E-2</v>
      </c>
      <c r="BR7">
        <v>-0.152</v>
      </c>
      <c r="BU7">
        <v>0.13866666666666599</v>
      </c>
      <c r="BV7">
        <v>-4.8000000000000001E-2</v>
      </c>
      <c r="BX7">
        <v>1.19760479041916E-2</v>
      </c>
      <c r="BY7">
        <v>-0.165165165165165</v>
      </c>
      <c r="CB7">
        <v>0.117117117117117</v>
      </c>
      <c r="CC7">
        <v>3.9039039039038999E-2</v>
      </c>
      <c r="CE7">
        <v>1.6E-2</v>
      </c>
      <c r="CF7">
        <v>-0.109333333333333</v>
      </c>
      <c r="CI7">
        <v>0.149700598802395</v>
      </c>
      <c r="CJ7">
        <v>-6.9069069069068997E-2</v>
      </c>
      <c r="CL7">
        <v>2.9333333333333302E-2</v>
      </c>
      <c r="CM7">
        <v>-0.133333333333333</v>
      </c>
      <c r="CP7">
        <v>0.11888111888111801</v>
      </c>
      <c r="CQ7">
        <v>-2.3364485981308401E-3</v>
      </c>
      <c r="CS7">
        <v>2.9333333333333302E-2</v>
      </c>
      <c r="CT7">
        <v>-0.13600000000000001</v>
      </c>
      <c r="CW7">
        <v>0.17</v>
      </c>
      <c r="CX7">
        <v>5.1999999999999998E-2</v>
      </c>
      <c r="CZ7">
        <v>-5.9880239520958001E-2</v>
      </c>
      <c r="DA7">
        <v>-0.14714714714714699</v>
      </c>
      <c r="DD7">
        <v>9.0090090090090003E-2</v>
      </c>
      <c r="DE7">
        <v>-6.0060060060059999E-3</v>
      </c>
      <c r="DG7">
        <v>1.8666666666666599E-2</v>
      </c>
      <c r="DH7">
        <v>-0.104</v>
      </c>
      <c r="DK7">
        <v>0.153153153153153</v>
      </c>
      <c r="DL7">
        <v>4.1916167664670601E-2</v>
      </c>
      <c r="DN7">
        <v>-5.8666666666666603E-2</v>
      </c>
      <c r="DO7">
        <v>-0.197333333333333</v>
      </c>
      <c r="DR7">
        <v>0.134730538922155</v>
      </c>
      <c r="DS7">
        <v>3.29341317365269E-2</v>
      </c>
      <c r="DU7">
        <v>-1.6E-2</v>
      </c>
      <c r="DV7">
        <v>-8.7999999999999995E-2</v>
      </c>
      <c r="DY7">
        <v>0.13813813813813799</v>
      </c>
      <c r="DZ7">
        <v>-1.5015015015014999E-2</v>
      </c>
      <c r="EB7">
        <v>-3.2000000000000001E-2</v>
      </c>
      <c r="EC7">
        <v>-0.14133333333333301</v>
      </c>
      <c r="EF7">
        <v>0.13772455089820301</v>
      </c>
      <c r="EG7">
        <v>-3.6036036036036001E-2</v>
      </c>
      <c r="EI7">
        <v>-1.6E-2</v>
      </c>
      <c r="EJ7">
        <v>-9.6000000000000002E-2</v>
      </c>
      <c r="EM7">
        <v>7.8078078078077998E-2</v>
      </c>
      <c r="EN7">
        <v>-4.5045045045045001E-2</v>
      </c>
      <c r="EP7">
        <v>1.8666666666666599E-2</v>
      </c>
      <c r="EQ7">
        <v>-0.14133333333333301</v>
      </c>
      <c r="ET7">
        <v>9.2814371257484998E-2</v>
      </c>
      <c r="EU7">
        <v>-0.13772455089820301</v>
      </c>
      <c r="EW7">
        <v>9.6000000000000002E-2</v>
      </c>
      <c r="EX7">
        <v>-2.4E-2</v>
      </c>
      <c r="FA7">
        <v>0.14399999999999999</v>
      </c>
      <c r="FB7">
        <v>0.04</v>
      </c>
      <c r="FD7">
        <v>3.03030303030303E-2</v>
      </c>
      <c r="FE7">
        <v>-0.11448598130841101</v>
      </c>
      <c r="FH7">
        <v>9.5808383233532898E-2</v>
      </c>
      <c r="FI7">
        <v>-5.3892215568862201E-2</v>
      </c>
      <c r="FK7">
        <v>6.9069069069068997E-2</v>
      </c>
      <c r="FL7">
        <v>-6.5868263473053898E-2</v>
      </c>
      <c r="FO7">
        <v>0.100467289719626</v>
      </c>
      <c r="FP7">
        <v>-9.3240093240093205E-3</v>
      </c>
      <c r="FR7">
        <v>-8.0000000000000002E-3</v>
      </c>
      <c r="FS7">
        <v>-9.3333333333333296E-2</v>
      </c>
      <c r="FV7">
        <v>0.14399999999999999</v>
      </c>
      <c r="FW7">
        <v>-2.1333333333333301E-2</v>
      </c>
      <c r="FY7">
        <v>5.3333333333333297E-3</v>
      </c>
      <c r="FZ7">
        <v>-6.1333333333333302E-2</v>
      </c>
      <c r="GC7">
        <v>0.101333333333333</v>
      </c>
      <c r="GD7">
        <v>1.6E-2</v>
      </c>
      <c r="GF7">
        <v>4.67289719626168E-2</v>
      </c>
      <c r="GG7">
        <v>-0.165501165501165</v>
      </c>
      <c r="GJ7">
        <v>0.156156156156156</v>
      </c>
      <c r="GK7">
        <v>-2.9940119760479E-3</v>
      </c>
      <c r="GM7">
        <v>-4.5333333333333302E-2</v>
      </c>
      <c r="GN7">
        <v>-0.17066666666666599</v>
      </c>
      <c r="GQ7">
        <v>0.19819819819819801</v>
      </c>
      <c r="GR7">
        <v>-2.9940119760479E-3</v>
      </c>
      <c r="GT7">
        <v>2.3310023310023301E-2</v>
      </c>
      <c r="GU7">
        <v>-0.14452214452214401</v>
      </c>
      <c r="GX7">
        <v>0.178666666666666</v>
      </c>
      <c r="GY7">
        <v>5.6000000000000001E-2</v>
      </c>
      <c r="HA7">
        <v>2.6666666666666601E-3</v>
      </c>
      <c r="HB7">
        <v>-0.17066666666666599</v>
      </c>
      <c r="HE7">
        <v>8.7087087087086998E-2</v>
      </c>
      <c r="HF7">
        <v>-1.49700598802395E-2</v>
      </c>
      <c r="HH7">
        <v>6.1333333333333302E-2</v>
      </c>
      <c r="HI7">
        <v>-0.13066666666666599</v>
      </c>
      <c r="HL7">
        <v>0.123123123123123</v>
      </c>
      <c r="HM7">
        <v>1.5015015015014999E-2</v>
      </c>
      <c r="HO7">
        <v>9.0090090090090003E-3</v>
      </c>
      <c r="HP7">
        <v>-0.162162162162162</v>
      </c>
      <c r="HS7">
        <v>9.90990990990991E-2</v>
      </c>
      <c r="HT7">
        <v>-9.90990990990991E-2</v>
      </c>
      <c r="HV7">
        <v>3.2710280373831703E-2</v>
      </c>
      <c r="HW7">
        <v>-0.13053613053613</v>
      </c>
      <c r="HZ7">
        <v>0.144144144144144</v>
      </c>
      <c r="IA7">
        <v>1.49700598802395E-2</v>
      </c>
      <c r="IC7">
        <v>-4.2666666666666603E-2</v>
      </c>
      <c r="ID7">
        <v>-0.128</v>
      </c>
      <c r="IG7">
        <v>0.149700598802395</v>
      </c>
      <c r="IH7">
        <v>1.79640718562874E-2</v>
      </c>
      <c r="IJ7">
        <v>-2.6666666666666601E-3</v>
      </c>
      <c r="IK7">
        <v>-0.16266666666666599</v>
      </c>
      <c r="IN7">
        <v>0.122754491017964</v>
      </c>
      <c r="IO7">
        <v>-2.7027027027027001E-2</v>
      </c>
      <c r="IQ7">
        <v>1.6E-2</v>
      </c>
      <c r="IR7">
        <v>-5.6000000000000001E-2</v>
      </c>
      <c r="IU7">
        <v>9.6096096096096095E-2</v>
      </c>
      <c r="IV7">
        <v>-5.7057057057056999E-2</v>
      </c>
      <c r="IX7">
        <v>3.0030030030029999E-2</v>
      </c>
      <c r="IY7">
        <v>-0.101796407185628</v>
      </c>
      <c r="JB7">
        <v>0.12266666666666599</v>
      </c>
      <c r="JC7">
        <v>-3.2000000000000001E-2</v>
      </c>
      <c r="JE7">
        <v>-4.6620046620046603E-2</v>
      </c>
      <c r="JF7">
        <v>-0.14018691588785001</v>
      </c>
      <c r="JI7">
        <v>0.112</v>
      </c>
      <c r="JJ7">
        <v>-2.4E-2</v>
      </c>
      <c r="JL7">
        <v>6.3063063063063002E-2</v>
      </c>
      <c r="JM7">
        <v>-4.1916167664670601E-2</v>
      </c>
      <c r="JP7">
        <v>9.6000000000000002E-2</v>
      </c>
      <c r="JQ7">
        <v>-1.8666666666666599E-2</v>
      </c>
      <c r="JS7">
        <v>1.8018018018018001E-2</v>
      </c>
      <c r="JT7">
        <v>-0.13173652694610699</v>
      </c>
      <c r="JW7">
        <v>6.3063063063063002E-2</v>
      </c>
      <c r="JX7">
        <v>-2.7027027027027001E-2</v>
      </c>
      <c r="JZ7">
        <v>4.8000000000000001E-2</v>
      </c>
      <c r="KA7">
        <v>-0.112</v>
      </c>
      <c r="KD7">
        <v>0.104</v>
      </c>
      <c r="KE7">
        <v>-6.4000000000000001E-2</v>
      </c>
      <c r="KG7">
        <v>6.0060060060059999E-3</v>
      </c>
      <c r="KH7">
        <v>-7.2072072072072002E-2</v>
      </c>
      <c r="KK7">
        <v>5.1051051051050997E-2</v>
      </c>
      <c r="KL7">
        <v>-0.10210210210210199</v>
      </c>
      <c r="KN7">
        <v>1.3333333333333299E-2</v>
      </c>
      <c r="KO7">
        <v>-7.7333333333333296E-2</v>
      </c>
      <c r="KR7">
        <v>0.18133333333333301</v>
      </c>
      <c r="KS7">
        <v>-2.6666666666666599E-2</v>
      </c>
      <c r="KU7">
        <v>3.3033033033033003E-2</v>
      </c>
      <c r="KV7">
        <v>-0.13213213213213201</v>
      </c>
      <c r="KY7">
        <v>9.8666666666666597E-2</v>
      </c>
      <c r="KZ7">
        <v>-1.6E-2</v>
      </c>
      <c r="LB7">
        <v>1.79640718562874E-2</v>
      </c>
      <c r="LC7">
        <v>-0.19519519519519499</v>
      </c>
      <c r="LF7">
        <v>0.224550898203592</v>
      </c>
      <c r="LG7">
        <v>2.9940119760479E-2</v>
      </c>
      <c r="LI7">
        <v>-1.8666666666666599E-2</v>
      </c>
      <c r="LJ7">
        <v>-0.146666666666666</v>
      </c>
      <c r="LM7">
        <v>0.126126126126126</v>
      </c>
      <c r="LN7">
        <v>1.5015015015014999E-2</v>
      </c>
      <c r="LP7">
        <v>2.4E-2</v>
      </c>
      <c r="LQ7">
        <v>-0.18933333333333299</v>
      </c>
      <c r="LT7">
        <v>0.11111111111111099</v>
      </c>
      <c r="LU7">
        <v>-0.13772455089820301</v>
      </c>
      <c r="LW7">
        <v>2.1333333333333301E-2</v>
      </c>
      <c r="LX7">
        <v>-0.12533333333333299</v>
      </c>
      <c r="MA7">
        <v>0.105105105105105</v>
      </c>
      <c r="MB7">
        <v>-4.2042042042041997E-2</v>
      </c>
      <c r="MD7">
        <v>7.2072072072072002E-2</v>
      </c>
      <c r="ME7">
        <v>-0.108108108108108</v>
      </c>
      <c r="MH7">
        <v>9.8130841121495296E-2</v>
      </c>
      <c r="MI7">
        <v>-3.7296037296037199E-2</v>
      </c>
      <c r="MK7">
        <v>-3.0030030030029999E-3</v>
      </c>
      <c r="ML7">
        <v>-0.144144144144144</v>
      </c>
      <c r="MN7">
        <f t="shared" si="0"/>
        <v>0.11383578128242954</v>
      </c>
      <c r="MO7">
        <f t="shared" si="1"/>
        <v>-2.5240632530692371E-2</v>
      </c>
      <c r="MQ7">
        <f t="shared" si="2"/>
        <v>9.9754225512309284E-3</v>
      </c>
      <c r="MR7">
        <f t="shared" si="3"/>
        <v>-0.11267419077480278</v>
      </c>
    </row>
    <row r="8" spans="1:356" x14ac:dyDescent="0.25">
      <c r="C8">
        <v>0.12</v>
      </c>
      <c r="D8">
        <v>-7.4666666666666603E-2</v>
      </c>
      <c r="F8">
        <v>5.3613053613053602E-2</v>
      </c>
      <c r="G8">
        <v>-0.116550116550116</v>
      </c>
      <c r="J8">
        <v>5.0666666666666603E-2</v>
      </c>
      <c r="K8">
        <v>-0.08</v>
      </c>
      <c r="M8">
        <v>9.0666666666666604E-2</v>
      </c>
      <c r="N8">
        <v>-1.3333333333333299E-2</v>
      </c>
      <c r="Q8">
        <v>1.2012012012012E-2</v>
      </c>
      <c r="R8">
        <v>-8.1081081081081002E-2</v>
      </c>
      <c r="T8">
        <v>5.1051051051050997E-2</v>
      </c>
      <c r="U8">
        <v>-4.8048048048047999E-2</v>
      </c>
      <c r="X8">
        <v>4.2056074766355103E-2</v>
      </c>
      <c r="Y8">
        <v>-4.2056074766355103E-2</v>
      </c>
      <c r="AA8">
        <v>-2.9940119760479E-3</v>
      </c>
      <c r="AB8">
        <v>-0.162162162162162</v>
      </c>
      <c r="AE8">
        <v>0.13866666666666599</v>
      </c>
      <c r="AF8">
        <v>-5.3333333333333297E-3</v>
      </c>
      <c r="AH8">
        <v>5.8000000000000003E-2</v>
      </c>
      <c r="AI8">
        <v>-0.19400000000000001</v>
      </c>
      <c r="AL8">
        <v>5.3333333333333302E-2</v>
      </c>
      <c r="AM8">
        <v>-0.128</v>
      </c>
      <c r="AO8">
        <v>9.6096096096096095E-2</v>
      </c>
      <c r="AP8">
        <v>-8.3832335329341298E-2</v>
      </c>
      <c r="AS8">
        <v>0.14933333333333301</v>
      </c>
      <c r="AT8">
        <v>0</v>
      </c>
      <c r="AV8">
        <v>-8.0000000000000002E-3</v>
      </c>
      <c r="AW8">
        <v>-0.15733333333333299</v>
      </c>
      <c r="AZ8">
        <v>0.15733333333333299</v>
      </c>
      <c r="BA8">
        <v>3.4666666666666603E-2</v>
      </c>
      <c r="BC8">
        <v>-5.3613053613053602E-2</v>
      </c>
      <c r="BD8">
        <v>-0.170560747663551</v>
      </c>
      <c r="BG8">
        <v>0.111888111888111</v>
      </c>
      <c r="BH8">
        <v>2.10280373831775E-2</v>
      </c>
      <c r="BJ8">
        <v>3.0030030030029999E-3</v>
      </c>
      <c r="BK8">
        <v>-0.13813813813813799</v>
      </c>
      <c r="BN8">
        <v>0.16816816816816799</v>
      </c>
      <c r="BO8">
        <v>-5.9880239520958001E-3</v>
      </c>
      <c r="BQ8">
        <v>-2.69461077844311E-2</v>
      </c>
      <c r="BR8">
        <v>-0.156156156156156</v>
      </c>
      <c r="BU8">
        <v>0.16816816816816799</v>
      </c>
      <c r="BV8">
        <v>9.0090090090090003E-3</v>
      </c>
      <c r="BX8">
        <v>-7.7333333333333296E-2</v>
      </c>
      <c r="BY8">
        <v>-0.15466666666666601</v>
      </c>
      <c r="CB8">
        <v>0.128</v>
      </c>
      <c r="CC8">
        <v>-8.0000000000000002E-3</v>
      </c>
      <c r="CE8">
        <v>-2.3364485981308401E-3</v>
      </c>
      <c r="CF8">
        <v>-0.14918414918414899</v>
      </c>
      <c r="CI8">
        <v>4.5333333333333302E-2</v>
      </c>
      <c r="CJ8">
        <v>-5.3333333333333302E-2</v>
      </c>
      <c r="CL8">
        <v>2.3310023310023301E-2</v>
      </c>
      <c r="CM8">
        <v>-9.5794392523364399E-2</v>
      </c>
      <c r="CP8">
        <v>0.128</v>
      </c>
      <c r="CQ8">
        <v>0</v>
      </c>
      <c r="CS8">
        <v>-2.1021021021020998E-2</v>
      </c>
      <c r="CT8">
        <v>-0.15015015015015001</v>
      </c>
      <c r="CW8">
        <v>0.201201201201201</v>
      </c>
      <c r="CX8">
        <v>-1.5015015015014999E-2</v>
      </c>
      <c r="CZ8">
        <v>-5.0898203592814301E-2</v>
      </c>
      <c r="DA8">
        <v>-0.19819819819819801</v>
      </c>
      <c r="DD8">
        <v>3.7333333333333302E-2</v>
      </c>
      <c r="DE8">
        <v>-0.101333333333333</v>
      </c>
      <c r="DG8">
        <v>5.3892215568862201E-2</v>
      </c>
      <c r="DH8">
        <v>-0.117117117117117</v>
      </c>
      <c r="DK8">
        <v>0.15015015015015001</v>
      </c>
      <c r="DL8">
        <v>1.49700598802395E-2</v>
      </c>
      <c r="DN8">
        <v>-2.33644859813084E-2</v>
      </c>
      <c r="DO8">
        <v>-0.132867132867132</v>
      </c>
      <c r="DR8">
        <v>0.107226107226107</v>
      </c>
      <c r="DS8">
        <v>3.03030303030303E-2</v>
      </c>
      <c r="DU8">
        <v>-2.7027027027027001E-2</v>
      </c>
      <c r="DV8">
        <v>-0.15269461077844301</v>
      </c>
      <c r="DY8">
        <v>8.7999999999999995E-2</v>
      </c>
      <c r="DZ8">
        <v>-5.3333333333333302E-2</v>
      </c>
      <c r="EB8">
        <v>-1.3333333333333299E-2</v>
      </c>
      <c r="EC8">
        <v>-0.13866666666666599</v>
      </c>
      <c r="EF8">
        <v>0.224</v>
      </c>
      <c r="EG8">
        <v>5.3333333333333297E-3</v>
      </c>
      <c r="EI8">
        <v>1.86915887850467E-2</v>
      </c>
      <c r="EJ8">
        <v>-0.188811188811188</v>
      </c>
      <c r="EM8">
        <v>0.12874251497005901</v>
      </c>
      <c r="EN8">
        <v>-6.0060060060059999E-3</v>
      </c>
      <c r="EP8">
        <v>-0.04</v>
      </c>
      <c r="EQ8">
        <v>-0.128</v>
      </c>
      <c r="ET8">
        <v>5.8275058275058203E-2</v>
      </c>
      <c r="EU8">
        <v>-6.3084112149532703E-2</v>
      </c>
      <c r="EW8">
        <v>4.7904191616766401E-2</v>
      </c>
      <c r="EX8">
        <v>-4.4910179640718501E-2</v>
      </c>
      <c r="FA8">
        <v>5.8666666666666603E-2</v>
      </c>
      <c r="FB8">
        <v>-1.06666666666666E-2</v>
      </c>
      <c r="FD8">
        <v>1.6E-2</v>
      </c>
      <c r="FE8">
        <v>-0.13600000000000001</v>
      </c>
      <c r="FH8">
        <v>7.4666666666666603E-2</v>
      </c>
      <c r="FI8">
        <v>-0.04</v>
      </c>
      <c r="FK8">
        <v>5.6000000000000001E-2</v>
      </c>
      <c r="FL8">
        <v>-5.8666666666666603E-2</v>
      </c>
      <c r="FO8">
        <v>0.13519813519813501</v>
      </c>
      <c r="FP8">
        <v>-9.3240093240093205E-3</v>
      </c>
      <c r="FR8">
        <v>4.8048048048047999E-2</v>
      </c>
      <c r="FS8">
        <v>-0.10210210210210199</v>
      </c>
      <c r="FV8">
        <v>9.6000000000000002E-2</v>
      </c>
      <c r="FW8">
        <v>-2.9333333333333302E-2</v>
      </c>
      <c r="FY8">
        <v>3.0030030030029999E-2</v>
      </c>
      <c r="FZ8">
        <v>-0.122754491017964</v>
      </c>
      <c r="GC8">
        <v>4.8048048048047999E-2</v>
      </c>
      <c r="GD8">
        <v>-0.12874251497005901</v>
      </c>
      <c r="GF8">
        <v>7.8078078078077998E-2</v>
      </c>
      <c r="GG8">
        <v>-5.1051051051050997E-2</v>
      </c>
      <c r="GJ8">
        <v>0.14133333333333301</v>
      </c>
      <c r="GK8">
        <v>-5.0666666666666603E-2</v>
      </c>
      <c r="GM8">
        <v>-3.4666666666666603E-2</v>
      </c>
      <c r="GN8">
        <v>-0.13866666666666599</v>
      </c>
      <c r="GQ8">
        <v>9.90990990990991E-2</v>
      </c>
      <c r="GR8">
        <v>-5.7057057057056999E-2</v>
      </c>
      <c r="GT8">
        <v>0.11214953271028</v>
      </c>
      <c r="GU8">
        <v>-0.125874125874125</v>
      </c>
      <c r="GX8">
        <v>0.217289719626168</v>
      </c>
      <c r="GY8">
        <v>3.9719626168224297E-2</v>
      </c>
      <c r="HA8">
        <v>-7.00934579439252E-2</v>
      </c>
      <c r="HB8">
        <v>-0.24532710280373801</v>
      </c>
      <c r="HE8">
        <v>0.104</v>
      </c>
      <c r="HF8">
        <v>5.3333333333333297E-3</v>
      </c>
      <c r="HH8">
        <v>2.4024024024024E-2</v>
      </c>
      <c r="HI8">
        <v>-0.126126126126126</v>
      </c>
      <c r="HL8">
        <v>0.19161676646706499</v>
      </c>
      <c r="HM8">
        <v>1.19760479041916E-2</v>
      </c>
      <c r="HO8">
        <v>-5.3333333333333297E-3</v>
      </c>
      <c r="HP8">
        <v>-0.128</v>
      </c>
      <c r="HS8">
        <v>3.7333333333333302E-2</v>
      </c>
      <c r="HT8">
        <v>-0.08</v>
      </c>
      <c r="HV8">
        <v>6.4000000000000001E-2</v>
      </c>
      <c r="HW8">
        <v>-4.8000000000000001E-2</v>
      </c>
      <c r="HZ8">
        <v>7.8078078078077998E-2</v>
      </c>
      <c r="IA8">
        <v>-6.9069069069068997E-2</v>
      </c>
      <c r="IC8">
        <v>-2.6666666666666601E-3</v>
      </c>
      <c r="ID8">
        <v>-0.12</v>
      </c>
      <c r="IG8">
        <v>0.200598802395209</v>
      </c>
      <c r="IH8">
        <v>1.2012012012012E-2</v>
      </c>
      <c r="IJ8">
        <v>-3.2000000000000001E-2</v>
      </c>
      <c r="IK8">
        <v>-0.18933333333333299</v>
      </c>
      <c r="IN8">
        <v>9.6096096096096095E-2</v>
      </c>
      <c r="IO8">
        <v>-6.3063063063063002E-2</v>
      </c>
      <c r="IQ8">
        <v>-1.3333333333333299E-2</v>
      </c>
      <c r="IR8">
        <v>-0.128</v>
      </c>
      <c r="IU8">
        <v>8.7999999999999995E-2</v>
      </c>
      <c r="IV8">
        <v>-2.4E-2</v>
      </c>
      <c r="IX8">
        <v>8.0000000000000002E-3</v>
      </c>
      <c r="IY8">
        <v>-7.4666666666666603E-2</v>
      </c>
      <c r="JB8">
        <v>0.108108108108108</v>
      </c>
      <c r="JC8">
        <v>3.0030030030029999E-3</v>
      </c>
      <c r="JE8">
        <v>-4.7904191616766401E-2</v>
      </c>
      <c r="JF8">
        <v>-0.219219219219219</v>
      </c>
      <c r="JI8">
        <v>5.8666666666666603E-2</v>
      </c>
      <c r="JJ8">
        <v>-7.4666666666666603E-2</v>
      </c>
      <c r="JL8">
        <v>7.8078078078077998E-2</v>
      </c>
      <c r="JM8">
        <v>-9.5808383233532898E-2</v>
      </c>
      <c r="JP8">
        <v>0.101796407185628</v>
      </c>
      <c r="JQ8">
        <v>-5.7057057057056999E-2</v>
      </c>
      <c r="JS8">
        <v>8.1775700934579407E-2</v>
      </c>
      <c r="JT8">
        <v>-0.14685314685314599</v>
      </c>
      <c r="JW8">
        <v>0.151869158878504</v>
      </c>
      <c r="JX8">
        <v>-2.09790209790209E-2</v>
      </c>
      <c r="JZ8">
        <v>-3.7296037296037199E-2</v>
      </c>
      <c r="KA8">
        <v>-0.121495327102803</v>
      </c>
      <c r="KD8">
        <v>9.3333333333333296E-2</v>
      </c>
      <c r="KE8">
        <v>1.06666666666666E-2</v>
      </c>
      <c r="KG8">
        <v>5.8666666666666603E-2</v>
      </c>
      <c r="KH8">
        <v>-0.17333333333333301</v>
      </c>
      <c r="KK8">
        <v>0.133333333333333</v>
      </c>
      <c r="KL8">
        <v>2.6666666666666601E-3</v>
      </c>
      <c r="KN8">
        <v>0</v>
      </c>
      <c r="KO8">
        <v>-0.116822429906542</v>
      </c>
      <c r="KR8">
        <v>0.114219114219114</v>
      </c>
      <c r="KS8">
        <v>-7.00934579439252E-2</v>
      </c>
      <c r="KU8">
        <v>-5.3999999999999999E-2</v>
      </c>
      <c r="KV8">
        <v>-0.14000000000000001</v>
      </c>
      <c r="KY8">
        <v>0.15384615384615299</v>
      </c>
      <c r="KZ8">
        <v>-1.86915887850467E-2</v>
      </c>
      <c r="LB8">
        <v>-6.3063063063063002E-2</v>
      </c>
      <c r="LC8">
        <v>-0.19760479041916101</v>
      </c>
      <c r="LF8">
        <v>0.15466666666666601</v>
      </c>
      <c r="LG8">
        <v>0</v>
      </c>
      <c r="LI8">
        <v>-1.8648018648018599E-2</v>
      </c>
      <c r="LJ8">
        <v>-0.14452214452214401</v>
      </c>
      <c r="LM8">
        <v>0.15269461077844301</v>
      </c>
      <c r="LN8">
        <v>-1.5015015015014999E-2</v>
      </c>
      <c r="LP8">
        <v>-8.0000000000000002E-3</v>
      </c>
      <c r="LQ8">
        <v>-0.18933333333333299</v>
      </c>
      <c r="LT8">
        <v>5.3738317757009303E-2</v>
      </c>
      <c r="LU8">
        <v>-2.09790209790209E-2</v>
      </c>
      <c r="LW8">
        <v>5.1051051051050997E-2</v>
      </c>
      <c r="LX8">
        <v>-9.2814371257484998E-2</v>
      </c>
      <c r="MA8">
        <v>7.1999999999999995E-2</v>
      </c>
      <c r="MB8">
        <v>-2.9333333333333302E-2</v>
      </c>
      <c r="MD8">
        <v>-1.6E-2</v>
      </c>
      <c r="ME8">
        <v>-0.14799999999999999</v>
      </c>
      <c r="MH8">
        <v>0.12266666666666599</v>
      </c>
      <c r="MI8">
        <v>-1.8666666666666599E-2</v>
      </c>
      <c r="MK8">
        <v>4.8000000000000001E-2</v>
      </c>
      <c r="ML8">
        <v>-0.109333333333333</v>
      </c>
      <c r="MN8">
        <f t="shared" si="0"/>
        <v>0.11227397999866495</v>
      </c>
      <c r="MO8">
        <f t="shared" si="1"/>
        <v>-2.7689020931248202E-2</v>
      </c>
      <c r="MQ8">
        <f t="shared" si="2"/>
        <v>1.0087634767493737E-2</v>
      </c>
      <c r="MR8">
        <f t="shared" si="3"/>
        <v>-0.13425610424000015</v>
      </c>
    </row>
    <row r="9" spans="1:356" x14ac:dyDescent="0.25">
      <c r="C9">
        <v>3.5999999999999997E-2</v>
      </c>
      <c r="D9">
        <v>-0.05</v>
      </c>
      <c r="F9">
        <v>1.8666666666666599E-2</v>
      </c>
      <c r="G9">
        <v>-0.16800000000000001</v>
      </c>
      <c r="J9">
        <v>0</v>
      </c>
      <c r="K9">
        <v>-0.12533333333333299</v>
      </c>
      <c r="M9">
        <v>7.1999999999999995E-2</v>
      </c>
      <c r="N9">
        <v>-1.06666666666666E-2</v>
      </c>
      <c r="Q9">
        <v>3.6036036036036001E-2</v>
      </c>
      <c r="R9">
        <v>-7.8078078078077998E-2</v>
      </c>
      <c r="T9">
        <v>0.13866666666666599</v>
      </c>
      <c r="U9">
        <v>-1.8666666666666599E-2</v>
      </c>
      <c r="X9">
        <v>0.123123123123123</v>
      </c>
      <c r="Y9">
        <v>-3.29341317365269E-2</v>
      </c>
      <c r="AA9">
        <v>-2.6666666666666599E-2</v>
      </c>
      <c r="AB9">
        <v>-0.16</v>
      </c>
      <c r="AE9">
        <v>7.8078078078077998E-2</v>
      </c>
      <c r="AF9">
        <v>-9.0090090090090003E-2</v>
      </c>
      <c r="AH9">
        <v>7.5075075075075007E-2</v>
      </c>
      <c r="AI9">
        <v>-2.39520958083832E-2</v>
      </c>
      <c r="AL9">
        <v>9.6096096096096095E-2</v>
      </c>
      <c r="AM9">
        <v>-6.3063063063063002E-2</v>
      </c>
      <c r="AO9">
        <v>0.114666666666666</v>
      </c>
      <c r="AP9">
        <v>-3.7333333333333302E-2</v>
      </c>
      <c r="AS9">
        <v>0.137850467289719</v>
      </c>
      <c r="AT9">
        <v>-1.8648018648018599E-2</v>
      </c>
      <c r="AV9">
        <v>2.9940119760479E-2</v>
      </c>
      <c r="AW9">
        <v>-0.153153153153153</v>
      </c>
      <c r="AZ9">
        <v>0.20359281437125701</v>
      </c>
      <c r="BA9">
        <v>7.2072072072072002E-2</v>
      </c>
      <c r="BC9">
        <v>-6.2874251497005901E-2</v>
      </c>
      <c r="BD9">
        <v>-0.183183183183183</v>
      </c>
      <c r="BG9">
        <v>0.13800000000000001</v>
      </c>
      <c r="BH9">
        <v>7.5999999999999998E-2</v>
      </c>
      <c r="BJ9">
        <v>2.4024024024024E-2</v>
      </c>
      <c r="BK9">
        <v>-0.19519519519519499</v>
      </c>
      <c r="BN9">
        <v>0.116550116550116</v>
      </c>
      <c r="BO9">
        <v>5.1401869158878503E-2</v>
      </c>
      <c r="BQ9">
        <v>-8.4084084084083993E-2</v>
      </c>
      <c r="BR9">
        <v>-0.153153153153153</v>
      </c>
      <c r="BU9">
        <v>0.16083916083916</v>
      </c>
      <c r="BV9">
        <v>7.0093457943925198E-3</v>
      </c>
      <c r="BX9">
        <v>-0.101333333333333</v>
      </c>
      <c r="BY9">
        <v>-0.22133333333333299</v>
      </c>
      <c r="CB9">
        <v>0.152</v>
      </c>
      <c r="CC9">
        <v>-1.06666666666666E-2</v>
      </c>
      <c r="CE9">
        <v>6.1333333333333302E-2</v>
      </c>
      <c r="CF9">
        <v>-0.128</v>
      </c>
      <c r="CI9">
        <v>0.121495327102803</v>
      </c>
      <c r="CJ9">
        <v>-7.2261072261072201E-2</v>
      </c>
      <c r="CL9">
        <v>3.0030030030029999E-2</v>
      </c>
      <c r="CM9">
        <v>-0.224550898203592</v>
      </c>
      <c r="CP9">
        <v>0.14714714714714699</v>
      </c>
      <c r="CQ9">
        <v>-3.89221556886227E-2</v>
      </c>
      <c r="CS9">
        <v>-6.8333333333333302E-2</v>
      </c>
      <c r="CT9">
        <v>-8.5000000000000006E-2</v>
      </c>
      <c r="CW9">
        <v>0.234666666666666</v>
      </c>
      <c r="CX9">
        <v>7.1999999999999995E-2</v>
      </c>
      <c r="CZ9">
        <v>-3.7333333333333302E-2</v>
      </c>
      <c r="DA9">
        <v>-0.16800000000000001</v>
      </c>
      <c r="DD9">
        <v>6.2E-2</v>
      </c>
      <c r="DE9">
        <v>-5.1999999999999998E-2</v>
      </c>
      <c r="DG9">
        <v>0.1</v>
      </c>
      <c r="DH9">
        <v>-8.5000000000000006E-2</v>
      </c>
      <c r="DK9">
        <v>4.1916167664670601E-2</v>
      </c>
      <c r="DL9">
        <v>-8.1081081081081002E-2</v>
      </c>
      <c r="DN9">
        <v>6.6666666666666596E-2</v>
      </c>
      <c r="DO9">
        <v>-7.4666666666666603E-2</v>
      </c>
      <c r="DR9">
        <v>9.3333333333333296E-2</v>
      </c>
      <c r="DS9">
        <v>3.2000000000000001E-2</v>
      </c>
      <c r="DU9">
        <v>-1.19760479041916E-2</v>
      </c>
      <c r="DV9">
        <v>-0.18018018018018001</v>
      </c>
      <c r="DY9">
        <v>0.18018018018018001</v>
      </c>
      <c r="DZ9">
        <v>-6.0060060060059999E-3</v>
      </c>
      <c r="EB9">
        <v>2.3364485981308401E-3</v>
      </c>
      <c r="EC9">
        <v>-0.14219114219114201</v>
      </c>
      <c r="EF9">
        <v>0.112</v>
      </c>
      <c r="EG9">
        <v>1.8666666666666599E-2</v>
      </c>
      <c r="EI9">
        <v>0.01</v>
      </c>
      <c r="EJ9">
        <v>-0.104</v>
      </c>
      <c r="EM9">
        <v>0.16083916083916</v>
      </c>
      <c r="EN9">
        <v>-4.67289719626168E-2</v>
      </c>
      <c r="EP9">
        <v>2.4024024024024E-2</v>
      </c>
      <c r="EQ9">
        <v>-0.17717717717717699</v>
      </c>
      <c r="ET9">
        <v>1.8018018018018001E-2</v>
      </c>
      <c r="EU9">
        <v>-0.126126126126126</v>
      </c>
      <c r="EW9">
        <v>8.4000000000000005E-2</v>
      </c>
      <c r="EX9">
        <v>-2.8000000000000001E-2</v>
      </c>
      <c r="FA9">
        <v>9.11214953271028E-2</v>
      </c>
      <c r="FB9">
        <v>-5.5944055944055902E-2</v>
      </c>
      <c r="FD9">
        <v>8.3832335329341298E-2</v>
      </c>
      <c r="FE9">
        <v>-0.13813813813813799</v>
      </c>
      <c r="FH9">
        <v>5.3333333333333302E-2</v>
      </c>
      <c r="FI9">
        <v>-3.2000000000000001E-2</v>
      </c>
      <c r="FK9">
        <v>2.8037383177569999E-2</v>
      </c>
      <c r="FL9">
        <v>-7.4766355140186896E-2</v>
      </c>
      <c r="FO9">
        <v>0.100467289719626</v>
      </c>
      <c r="FP9">
        <v>-2.7972027972027899E-2</v>
      </c>
      <c r="FR9">
        <v>-4.0000000000000001E-3</v>
      </c>
      <c r="FS9">
        <v>-0.13</v>
      </c>
      <c r="FV9">
        <v>0.152</v>
      </c>
      <c r="FW9">
        <v>6.6666666666666596E-2</v>
      </c>
      <c r="FY9">
        <v>-3.7296037296037199E-2</v>
      </c>
      <c r="FZ9">
        <v>-0.135514018691588</v>
      </c>
      <c r="GC9">
        <v>2.1021021021020998E-2</v>
      </c>
      <c r="GD9">
        <v>-0.14371257485029901</v>
      </c>
      <c r="GF9">
        <v>9.6000000000000002E-2</v>
      </c>
      <c r="GG9">
        <v>-9.6000000000000002E-2</v>
      </c>
      <c r="GJ9">
        <v>0.165165165165165</v>
      </c>
      <c r="GK9">
        <v>5.1051051051050997E-2</v>
      </c>
      <c r="GM9">
        <v>0</v>
      </c>
      <c r="GN9">
        <v>-0.15466666666666601</v>
      </c>
      <c r="GQ9">
        <v>0.282608695652173</v>
      </c>
      <c r="GR9">
        <v>-0.30434782608695599</v>
      </c>
      <c r="GT9">
        <v>0.153153153153153</v>
      </c>
      <c r="GU9">
        <v>-3.3033033033033003E-2</v>
      </c>
      <c r="GX9">
        <v>0.21021021021021</v>
      </c>
      <c r="GY9">
        <v>2.1021021021020998E-2</v>
      </c>
      <c r="HA9">
        <v>-2.1333333333333301E-2</v>
      </c>
      <c r="HB9">
        <v>-0.229333333333333</v>
      </c>
      <c r="HE9">
        <v>9.3240093240093205E-2</v>
      </c>
      <c r="HF9">
        <v>-2.3310023310023301E-3</v>
      </c>
      <c r="HH9">
        <v>-8.7999999999999995E-2</v>
      </c>
      <c r="HI9">
        <v>-0.18933333333333299</v>
      </c>
      <c r="HL9">
        <v>0.109333333333333</v>
      </c>
      <c r="HM9">
        <v>-5.3333333333333297E-3</v>
      </c>
      <c r="HO9">
        <v>-6.0060060060059999E-3</v>
      </c>
      <c r="HP9">
        <v>-0.10210210210210199</v>
      </c>
      <c r="HS9">
        <v>5.8000000000000003E-2</v>
      </c>
      <c r="HT9">
        <v>-5.8000000000000003E-2</v>
      </c>
      <c r="HV9">
        <v>3.9039039039038999E-2</v>
      </c>
      <c r="HW9">
        <v>-7.7844311377245498E-2</v>
      </c>
      <c r="HZ9">
        <v>0.126126126126126</v>
      </c>
      <c r="IA9">
        <v>-2.1021021021020998E-2</v>
      </c>
      <c r="IC9">
        <v>-8.0000000000000002E-3</v>
      </c>
      <c r="ID9">
        <v>-0.146666666666666</v>
      </c>
      <c r="IG9">
        <v>0.23543123543123501</v>
      </c>
      <c r="IH9">
        <v>-1.16822429906542E-2</v>
      </c>
      <c r="IJ9">
        <v>-9.1999999999999998E-2</v>
      </c>
      <c r="IK9">
        <v>-0.23</v>
      </c>
      <c r="IN9">
        <v>7.4592074592074495E-2</v>
      </c>
      <c r="IO9">
        <v>-2.7972027972027899E-2</v>
      </c>
      <c r="IQ9">
        <v>3.0030030030029999E-3</v>
      </c>
      <c r="IR9">
        <v>-0.140718562874251</v>
      </c>
      <c r="IU9">
        <v>0.10666666666666599</v>
      </c>
      <c r="IV9">
        <v>-7.1999999999999995E-2</v>
      </c>
      <c r="IX9">
        <v>2.57009345794392E-2</v>
      </c>
      <c r="IY9">
        <v>-9.34579439252336E-2</v>
      </c>
      <c r="JB9">
        <v>0.20533333333333301</v>
      </c>
      <c r="JC9">
        <v>6.4000000000000001E-2</v>
      </c>
      <c r="JE9">
        <v>-3.2000000000000001E-2</v>
      </c>
      <c r="JF9">
        <v>-0.18666666666666601</v>
      </c>
      <c r="JI9">
        <v>3.0030030030029999E-2</v>
      </c>
      <c r="JJ9">
        <v>-7.4850299401197598E-2</v>
      </c>
      <c r="JL9">
        <v>0.13066666666666599</v>
      </c>
      <c r="JM9">
        <v>-8.7999999999999995E-2</v>
      </c>
      <c r="JP9">
        <v>5.8666666666666603E-2</v>
      </c>
      <c r="JQ9">
        <v>-5.3333333333333302E-2</v>
      </c>
      <c r="JS9">
        <v>3.2000000000000001E-2</v>
      </c>
      <c r="JT9">
        <v>-5.6000000000000001E-2</v>
      </c>
      <c r="JW9">
        <v>0.17065868263473</v>
      </c>
      <c r="JX9">
        <v>-0.135135135135135</v>
      </c>
      <c r="JZ9">
        <v>2.09580838323353E-2</v>
      </c>
      <c r="KA9">
        <v>-0.12912912912912899</v>
      </c>
      <c r="KD9">
        <v>0.11448598130841101</v>
      </c>
      <c r="KE9">
        <v>-1.3986013986013899E-2</v>
      </c>
      <c r="KG9">
        <v>-2.7027027027027001E-2</v>
      </c>
      <c r="KH9">
        <v>-0.164670658682634</v>
      </c>
      <c r="KK9">
        <v>0.13519813519813501</v>
      </c>
      <c r="KL9">
        <v>-5.3613053613053602E-2</v>
      </c>
      <c r="KN9">
        <v>-3.4666666666666603E-2</v>
      </c>
      <c r="KO9">
        <v>-0.16800000000000001</v>
      </c>
      <c r="KR9">
        <v>0.11111111111111099</v>
      </c>
      <c r="KS9">
        <v>-1.2012012012012E-2</v>
      </c>
      <c r="KU9">
        <v>1.16666666666666E-2</v>
      </c>
      <c r="KV9">
        <v>-0.16500000000000001</v>
      </c>
      <c r="KY9">
        <v>0.17333333333333301</v>
      </c>
      <c r="KZ9">
        <v>7.1999999999999995E-2</v>
      </c>
      <c r="LB9">
        <v>-0.114666666666666</v>
      </c>
      <c r="LC9">
        <v>-0.2</v>
      </c>
      <c r="LF9">
        <v>0.192192192192192</v>
      </c>
      <c r="LG9">
        <v>2.39520958083832E-2</v>
      </c>
      <c r="LI9">
        <v>-3.2000000000000001E-2</v>
      </c>
      <c r="LJ9">
        <v>-0.13066666666666599</v>
      </c>
      <c r="LM9">
        <v>0.23353293413173601</v>
      </c>
      <c r="LN9">
        <v>-4.2042042042041997E-2</v>
      </c>
      <c r="LP9">
        <v>9.0090090090090003E-3</v>
      </c>
      <c r="LQ9">
        <v>-0.17717717717717699</v>
      </c>
      <c r="LT9">
        <v>0.14399999999999999</v>
      </c>
      <c r="LU9">
        <v>-5.3333333333333297E-3</v>
      </c>
      <c r="LW9">
        <v>5.3333333333333302E-2</v>
      </c>
      <c r="LX9">
        <v>-6.4000000000000001E-2</v>
      </c>
      <c r="MA9">
        <v>0.08</v>
      </c>
      <c r="MB9">
        <v>-7.1999999999999995E-2</v>
      </c>
      <c r="MD9">
        <v>8.3832335329341298E-2</v>
      </c>
      <c r="ME9">
        <v>-9.8802395209580798E-2</v>
      </c>
      <c r="MH9">
        <v>0.16167664670658599</v>
      </c>
      <c r="MI9">
        <v>-1.5015015015014999E-2</v>
      </c>
      <c r="MK9">
        <v>4.4910179640718501E-2</v>
      </c>
      <c r="ML9">
        <v>-0.126126126126126</v>
      </c>
      <c r="MN9">
        <f t="shared" si="0"/>
        <v>0.12548843428329412</v>
      </c>
      <c r="MO9">
        <f t="shared" si="1"/>
        <v>-5.0780569307959753E-2</v>
      </c>
      <c r="MQ9">
        <f t="shared" si="2"/>
        <v>7.8941511469442314E-3</v>
      </c>
      <c r="MR9">
        <f t="shared" si="3"/>
        <v>-0.12125657360533605</v>
      </c>
    </row>
    <row r="10" spans="1:356" x14ac:dyDescent="0.25">
      <c r="C10">
        <v>0.105140186915887</v>
      </c>
      <c r="D10">
        <v>-1.3986013986013899E-2</v>
      </c>
      <c r="F10">
        <v>3.9039039039038999E-2</v>
      </c>
      <c r="G10">
        <v>-0.14714714714714699</v>
      </c>
      <c r="J10">
        <v>5.8275058275058203E-2</v>
      </c>
      <c r="K10">
        <v>-7.4766355140186896E-2</v>
      </c>
      <c r="M10">
        <v>9.5571095571095499E-2</v>
      </c>
      <c r="N10">
        <v>-8.8785046728971903E-2</v>
      </c>
      <c r="Q10">
        <v>0.104</v>
      </c>
      <c r="R10">
        <v>-0.09</v>
      </c>
      <c r="T10">
        <v>6.2937062937062901E-2</v>
      </c>
      <c r="U10">
        <v>-9.34579439252336E-2</v>
      </c>
      <c r="X10">
        <v>0.12912912912912899</v>
      </c>
      <c r="Y10">
        <v>-4.2042042042041997E-2</v>
      </c>
      <c r="AA10">
        <v>9.3457943925233603E-3</v>
      </c>
      <c r="AB10">
        <v>-0.12121212121212099</v>
      </c>
      <c r="AE10">
        <v>0.13866666666666599</v>
      </c>
      <c r="AF10">
        <v>-1.6E-2</v>
      </c>
      <c r="AH10">
        <v>4.2666666666666603E-2</v>
      </c>
      <c r="AI10">
        <v>-0.15733333333333299</v>
      </c>
      <c r="AL10">
        <v>4.1916167664670601E-2</v>
      </c>
      <c r="AM10">
        <v>-7.8078078078077998E-2</v>
      </c>
      <c r="AO10">
        <v>8.2666666666666597E-2</v>
      </c>
      <c r="AP10">
        <v>-2.6666666666666599E-2</v>
      </c>
      <c r="AS10">
        <v>0.17599999999999999</v>
      </c>
      <c r="AT10">
        <v>8.2666666666666597E-2</v>
      </c>
      <c r="AV10">
        <v>-1.06666666666666E-2</v>
      </c>
      <c r="AW10">
        <v>-0.15466666666666601</v>
      </c>
      <c r="AZ10">
        <v>0.20979020979020899</v>
      </c>
      <c r="BA10">
        <v>0.100467289719626</v>
      </c>
      <c r="BC10">
        <v>-9.3093093093092993E-2</v>
      </c>
      <c r="BD10">
        <v>-0.19760479041916101</v>
      </c>
      <c r="BG10">
        <v>0.114666666666666</v>
      </c>
      <c r="BH10">
        <v>-7.4666666666666603E-2</v>
      </c>
      <c r="BJ10">
        <v>0.04</v>
      </c>
      <c r="BK10">
        <v>-9.3333333333333296E-2</v>
      </c>
      <c r="BN10">
        <v>0.15733333333333299</v>
      </c>
      <c r="BO10">
        <v>-3.4666666666666603E-2</v>
      </c>
      <c r="BQ10">
        <v>-5.3333333333333302E-2</v>
      </c>
      <c r="BR10">
        <v>-0.14399999999999999</v>
      </c>
      <c r="BU10">
        <v>0.23598130841121401</v>
      </c>
      <c r="BV10">
        <v>8.1585081585081501E-2</v>
      </c>
      <c r="BX10">
        <v>0.122448979591836</v>
      </c>
      <c r="BY10">
        <v>-0.375</v>
      </c>
      <c r="CB10">
        <v>0.112</v>
      </c>
      <c r="CC10">
        <v>0.04</v>
      </c>
      <c r="CE10">
        <v>-4.8951048951048903E-2</v>
      </c>
      <c r="CF10">
        <v>-0.14918414918414899</v>
      </c>
      <c r="CI10">
        <v>0.164670658682634</v>
      </c>
      <c r="CJ10">
        <v>2.09580838323353E-2</v>
      </c>
      <c r="CL10">
        <v>3.7333333333333302E-2</v>
      </c>
      <c r="CM10">
        <v>-0.12266666666666599</v>
      </c>
      <c r="CP10">
        <v>0.11377245508981999</v>
      </c>
      <c r="CQ10">
        <v>-5.9880239520958001E-3</v>
      </c>
      <c r="CS10">
        <v>5.3333333333333297E-3</v>
      </c>
      <c r="CT10">
        <v>-0.16266666666666599</v>
      </c>
      <c r="CW10">
        <v>0.202666666666666</v>
      </c>
      <c r="CX10">
        <v>3.7333333333333302E-2</v>
      </c>
      <c r="CZ10">
        <v>-1.8666666666666599E-2</v>
      </c>
      <c r="DA10">
        <v>-0.178666666666666</v>
      </c>
      <c r="DD10">
        <v>3.2000000000000001E-2</v>
      </c>
      <c r="DE10">
        <v>-8.5333333333333303E-2</v>
      </c>
      <c r="DG10">
        <v>4.4289044289044198E-2</v>
      </c>
      <c r="DH10">
        <v>-3.7296037296037199E-2</v>
      </c>
      <c r="DK10">
        <v>8.1081081081081002E-2</v>
      </c>
      <c r="DL10">
        <v>-0.126126126126126</v>
      </c>
      <c r="DN10">
        <v>9.90990990990991E-2</v>
      </c>
      <c r="DO10">
        <v>-5.3892215568862201E-2</v>
      </c>
      <c r="DR10">
        <v>0.156156156156156</v>
      </c>
      <c r="DS10">
        <v>3.0030030030029999E-2</v>
      </c>
      <c r="DU10">
        <v>4.5333333333333302E-2</v>
      </c>
      <c r="DV10">
        <v>-0.128</v>
      </c>
      <c r="DY10">
        <v>0.128</v>
      </c>
      <c r="DZ10">
        <v>-3.2000000000000001E-2</v>
      </c>
      <c r="EB10">
        <v>-4.8000000000000001E-2</v>
      </c>
      <c r="EC10">
        <v>-0.178666666666666</v>
      </c>
      <c r="EF10">
        <v>0.151869158878504</v>
      </c>
      <c r="EG10">
        <v>-1.6317016317016299E-2</v>
      </c>
      <c r="EI10">
        <v>3.4666666666666603E-2</v>
      </c>
      <c r="EJ10">
        <v>-0.101333333333333</v>
      </c>
      <c r="EM10">
        <v>0.15466666666666601</v>
      </c>
      <c r="EN10">
        <v>1.3333333333333299E-2</v>
      </c>
      <c r="EP10">
        <v>-7.1999999999999995E-2</v>
      </c>
      <c r="EQ10">
        <v>-0.17599999999999999</v>
      </c>
      <c r="ET10">
        <v>2.09580838323353E-2</v>
      </c>
      <c r="EU10">
        <v>-0.15915915915915901</v>
      </c>
      <c r="EW10">
        <v>0.13066666666666599</v>
      </c>
      <c r="EX10">
        <v>1.06666666666666E-2</v>
      </c>
      <c r="FA10">
        <v>4.4289044289044198E-2</v>
      </c>
      <c r="FB10">
        <v>-5.1401869158878503E-2</v>
      </c>
      <c r="FD10">
        <v>0</v>
      </c>
      <c r="FE10">
        <v>-0.154205607476635</v>
      </c>
      <c r="FH10">
        <v>0.165165165165165</v>
      </c>
      <c r="FI10">
        <v>-4.7904191616766401E-2</v>
      </c>
      <c r="FK10">
        <v>5.3333333333333297E-3</v>
      </c>
      <c r="FL10">
        <v>-5.8666666666666603E-2</v>
      </c>
      <c r="FO10">
        <v>8.9820359281437098E-2</v>
      </c>
      <c r="FP10">
        <v>0</v>
      </c>
      <c r="FR10">
        <v>0.04</v>
      </c>
      <c r="FS10">
        <v>-0.112</v>
      </c>
      <c r="FV10">
        <v>0.12912912912912899</v>
      </c>
      <c r="FW10">
        <v>-6.0060060060059999E-3</v>
      </c>
      <c r="FY10">
        <v>0</v>
      </c>
      <c r="FZ10">
        <v>-0.13600000000000001</v>
      </c>
      <c r="GC10">
        <v>0.109813084112149</v>
      </c>
      <c r="GD10">
        <v>-0.116550116550116</v>
      </c>
      <c r="GF10">
        <v>5.6000000000000001E-2</v>
      </c>
      <c r="GG10">
        <v>-6.6666666666666596E-2</v>
      </c>
      <c r="GJ10">
        <v>0.13084112149532701</v>
      </c>
      <c r="GK10">
        <v>4.6728971962616802E-3</v>
      </c>
      <c r="GM10">
        <v>-7.7333333333333296E-2</v>
      </c>
      <c r="GN10">
        <v>-0.192</v>
      </c>
      <c r="GQ10">
        <v>-2.6666666666666599E-2</v>
      </c>
      <c r="GR10">
        <v>-0.19466666666666599</v>
      </c>
      <c r="GT10">
        <v>0.17066666666666599</v>
      </c>
      <c r="GU10">
        <v>0</v>
      </c>
      <c r="GX10">
        <v>0.15384615384615299</v>
      </c>
      <c r="GY10">
        <v>1.6355140186915799E-2</v>
      </c>
      <c r="HA10">
        <v>-9.11214953271028E-2</v>
      </c>
      <c r="HB10">
        <v>-0.195804195804195</v>
      </c>
      <c r="HE10">
        <v>9.90990990990991E-2</v>
      </c>
      <c r="HF10">
        <v>-2.9940119760479E-3</v>
      </c>
      <c r="HH10">
        <v>2.3310023310023301E-3</v>
      </c>
      <c r="HI10">
        <v>-0.16822429906542</v>
      </c>
      <c r="HL10">
        <v>9.8130841121495296E-2</v>
      </c>
      <c r="HM10">
        <v>-3.7296037296037199E-2</v>
      </c>
      <c r="HO10">
        <v>-4.6620046620046603E-2</v>
      </c>
      <c r="HP10">
        <v>-0.137850467289719</v>
      </c>
      <c r="HS10">
        <v>7.7102803738317696E-2</v>
      </c>
      <c r="HT10">
        <v>-4.6728971962616802E-3</v>
      </c>
      <c r="HV10">
        <v>-5.5944055944055902E-2</v>
      </c>
      <c r="HW10">
        <v>-9.8130841121495296E-2</v>
      </c>
      <c r="HZ10">
        <v>0.13084112149532701</v>
      </c>
      <c r="IA10">
        <v>5.1282051282051197E-2</v>
      </c>
      <c r="IC10">
        <v>0.14583333333333301</v>
      </c>
      <c r="ID10">
        <v>-0.40816326530612201</v>
      </c>
      <c r="IG10">
        <v>0.29640718562874202</v>
      </c>
      <c r="IH10">
        <v>6.0060060060059997E-2</v>
      </c>
      <c r="IJ10">
        <v>-8.7999999999999995E-2</v>
      </c>
      <c r="IK10">
        <v>-0.192</v>
      </c>
      <c r="IN10">
        <v>0.104</v>
      </c>
      <c r="IO10">
        <v>-1.3333333333333299E-2</v>
      </c>
      <c r="IQ10">
        <v>7.2072072072072002E-2</v>
      </c>
      <c r="IR10">
        <v>-7.2072072072072002E-2</v>
      </c>
      <c r="IU10">
        <v>0.16600000000000001</v>
      </c>
      <c r="IV10">
        <v>-0.14799999999999999</v>
      </c>
      <c r="IX10">
        <v>-8.1081081081081002E-2</v>
      </c>
      <c r="IY10">
        <v>-0.26726726726726702</v>
      </c>
      <c r="JB10">
        <v>0.14670658682634699</v>
      </c>
      <c r="JC10">
        <v>3.29341317365269E-2</v>
      </c>
      <c r="JE10">
        <v>-4.2666666666666603E-2</v>
      </c>
      <c r="JF10">
        <v>-0.146666666666666</v>
      </c>
      <c r="JI10">
        <v>5.8411214953271E-2</v>
      </c>
      <c r="JJ10">
        <v>-0.100467289719626</v>
      </c>
      <c r="JL10">
        <v>6.6666666666666596E-2</v>
      </c>
      <c r="JM10">
        <v>-6.9333333333333302E-2</v>
      </c>
      <c r="JP10">
        <v>4.7904191616766401E-2</v>
      </c>
      <c r="JQ10">
        <v>-9.90990990990991E-2</v>
      </c>
      <c r="JS10">
        <v>5.0666666666666603E-2</v>
      </c>
      <c r="JT10">
        <v>-0.152</v>
      </c>
      <c r="JW10">
        <v>0.252</v>
      </c>
      <c r="JX10">
        <v>-9.6000000000000002E-2</v>
      </c>
      <c r="JZ10">
        <v>-2.1333333333333301E-2</v>
      </c>
      <c r="KA10">
        <v>-0.21333333333333299</v>
      </c>
      <c r="KD10">
        <v>8.4084084084083993E-2</v>
      </c>
      <c r="KE10">
        <v>3.0030030030029999E-3</v>
      </c>
      <c r="KG10">
        <v>-5.8275058275058203E-2</v>
      </c>
      <c r="KH10">
        <v>-0.15151515151515099</v>
      </c>
      <c r="KK10">
        <v>0.158508158508158</v>
      </c>
      <c r="KL10">
        <v>4.4289044289044198E-2</v>
      </c>
      <c r="KN10">
        <v>4.2042042042041997E-2</v>
      </c>
      <c r="KO10">
        <v>-0.16167664670658599</v>
      </c>
      <c r="KR10">
        <v>9.5808383233532898E-2</v>
      </c>
      <c r="KS10">
        <v>-5.6886227544910101E-2</v>
      </c>
      <c r="KU10">
        <v>4.2666666666666603E-2</v>
      </c>
      <c r="KV10">
        <v>-5.8666666666666603E-2</v>
      </c>
      <c r="KY10">
        <v>0.192</v>
      </c>
      <c r="KZ10">
        <v>9.3333333333333296E-2</v>
      </c>
      <c r="LB10">
        <v>-0.117333333333333</v>
      </c>
      <c r="LC10">
        <v>-0.22133333333333299</v>
      </c>
      <c r="LF10">
        <v>0.156</v>
      </c>
      <c r="LG10">
        <v>6.4000000000000001E-2</v>
      </c>
      <c r="LI10">
        <v>2.4E-2</v>
      </c>
      <c r="LJ10">
        <v>-0.16266666666666599</v>
      </c>
      <c r="LM10">
        <v>0.154205607476635</v>
      </c>
      <c r="LN10">
        <v>7.69230769230769E-2</v>
      </c>
      <c r="LP10">
        <v>-5.6000000000000001E-2</v>
      </c>
      <c r="LQ10">
        <v>-0.133333333333333</v>
      </c>
      <c r="LT10">
        <v>7.7333333333333296E-2</v>
      </c>
      <c r="LU10">
        <v>-5.3333333333333297E-3</v>
      </c>
      <c r="LW10">
        <v>2.3310023310023301E-3</v>
      </c>
      <c r="LX10">
        <v>-8.8578088578088507E-2</v>
      </c>
      <c r="MA10">
        <v>8.66666666666666E-2</v>
      </c>
      <c r="MB10">
        <v>-4.8333333333333298E-2</v>
      </c>
      <c r="MD10">
        <v>2.33644859813084E-2</v>
      </c>
      <c r="ME10">
        <v>-8.8785046728971903E-2</v>
      </c>
      <c r="MH10">
        <v>7.1999999999999995E-2</v>
      </c>
      <c r="MI10">
        <v>1.06666666666666E-2</v>
      </c>
      <c r="MK10">
        <v>9.3457943925233603E-3</v>
      </c>
      <c r="ML10">
        <v>-9.5571095571095499E-2</v>
      </c>
      <c r="MN10">
        <f t="shared" si="0"/>
        <v>0.13452785835377334</v>
      </c>
      <c r="MO10">
        <f t="shared" si="1"/>
        <v>-2.4215319120938866E-2</v>
      </c>
      <c r="MQ10">
        <f t="shared" si="2"/>
        <v>1.1549095764609739E-2</v>
      </c>
      <c r="MR10">
        <f t="shared" si="3"/>
        <v>-0.12809212590574187</v>
      </c>
    </row>
    <row r="11" spans="1:356" x14ac:dyDescent="0.25">
      <c r="C11">
        <v>0.17199999999999999</v>
      </c>
      <c r="D11">
        <v>-0.05</v>
      </c>
      <c r="F11">
        <v>-5.7057057057056999E-2</v>
      </c>
      <c r="G11">
        <v>-0.18562874251497</v>
      </c>
      <c r="J11">
        <v>7.0000000000000007E-2</v>
      </c>
      <c r="K11">
        <v>-6.8000000000000005E-2</v>
      </c>
      <c r="M11">
        <v>2.3364485981308401E-3</v>
      </c>
      <c r="N11">
        <v>-0.12616822429906499</v>
      </c>
      <c r="Q11">
        <v>5.7057057057056999E-2</v>
      </c>
      <c r="R11">
        <v>-0.14670658682634699</v>
      </c>
      <c r="T11">
        <v>6.9333333333333302E-2</v>
      </c>
      <c r="U11">
        <v>-4.8000000000000001E-2</v>
      </c>
      <c r="X11">
        <v>9.0666666666666604E-2</v>
      </c>
      <c r="Y11">
        <v>-2.6666666666666599E-2</v>
      </c>
      <c r="AA11">
        <v>-6.0000000000000001E-3</v>
      </c>
      <c r="AB11">
        <v>-7.5999999999999998E-2</v>
      </c>
      <c r="AE11">
        <v>0.114666666666666</v>
      </c>
      <c r="AF11">
        <v>-6.1333333333333302E-2</v>
      </c>
      <c r="AH11">
        <v>5.0666666666666603E-2</v>
      </c>
      <c r="AI11">
        <v>-8.7999999999999995E-2</v>
      </c>
      <c r="AL11">
        <v>8.7999999999999995E-2</v>
      </c>
      <c r="AM11">
        <v>-0.109333333333333</v>
      </c>
      <c r="AO11">
        <v>0.197333333333333</v>
      </c>
      <c r="AP11">
        <v>-4.8000000000000001E-2</v>
      </c>
      <c r="AS11">
        <v>0.12121212121212099</v>
      </c>
      <c r="AT11">
        <v>3.9627039627039597E-2</v>
      </c>
      <c r="AV11">
        <v>-6.6066066066066007E-2</v>
      </c>
      <c r="AW11">
        <v>-0.24324324324324301</v>
      </c>
      <c r="AZ11">
        <v>0.15733333333333299</v>
      </c>
      <c r="BA11">
        <v>0.128</v>
      </c>
      <c r="BC11">
        <v>-4.6620046620046603E-2</v>
      </c>
      <c r="BD11">
        <v>-0.25874125874125797</v>
      </c>
      <c r="BG11">
        <v>9.8802395209580798E-2</v>
      </c>
      <c r="BH11">
        <v>-7.2072072072072002E-2</v>
      </c>
      <c r="BJ11">
        <v>3.7333333333333302E-2</v>
      </c>
      <c r="BK11">
        <v>-8.7999999999999995E-2</v>
      </c>
      <c r="BN11">
        <v>0.21866666666666601</v>
      </c>
      <c r="BO11">
        <v>2.6666666666666601E-3</v>
      </c>
      <c r="BQ11">
        <v>2.09790209790209E-2</v>
      </c>
      <c r="BR11">
        <v>-0.16822429906542</v>
      </c>
      <c r="BU11">
        <v>0.23200000000000001</v>
      </c>
      <c r="BV11">
        <v>-6.6000000000000003E-2</v>
      </c>
      <c r="BX11">
        <v>-0.18862275449101701</v>
      </c>
      <c r="BY11">
        <v>-0.31231231231231199</v>
      </c>
      <c r="CB11">
        <v>0.18181818181818099</v>
      </c>
      <c r="CC11">
        <v>-7.0093457943925198E-3</v>
      </c>
      <c r="CE11">
        <v>1.2E-2</v>
      </c>
      <c r="CF11">
        <v>-0.22</v>
      </c>
      <c r="CI11">
        <v>0.15733333333333299</v>
      </c>
      <c r="CJ11">
        <v>2.1333333333333301E-2</v>
      </c>
      <c r="CL11">
        <v>2.1333333333333301E-2</v>
      </c>
      <c r="CM11">
        <v>-0.20533333333333301</v>
      </c>
      <c r="CP11">
        <v>8.66666666666666E-2</v>
      </c>
      <c r="CQ11">
        <v>-3.5999999999999997E-2</v>
      </c>
      <c r="CS11">
        <v>4.1916167664670601E-2</v>
      </c>
      <c r="CT11">
        <v>-0.20720720720720701</v>
      </c>
      <c r="CW11">
        <v>0.16816816816816799</v>
      </c>
      <c r="CX11">
        <v>3.29341317365269E-2</v>
      </c>
      <c r="CZ11">
        <v>-3.73831775700934E-2</v>
      </c>
      <c r="DA11">
        <v>-0.17948717948717899</v>
      </c>
      <c r="DD11">
        <v>2.4E-2</v>
      </c>
      <c r="DE11">
        <v>-0.114666666666666</v>
      </c>
      <c r="DG11">
        <v>8.4000000000000005E-2</v>
      </c>
      <c r="DH11">
        <v>-3.4000000000000002E-2</v>
      </c>
      <c r="DK11">
        <v>5.8275058275058203E-2</v>
      </c>
      <c r="DL11">
        <v>-7.9254079254079193E-2</v>
      </c>
      <c r="DN11">
        <v>4.8000000000000001E-2</v>
      </c>
      <c r="DO11">
        <v>-0.114666666666666</v>
      </c>
      <c r="DR11">
        <v>0.13519813519813501</v>
      </c>
      <c r="DS11">
        <v>-4.8951048951048903E-2</v>
      </c>
      <c r="DU11">
        <v>0.16</v>
      </c>
      <c r="DV11">
        <v>-0.4</v>
      </c>
      <c r="DY11">
        <v>0.20979020979020899</v>
      </c>
      <c r="DZ11">
        <v>1.4018691588785E-2</v>
      </c>
      <c r="EB11">
        <v>-0.13600000000000001</v>
      </c>
      <c r="EC11">
        <v>-0.21866666666666601</v>
      </c>
      <c r="EF11">
        <v>9.0666666666666604E-2</v>
      </c>
      <c r="EG11">
        <v>-4.8000000000000001E-2</v>
      </c>
      <c r="EI11">
        <v>9.6000000000000002E-2</v>
      </c>
      <c r="EJ11">
        <v>-9.6000000000000002E-2</v>
      </c>
      <c r="EM11">
        <v>0.151869158878504</v>
      </c>
      <c r="EN11">
        <v>4.8951048951048903E-2</v>
      </c>
      <c r="EP11">
        <v>-0.10256410256410201</v>
      </c>
      <c r="EQ11">
        <v>-0.20560747663551401</v>
      </c>
      <c r="ET11">
        <v>-2.6666666666666599E-2</v>
      </c>
      <c r="EU11">
        <v>-0.17066666666666599</v>
      </c>
      <c r="EW11">
        <v>0.13866666666666599</v>
      </c>
      <c r="EX11">
        <v>0</v>
      </c>
      <c r="FA11">
        <v>0.06</v>
      </c>
      <c r="FB11">
        <v>-0.112</v>
      </c>
      <c r="FD11">
        <v>0.128</v>
      </c>
      <c r="FE11">
        <v>-8.0000000000000002E-3</v>
      </c>
      <c r="FH11">
        <v>6.9333333333333302E-2</v>
      </c>
      <c r="FI11">
        <v>-5.0666666666666603E-2</v>
      </c>
      <c r="FK11">
        <v>4.1916167664670601E-2</v>
      </c>
      <c r="FL11">
        <v>-8.4084084084083993E-2</v>
      </c>
      <c r="FO11">
        <v>7.8078078078077998E-2</v>
      </c>
      <c r="FP11">
        <v>-3.6036036036036001E-2</v>
      </c>
      <c r="FR11">
        <v>0.10666666666666599</v>
      </c>
      <c r="FS11">
        <v>-0.08</v>
      </c>
      <c r="FV11">
        <v>0.13053613053613</v>
      </c>
      <c r="FW11">
        <v>2.10280373831775E-2</v>
      </c>
      <c r="FY11">
        <v>-5.8666666666666603E-2</v>
      </c>
      <c r="FZ11">
        <v>-0.19466666666666599</v>
      </c>
      <c r="GC11">
        <v>9.6000000000000002E-2</v>
      </c>
      <c r="GD11">
        <v>-5.6000000000000001E-2</v>
      </c>
      <c r="GF11">
        <v>3.4000000000000002E-2</v>
      </c>
      <c r="GG11">
        <v>-0.112</v>
      </c>
      <c r="GJ11">
        <v>0.18414918414918399</v>
      </c>
      <c r="GK11">
        <v>5.8275058275058203E-2</v>
      </c>
      <c r="GM11">
        <v>-6.5268065268065195E-2</v>
      </c>
      <c r="GN11">
        <v>-0.16822429906542</v>
      </c>
      <c r="GQ11">
        <v>-1.8666666666666599E-2</v>
      </c>
      <c r="GR11">
        <v>-0.22133333333333299</v>
      </c>
      <c r="GT11">
        <v>0.188811188811188</v>
      </c>
      <c r="GU11">
        <v>7.7102803738317696E-2</v>
      </c>
      <c r="GX11">
        <v>0.2</v>
      </c>
      <c r="GY11">
        <v>5.0666666666666603E-2</v>
      </c>
      <c r="HA11">
        <v>-3.9039039039038999E-2</v>
      </c>
      <c r="HB11">
        <v>-0.20720720720720701</v>
      </c>
      <c r="HE11">
        <v>0.14933333333333301</v>
      </c>
      <c r="HF11">
        <v>-6.9333333333333302E-2</v>
      </c>
      <c r="HH11">
        <v>-6.9930069930069904E-3</v>
      </c>
      <c r="HI11">
        <v>-0.17016317016317001</v>
      </c>
      <c r="HL11">
        <v>9.6096096096096095E-2</v>
      </c>
      <c r="HM11">
        <v>-4.5045045045045001E-2</v>
      </c>
      <c r="HO11">
        <v>0.163170163170163</v>
      </c>
      <c r="HP11">
        <v>-8.3916083916083906E-2</v>
      </c>
      <c r="HS11">
        <v>5.8666666666666603E-2</v>
      </c>
      <c r="HT11">
        <v>-5.3333333333333302E-2</v>
      </c>
      <c r="HV11">
        <v>4.4392523364485903E-2</v>
      </c>
      <c r="HW11">
        <v>-0.184579439252336</v>
      </c>
      <c r="HZ11">
        <v>0.15</v>
      </c>
      <c r="IA11">
        <v>3.5999999999999997E-2</v>
      </c>
      <c r="IC11">
        <v>-8.1585081585081501E-2</v>
      </c>
      <c r="ID11">
        <v>-0.20512820512820501</v>
      </c>
      <c r="IG11">
        <v>0.193925233644859</v>
      </c>
      <c r="IH11">
        <v>4.4289044289044198E-2</v>
      </c>
      <c r="IJ11">
        <v>-0.101333333333333</v>
      </c>
      <c r="IK11">
        <v>-0.23200000000000001</v>
      </c>
      <c r="IN11">
        <v>0.140718562874251</v>
      </c>
      <c r="IO11">
        <v>-3.9039039039038999E-2</v>
      </c>
      <c r="IQ11">
        <v>3.4666666666666603E-2</v>
      </c>
      <c r="IR11">
        <v>-9.8666666666666597E-2</v>
      </c>
      <c r="IU11">
        <v>0.26806526806526798</v>
      </c>
      <c r="IV11">
        <v>2.3310023310023301E-2</v>
      </c>
      <c r="IX11">
        <v>-0.171171171171171</v>
      </c>
      <c r="IY11">
        <v>-0.28443113772454998</v>
      </c>
      <c r="JB11">
        <v>0.16822429906542</v>
      </c>
      <c r="JC11">
        <v>4.4392523364485903E-2</v>
      </c>
      <c r="JE11">
        <v>1.49700598802395E-2</v>
      </c>
      <c r="JF11">
        <v>-9.6096096096096095E-2</v>
      </c>
      <c r="JI11">
        <v>6.9930069930069904E-3</v>
      </c>
      <c r="JJ11">
        <v>-6.9930069930069894E-2</v>
      </c>
      <c r="JL11">
        <v>6.0606060606060601E-2</v>
      </c>
      <c r="JM11">
        <v>-5.8411214953271E-2</v>
      </c>
      <c r="JP11">
        <v>5.5944055944055902E-2</v>
      </c>
      <c r="JQ11">
        <v>-0.111888111888111</v>
      </c>
      <c r="JS11">
        <v>1.8666666666666599E-2</v>
      </c>
      <c r="JT11">
        <v>-0.10666666666666599</v>
      </c>
      <c r="JW11">
        <v>0.24924924924924899</v>
      </c>
      <c r="JX11">
        <v>5.0898203592814301E-2</v>
      </c>
      <c r="JZ11">
        <v>-8.4000000000000005E-2</v>
      </c>
      <c r="KA11">
        <v>-0.23</v>
      </c>
      <c r="KD11">
        <v>0.165333333333333</v>
      </c>
      <c r="KE11">
        <v>5.3333333333333302E-2</v>
      </c>
      <c r="KG11">
        <v>1.6E-2</v>
      </c>
      <c r="KH11">
        <v>-0.17333333333333301</v>
      </c>
      <c r="KK11">
        <v>0.36</v>
      </c>
      <c r="KL11">
        <v>4.3999999999999997E-2</v>
      </c>
      <c r="KN11">
        <v>-0.269461077844311</v>
      </c>
      <c r="KO11">
        <v>-0.43843843843843799</v>
      </c>
      <c r="KR11">
        <v>0.10210210210210199</v>
      </c>
      <c r="KS11">
        <v>-0.105105105105105</v>
      </c>
      <c r="KU11">
        <v>4.8000000000000001E-2</v>
      </c>
      <c r="KV11">
        <v>-2.6666666666666599E-2</v>
      </c>
      <c r="KY11">
        <v>0.21962616822429901</v>
      </c>
      <c r="KZ11">
        <v>7.9439252336448593E-2</v>
      </c>
      <c r="LB11">
        <v>-0.123123123123123</v>
      </c>
      <c r="LC11">
        <v>-0.26347305389221498</v>
      </c>
      <c r="LF11">
        <v>0.123123123123123</v>
      </c>
      <c r="LG11">
        <v>-1.2012012012012E-2</v>
      </c>
      <c r="LI11">
        <v>6.9333333333333302E-2</v>
      </c>
      <c r="LJ11">
        <v>-0.13066666666666599</v>
      </c>
      <c r="LM11">
        <v>0.13084112149532701</v>
      </c>
      <c r="LN11">
        <v>-7.2261072261072201E-2</v>
      </c>
      <c r="LP11">
        <v>-1.79640718562874E-2</v>
      </c>
      <c r="LQ11">
        <v>-0.123123123123123</v>
      </c>
      <c r="LT11">
        <v>6.4000000000000001E-2</v>
      </c>
      <c r="LU11">
        <v>-5.0666666666666603E-2</v>
      </c>
      <c r="LW11">
        <v>4.8951048951048903E-2</v>
      </c>
      <c r="LX11">
        <v>-6.2937062937062901E-2</v>
      </c>
      <c r="MA11">
        <v>5.3333333333333302E-2</v>
      </c>
      <c r="MB11">
        <v>-4.2666666666666603E-2</v>
      </c>
      <c r="MD11">
        <v>7.2072072072072002E-2</v>
      </c>
      <c r="ME11">
        <v>-6.6066066066066007E-2</v>
      </c>
      <c r="MH11">
        <v>8.1081081081081002E-2</v>
      </c>
      <c r="MI11">
        <v>-2.9940119760479E-2</v>
      </c>
      <c r="MK11">
        <v>-1.8666666666666599E-2</v>
      </c>
      <c r="ML11">
        <v>-0.14133333333333301</v>
      </c>
      <c r="MN11">
        <f t="shared" si="0"/>
        <v>0.137864758440298</v>
      </c>
      <c r="MO11">
        <f t="shared" si="1"/>
        <v>-3.2378365904584469E-2</v>
      </c>
      <c r="MQ11">
        <f t="shared" si="2"/>
        <v>3.5722407109161775E-2</v>
      </c>
      <c r="MR11">
        <f t="shared" si="3"/>
        <v>-0.1365573611098842</v>
      </c>
    </row>
    <row r="12" spans="1:356" x14ac:dyDescent="0.25">
      <c r="C12">
        <v>0.22166666666666601</v>
      </c>
      <c r="D12">
        <v>4.8333333333333298E-2</v>
      </c>
      <c r="F12">
        <v>-0.11</v>
      </c>
      <c r="G12">
        <v>-0.288333333333333</v>
      </c>
      <c r="J12">
        <v>9.5808383233532898E-2</v>
      </c>
      <c r="K12">
        <v>-6.2874251497005901E-2</v>
      </c>
      <c r="M12">
        <v>-2.33333333333333E-2</v>
      </c>
      <c r="N12">
        <v>-9.1666666666666605E-2</v>
      </c>
      <c r="Q12">
        <v>-1.16822429906542E-2</v>
      </c>
      <c r="R12">
        <v>-0.17482517482517401</v>
      </c>
      <c r="T12">
        <v>0.117333333333333</v>
      </c>
      <c r="U12">
        <v>-2.6666666666666601E-3</v>
      </c>
      <c r="X12">
        <v>0.112</v>
      </c>
      <c r="Y12">
        <v>3.2000000000000001E-2</v>
      </c>
      <c r="AA12">
        <v>0.23529411764705799</v>
      </c>
      <c r="AB12">
        <v>-0.30769230769230699</v>
      </c>
      <c r="AE12">
        <v>6.9930069930069894E-2</v>
      </c>
      <c r="AF12">
        <v>-5.5944055944055902E-2</v>
      </c>
      <c r="AH12">
        <v>4.4392523364485903E-2</v>
      </c>
      <c r="AI12">
        <v>-2.10280373831775E-2</v>
      </c>
      <c r="AL12">
        <v>1.16822429906542E-2</v>
      </c>
      <c r="AM12">
        <v>-0.125874125874125</v>
      </c>
      <c r="AO12">
        <v>0.116822429906542</v>
      </c>
      <c r="AP12">
        <v>-7.4592074592074495E-2</v>
      </c>
      <c r="AS12">
        <v>0.224</v>
      </c>
      <c r="AT12">
        <v>3.7333333333333302E-2</v>
      </c>
      <c r="AV12">
        <v>-0.12</v>
      </c>
      <c r="AW12">
        <v>-0.24533333333333299</v>
      </c>
      <c r="AZ12">
        <v>0.224</v>
      </c>
      <c r="BA12">
        <v>0.13800000000000001</v>
      </c>
      <c r="BC12">
        <v>-2.8000000000000001E-2</v>
      </c>
      <c r="BD12">
        <v>-0.156</v>
      </c>
      <c r="BG12">
        <v>6.9930069930069894E-2</v>
      </c>
      <c r="BH12">
        <v>-2.10280373831775E-2</v>
      </c>
      <c r="BJ12">
        <v>1.7999999999999999E-2</v>
      </c>
      <c r="BK12">
        <v>-7.3999999999999996E-2</v>
      </c>
      <c r="BN12">
        <v>9.8666666666666597E-2</v>
      </c>
      <c r="BO12">
        <v>-1.6E-2</v>
      </c>
      <c r="BQ12">
        <v>2.6666666666666599E-2</v>
      </c>
      <c r="BR12">
        <v>-8.2666666666666597E-2</v>
      </c>
      <c r="BU12">
        <v>0.26933333333333298</v>
      </c>
      <c r="BV12">
        <v>0.14933333333333301</v>
      </c>
      <c r="BX12">
        <v>5.7692307692307598E-2</v>
      </c>
      <c r="BY12">
        <v>-0.5</v>
      </c>
      <c r="CB12">
        <v>0.114114114114114</v>
      </c>
      <c r="CC12">
        <v>-6.0060060060059999E-3</v>
      </c>
      <c r="CE12">
        <v>-4.6620046620046603E-2</v>
      </c>
      <c r="CF12">
        <v>-0.226107226107226</v>
      </c>
      <c r="CI12">
        <v>0.128205128205128</v>
      </c>
      <c r="CJ12">
        <v>-3.2634032634032598E-2</v>
      </c>
      <c r="CL12">
        <v>-7.0093457943925198E-3</v>
      </c>
      <c r="CM12">
        <v>-0.125874125874125</v>
      </c>
      <c r="CP12">
        <v>0.163170163170163</v>
      </c>
      <c r="CQ12">
        <v>9.3240093240093205E-3</v>
      </c>
      <c r="CS12">
        <v>-6.2E-2</v>
      </c>
      <c r="CT12">
        <v>-0.14399999999999999</v>
      </c>
      <c r="CW12">
        <v>0.104</v>
      </c>
      <c r="CX12">
        <v>2.6666666666666601E-3</v>
      </c>
      <c r="CZ12">
        <v>4.8000000000000001E-2</v>
      </c>
      <c r="DA12">
        <v>-0.10666666666666599</v>
      </c>
      <c r="DD12">
        <v>1.8333333333333299E-2</v>
      </c>
      <c r="DE12">
        <v>-0.1</v>
      </c>
      <c r="DG12">
        <v>3.2710280373831703E-2</v>
      </c>
      <c r="DH12">
        <v>-7.9439252336448593E-2</v>
      </c>
      <c r="DK12">
        <v>9.3333333333333296E-2</v>
      </c>
      <c r="DL12">
        <v>-9.3333333333333296E-2</v>
      </c>
      <c r="DN12">
        <v>9.4E-2</v>
      </c>
      <c r="DO12">
        <v>-0.23400000000000001</v>
      </c>
      <c r="DR12">
        <v>9.0909090909090898E-2</v>
      </c>
      <c r="DS12">
        <v>-2.33644859813084E-2</v>
      </c>
      <c r="DU12">
        <v>3.4666666666666603E-2</v>
      </c>
      <c r="DV12">
        <v>-0.112</v>
      </c>
      <c r="DY12">
        <v>0.23776223776223701</v>
      </c>
      <c r="DZ12">
        <v>0.109813084112149</v>
      </c>
      <c r="EB12">
        <v>-0.13084112149532701</v>
      </c>
      <c r="EC12">
        <v>-0.26806526806526798</v>
      </c>
      <c r="EF12">
        <v>0.12012012012011999</v>
      </c>
      <c r="EG12">
        <v>-4.1916167664670601E-2</v>
      </c>
      <c r="EI12">
        <v>8.2666666666666597E-2</v>
      </c>
      <c r="EJ12">
        <v>-2.9333333333333302E-2</v>
      </c>
      <c r="EM12">
        <v>0.14599999999999999</v>
      </c>
      <c r="EN12">
        <v>3.7999999999999999E-2</v>
      </c>
      <c r="EP12">
        <v>-0.13600000000000001</v>
      </c>
      <c r="EQ12">
        <v>-0.274666666666666</v>
      </c>
      <c r="ET12">
        <v>-3.7296037296037199E-2</v>
      </c>
      <c r="EU12">
        <v>-0.15654205607476601</v>
      </c>
      <c r="EW12">
        <v>0.152</v>
      </c>
      <c r="EX12">
        <v>0.06</v>
      </c>
      <c r="FA12">
        <v>2.9940119760479E-3</v>
      </c>
      <c r="FB12">
        <v>-0.126126126126126</v>
      </c>
      <c r="FD12">
        <v>0.124</v>
      </c>
      <c r="FE12">
        <v>-1.6E-2</v>
      </c>
      <c r="FH12">
        <v>8.8578088578088507E-2</v>
      </c>
      <c r="FI12">
        <v>-6.9930069930069904E-3</v>
      </c>
      <c r="FK12">
        <v>-3.7296037296037199E-2</v>
      </c>
      <c r="FL12">
        <v>-0.10489510489510399</v>
      </c>
      <c r="FO12">
        <v>0.156156156156156</v>
      </c>
      <c r="FP12">
        <v>-1.79640718562874E-2</v>
      </c>
      <c r="FR12">
        <v>7.7333333333333296E-2</v>
      </c>
      <c r="FS12">
        <v>-0.12533333333333299</v>
      </c>
      <c r="FV12">
        <v>0.18691588785046701</v>
      </c>
      <c r="FW12">
        <v>6.0606060606060601E-2</v>
      </c>
      <c r="FY12">
        <v>-6.5420560747663503E-2</v>
      </c>
      <c r="FZ12">
        <v>-0.200934579439252</v>
      </c>
      <c r="GC12">
        <v>0.109813084112149</v>
      </c>
      <c r="GD12">
        <v>-0.100467289719626</v>
      </c>
      <c r="GF12">
        <v>0.39215686274509798</v>
      </c>
      <c r="GG12">
        <v>-0.5</v>
      </c>
      <c r="GJ12">
        <v>0.18918918918918901</v>
      </c>
      <c r="GK12">
        <v>6.5868263473053898E-2</v>
      </c>
      <c r="GM12">
        <v>-0.13600000000000001</v>
      </c>
      <c r="GN12">
        <v>-0.242666666666666</v>
      </c>
      <c r="GQ12">
        <v>-5.6074766355140103E-2</v>
      </c>
      <c r="GR12">
        <v>-0.20794392523364399</v>
      </c>
      <c r="GT12">
        <v>0.49019607843137197</v>
      </c>
      <c r="GU12">
        <v>-0.17307692307692299</v>
      </c>
      <c r="GX12">
        <v>0.17</v>
      </c>
      <c r="GY12">
        <v>4.0000000000000001E-3</v>
      </c>
      <c r="HA12">
        <v>5.3333333333333297E-3</v>
      </c>
      <c r="HB12">
        <v>-0.10666666666666599</v>
      </c>
      <c r="HE12">
        <v>0.114219114219114</v>
      </c>
      <c r="HF12">
        <v>-0.10256410256410201</v>
      </c>
      <c r="HH12">
        <v>6.6666666666666596E-2</v>
      </c>
      <c r="HI12">
        <v>-8.7999999999999995E-2</v>
      </c>
      <c r="HL12">
        <v>3.4666666666666603E-2</v>
      </c>
      <c r="HM12">
        <v>-0.16800000000000001</v>
      </c>
      <c r="HO12">
        <v>0.11888111888111801</v>
      </c>
      <c r="HP12">
        <v>-3.2634032634032598E-2</v>
      </c>
      <c r="HS12">
        <v>4.8048048048047999E-2</v>
      </c>
      <c r="HT12">
        <v>-7.2072072072072002E-2</v>
      </c>
      <c r="HV12">
        <v>0.30399999999999999</v>
      </c>
      <c r="HW12">
        <v>-3.4000000000000002E-2</v>
      </c>
      <c r="HZ12">
        <v>0.21866666666666601</v>
      </c>
      <c r="IA12">
        <v>2.9333333333333302E-2</v>
      </c>
      <c r="IC12">
        <v>-3.0030030030029999E-3</v>
      </c>
      <c r="ID12">
        <v>-0.22222222222222199</v>
      </c>
      <c r="IG12">
        <v>0.216</v>
      </c>
      <c r="IH12">
        <v>9.8666666666666597E-2</v>
      </c>
      <c r="IJ12">
        <v>-9.3240093240093205E-2</v>
      </c>
      <c r="IK12">
        <v>-0.31074766355140099</v>
      </c>
      <c r="IN12">
        <v>0.104</v>
      </c>
      <c r="IO12">
        <v>-2.1333333333333301E-2</v>
      </c>
      <c r="IQ12">
        <v>2.6666666666666601E-3</v>
      </c>
      <c r="IR12">
        <v>-0.14133333333333301</v>
      </c>
      <c r="IU12">
        <v>0.45098039215686198</v>
      </c>
      <c r="IV12">
        <v>-0.19607843137254899</v>
      </c>
      <c r="IX12">
        <v>-5.1282051282051197E-2</v>
      </c>
      <c r="IY12">
        <v>-0.21911421911421899</v>
      </c>
      <c r="JB12">
        <v>9.8130841121495296E-2</v>
      </c>
      <c r="JC12">
        <v>0</v>
      </c>
      <c r="JE12">
        <v>5.0666666666666603E-2</v>
      </c>
      <c r="JF12">
        <v>-0.104</v>
      </c>
      <c r="JI12">
        <v>3.5999999999999997E-2</v>
      </c>
      <c r="JJ12">
        <v>-2.5999999999999999E-2</v>
      </c>
      <c r="JL12">
        <v>3.2000000000000001E-2</v>
      </c>
      <c r="JM12">
        <v>-4.8000000000000001E-2</v>
      </c>
      <c r="JP12">
        <v>0.105105105105105</v>
      </c>
      <c r="JQ12">
        <v>6.0060060060059999E-3</v>
      </c>
      <c r="JS12">
        <v>-3.7333333333333302E-2</v>
      </c>
      <c r="JT12">
        <v>-0.117333333333333</v>
      </c>
      <c r="JW12">
        <v>0.24333333333333301</v>
      </c>
      <c r="JX12">
        <v>0.108333333333333</v>
      </c>
      <c r="JZ12">
        <v>-9.11214953271028E-2</v>
      </c>
      <c r="KA12">
        <v>-0.18181818181818099</v>
      </c>
      <c r="KD12">
        <v>0.165501165501165</v>
      </c>
      <c r="KE12">
        <v>4.67289719626168E-2</v>
      </c>
      <c r="KG12">
        <v>6.9333333333333302E-2</v>
      </c>
      <c r="KH12">
        <v>-0.133333333333333</v>
      </c>
      <c r="KK12">
        <v>0.42666666666666597</v>
      </c>
      <c r="KL12">
        <v>0.25866666666666599</v>
      </c>
      <c r="KN12">
        <v>-9.8039215686274495E-2</v>
      </c>
      <c r="KO12">
        <v>-1</v>
      </c>
      <c r="KR12">
        <v>9.0909090909090898E-2</v>
      </c>
      <c r="KS12">
        <v>-0.13053613053613</v>
      </c>
      <c r="KU12">
        <v>6.1333333333333302E-2</v>
      </c>
      <c r="KV12">
        <v>-9.0666666666666604E-2</v>
      </c>
      <c r="KY12">
        <v>0.30069930069930001</v>
      </c>
      <c r="KZ12">
        <v>0.13752913752913701</v>
      </c>
      <c r="LB12">
        <v>-0.19819819819819801</v>
      </c>
      <c r="LC12">
        <v>-0.33633633633633597</v>
      </c>
      <c r="LF12">
        <v>0.10210210210210199</v>
      </c>
      <c r="LG12">
        <v>-4.4910179640718501E-2</v>
      </c>
      <c r="LI12">
        <v>3.3333333333333301E-3</v>
      </c>
      <c r="LJ12">
        <v>-0.115</v>
      </c>
      <c r="LM12">
        <v>0.132867132867132</v>
      </c>
      <c r="LN12">
        <v>9.3457943925233603E-3</v>
      </c>
      <c r="LP12">
        <v>-0.08</v>
      </c>
      <c r="LQ12">
        <v>-0.18666666666666601</v>
      </c>
      <c r="LT12">
        <v>3.29341317365269E-2</v>
      </c>
      <c r="LU12">
        <v>-7.2072072072072002E-2</v>
      </c>
      <c r="LW12">
        <v>7.7333333333333296E-2</v>
      </c>
      <c r="LX12">
        <v>-1.8666666666666599E-2</v>
      </c>
      <c r="MA12">
        <v>4.67289719626168E-2</v>
      </c>
      <c r="MB12">
        <v>-0.10280373831775701</v>
      </c>
      <c r="MD12">
        <v>-6.0000000000000001E-3</v>
      </c>
      <c r="ME12">
        <v>-7.8E-2</v>
      </c>
      <c r="MH12">
        <v>0.06</v>
      </c>
      <c r="MI12">
        <v>-8.0000000000000002E-3</v>
      </c>
      <c r="MK12">
        <v>5.6000000000000001E-2</v>
      </c>
      <c r="ML12">
        <v>-8.2666666666666597E-2</v>
      </c>
      <c r="MN12">
        <f t="shared" si="0"/>
        <v>0.15123640168049871</v>
      </c>
      <c r="MO12">
        <f t="shared" si="1"/>
        <v>-1.3270521680591823E-2</v>
      </c>
      <c r="MQ12">
        <f t="shared" si="2"/>
        <v>2.74680652990053E-2</v>
      </c>
      <c r="MR12">
        <f t="shared" si="3"/>
        <v>-0.11826067199674654</v>
      </c>
    </row>
    <row r="13" spans="1:356" x14ac:dyDescent="0.25">
      <c r="C13">
        <v>0.192</v>
      </c>
      <c r="D13">
        <v>8.5333333333333303E-2</v>
      </c>
      <c r="F13">
        <v>-9.8802395209580798E-2</v>
      </c>
      <c r="G13">
        <v>-0.31531531531531498</v>
      </c>
      <c r="J13">
        <v>7.8078078078077998E-2</v>
      </c>
      <c r="K13">
        <v>-7.2072072072072002E-2</v>
      </c>
      <c r="M13">
        <v>5.8411214953271E-2</v>
      </c>
      <c r="N13">
        <v>-0.11915887850467199</v>
      </c>
      <c r="Q13">
        <v>-1.06666666666666E-2</v>
      </c>
      <c r="R13">
        <v>-0.2</v>
      </c>
      <c r="T13">
        <v>0.109813084112149</v>
      </c>
      <c r="U13">
        <v>-4.4289044289044198E-2</v>
      </c>
      <c r="X13">
        <v>-3.6036036036036001E-2</v>
      </c>
      <c r="Y13">
        <v>-0.153153153153153</v>
      </c>
      <c r="AA13">
        <v>8.5000000000000006E-2</v>
      </c>
      <c r="AB13">
        <v>-3.8333333333333303E-2</v>
      </c>
      <c r="AE13">
        <v>0.18933333333333299</v>
      </c>
      <c r="AF13">
        <v>-2.6666666666666601E-3</v>
      </c>
      <c r="AH13">
        <v>3.9039039039038999E-2</v>
      </c>
      <c r="AI13">
        <v>-0.135135135135135</v>
      </c>
      <c r="AL13">
        <v>6.9069069069068997E-2</v>
      </c>
      <c r="AM13">
        <v>-0.16816816816816799</v>
      </c>
      <c r="AO13">
        <v>8.7999999999999995E-2</v>
      </c>
      <c r="AP13">
        <v>-1.3333333333333299E-2</v>
      </c>
      <c r="AS13">
        <v>0.19158878504672799</v>
      </c>
      <c r="AT13">
        <v>9.8130841121495296E-2</v>
      </c>
      <c r="AV13">
        <v>-1.7999999999999999E-2</v>
      </c>
      <c r="AW13">
        <v>-0.20200000000000001</v>
      </c>
      <c r="AZ13">
        <v>0.165333333333333</v>
      </c>
      <c r="BA13">
        <v>6.9333333333333302E-2</v>
      </c>
      <c r="BC13">
        <v>-5.3333333333333302E-2</v>
      </c>
      <c r="BD13">
        <v>-0.184</v>
      </c>
      <c r="BG13">
        <v>7.7333333333333296E-2</v>
      </c>
      <c r="BH13">
        <v>-4.8000000000000001E-2</v>
      </c>
      <c r="BJ13">
        <v>3.03738317757009E-2</v>
      </c>
      <c r="BK13">
        <v>-0.11915887850467199</v>
      </c>
      <c r="BN13">
        <v>0.11915887850467199</v>
      </c>
      <c r="BO13">
        <v>-5.8411214953271E-2</v>
      </c>
      <c r="BQ13">
        <v>0</v>
      </c>
      <c r="BR13">
        <v>-0.152</v>
      </c>
      <c r="BU13">
        <v>0.30030030030030003</v>
      </c>
      <c r="BV13">
        <v>0.192192192192192</v>
      </c>
      <c r="BX13">
        <v>-0.19158878504672799</v>
      </c>
      <c r="BY13">
        <v>-0.33411214953271001</v>
      </c>
      <c r="CB13">
        <v>0.36206896551724099</v>
      </c>
      <c r="CC13">
        <v>-0.21052631578947301</v>
      </c>
      <c r="CE13">
        <v>7.9439252336448593E-2</v>
      </c>
      <c r="CF13">
        <v>-0.21445221445221399</v>
      </c>
      <c r="CI13">
        <v>0.114666666666666</v>
      </c>
      <c r="CJ13">
        <v>-5.3333333333333302E-2</v>
      </c>
      <c r="CL13">
        <v>8.3916083916083906E-2</v>
      </c>
      <c r="CM13">
        <v>-5.6074766355140103E-2</v>
      </c>
      <c r="CP13">
        <v>0.163170163170163</v>
      </c>
      <c r="CQ13">
        <v>1.6355140186915799E-2</v>
      </c>
      <c r="CS13">
        <v>-3.4965034965034898E-2</v>
      </c>
      <c r="CT13">
        <v>-0.13317757009345699</v>
      </c>
      <c r="CW13">
        <v>0.152</v>
      </c>
      <c r="CX13">
        <v>-1.6E-2</v>
      </c>
      <c r="CZ13">
        <v>5.7057057057056999E-2</v>
      </c>
      <c r="DA13">
        <v>-0.134730538922155</v>
      </c>
      <c r="DD13">
        <v>6.5420560747663503E-2</v>
      </c>
      <c r="DE13">
        <v>-0.10256410256410201</v>
      </c>
      <c r="DG13">
        <v>0.203703703703703</v>
      </c>
      <c r="DH13">
        <v>-0.45283018867924502</v>
      </c>
      <c r="DK13">
        <v>-1.16666666666666E-2</v>
      </c>
      <c r="DL13">
        <v>-0.215</v>
      </c>
      <c r="DN13">
        <v>4.5333333333333302E-2</v>
      </c>
      <c r="DO13">
        <v>-0.104</v>
      </c>
      <c r="DR13">
        <v>0.14452214452214401</v>
      </c>
      <c r="DS13">
        <v>-2.3364485981308401E-3</v>
      </c>
      <c r="DU13">
        <v>-6.3084112149532703E-2</v>
      </c>
      <c r="DV13">
        <v>-0.20745920745920701</v>
      </c>
      <c r="DY13">
        <v>0.24533333333333299</v>
      </c>
      <c r="DZ13">
        <v>0.133333333333333</v>
      </c>
      <c r="EB13">
        <v>-0.17482517482517401</v>
      </c>
      <c r="EC13">
        <v>-0.31468531468531402</v>
      </c>
      <c r="EF13">
        <v>0.117117117117117</v>
      </c>
      <c r="EG13">
        <v>-0.110778443113772</v>
      </c>
      <c r="EI13">
        <v>0.12533333333333299</v>
      </c>
      <c r="EJ13">
        <v>-9.0666666666666604E-2</v>
      </c>
      <c r="EM13">
        <v>0.261072261072261</v>
      </c>
      <c r="EN13">
        <v>7.00934579439252E-2</v>
      </c>
      <c r="EP13">
        <v>-0.13800000000000001</v>
      </c>
      <c r="EQ13">
        <v>-0.28599999999999998</v>
      </c>
      <c r="ET13">
        <v>-0.08</v>
      </c>
      <c r="EU13">
        <v>-0.248</v>
      </c>
      <c r="EW13">
        <v>0.226107226107226</v>
      </c>
      <c r="EX13">
        <v>8.1585081585081501E-2</v>
      </c>
      <c r="FA13">
        <v>6.0000000000000001E-3</v>
      </c>
      <c r="FB13">
        <v>-0.13400000000000001</v>
      </c>
      <c r="FD13">
        <v>0.15915915915915901</v>
      </c>
      <c r="FE13">
        <v>3.9039039039038999E-2</v>
      </c>
      <c r="FH13">
        <v>0.17799999999999999</v>
      </c>
      <c r="FI13">
        <v>4.2000000000000003E-2</v>
      </c>
      <c r="FK13">
        <v>-7.00934579439252E-2</v>
      </c>
      <c r="FL13">
        <v>-0.223776223776223</v>
      </c>
      <c r="FO13">
        <v>7.3999999999999996E-2</v>
      </c>
      <c r="FP13">
        <v>-6.0000000000000001E-3</v>
      </c>
      <c r="FR13">
        <v>5.1051051051050997E-2</v>
      </c>
      <c r="FS13">
        <v>-0.15015015015015001</v>
      </c>
      <c r="FV13">
        <v>0.126126126126126</v>
      </c>
      <c r="FW13">
        <v>-2.39520958083832E-2</v>
      </c>
      <c r="FY13">
        <v>1.6317016317016299E-2</v>
      </c>
      <c r="FZ13">
        <v>-0.125874125874125</v>
      </c>
      <c r="GC13">
        <v>0.126</v>
      </c>
      <c r="GD13">
        <v>-9.8000000000000004E-2</v>
      </c>
      <c r="GF13">
        <v>-4.2056074766355103E-2</v>
      </c>
      <c r="GG13">
        <v>-0.21495327102803699</v>
      </c>
      <c r="GJ13">
        <v>0.30933333333333302</v>
      </c>
      <c r="GK13">
        <v>0.109333333333333</v>
      </c>
      <c r="GM13">
        <v>-0.14219114219114201</v>
      </c>
      <c r="GN13">
        <v>-0.27272727272727199</v>
      </c>
      <c r="GQ13">
        <v>-0.08</v>
      </c>
      <c r="GR13">
        <v>-0.22666666666666599</v>
      </c>
      <c r="GT13">
        <v>0.41799999999999998</v>
      </c>
      <c r="GU13">
        <v>-0.01</v>
      </c>
      <c r="GX13">
        <v>9.0909090909090898E-2</v>
      </c>
      <c r="GY13">
        <v>3.03030303030303E-2</v>
      </c>
      <c r="HA13">
        <v>0.04</v>
      </c>
      <c r="HB13">
        <v>-0.21199999999999999</v>
      </c>
      <c r="HE13">
        <v>4.4392523364485903E-2</v>
      </c>
      <c r="HF13">
        <v>-7.00934579439252E-2</v>
      </c>
      <c r="HH13">
        <v>0.128</v>
      </c>
      <c r="HI13">
        <v>-7.5999999999999998E-2</v>
      </c>
      <c r="HL13">
        <v>-2E-3</v>
      </c>
      <c r="HM13">
        <v>-0.13400000000000001</v>
      </c>
      <c r="HO13">
        <v>6.1333333333333302E-2</v>
      </c>
      <c r="HP13">
        <v>-8.7999999999999995E-2</v>
      </c>
      <c r="HS13">
        <v>5.3333333333333297E-3</v>
      </c>
      <c r="HT13">
        <v>-8.7999999999999995E-2</v>
      </c>
      <c r="HV13">
        <v>0.14933333333333301</v>
      </c>
      <c r="HW13">
        <v>2.1333333333333301E-2</v>
      </c>
      <c r="HZ13">
        <v>0.45283018867924502</v>
      </c>
      <c r="IA13">
        <v>-7.5471698113207503E-2</v>
      </c>
      <c r="IC13">
        <v>-9.8802395209580798E-2</v>
      </c>
      <c r="ID13">
        <v>-0.309309309309309</v>
      </c>
      <c r="IG13">
        <v>0.23400000000000001</v>
      </c>
      <c r="IH13">
        <v>0.08</v>
      </c>
      <c r="IJ13">
        <v>-3.2634032634032598E-2</v>
      </c>
      <c r="IK13">
        <v>-0.21495327102803699</v>
      </c>
      <c r="IN13">
        <v>0.135514018691588</v>
      </c>
      <c r="IO13">
        <v>1.6317016317016299E-2</v>
      </c>
      <c r="IQ13">
        <v>-1.8648018648018599E-2</v>
      </c>
      <c r="IR13">
        <v>-0.161214953271028</v>
      </c>
      <c r="IU13">
        <v>0.28000000000000003</v>
      </c>
      <c r="IV13">
        <v>5.3999999999999999E-2</v>
      </c>
      <c r="IX13">
        <v>0.113207547169811</v>
      </c>
      <c r="IY13">
        <v>-0.51851851851851805</v>
      </c>
      <c r="JB13">
        <v>0.13317757009345699</v>
      </c>
      <c r="JC13">
        <v>-8.8785046728971903E-2</v>
      </c>
      <c r="JE13">
        <v>-7.4666666666666603E-2</v>
      </c>
      <c r="JF13">
        <v>-0.17066666666666599</v>
      </c>
      <c r="JI13">
        <v>7.69230769230769E-2</v>
      </c>
      <c r="JJ13">
        <v>-0.109557109557109</v>
      </c>
      <c r="JL13">
        <v>2.4E-2</v>
      </c>
      <c r="JM13">
        <v>-0.13800000000000001</v>
      </c>
      <c r="JP13">
        <v>0.12121212121212099</v>
      </c>
      <c r="JQ13">
        <v>-4.1958041958041897E-2</v>
      </c>
      <c r="JS13">
        <v>-2.33644859813084E-2</v>
      </c>
      <c r="JT13">
        <v>-0.12121212121212099</v>
      </c>
      <c r="JW13">
        <v>0.22522522522522501</v>
      </c>
      <c r="JX13">
        <v>8.0838323353293398E-2</v>
      </c>
      <c r="JZ13">
        <v>-6.2666666666666607E-2</v>
      </c>
      <c r="KA13">
        <v>-0.24</v>
      </c>
      <c r="KD13">
        <v>0.154</v>
      </c>
      <c r="KE13">
        <v>0.02</v>
      </c>
      <c r="KG13">
        <v>0.115384615384615</v>
      </c>
      <c r="KH13">
        <v>-0.39622641509433898</v>
      </c>
      <c r="KK13">
        <v>0.37866666666666599</v>
      </c>
      <c r="KL13">
        <v>0.248</v>
      </c>
      <c r="KN13">
        <v>-0.26600000000000001</v>
      </c>
      <c r="KO13">
        <v>-0.49</v>
      </c>
      <c r="KR13">
        <v>4.5333333333333302E-2</v>
      </c>
      <c r="KS13">
        <v>-2.6666666666666601E-3</v>
      </c>
      <c r="KU13">
        <v>3.7333333333333302E-2</v>
      </c>
      <c r="KV13">
        <v>-8.7999999999999995E-2</v>
      </c>
      <c r="KY13">
        <v>0.254</v>
      </c>
      <c r="KZ13">
        <v>0.14000000000000001</v>
      </c>
      <c r="LB13">
        <v>-9.4E-2</v>
      </c>
      <c r="LC13">
        <v>-0.27800000000000002</v>
      </c>
      <c r="LF13">
        <v>6.6666666666666596E-2</v>
      </c>
      <c r="LG13">
        <v>-0.10666666666666599</v>
      </c>
      <c r="LI13">
        <v>9.3240093240093205E-3</v>
      </c>
      <c r="LJ13">
        <v>-7.7102803738317696E-2</v>
      </c>
      <c r="LM13">
        <v>0.191142191142191</v>
      </c>
      <c r="LN13">
        <v>4.6620046620046603E-2</v>
      </c>
      <c r="LP13">
        <v>-7.2072072072072002E-2</v>
      </c>
      <c r="LQ13">
        <v>-0.194610778443113</v>
      </c>
      <c r="LT13">
        <v>-4.6728971962616802E-3</v>
      </c>
      <c r="LU13">
        <v>-9.3240093240093205E-2</v>
      </c>
      <c r="LW13">
        <v>0.11600000000000001</v>
      </c>
      <c r="LX13">
        <v>-2.4E-2</v>
      </c>
      <c r="MA13">
        <v>8.5333333333333303E-2</v>
      </c>
      <c r="MB13">
        <v>-0.133333333333333</v>
      </c>
      <c r="MD13">
        <v>7.8078078078077998E-2</v>
      </c>
      <c r="ME13">
        <v>-0.122754491017964</v>
      </c>
      <c r="MH13">
        <v>6.5268065268065195E-2</v>
      </c>
      <c r="MI13">
        <v>-9.8130841121495296E-2</v>
      </c>
      <c r="MK13">
        <v>4.5333333333333302E-2</v>
      </c>
      <c r="ML13">
        <v>-5.0666666666666603E-2</v>
      </c>
      <c r="MN13">
        <f t="shared" si="0"/>
        <v>0.14409244118963732</v>
      </c>
      <c r="MO13">
        <f t="shared" si="1"/>
        <v>-6.8843615841365701E-3</v>
      </c>
      <c r="MQ13">
        <f t="shared" si="2"/>
        <v>2.9114868974843194E-2</v>
      </c>
      <c r="MR13">
        <f t="shared" si="3"/>
        <v>-0.15378411477092457</v>
      </c>
    </row>
    <row r="14" spans="1:356" x14ac:dyDescent="0.25">
      <c r="C14">
        <v>0.30933333333333302</v>
      </c>
      <c r="D14">
        <v>0.133333333333333</v>
      </c>
      <c r="F14">
        <v>-0.124</v>
      </c>
      <c r="G14">
        <v>-0.28000000000000003</v>
      </c>
      <c r="J14">
        <v>0.106</v>
      </c>
      <c r="K14">
        <v>-2.1999999999999999E-2</v>
      </c>
      <c r="M14">
        <v>4.8000000000000001E-2</v>
      </c>
      <c r="N14">
        <v>-0.117333333333333</v>
      </c>
      <c r="Q14">
        <v>-2.6666666666666601E-3</v>
      </c>
      <c r="R14">
        <v>-0.16266666666666599</v>
      </c>
      <c r="T14">
        <v>0.17523364485981299</v>
      </c>
      <c r="U14">
        <v>2.3310023310023301E-3</v>
      </c>
      <c r="X14">
        <v>7.7333333333333296E-2</v>
      </c>
      <c r="Y14">
        <v>-0.146666666666666</v>
      </c>
      <c r="AA14">
        <v>4.4289044289044198E-2</v>
      </c>
      <c r="AB14">
        <v>-9.34579439252336E-2</v>
      </c>
      <c r="AE14">
        <v>0.13866666666666599</v>
      </c>
      <c r="AF14">
        <v>-7.4666666666666603E-2</v>
      </c>
      <c r="AH14">
        <v>5.5944055944055902E-2</v>
      </c>
      <c r="AI14">
        <v>-6.7757009345794303E-2</v>
      </c>
      <c r="AL14">
        <v>0.156</v>
      </c>
      <c r="AM14">
        <v>-0.10199999999999999</v>
      </c>
      <c r="AO14">
        <v>-6.75990675990676E-2</v>
      </c>
      <c r="AP14">
        <v>-0.22897196261682201</v>
      </c>
      <c r="AS14">
        <v>0.107226107226107</v>
      </c>
      <c r="AT14">
        <v>-3.2634032634032598E-2</v>
      </c>
      <c r="AV14">
        <v>3.7333333333333302E-2</v>
      </c>
      <c r="AW14">
        <v>-0.18666666666666601</v>
      </c>
      <c r="AZ14">
        <v>0.20499999999999999</v>
      </c>
      <c r="BA14">
        <v>6.8333333333333302E-2</v>
      </c>
      <c r="BC14">
        <v>-4.4392523364485903E-2</v>
      </c>
      <c r="BD14">
        <v>-0.123543123543123</v>
      </c>
      <c r="BG14">
        <v>0.126126126126126</v>
      </c>
      <c r="BH14">
        <v>-3.89221556886227E-2</v>
      </c>
      <c r="BJ14">
        <v>1.06666666666666E-2</v>
      </c>
      <c r="BK14">
        <v>-0.101333333333333</v>
      </c>
      <c r="BN14">
        <v>0.112</v>
      </c>
      <c r="BO14">
        <v>0.04</v>
      </c>
      <c r="BQ14">
        <v>-3.9627039627039597E-2</v>
      </c>
      <c r="BR14">
        <v>-0.13752913752913701</v>
      </c>
      <c r="BU14">
        <v>0.28199999999999997</v>
      </c>
      <c r="BV14">
        <v>0.218</v>
      </c>
      <c r="BX14">
        <v>-0.17599999999999999</v>
      </c>
      <c r="BY14">
        <v>-0.30666666666666598</v>
      </c>
      <c r="CB14">
        <v>5.3613053613053602E-2</v>
      </c>
      <c r="CC14">
        <v>-4.90654205607476E-2</v>
      </c>
      <c r="CE14">
        <v>0.2</v>
      </c>
      <c r="CF14">
        <v>-0.04</v>
      </c>
      <c r="CI14">
        <v>6.2E-2</v>
      </c>
      <c r="CJ14">
        <v>-6.4000000000000001E-2</v>
      </c>
      <c r="CL14">
        <v>2.9333333333333302E-2</v>
      </c>
      <c r="CM14">
        <v>-0.109333333333333</v>
      </c>
      <c r="CP14">
        <v>0.13772455089820301</v>
      </c>
      <c r="CQ14">
        <v>-8.7087087087086998E-2</v>
      </c>
      <c r="CS14">
        <v>-3.5000000000000003E-2</v>
      </c>
      <c r="CT14">
        <v>-0.17499999999999999</v>
      </c>
      <c r="CW14">
        <v>8.6247086247086199E-2</v>
      </c>
      <c r="CX14">
        <v>-1.6317016317016299E-2</v>
      </c>
      <c r="CZ14">
        <v>5.8275058275058203E-2</v>
      </c>
      <c r="DA14">
        <v>-0.121495327102803</v>
      </c>
      <c r="DD14">
        <v>0.14670658682634699</v>
      </c>
      <c r="DE14">
        <v>2.39520958083832E-2</v>
      </c>
      <c r="DG14">
        <v>-5.1999999999999998E-2</v>
      </c>
      <c r="DH14">
        <v>-0.18266666666666601</v>
      </c>
      <c r="DK14">
        <v>2.5641025641025599E-2</v>
      </c>
      <c r="DL14">
        <v>-0.114219114219114</v>
      </c>
      <c r="DN14">
        <v>3.7296037296037199E-2</v>
      </c>
      <c r="DO14">
        <v>-0.13519813519813501</v>
      </c>
      <c r="DR14">
        <v>0.35185185185185103</v>
      </c>
      <c r="DS14">
        <v>-0.18518518518518501</v>
      </c>
      <c r="DU14">
        <v>4.0000000000000001E-3</v>
      </c>
      <c r="DV14">
        <v>-0.11600000000000001</v>
      </c>
      <c r="DY14">
        <v>0.31934731934731903</v>
      </c>
      <c r="DZ14">
        <v>0.17289719626168201</v>
      </c>
      <c r="EB14">
        <v>-0.18862275449101701</v>
      </c>
      <c r="EC14">
        <v>-0.32432432432432401</v>
      </c>
      <c r="EF14">
        <v>7.4666666666666603E-2</v>
      </c>
      <c r="EG14">
        <v>-0.114666666666666</v>
      </c>
      <c r="EI14">
        <v>9.5571095571095499E-2</v>
      </c>
      <c r="EJ14">
        <v>-0.116550116550116</v>
      </c>
      <c r="EM14">
        <v>0.26133333333333297</v>
      </c>
      <c r="EN14">
        <v>5.3333333333333302E-2</v>
      </c>
      <c r="EP14">
        <v>0.27777777777777701</v>
      </c>
      <c r="EQ14">
        <v>-0.42592592592592499</v>
      </c>
      <c r="ET14">
        <v>-0.109333333333333</v>
      </c>
      <c r="EU14">
        <v>-0.29599999999999999</v>
      </c>
      <c r="EW14">
        <v>0.27738927738927699</v>
      </c>
      <c r="EX14">
        <v>6.5420560747663503E-2</v>
      </c>
      <c r="FA14">
        <v>-2.6666666666666599E-2</v>
      </c>
      <c r="FB14">
        <v>-0.17066666666666599</v>
      </c>
      <c r="FD14">
        <v>0.14719626168224201</v>
      </c>
      <c r="FE14">
        <v>2.5641025641025599E-2</v>
      </c>
      <c r="FH14">
        <v>0.21261682242990601</v>
      </c>
      <c r="FI14">
        <v>7.2261072261072201E-2</v>
      </c>
      <c r="FK14">
        <v>-6.3084112149532703E-2</v>
      </c>
      <c r="FL14">
        <v>-0.25467289719626102</v>
      </c>
      <c r="FO14">
        <v>5.83333333333333E-2</v>
      </c>
      <c r="FP14">
        <v>-6.8333333333333302E-2</v>
      </c>
      <c r="FR14">
        <v>3.03738317757009E-2</v>
      </c>
      <c r="FS14">
        <v>-0.23543123543123501</v>
      </c>
      <c r="FV14">
        <v>0.106</v>
      </c>
      <c r="FW14">
        <v>-0.124</v>
      </c>
      <c r="FY14">
        <v>0.108</v>
      </c>
      <c r="FZ14">
        <v>-0.23</v>
      </c>
      <c r="GC14">
        <v>0.11</v>
      </c>
      <c r="GD14">
        <v>-6.0000000000000001E-3</v>
      </c>
      <c r="GF14">
        <v>-1.5015015015014999E-2</v>
      </c>
      <c r="GG14">
        <v>-0.114114114114114</v>
      </c>
      <c r="GJ14">
        <v>0.19</v>
      </c>
      <c r="GK14">
        <v>-6.0000000000000001E-3</v>
      </c>
      <c r="GM14">
        <v>-4.8333333333333298E-2</v>
      </c>
      <c r="GN14">
        <v>-0.19</v>
      </c>
      <c r="GQ14">
        <v>8.0000000000000002E-3</v>
      </c>
      <c r="GR14">
        <v>-0.133333333333333</v>
      </c>
      <c r="GT14">
        <v>0.114</v>
      </c>
      <c r="GU14">
        <v>-6.0000000000000001E-3</v>
      </c>
      <c r="GX14">
        <v>5.0666666666666603E-2</v>
      </c>
      <c r="GY14">
        <v>-9.0666666666666604E-2</v>
      </c>
      <c r="HA14">
        <v>6.75990675990676E-2</v>
      </c>
      <c r="HB14">
        <v>-2.3310023310023301E-3</v>
      </c>
      <c r="HE14">
        <v>-0.06</v>
      </c>
      <c r="HF14">
        <v>-0.12833333333333299</v>
      </c>
      <c r="HH14">
        <v>0.13519813519813501</v>
      </c>
      <c r="HI14">
        <v>2.8037383177569999E-2</v>
      </c>
      <c r="HL14">
        <v>3.8333333333333303E-2</v>
      </c>
      <c r="HM14">
        <v>-9.1666666666666605E-2</v>
      </c>
      <c r="HO14">
        <v>6.0606060606060601E-2</v>
      </c>
      <c r="HP14">
        <v>-2.3310023310023301E-2</v>
      </c>
      <c r="HS14">
        <v>3.4000000000000002E-2</v>
      </c>
      <c r="HT14">
        <v>-5.3999999999999999E-2</v>
      </c>
      <c r="HV14">
        <v>0.100467289719626</v>
      </c>
      <c r="HW14">
        <v>-4.4392523364485903E-2</v>
      </c>
      <c r="HZ14">
        <v>0.17948717948717899</v>
      </c>
      <c r="IA14">
        <v>9.3240093240093205E-2</v>
      </c>
      <c r="IC14">
        <v>-5.8411214953271E-2</v>
      </c>
      <c r="ID14">
        <v>-0.27803738317756999</v>
      </c>
      <c r="IG14">
        <v>0.21</v>
      </c>
      <c r="IH14">
        <v>1.8333333333333299E-2</v>
      </c>
      <c r="IJ14">
        <v>-5.3333333333333302E-2</v>
      </c>
      <c r="IK14">
        <v>-0.23200000000000001</v>
      </c>
      <c r="IN14">
        <v>0.116822429906542</v>
      </c>
      <c r="IO14">
        <v>-1.4018691588785E-2</v>
      </c>
      <c r="IQ14">
        <v>0.06</v>
      </c>
      <c r="IR14">
        <v>-7.5999999999999998E-2</v>
      </c>
      <c r="IU14">
        <v>0.18018018018018001</v>
      </c>
      <c r="IV14">
        <v>-0.105105105105105</v>
      </c>
      <c r="IX14">
        <v>-9.3333333333333296E-2</v>
      </c>
      <c r="IY14">
        <v>-0.266666666666666</v>
      </c>
      <c r="JB14">
        <v>0.21333333333333299</v>
      </c>
      <c r="JC14">
        <v>4.8000000000000001E-2</v>
      </c>
      <c r="JE14">
        <v>2.3364485981308401E-3</v>
      </c>
      <c r="JF14">
        <v>-0.177570093457943</v>
      </c>
      <c r="JI14">
        <v>0.109557109557109</v>
      </c>
      <c r="JJ14">
        <v>1.8648018648018599E-2</v>
      </c>
      <c r="JL14">
        <v>8.4000000000000005E-2</v>
      </c>
      <c r="JM14">
        <v>-0.16400000000000001</v>
      </c>
      <c r="JP14">
        <v>0.14399999999999999</v>
      </c>
      <c r="JQ14">
        <v>0</v>
      </c>
      <c r="JS14">
        <v>3.4000000000000002E-2</v>
      </c>
      <c r="JT14">
        <v>-0.16200000000000001</v>
      </c>
      <c r="JW14">
        <v>0.13600000000000001</v>
      </c>
      <c r="JX14">
        <v>5.3333333333333297E-3</v>
      </c>
      <c r="JZ14">
        <v>-2.09790209790209E-2</v>
      </c>
      <c r="KA14">
        <v>-0.21962616822429901</v>
      </c>
      <c r="KD14">
        <v>0.15733333333333299</v>
      </c>
      <c r="KE14">
        <v>2.6666666666666599E-2</v>
      </c>
      <c r="KG14">
        <v>7.2727272727272696E-2</v>
      </c>
      <c r="KH14">
        <v>-0.4</v>
      </c>
      <c r="KK14">
        <v>0.57407407407407396</v>
      </c>
      <c r="KL14">
        <v>0</v>
      </c>
      <c r="KN14">
        <v>-1.8333333333333299E-2</v>
      </c>
      <c r="KO14">
        <v>-0.315</v>
      </c>
      <c r="KR14">
        <v>1.16822429906542E-2</v>
      </c>
      <c r="KS14">
        <v>-5.5944055944055902E-2</v>
      </c>
      <c r="KU14">
        <v>0.17199999999999999</v>
      </c>
      <c r="KV14">
        <v>-0.05</v>
      </c>
      <c r="KY14">
        <v>0.29833333333333301</v>
      </c>
      <c r="KZ14">
        <v>3.6666666666666597E-2</v>
      </c>
      <c r="LB14">
        <v>-5.3738317757009303E-2</v>
      </c>
      <c r="LC14">
        <v>-0.351981351981352</v>
      </c>
      <c r="LF14">
        <v>3.7333333333333302E-2</v>
      </c>
      <c r="LG14">
        <v>-7.1999999999999995E-2</v>
      </c>
      <c r="LI14">
        <v>3.4965034965034898E-2</v>
      </c>
      <c r="LJ14">
        <v>-9.0909090909090898E-2</v>
      </c>
      <c r="LM14">
        <v>0.186</v>
      </c>
      <c r="LN14">
        <v>0.02</v>
      </c>
      <c r="LP14">
        <v>-0.101333333333333</v>
      </c>
      <c r="LQ14">
        <v>-0.312</v>
      </c>
      <c r="LT14">
        <v>1.7999999999999999E-2</v>
      </c>
      <c r="LU14">
        <v>-0.128</v>
      </c>
      <c r="LW14">
        <v>6.6666666666666596E-2</v>
      </c>
      <c r="LX14">
        <v>-6.6666666666666596E-2</v>
      </c>
      <c r="MA14">
        <v>5.0666666666666603E-2</v>
      </c>
      <c r="MB14">
        <v>-2.9333333333333302E-2</v>
      </c>
      <c r="MD14">
        <v>7.1999999999999995E-2</v>
      </c>
      <c r="ME14">
        <v>-9.0666666666666604E-2</v>
      </c>
      <c r="MH14">
        <v>6.9930069930069904E-3</v>
      </c>
      <c r="MI14">
        <v>-6.9930069930069894E-2</v>
      </c>
      <c r="MK14">
        <v>0.16</v>
      </c>
      <c r="ML14">
        <v>1.8666666666666599E-2</v>
      </c>
      <c r="MN14">
        <f t="shared" si="0"/>
        <v>0.14334929446929434</v>
      </c>
      <c r="MO14">
        <f t="shared" si="1"/>
        <v>-2.0879421695500864E-2</v>
      </c>
      <c r="MQ14">
        <f t="shared" si="2"/>
        <v>4.3988107095396786E-2</v>
      </c>
      <c r="MR14">
        <f t="shared" si="3"/>
        <v>-0.12993848855194631</v>
      </c>
    </row>
    <row r="15" spans="1:356" x14ac:dyDescent="0.25">
      <c r="C15">
        <v>0.26347305389221498</v>
      </c>
      <c r="D15">
        <v>8.1081081081081002E-2</v>
      </c>
      <c r="F15">
        <v>-0.13866666666666599</v>
      </c>
      <c r="G15">
        <v>-0.28266666666666601</v>
      </c>
      <c r="J15">
        <v>9.1999999999999998E-2</v>
      </c>
      <c r="K15">
        <v>-2E-3</v>
      </c>
      <c r="M15">
        <v>7.5075075075075007E-2</v>
      </c>
      <c r="N15">
        <v>-0.101796407185628</v>
      </c>
      <c r="Q15">
        <v>-5.3613053613053602E-2</v>
      </c>
      <c r="R15">
        <v>-0.21962616822429901</v>
      </c>
      <c r="T15">
        <v>0.132867132867132</v>
      </c>
      <c r="U15">
        <v>-5.1282051282051197E-2</v>
      </c>
      <c r="X15">
        <v>0.12533333333333299</v>
      </c>
      <c r="Y15">
        <v>-8.7999999999999995E-2</v>
      </c>
      <c r="AA15">
        <v>0.122</v>
      </c>
      <c r="AB15">
        <v>-0.122</v>
      </c>
      <c r="AE15">
        <v>3.7296037296037199E-2</v>
      </c>
      <c r="AF15">
        <v>-0.100467289719626</v>
      </c>
      <c r="AH15">
        <v>5.3999999999999999E-2</v>
      </c>
      <c r="AI15">
        <v>-0.17399999999999999</v>
      </c>
      <c r="AL15">
        <v>0.21911421911421899</v>
      </c>
      <c r="AM15">
        <v>4.67289719626168E-2</v>
      </c>
      <c r="AO15">
        <v>-1.86915887850467E-2</v>
      </c>
      <c r="AP15">
        <v>-0.158508158508158</v>
      </c>
      <c r="AS15">
        <v>0.10489510489510399</v>
      </c>
      <c r="AT15">
        <v>-2.10280373831775E-2</v>
      </c>
      <c r="AV15">
        <v>0.112</v>
      </c>
      <c r="AW15">
        <v>-0.19600000000000001</v>
      </c>
      <c r="AZ15">
        <v>0.112</v>
      </c>
      <c r="BA15">
        <v>8.0000000000000002E-3</v>
      </c>
      <c r="BC15">
        <v>0.08</v>
      </c>
      <c r="BD15">
        <v>-0.08</v>
      </c>
      <c r="BG15">
        <v>0.109557109557109</v>
      </c>
      <c r="BH15">
        <v>-2.10280373831775E-2</v>
      </c>
      <c r="BJ15">
        <v>0.13600000000000001</v>
      </c>
      <c r="BK15">
        <v>-0.12</v>
      </c>
      <c r="BN15">
        <v>0.16400000000000001</v>
      </c>
      <c r="BO15">
        <v>0.05</v>
      </c>
      <c r="BQ15">
        <v>3.2710280373831703E-2</v>
      </c>
      <c r="BR15">
        <v>-0.16783216783216701</v>
      </c>
      <c r="BU15">
        <v>0.27972027972027902</v>
      </c>
      <c r="BV15">
        <v>0.17289719626168201</v>
      </c>
      <c r="BX15">
        <v>-0.210666666666666</v>
      </c>
      <c r="BY15">
        <v>-0.32533333333333297</v>
      </c>
      <c r="CB15">
        <v>-3.5999999999999997E-2</v>
      </c>
      <c r="CC15">
        <v>-0.19</v>
      </c>
      <c r="CE15">
        <v>0.118333333333333</v>
      </c>
      <c r="CF15">
        <v>-6.1666666666666599E-2</v>
      </c>
      <c r="CI15">
        <v>8.1775700934579407E-2</v>
      </c>
      <c r="CJ15">
        <v>-8.6247086247086199E-2</v>
      </c>
      <c r="CL15">
        <v>8.7999999999999995E-2</v>
      </c>
      <c r="CM15">
        <v>-4.8000000000000001E-2</v>
      </c>
      <c r="CP15">
        <v>0.128</v>
      </c>
      <c r="CQ15">
        <v>-0.04</v>
      </c>
      <c r="CS15">
        <v>-3.4965034965034898E-2</v>
      </c>
      <c r="CT15">
        <v>-0.177570093457943</v>
      </c>
      <c r="CW15">
        <v>0.12266666666666599</v>
      </c>
      <c r="CX15">
        <v>1.06666666666666E-2</v>
      </c>
      <c r="CZ15">
        <v>-3.2710280373831703E-2</v>
      </c>
      <c r="DA15">
        <v>-0.21261682242990601</v>
      </c>
      <c r="DD15">
        <v>0.16</v>
      </c>
      <c r="DE15">
        <v>-2.9333333333333302E-2</v>
      </c>
      <c r="DG15">
        <v>-0.06</v>
      </c>
      <c r="DH15">
        <v>-0.102666666666666</v>
      </c>
      <c r="DK15">
        <v>0.01</v>
      </c>
      <c r="DL15">
        <v>-0.10199999999999999</v>
      </c>
      <c r="DN15">
        <v>9.34579439252336E-2</v>
      </c>
      <c r="DO15">
        <v>-2.33644859813084E-2</v>
      </c>
      <c r="DR15">
        <v>0.12</v>
      </c>
      <c r="DS15">
        <v>-0.104</v>
      </c>
      <c r="DU15">
        <v>-2.6666666666666601E-3</v>
      </c>
      <c r="DV15">
        <v>-0.14133333333333301</v>
      </c>
      <c r="DY15">
        <v>0.33200000000000002</v>
      </c>
      <c r="DZ15">
        <v>0.20399999999999999</v>
      </c>
      <c r="EB15">
        <v>-0.23076923076923</v>
      </c>
      <c r="EC15">
        <v>-0.37616822429906499</v>
      </c>
      <c r="EF15">
        <v>6.0606060606060601E-2</v>
      </c>
      <c r="EG15">
        <v>-0.170560747663551</v>
      </c>
      <c r="EI15">
        <v>0.124</v>
      </c>
      <c r="EJ15">
        <v>-0.154</v>
      </c>
      <c r="EM15">
        <v>0.41</v>
      </c>
      <c r="EN15">
        <v>-2.1999999999999999E-2</v>
      </c>
      <c r="EP15">
        <v>-0.29799999999999999</v>
      </c>
      <c r="EQ15">
        <v>-0.46400000000000002</v>
      </c>
      <c r="ET15">
        <v>-0.11600000000000001</v>
      </c>
      <c r="EU15">
        <v>-0.246</v>
      </c>
      <c r="EW15">
        <v>0.23200000000000001</v>
      </c>
      <c r="EX15">
        <v>7.8E-2</v>
      </c>
      <c r="FA15">
        <v>1.06666666666666E-2</v>
      </c>
      <c r="FB15">
        <v>-0.12533333333333299</v>
      </c>
      <c r="FD15">
        <v>0.111666666666666</v>
      </c>
      <c r="FE15">
        <v>5.0000000000000001E-3</v>
      </c>
      <c r="FH15">
        <v>0.19600000000000001</v>
      </c>
      <c r="FI15">
        <v>7.8E-2</v>
      </c>
      <c r="FK15">
        <v>-4.8048048048047999E-2</v>
      </c>
      <c r="FL15">
        <v>-0.21321321321321299</v>
      </c>
      <c r="FO15">
        <v>0.117333333333333</v>
      </c>
      <c r="FP15">
        <v>-1.8666666666666599E-2</v>
      </c>
      <c r="FR15">
        <v>4.5333333333333302E-2</v>
      </c>
      <c r="FS15">
        <v>-0.112</v>
      </c>
      <c r="FV15">
        <v>0.145454545454545</v>
      </c>
      <c r="FW15">
        <v>-0.33928571428571402</v>
      </c>
      <c r="FY15">
        <v>7.2429906542056E-2</v>
      </c>
      <c r="FZ15">
        <v>-2.3310023310023301E-2</v>
      </c>
      <c r="GC15">
        <v>0.16</v>
      </c>
      <c r="GD15">
        <v>9.8666666666666597E-2</v>
      </c>
      <c r="GF15">
        <v>5.5E-2</v>
      </c>
      <c r="GG15">
        <v>-0.22666666666666599</v>
      </c>
      <c r="GJ15">
        <v>0.12121212121212099</v>
      </c>
      <c r="GK15">
        <v>-4.6620046620046603E-2</v>
      </c>
      <c r="GM15">
        <v>-1.16822429906542E-2</v>
      </c>
      <c r="GN15">
        <v>-9.0909090909090898E-2</v>
      </c>
      <c r="GQ15">
        <v>-5.9880239520958001E-2</v>
      </c>
      <c r="GR15">
        <v>-0.246246246246246</v>
      </c>
      <c r="GT15">
        <v>0.13866666666666599</v>
      </c>
      <c r="GU15">
        <v>-2.1333333333333301E-2</v>
      </c>
      <c r="GX15">
        <v>3.4965034965034898E-2</v>
      </c>
      <c r="GY15">
        <v>-9.5794392523364399E-2</v>
      </c>
      <c r="HA15">
        <v>6.0000000000000001E-3</v>
      </c>
      <c r="HB15">
        <v>-9.1999999999999998E-2</v>
      </c>
      <c r="HE15">
        <v>-7.2261072261072201E-2</v>
      </c>
      <c r="HF15">
        <v>-0.161214953271028</v>
      </c>
      <c r="HH15">
        <v>0.14000000000000001</v>
      </c>
      <c r="HI15">
        <v>3.5999999999999997E-2</v>
      </c>
      <c r="HL15">
        <v>0.158</v>
      </c>
      <c r="HM15">
        <v>-7.1999999999999995E-2</v>
      </c>
      <c r="HO15">
        <v>-1.7999999999999999E-2</v>
      </c>
      <c r="HP15">
        <v>-0.214</v>
      </c>
      <c r="HS15">
        <v>0.03</v>
      </c>
      <c r="HT15">
        <v>-0.156</v>
      </c>
      <c r="HV15">
        <v>0.155</v>
      </c>
      <c r="HW15">
        <v>-5.3333333333333302E-2</v>
      </c>
      <c r="HZ15">
        <v>0.188</v>
      </c>
      <c r="IA15">
        <v>-4.5999999999999999E-2</v>
      </c>
      <c r="IC15">
        <v>-2.8333333333333301E-2</v>
      </c>
      <c r="ID15">
        <v>-0.18666666666666601</v>
      </c>
      <c r="IG15">
        <v>0.165501165501165</v>
      </c>
      <c r="IH15">
        <v>8.6448598130841103E-2</v>
      </c>
      <c r="IJ15">
        <v>-3.6036036036036001E-2</v>
      </c>
      <c r="IK15">
        <v>-0.26426426426426403</v>
      </c>
      <c r="IN15">
        <v>5.1999999999999998E-2</v>
      </c>
      <c r="IO15">
        <v>-0.126</v>
      </c>
      <c r="IQ15">
        <v>0.107476635514018</v>
      </c>
      <c r="IR15">
        <v>-5.1401869158878503E-2</v>
      </c>
      <c r="IU15">
        <v>0.24242424242424199</v>
      </c>
      <c r="IV15">
        <v>3.50467289719626E-2</v>
      </c>
      <c r="IX15">
        <v>0.22413793103448201</v>
      </c>
      <c r="IY15">
        <v>-0.47368421052631499</v>
      </c>
      <c r="JB15">
        <v>0.13</v>
      </c>
      <c r="JC15">
        <v>-6.6000000000000003E-2</v>
      </c>
      <c r="JE15">
        <v>-2.4E-2</v>
      </c>
      <c r="JF15">
        <v>-0.14399999999999999</v>
      </c>
      <c r="JI15">
        <v>3.4000000000000002E-2</v>
      </c>
      <c r="JJ15">
        <v>-0.14599999999999999</v>
      </c>
      <c r="JL15">
        <v>0.105140186915887</v>
      </c>
      <c r="JM15">
        <v>-8.6247086247086199E-2</v>
      </c>
      <c r="JP15">
        <v>5.6000000000000001E-2</v>
      </c>
      <c r="JQ15">
        <v>-9.3333333333333296E-2</v>
      </c>
      <c r="JS15">
        <v>4.2056074766355103E-2</v>
      </c>
      <c r="JT15">
        <v>-8.6247086247086199E-2</v>
      </c>
      <c r="JW15">
        <v>0.20533333333333301</v>
      </c>
      <c r="JX15">
        <v>7.4666666666666603E-2</v>
      </c>
      <c r="JZ15">
        <v>-6.6666666666666596E-2</v>
      </c>
      <c r="KA15">
        <v>-0.24533333333333299</v>
      </c>
      <c r="KD15">
        <v>0.192</v>
      </c>
      <c r="KE15">
        <v>3.4000000000000002E-2</v>
      </c>
      <c r="KG15">
        <v>-8.3916083916083906E-2</v>
      </c>
      <c r="KH15">
        <v>-0.221445221445221</v>
      </c>
      <c r="KK15">
        <v>0.12</v>
      </c>
      <c r="KL15">
        <v>-0.101333333333333</v>
      </c>
      <c r="KN15">
        <v>0.29032258064516098</v>
      </c>
      <c r="KO15">
        <v>-0.36065573770491799</v>
      </c>
      <c r="KR15">
        <v>-9.6000000000000002E-2</v>
      </c>
      <c r="KS15">
        <v>-0.17599999999999999</v>
      </c>
      <c r="KU15">
        <v>0.23130841121495299</v>
      </c>
      <c r="KV15">
        <v>0.11214953271028</v>
      </c>
      <c r="KY15">
        <v>0.29066666666666602</v>
      </c>
      <c r="KZ15">
        <v>0.14933333333333301</v>
      </c>
      <c r="LB15">
        <v>0.22413793103448201</v>
      </c>
      <c r="LC15">
        <v>-0.5</v>
      </c>
      <c r="LF15">
        <v>0.109557109557109</v>
      </c>
      <c r="LG15">
        <v>-4.67289719626168E-2</v>
      </c>
      <c r="LI15">
        <v>-2.4E-2</v>
      </c>
      <c r="LJ15">
        <v>-0.154</v>
      </c>
      <c r="LM15">
        <v>0.18414918414918399</v>
      </c>
      <c r="LN15">
        <v>7.2261072261072201E-2</v>
      </c>
      <c r="LP15">
        <v>-9.5571095571095499E-2</v>
      </c>
      <c r="LQ15">
        <v>-0.25</v>
      </c>
      <c r="LT15">
        <v>3.9719626168224297E-2</v>
      </c>
      <c r="LU15">
        <v>-8.3916083916083906E-2</v>
      </c>
      <c r="LW15">
        <v>0.01</v>
      </c>
      <c r="LX15">
        <v>-0.104</v>
      </c>
      <c r="MA15">
        <v>2.3310023310023301E-2</v>
      </c>
      <c r="MB15">
        <v>-0.14252336448598099</v>
      </c>
      <c r="MD15">
        <v>9.0666666666666604E-2</v>
      </c>
      <c r="ME15">
        <v>-3.4666666666666603E-2</v>
      </c>
      <c r="MH15">
        <v>8.6448598130841103E-2</v>
      </c>
      <c r="MI15">
        <v>-0.14918414918414899</v>
      </c>
      <c r="MK15">
        <v>3.5999999999999997E-2</v>
      </c>
      <c r="ML15">
        <v>-0.14199999999999999</v>
      </c>
      <c r="MN15">
        <f t="shared" si="0"/>
        <v>0.12596056811806075</v>
      </c>
      <c r="MO15">
        <f t="shared" si="1"/>
        <v>-2.738586025015928E-2</v>
      </c>
      <c r="MQ15">
        <f t="shared" si="2"/>
        <v>3.7403468724590168E-2</v>
      </c>
      <c r="MR15">
        <f t="shared" si="3"/>
        <v>-0.11201668527561841</v>
      </c>
    </row>
    <row r="16" spans="1:356" x14ac:dyDescent="0.25">
      <c r="C16">
        <v>0.286713286713286</v>
      </c>
      <c r="D16">
        <v>0.13986013986013901</v>
      </c>
      <c r="F16">
        <v>-0.15733333333333299</v>
      </c>
      <c r="G16">
        <v>-0.35466666666666602</v>
      </c>
      <c r="J16">
        <v>5.6000000000000001E-2</v>
      </c>
      <c r="K16">
        <v>-0.12266666666666599</v>
      </c>
      <c r="M16">
        <v>9.6000000000000002E-2</v>
      </c>
      <c r="N16">
        <v>-4.2666666666666603E-2</v>
      </c>
      <c r="Q16">
        <v>-1.3333333333333299E-2</v>
      </c>
      <c r="R16">
        <v>-0.18133333333333301</v>
      </c>
      <c r="T16">
        <v>0.13800000000000001</v>
      </c>
      <c r="U16">
        <v>-3.4000000000000002E-2</v>
      </c>
      <c r="X16">
        <v>0.2</v>
      </c>
      <c r="Y16">
        <v>-0.29230769230769199</v>
      </c>
      <c r="AA16">
        <v>8.5999999999999993E-2</v>
      </c>
      <c r="AB16">
        <v>-5.3999999999999999E-2</v>
      </c>
      <c r="AE16">
        <v>1.16550116550116E-2</v>
      </c>
      <c r="AF16">
        <v>-8.1775700934579407E-2</v>
      </c>
      <c r="AH16">
        <v>0.20338983050847401</v>
      </c>
      <c r="AI16">
        <v>-0.22033898305084701</v>
      </c>
      <c r="AL16">
        <v>0.11</v>
      </c>
      <c r="AM16">
        <v>-4.8000000000000001E-2</v>
      </c>
      <c r="AO16">
        <v>-2.7972027972027899E-2</v>
      </c>
      <c r="AP16">
        <v>-0.14953271028037299</v>
      </c>
      <c r="AS16">
        <v>5.1401869158878503E-2</v>
      </c>
      <c r="AT16">
        <v>-0.14918414918414899</v>
      </c>
      <c r="AV16">
        <v>6.6000000000000003E-2</v>
      </c>
      <c r="AW16">
        <v>-5.3999999999999999E-2</v>
      </c>
      <c r="AZ16">
        <v>8.2000000000000003E-2</v>
      </c>
      <c r="BA16">
        <v>-0.14199999999999999</v>
      </c>
      <c r="BC16">
        <v>-0.05</v>
      </c>
      <c r="BD16">
        <v>-0.26</v>
      </c>
      <c r="BG16">
        <v>5.6000000000000001E-2</v>
      </c>
      <c r="BH16">
        <v>-0.2</v>
      </c>
      <c r="BJ16">
        <v>7.2072072072072002E-2</v>
      </c>
      <c r="BK16">
        <v>-0.108108108108108</v>
      </c>
      <c r="BN16">
        <v>0.11</v>
      </c>
      <c r="BO16">
        <v>-6.0000000000000001E-3</v>
      </c>
      <c r="BQ16">
        <v>-6.6666666666666602E-3</v>
      </c>
      <c r="BR16">
        <v>-0.146666666666666</v>
      </c>
      <c r="BU16">
        <v>0.46200000000000002</v>
      </c>
      <c r="BV16">
        <v>0.188</v>
      </c>
      <c r="BX16">
        <v>-0.34799999999999998</v>
      </c>
      <c r="BY16">
        <v>-0.48599999999999999</v>
      </c>
      <c r="CB16">
        <v>2.1999999999999999E-2</v>
      </c>
      <c r="CC16">
        <v>-0.10199999999999999</v>
      </c>
      <c r="CE16">
        <v>4.5045045045045001E-2</v>
      </c>
      <c r="CF16">
        <v>-0.201201201201201</v>
      </c>
      <c r="CI16">
        <v>0.11600000000000001</v>
      </c>
      <c r="CJ16">
        <v>-0.06</v>
      </c>
      <c r="CL16">
        <v>0.112</v>
      </c>
      <c r="CM16">
        <v>-0.08</v>
      </c>
      <c r="CP16">
        <v>0.15466666666666601</v>
      </c>
      <c r="CQ16">
        <v>1.06666666666666E-2</v>
      </c>
      <c r="CS16">
        <v>-7.9254079254079193E-2</v>
      </c>
      <c r="CT16">
        <v>-0.188811188811188</v>
      </c>
      <c r="CW16">
        <v>0.14599999999999999</v>
      </c>
      <c r="CX16">
        <v>-1.6E-2</v>
      </c>
      <c r="CZ16">
        <v>0.115</v>
      </c>
      <c r="DA16">
        <v>-0.20833333333333301</v>
      </c>
      <c r="DD16">
        <v>0.17066666666666599</v>
      </c>
      <c r="DE16">
        <v>-1.8666666666666599E-2</v>
      </c>
      <c r="DG16">
        <v>-9.6000000000000002E-2</v>
      </c>
      <c r="DH16">
        <v>-0.18</v>
      </c>
      <c r="DK16">
        <v>-5.6000000000000001E-2</v>
      </c>
      <c r="DL16">
        <v>-0.19</v>
      </c>
      <c r="DN16">
        <v>0.17199999999999999</v>
      </c>
      <c r="DO16">
        <v>5.3999999999999999E-2</v>
      </c>
      <c r="DR16">
        <v>0.165501165501165</v>
      </c>
      <c r="DS16">
        <v>-3.73831775700934E-2</v>
      </c>
      <c r="DU16">
        <v>0.18333333333333299</v>
      </c>
      <c r="DV16">
        <v>-0.36666666666666597</v>
      </c>
      <c r="DY16">
        <v>0.39339339339339302</v>
      </c>
      <c r="DZ16">
        <v>0.209580838323353</v>
      </c>
      <c r="EB16">
        <v>-0.184</v>
      </c>
      <c r="EC16">
        <v>-0.39200000000000002</v>
      </c>
      <c r="EF16">
        <v>3.03738317757009E-2</v>
      </c>
      <c r="EG16">
        <v>-0.18648018648018599</v>
      </c>
      <c r="EI16">
        <v>0.17</v>
      </c>
      <c r="EJ16">
        <v>-4.8000000000000001E-2</v>
      </c>
      <c r="EM16">
        <v>0.60344827586206895</v>
      </c>
      <c r="EN16">
        <v>1.72413793103448E-2</v>
      </c>
      <c r="EP16">
        <v>-0.57640750670241203</v>
      </c>
      <c r="EQ16">
        <v>-1</v>
      </c>
      <c r="ET16">
        <v>-6.9069069069068997E-2</v>
      </c>
      <c r="EU16">
        <v>-0.26726726726726702</v>
      </c>
      <c r="EW16">
        <v>0.21866666666666601</v>
      </c>
      <c r="EX16">
        <v>8.7999999999999995E-2</v>
      </c>
      <c r="FA16">
        <v>0.111666666666666</v>
      </c>
      <c r="FB16">
        <v>-0.198333333333333</v>
      </c>
      <c r="FD16">
        <v>0.13600000000000001</v>
      </c>
      <c r="FE16">
        <v>-0.32400000000000001</v>
      </c>
      <c r="FH16">
        <v>0.26</v>
      </c>
      <c r="FI16">
        <v>4.2000000000000003E-2</v>
      </c>
      <c r="FK16">
        <v>-5.5E-2</v>
      </c>
      <c r="FL16">
        <v>-0.23499999999999999</v>
      </c>
      <c r="FO16">
        <v>5.6074766355140103E-2</v>
      </c>
      <c r="FP16">
        <v>-9.8130841121495296E-2</v>
      </c>
      <c r="FR16">
        <v>7.9254079254079193E-2</v>
      </c>
      <c r="FS16">
        <v>-0.10256410256410201</v>
      </c>
      <c r="FV16">
        <v>3.03738317757009E-2</v>
      </c>
      <c r="FW16">
        <v>-0.107226107226107</v>
      </c>
      <c r="FY16">
        <v>9.6000000000000002E-2</v>
      </c>
      <c r="FZ16">
        <v>-3.2000000000000001E-2</v>
      </c>
      <c r="GC16">
        <v>7.5075075075075007E-2</v>
      </c>
      <c r="GD16">
        <v>-0.22155688622754399</v>
      </c>
      <c r="GF16">
        <v>5.3333333333333302E-2</v>
      </c>
      <c r="GG16">
        <v>-0.08</v>
      </c>
      <c r="GJ16">
        <v>0.13</v>
      </c>
      <c r="GK16">
        <v>-5.6000000000000001E-2</v>
      </c>
      <c r="GM16">
        <v>0.15625</v>
      </c>
      <c r="GN16">
        <v>-0.421875</v>
      </c>
      <c r="GQ16">
        <v>-0.03</v>
      </c>
      <c r="GR16">
        <v>-0.106</v>
      </c>
      <c r="GT16">
        <v>6.8333333333333302E-2</v>
      </c>
      <c r="GU16">
        <v>-2.8333333333333301E-2</v>
      </c>
      <c r="GX16">
        <v>8.4084084084083993E-2</v>
      </c>
      <c r="GY16">
        <v>-8.3832335329341298E-2</v>
      </c>
      <c r="HA16">
        <v>4.4910179640718501E-2</v>
      </c>
      <c r="HB16">
        <v>-8.0838323353293398E-2</v>
      </c>
      <c r="HE16">
        <v>-0.01</v>
      </c>
      <c r="HF16">
        <v>-0.182</v>
      </c>
      <c r="HH16">
        <v>0.13</v>
      </c>
      <c r="HI16">
        <v>-4.5999999999999999E-2</v>
      </c>
      <c r="HL16">
        <v>0.104</v>
      </c>
      <c r="HM16">
        <v>-9.0666666666666604E-2</v>
      </c>
      <c r="HO16">
        <v>0.194029850746268</v>
      </c>
      <c r="HP16">
        <v>-0.30303030303030298</v>
      </c>
      <c r="HS16">
        <v>-4.2666666666666603E-2</v>
      </c>
      <c r="HT16">
        <v>-0.17599999999999999</v>
      </c>
      <c r="HV16">
        <v>0.177570093457943</v>
      </c>
      <c r="HW16">
        <v>2.09790209790209E-2</v>
      </c>
      <c r="HZ16">
        <v>9.0666666666666604E-2</v>
      </c>
      <c r="IA16">
        <v>-3.7333333333333302E-2</v>
      </c>
      <c r="IC16">
        <v>3.7296037296037199E-2</v>
      </c>
      <c r="ID16">
        <v>-0.14918414918414899</v>
      </c>
      <c r="IG16">
        <v>0.19466666666666599</v>
      </c>
      <c r="IH16">
        <v>7.1999999999999995E-2</v>
      </c>
      <c r="IJ16">
        <v>-2.8000000000000001E-2</v>
      </c>
      <c r="IK16">
        <v>-0.25600000000000001</v>
      </c>
      <c r="IN16">
        <v>4.6620046620046603E-2</v>
      </c>
      <c r="IO16">
        <v>-0.10256410256410201</v>
      </c>
      <c r="IQ16">
        <v>1.6E-2</v>
      </c>
      <c r="IR16">
        <v>-0.19</v>
      </c>
      <c r="IU16">
        <v>0.14953271028037299</v>
      </c>
      <c r="IV16">
        <v>-0.137850467289719</v>
      </c>
      <c r="IX16">
        <v>-9.6000000000000002E-2</v>
      </c>
      <c r="IY16">
        <v>-0.20533333333333301</v>
      </c>
      <c r="JB16">
        <v>0.154205607476635</v>
      </c>
      <c r="JC16">
        <v>-1.16550116550116E-2</v>
      </c>
      <c r="JE16">
        <v>-3.9627039627039597E-2</v>
      </c>
      <c r="JF16">
        <v>-0.154205607476635</v>
      </c>
      <c r="JI16">
        <v>5.3999999999999999E-2</v>
      </c>
      <c r="JJ16">
        <v>-8.7999999999999995E-2</v>
      </c>
      <c r="JL16">
        <v>0.305084745762711</v>
      </c>
      <c r="JM16">
        <v>-0.38983050847457601</v>
      </c>
      <c r="JP16">
        <v>0.12616822429906499</v>
      </c>
      <c r="JQ16">
        <v>-3.9719626168224297E-2</v>
      </c>
      <c r="JS16">
        <v>2.10280373831775E-2</v>
      </c>
      <c r="JT16">
        <v>-0.15384615384615299</v>
      </c>
      <c r="JW16">
        <v>0.19859813084112099</v>
      </c>
      <c r="JX16">
        <v>5.8411214953271E-2</v>
      </c>
      <c r="JZ16">
        <v>-1.4E-2</v>
      </c>
      <c r="KA16">
        <v>-0.16600000000000001</v>
      </c>
      <c r="KD16">
        <v>0.515625</v>
      </c>
      <c r="KE16">
        <v>-0.14285714285714199</v>
      </c>
      <c r="KG16">
        <v>0.35384615384615298</v>
      </c>
      <c r="KH16">
        <v>-0.30769230769230699</v>
      </c>
      <c r="KK16">
        <v>4.7904191616766401E-2</v>
      </c>
      <c r="KL16">
        <v>-0.24924924924924899</v>
      </c>
      <c r="KN16">
        <v>9.6000000000000002E-2</v>
      </c>
      <c r="KO16">
        <v>-6.6666666666666596E-2</v>
      </c>
      <c r="KR16">
        <v>-0.111888111888111</v>
      </c>
      <c r="KS16">
        <v>-0.240654205607476</v>
      </c>
      <c r="KU16">
        <v>0.30599999999999999</v>
      </c>
      <c r="KV16">
        <v>4.3999999999999997E-2</v>
      </c>
      <c r="KY16">
        <v>-4.4999999999999998E-2</v>
      </c>
      <c r="KZ16">
        <v>-0.236666666666666</v>
      </c>
      <c r="LB16">
        <v>0.101333333333333</v>
      </c>
      <c r="LC16">
        <v>-6.9333333333333302E-2</v>
      </c>
      <c r="LF16">
        <v>9.3333333333333296E-2</v>
      </c>
      <c r="LG16">
        <v>-3.2000000000000001E-2</v>
      </c>
      <c r="LI16">
        <v>-6.5268065268065195E-2</v>
      </c>
      <c r="LJ16">
        <v>-0.23776223776223701</v>
      </c>
      <c r="LM16">
        <v>0.152</v>
      </c>
      <c r="LN16">
        <v>6.2E-2</v>
      </c>
      <c r="LP16">
        <v>-8.2000000000000003E-2</v>
      </c>
      <c r="LQ16">
        <v>-0.24399999999999999</v>
      </c>
      <c r="LT16">
        <v>0.15151515151515099</v>
      </c>
      <c r="LU16">
        <v>3.03030303030303E-2</v>
      </c>
      <c r="LW16">
        <v>2.57009345794392E-2</v>
      </c>
      <c r="LX16">
        <v>-9.5794392523364399E-2</v>
      </c>
      <c r="MA16">
        <v>2.33333333333333E-2</v>
      </c>
      <c r="MB16">
        <v>-0.103333333333333</v>
      </c>
      <c r="MD16">
        <v>-6.9930069930069904E-3</v>
      </c>
      <c r="ME16">
        <v>-0.105140186915887</v>
      </c>
      <c r="MH16">
        <v>2.5999999999999999E-2</v>
      </c>
      <c r="MI16">
        <v>-0.16</v>
      </c>
      <c r="MK16">
        <v>7.9439252336448593E-2</v>
      </c>
      <c r="ML16">
        <v>-6.5268065268065195E-2</v>
      </c>
      <c r="MN16">
        <f t="shared" si="0"/>
        <v>0.11969853510471118</v>
      </c>
      <c r="MO16">
        <f t="shared" si="1"/>
        <v>-7.7132815529051713E-2</v>
      </c>
      <c r="MQ16">
        <f t="shared" si="2"/>
        <v>6.8390304483416306E-2</v>
      </c>
      <c r="MR16">
        <f t="shared" si="3"/>
        <v>-0.15728166561717072</v>
      </c>
    </row>
    <row r="17" spans="3:356" x14ac:dyDescent="0.25">
      <c r="C17">
        <v>0.36599999999999999</v>
      </c>
      <c r="D17">
        <v>0.13</v>
      </c>
      <c r="F17">
        <v>-0.116550116550116</v>
      </c>
      <c r="G17">
        <v>-0.28037383177570002</v>
      </c>
      <c r="J17">
        <v>3.03030303030303E-2</v>
      </c>
      <c r="K17">
        <v>-7.00934579439252E-2</v>
      </c>
      <c r="M17">
        <v>6.7757009345794303E-2</v>
      </c>
      <c r="N17">
        <v>-2.57009345794392E-2</v>
      </c>
      <c r="Q17">
        <v>-3.2000000000000001E-2</v>
      </c>
      <c r="R17">
        <v>-0.218</v>
      </c>
      <c r="T17">
        <v>0.41935483870967699</v>
      </c>
      <c r="U17">
        <v>-0.22950819672131101</v>
      </c>
      <c r="X17">
        <v>0.33823529411764702</v>
      </c>
      <c r="Y17">
        <v>-0.27941176470588203</v>
      </c>
      <c r="AA17">
        <v>0.21212121212121199</v>
      </c>
      <c r="AB17">
        <v>-9.5571095571095499E-2</v>
      </c>
      <c r="AE17">
        <v>-0.123333333333333</v>
      </c>
      <c r="AF17">
        <v>-0.21833333333333299</v>
      </c>
      <c r="AH17">
        <v>0.25800000000000001</v>
      </c>
      <c r="AI17">
        <v>0.108</v>
      </c>
      <c r="AL17">
        <v>0.192</v>
      </c>
      <c r="AM17">
        <v>1.7999999999999999E-2</v>
      </c>
      <c r="AO17">
        <v>-0.01</v>
      </c>
      <c r="AP17">
        <v>-0.17799999999999999</v>
      </c>
      <c r="AS17">
        <v>0.27868852459016302</v>
      </c>
      <c r="AT17">
        <v>-0.27868852459016302</v>
      </c>
      <c r="AV17">
        <v>0.11448598130841101</v>
      </c>
      <c r="AW17">
        <v>-9.7902097902097904E-2</v>
      </c>
      <c r="AZ17">
        <v>0.441176470588235</v>
      </c>
      <c r="BA17">
        <v>-0.13235294117647001</v>
      </c>
      <c r="BC17">
        <v>-4.67289719626168E-2</v>
      </c>
      <c r="BD17">
        <v>-0.27039627039627001</v>
      </c>
      <c r="BG17">
        <v>0.109557109557109</v>
      </c>
      <c r="BH17">
        <v>-6.7757009345794303E-2</v>
      </c>
      <c r="BJ17">
        <v>0.14705882352941099</v>
      </c>
      <c r="BK17">
        <v>-0.33823529411764702</v>
      </c>
      <c r="BN17">
        <v>7.4666666666666603E-2</v>
      </c>
      <c r="BO17">
        <v>-0.08</v>
      </c>
      <c r="BQ17">
        <v>0.46200000000000002</v>
      </c>
      <c r="BR17">
        <v>-7.5999999999999998E-2</v>
      </c>
      <c r="BU17">
        <v>0.44500000000000001</v>
      </c>
      <c r="BV17">
        <v>0.21</v>
      </c>
      <c r="BX17">
        <v>-0.1</v>
      </c>
      <c r="BY17">
        <v>-0.64285714285714202</v>
      </c>
      <c r="CB17">
        <v>0.1</v>
      </c>
      <c r="CC17">
        <v>-0.152</v>
      </c>
      <c r="CE17">
        <v>8.1666666666666596E-2</v>
      </c>
      <c r="CF17">
        <v>-0.123333333333333</v>
      </c>
      <c r="CI17">
        <v>3.7999999999999999E-2</v>
      </c>
      <c r="CJ17">
        <v>-5.3999999999999999E-2</v>
      </c>
      <c r="CL17">
        <v>7.5999999999999998E-2</v>
      </c>
      <c r="CM17">
        <v>-0.13</v>
      </c>
      <c r="CP17">
        <v>0.128</v>
      </c>
      <c r="CQ17">
        <v>-3.7999999999999999E-2</v>
      </c>
      <c r="CS17">
        <v>2.6666666666666599E-2</v>
      </c>
      <c r="CT17">
        <v>-6.4000000000000001E-2</v>
      </c>
      <c r="CW17">
        <v>0.14000000000000001</v>
      </c>
      <c r="CX17">
        <v>-0.23200000000000001</v>
      </c>
      <c r="CZ17">
        <v>4.4289044289044198E-2</v>
      </c>
      <c r="DA17">
        <v>-0.128504672897196</v>
      </c>
      <c r="DD17">
        <v>0.18648018648018599</v>
      </c>
      <c r="DE17">
        <v>-1.8648018648018599E-2</v>
      </c>
      <c r="DG17">
        <v>0.14285714285714199</v>
      </c>
      <c r="DH17">
        <v>-0.3</v>
      </c>
      <c r="DK17">
        <v>-6.1333333333333302E-2</v>
      </c>
      <c r="DL17">
        <v>-0.224</v>
      </c>
      <c r="DN17">
        <v>0.483870967741935</v>
      </c>
      <c r="DO17">
        <v>-0.14516129032257999</v>
      </c>
      <c r="DR17">
        <v>4.2666666666666603E-2</v>
      </c>
      <c r="DS17">
        <v>-4.2666666666666603E-2</v>
      </c>
      <c r="DU17">
        <v>8.2000000000000003E-2</v>
      </c>
      <c r="DV17">
        <v>-0.09</v>
      </c>
      <c r="DY17">
        <v>0.36599999999999999</v>
      </c>
      <c r="DZ17">
        <v>0.252</v>
      </c>
      <c r="EB17">
        <v>-0.22600000000000001</v>
      </c>
      <c r="EC17">
        <v>-0.502</v>
      </c>
      <c r="EF17">
        <v>-9.3240093240093205E-3</v>
      </c>
      <c r="EG17">
        <v>-0.17249417249417201</v>
      </c>
      <c r="EI17">
        <v>5.3613053613053602E-2</v>
      </c>
      <c r="EJ17">
        <v>-5.3613053613053602E-2</v>
      </c>
      <c r="EM17">
        <v>0.69392523364485903</v>
      </c>
      <c r="EN17">
        <v>0.57242990654205606</v>
      </c>
      <c r="EP17">
        <v>-0.56266666666666598</v>
      </c>
      <c r="EQ17">
        <v>-0.74666666666666603</v>
      </c>
      <c r="ET17">
        <v>0.28358208955223801</v>
      </c>
      <c r="EU17">
        <v>-0.41791044776119401</v>
      </c>
      <c r="EW17">
        <v>-0.24242424242424199</v>
      </c>
      <c r="EX17">
        <v>-0.39627039627039601</v>
      </c>
      <c r="FA17">
        <v>0.21875</v>
      </c>
      <c r="FB17">
        <v>-0.359375</v>
      </c>
      <c r="FD17">
        <v>0.14399999999999999</v>
      </c>
      <c r="FE17">
        <v>-6.1333333333333302E-2</v>
      </c>
      <c r="FH17">
        <v>0.112</v>
      </c>
      <c r="FI17">
        <v>1.3333333333333299E-2</v>
      </c>
      <c r="FK17">
        <v>8.0000000000000002E-3</v>
      </c>
      <c r="FL17">
        <v>-0.17799999999999999</v>
      </c>
      <c r="FO17">
        <v>6.6000000000000003E-2</v>
      </c>
      <c r="FP17">
        <v>-0.05</v>
      </c>
      <c r="FR17">
        <v>0.3</v>
      </c>
      <c r="FS17">
        <v>-0.2</v>
      </c>
      <c r="FV17">
        <v>0.156</v>
      </c>
      <c r="FW17">
        <v>-0.16200000000000001</v>
      </c>
      <c r="FY17">
        <v>-1.6666666666666601E-2</v>
      </c>
      <c r="FZ17">
        <v>-0.171666666666666</v>
      </c>
      <c r="GC17">
        <v>4.8000000000000001E-2</v>
      </c>
      <c r="GD17">
        <v>-0.16800000000000001</v>
      </c>
      <c r="GF17">
        <v>9.3240093240093205E-2</v>
      </c>
      <c r="GG17">
        <v>-0.15151515151515099</v>
      </c>
      <c r="GJ17">
        <v>0.229333333333333</v>
      </c>
      <c r="GK17">
        <v>-1.06666666666666E-2</v>
      </c>
      <c r="GM17">
        <v>0</v>
      </c>
      <c r="GN17">
        <v>-0.188</v>
      </c>
      <c r="GQ17">
        <v>-5.1282051282051197E-2</v>
      </c>
      <c r="GR17">
        <v>-0.16822429906542</v>
      </c>
      <c r="GT17">
        <v>0.18666666666666601</v>
      </c>
      <c r="GU17">
        <v>-4.33333333333333E-2</v>
      </c>
      <c r="GX17">
        <v>0.13666666666666599</v>
      </c>
      <c r="GY17">
        <v>-5.83333333333333E-2</v>
      </c>
      <c r="HA17">
        <v>-5.1999999999999998E-2</v>
      </c>
      <c r="HB17">
        <v>-0.19600000000000001</v>
      </c>
      <c r="HE17">
        <v>5.1051051051050997E-2</v>
      </c>
      <c r="HF17">
        <v>-0.192192192192192</v>
      </c>
      <c r="HH17">
        <v>0.13800000000000001</v>
      </c>
      <c r="HI17">
        <v>-5.3999999999999999E-2</v>
      </c>
      <c r="HL17">
        <v>-8.0000000000000002E-3</v>
      </c>
      <c r="HM17">
        <v>-8.7999999999999995E-2</v>
      </c>
      <c r="HO17">
        <v>0.146666666666666</v>
      </c>
      <c r="HP17">
        <v>-1.06666666666666E-2</v>
      </c>
      <c r="HS17">
        <v>0.138333333333333</v>
      </c>
      <c r="HT17">
        <v>-0.233333333333333</v>
      </c>
      <c r="HV17">
        <v>-0.04</v>
      </c>
      <c r="HW17">
        <v>-0.158</v>
      </c>
      <c r="HZ17">
        <v>0.11799999999999999</v>
      </c>
      <c r="IA17">
        <v>-0.108</v>
      </c>
      <c r="IC17">
        <v>2.9333333333333302E-2</v>
      </c>
      <c r="ID17">
        <v>-0.18</v>
      </c>
      <c r="IG17">
        <v>5.3999999999999999E-2</v>
      </c>
      <c r="IH17">
        <v>-8.4000000000000005E-2</v>
      </c>
      <c r="IJ17">
        <v>4.6620046620046603E-3</v>
      </c>
      <c r="IK17">
        <v>-8.4112149532710206E-2</v>
      </c>
      <c r="IN17">
        <v>0.10199999999999999</v>
      </c>
      <c r="IO17">
        <v>-0.104</v>
      </c>
      <c r="IQ17">
        <v>0.08</v>
      </c>
      <c r="IR17">
        <v>-0.12666666666666601</v>
      </c>
      <c r="IU17">
        <v>0.26573426573426501</v>
      </c>
      <c r="IV17">
        <v>-1.4018691588785E-2</v>
      </c>
      <c r="IX17">
        <v>-4.5999999999999999E-2</v>
      </c>
      <c r="IY17">
        <v>-0.33</v>
      </c>
      <c r="JB17">
        <v>0.124</v>
      </c>
      <c r="JC17">
        <v>1.6E-2</v>
      </c>
      <c r="JE17">
        <v>6.5573770491803199E-2</v>
      </c>
      <c r="JF17">
        <v>-0.27868852459016302</v>
      </c>
      <c r="JI17">
        <v>0.114666666666666</v>
      </c>
      <c r="JJ17">
        <v>-1.8666666666666599E-2</v>
      </c>
      <c r="JL17">
        <v>0.18032786885245899</v>
      </c>
      <c r="JM17">
        <v>-0.32786885245901598</v>
      </c>
      <c r="JP17">
        <v>0.122</v>
      </c>
      <c r="JQ17">
        <v>-2.1999999999999999E-2</v>
      </c>
      <c r="JS17">
        <v>0.17599999999999999</v>
      </c>
      <c r="JT17">
        <v>-0.09</v>
      </c>
      <c r="JW17">
        <v>0.17599999999999999</v>
      </c>
      <c r="JX17">
        <v>-9.3333333333333296E-2</v>
      </c>
      <c r="JZ17">
        <v>-3.9719626168224297E-2</v>
      </c>
      <c r="KA17">
        <v>-0.233644859813084</v>
      </c>
      <c r="KD17">
        <v>-8.7999999999999995E-2</v>
      </c>
      <c r="KE17">
        <v>-0.242666666666666</v>
      </c>
      <c r="KG17">
        <v>0.20046620046620001</v>
      </c>
      <c r="KH17">
        <v>9.5571095571095499E-2</v>
      </c>
      <c r="KK17">
        <v>0.221445221445221</v>
      </c>
      <c r="KL17">
        <v>-0.18224299065420499</v>
      </c>
      <c r="KN17">
        <v>-9.3240093240093205E-2</v>
      </c>
      <c r="KO17">
        <v>-0.33644859813084099</v>
      </c>
      <c r="KR17">
        <v>-4.4776119402985003E-2</v>
      </c>
      <c r="KS17">
        <v>-0.53731343283582</v>
      </c>
      <c r="KU17">
        <v>0.14799999999999999</v>
      </c>
      <c r="KV17">
        <v>5.6000000000000001E-2</v>
      </c>
      <c r="KY17">
        <v>4.8951048951048903E-2</v>
      </c>
      <c r="KZ17">
        <v>-0.17523364485981299</v>
      </c>
      <c r="LB17">
        <v>3.7999999999999999E-2</v>
      </c>
      <c r="LC17">
        <v>-6.8000000000000005E-2</v>
      </c>
      <c r="LF17">
        <v>0.16166666666666599</v>
      </c>
      <c r="LG17">
        <v>8.5000000000000006E-2</v>
      </c>
      <c r="LI17">
        <v>-4.4289044289044198E-2</v>
      </c>
      <c r="LJ17">
        <v>-0.11448598130841101</v>
      </c>
      <c r="LM17">
        <v>0.16600000000000001</v>
      </c>
      <c r="LN17">
        <v>-2.4E-2</v>
      </c>
      <c r="LP17">
        <v>-5.0000000000000001E-3</v>
      </c>
      <c r="LQ17">
        <v>-0.23</v>
      </c>
      <c r="LT17">
        <v>4.1666666666666602E-2</v>
      </c>
      <c r="LU17">
        <v>-2.8333333333333301E-2</v>
      </c>
      <c r="LW17">
        <v>0.1</v>
      </c>
      <c r="LX17">
        <v>-7.8E-2</v>
      </c>
      <c r="MA17">
        <v>0.08</v>
      </c>
      <c r="MB17">
        <v>-6.6666666666666596E-2</v>
      </c>
      <c r="MD17">
        <v>1.3986013986013899E-2</v>
      </c>
      <c r="ME17">
        <v>-8.8785046728971903E-2</v>
      </c>
      <c r="MH17">
        <v>0.104</v>
      </c>
      <c r="MI17">
        <v>-9.0666666666666604E-2</v>
      </c>
      <c r="MK17">
        <v>6.8000000000000005E-2</v>
      </c>
      <c r="ML17">
        <v>-0.09</v>
      </c>
      <c r="MN17">
        <f t="shared" si="0"/>
        <v>0.15272614948099997</v>
      </c>
      <c r="MO17">
        <f t="shared" si="1"/>
        <v>-7.8305431163505967E-2</v>
      </c>
      <c r="MQ17">
        <f t="shared" si="2"/>
        <v>6.9544511875438725E-2</v>
      </c>
      <c r="MR17">
        <f t="shared" si="3"/>
        <v>-0.12893953976364259</v>
      </c>
    </row>
    <row r="18" spans="3:356" x14ac:dyDescent="0.25">
      <c r="C18">
        <v>0.21833333333333299</v>
      </c>
      <c r="D18">
        <v>0.11333333333333299</v>
      </c>
      <c r="F18">
        <v>4.4117647058823498E-2</v>
      </c>
      <c r="G18">
        <v>-0.47058823529411697</v>
      </c>
      <c r="J18">
        <v>6.1333333333333302E-2</v>
      </c>
      <c r="K18">
        <v>-0.08</v>
      </c>
      <c r="M18">
        <v>0.12</v>
      </c>
      <c r="N18">
        <v>-0.08</v>
      </c>
      <c r="Q18">
        <v>0.16266666666666599</v>
      </c>
      <c r="R18">
        <v>-0.112</v>
      </c>
      <c r="T18">
        <v>0.03</v>
      </c>
      <c r="U18">
        <v>-0.17</v>
      </c>
      <c r="X18">
        <v>-0.14333333333333301</v>
      </c>
      <c r="Y18">
        <v>-0.22</v>
      </c>
      <c r="AA18">
        <v>0.30536130536130501</v>
      </c>
      <c r="AB18">
        <v>3.2634032634032598E-2</v>
      </c>
      <c r="AE18">
        <v>2.5999999999999999E-2</v>
      </c>
      <c r="AF18">
        <v>-0.25600000000000001</v>
      </c>
      <c r="AH18">
        <v>1.33333333333333E-3</v>
      </c>
      <c r="AI18">
        <v>-0.13600000000000001</v>
      </c>
      <c r="AL18">
        <v>0.177570093457943</v>
      </c>
      <c r="AM18">
        <v>-2.57009345794392E-2</v>
      </c>
      <c r="AO18">
        <v>-0.03</v>
      </c>
      <c r="AP18">
        <v>-0.14833333333333301</v>
      </c>
      <c r="AS18">
        <v>1.06666666666666E-2</v>
      </c>
      <c r="AT18">
        <v>-0.22666666666666599</v>
      </c>
      <c r="AV18">
        <v>7.0000000000000007E-2</v>
      </c>
      <c r="AW18">
        <v>8.0000000000000002E-3</v>
      </c>
      <c r="AZ18">
        <v>0.36144578313253001</v>
      </c>
      <c r="BA18">
        <v>-0.33333333333333298</v>
      </c>
      <c r="BC18">
        <v>0.31395348837209303</v>
      </c>
      <c r="BD18">
        <v>-0.38823529411764701</v>
      </c>
      <c r="BG18">
        <v>-3.5999999999999997E-2</v>
      </c>
      <c r="BH18">
        <v>-0.16400000000000001</v>
      </c>
      <c r="BJ18">
        <v>0.19400000000000001</v>
      </c>
      <c r="BK18">
        <v>-4.2000000000000003E-2</v>
      </c>
      <c r="BN18">
        <v>-0.185714285714285</v>
      </c>
      <c r="BO18">
        <v>-1</v>
      </c>
      <c r="BQ18">
        <v>0.43</v>
      </c>
      <c r="BR18">
        <v>0.32</v>
      </c>
      <c r="BU18">
        <v>0.31231231231231199</v>
      </c>
      <c r="BV18">
        <v>0.125748502994011</v>
      </c>
      <c r="BX18">
        <v>-0.158508158508158</v>
      </c>
      <c r="BY18">
        <v>-0.34498834498834402</v>
      </c>
      <c r="CB18">
        <v>2.09580838323353E-2</v>
      </c>
      <c r="CC18">
        <v>-0.21621621621621601</v>
      </c>
      <c r="CE18">
        <v>0.17333333333333301</v>
      </c>
      <c r="CF18">
        <v>-0.14399999999999999</v>
      </c>
      <c r="CI18">
        <v>6.6666666666666596E-2</v>
      </c>
      <c r="CJ18">
        <v>-6.3333333333333297E-2</v>
      </c>
      <c r="CL18">
        <v>7.5999999999999998E-2</v>
      </c>
      <c r="CM18">
        <v>-0.186</v>
      </c>
      <c r="CP18">
        <v>0.11</v>
      </c>
      <c r="CQ18">
        <v>-5.8000000000000003E-2</v>
      </c>
      <c r="CS18">
        <v>2.9333333333333302E-2</v>
      </c>
      <c r="CT18">
        <v>-0.23733333333333301</v>
      </c>
      <c r="CW18">
        <v>9.11214953271028E-2</v>
      </c>
      <c r="CX18">
        <v>-7.9439252336448593E-2</v>
      </c>
      <c r="CZ18">
        <v>2.8000000000000001E-2</v>
      </c>
      <c r="DA18">
        <v>-0.112</v>
      </c>
      <c r="DD18">
        <v>0.29166666666666602</v>
      </c>
      <c r="DE18">
        <v>-0.26760563380281599</v>
      </c>
      <c r="DG18">
        <v>0.16266666666666599</v>
      </c>
      <c r="DH18">
        <v>1.8666666666666599E-2</v>
      </c>
      <c r="DK18">
        <v>-2.8333333333333301E-2</v>
      </c>
      <c r="DL18">
        <v>-0.23</v>
      </c>
      <c r="DN18">
        <v>0.38461538461538403</v>
      </c>
      <c r="DO18">
        <v>-0.261538461538461</v>
      </c>
      <c r="DR18">
        <v>8.66666666666666E-2</v>
      </c>
      <c r="DS18">
        <v>5.0000000000000001E-3</v>
      </c>
      <c r="DU18">
        <v>0.35384615384615298</v>
      </c>
      <c r="DV18">
        <v>-0.38461538461538403</v>
      </c>
      <c r="DY18">
        <v>0.38933333333333298</v>
      </c>
      <c r="DZ18">
        <v>0.26400000000000001</v>
      </c>
      <c r="EB18">
        <v>-0.221445221445221</v>
      </c>
      <c r="EC18">
        <v>-0.355140186915887</v>
      </c>
      <c r="EF18">
        <v>0.18833333333333299</v>
      </c>
      <c r="EG18">
        <v>-0.116666666666666</v>
      </c>
      <c r="EI18">
        <v>-0.125874125874125</v>
      </c>
      <c r="EJ18">
        <v>-0.257009345794392</v>
      </c>
      <c r="EM18">
        <v>0.70166666666666599</v>
      </c>
      <c r="EN18">
        <v>0.54500000000000004</v>
      </c>
      <c r="EP18">
        <v>-0.63800000000000001</v>
      </c>
      <c r="EQ18">
        <v>-0.74</v>
      </c>
      <c r="ET18">
        <v>0.28000000000000003</v>
      </c>
      <c r="EU18">
        <v>0.192</v>
      </c>
      <c r="EW18">
        <v>-2.53164556962025E-2</v>
      </c>
      <c r="EX18">
        <v>-0.50632911392405</v>
      </c>
      <c r="FA18">
        <v>6.5000000000000002E-2</v>
      </c>
      <c r="FB18">
        <v>-0.11333333333333299</v>
      </c>
      <c r="FD18">
        <v>5.3333333333333302E-2</v>
      </c>
      <c r="FE18">
        <v>-6.2666666666666607E-2</v>
      </c>
      <c r="FH18">
        <v>8.2000000000000003E-2</v>
      </c>
      <c r="FI18">
        <v>-3.2000000000000001E-2</v>
      </c>
      <c r="FK18">
        <v>4.33333333333333E-2</v>
      </c>
      <c r="FL18">
        <v>-6.8333333333333302E-2</v>
      </c>
      <c r="FO18">
        <v>-0.101333333333333</v>
      </c>
      <c r="FP18">
        <v>-0.234666666666666</v>
      </c>
      <c r="FR18">
        <v>0.30599999999999999</v>
      </c>
      <c r="FS18">
        <v>1.6E-2</v>
      </c>
      <c r="FV18">
        <v>0.13800000000000001</v>
      </c>
      <c r="FW18">
        <v>-0.05</v>
      </c>
      <c r="FY18">
        <v>1.2012012012012E-2</v>
      </c>
      <c r="FZ18">
        <v>-0.17664670658682599</v>
      </c>
      <c r="GC18">
        <v>1.8666666666666599E-2</v>
      </c>
      <c r="GD18">
        <v>-0.165333333333333</v>
      </c>
      <c r="GF18">
        <v>7.7333333333333296E-2</v>
      </c>
      <c r="GG18">
        <v>-3.5999999999999997E-2</v>
      </c>
      <c r="GJ18">
        <v>0.13519813519813501</v>
      </c>
      <c r="GK18">
        <v>-2.57009345794392E-2</v>
      </c>
      <c r="GM18">
        <v>4.3999999999999997E-2</v>
      </c>
      <c r="GN18">
        <v>-0.17</v>
      </c>
      <c r="GQ18">
        <v>-0.10489510489510399</v>
      </c>
      <c r="GR18">
        <v>-0.21962616822429901</v>
      </c>
      <c r="GT18">
        <v>9.8666666666666597E-2</v>
      </c>
      <c r="GU18">
        <v>1.46666666666666E-2</v>
      </c>
      <c r="GX18">
        <v>0.20499999999999999</v>
      </c>
      <c r="GY18">
        <v>0.05</v>
      </c>
      <c r="HA18">
        <v>-6.6666666666666596E-2</v>
      </c>
      <c r="HB18">
        <v>-0.16800000000000001</v>
      </c>
      <c r="HE18">
        <v>4.2042042042041997E-2</v>
      </c>
      <c r="HF18">
        <v>-0.16167664670658599</v>
      </c>
      <c r="HH18">
        <v>0.13500000000000001</v>
      </c>
      <c r="HI18">
        <v>-5.5E-2</v>
      </c>
      <c r="HL18">
        <v>0.14685314685314599</v>
      </c>
      <c r="HM18">
        <v>-0.23310023310023301</v>
      </c>
      <c r="HO18">
        <v>-3.5000000000000003E-2</v>
      </c>
      <c r="HP18">
        <v>-8.6999999999999994E-2</v>
      </c>
      <c r="HS18">
        <v>0.16</v>
      </c>
      <c r="HT18">
        <v>0.04</v>
      </c>
      <c r="HV18">
        <v>-9.3333333333333296E-2</v>
      </c>
      <c r="HW18">
        <v>-0.31666666666666599</v>
      </c>
      <c r="HZ18">
        <v>2.9333333333333302E-2</v>
      </c>
      <c r="IA18">
        <v>-0.12533333333333299</v>
      </c>
      <c r="IC18">
        <v>5.6074766355140103E-2</v>
      </c>
      <c r="ID18">
        <v>-0.12121212121212099</v>
      </c>
      <c r="IG18">
        <v>0.109333333333333</v>
      </c>
      <c r="IH18">
        <v>-0.101333333333333</v>
      </c>
      <c r="IJ18">
        <v>6.5420560747663503E-2</v>
      </c>
      <c r="IK18">
        <v>-0.17016317016317001</v>
      </c>
      <c r="IN18">
        <v>1.16666666666666E-2</v>
      </c>
      <c r="IO18">
        <v>-0.10666666666666599</v>
      </c>
      <c r="IQ18">
        <v>0.112</v>
      </c>
      <c r="IR18">
        <v>-2.4E-2</v>
      </c>
      <c r="IU18">
        <v>0.36799999999999999</v>
      </c>
      <c r="IV18">
        <v>-0.05</v>
      </c>
      <c r="IX18">
        <v>-6.1666666666666599E-2</v>
      </c>
      <c r="IY18">
        <v>-0.34666666666666601</v>
      </c>
      <c r="JB18">
        <v>0.19</v>
      </c>
      <c r="JC18">
        <v>4.2000000000000003E-2</v>
      </c>
      <c r="JE18">
        <v>-0.13166666666666599</v>
      </c>
      <c r="JF18">
        <v>-0.19166666666666601</v>
      </c>
      <c r="JI18">
        <v>5.5944055944055902E-2</v>
      </c>
      <c r="JJ18">
        <v>-4.4289044289044198E-2</v>
      </c>
      <c r="JL18">
        <v>-1.6666666666666601E-2</v>
      </c>
      <c r="JM18">
        <v>-0.08</v>
      </c>
      <c r="JP18">
        <v>-0.1</v>
      </c>
      <c r="JQ18">
        <v>-0.248</v>
      </c>
      <c r="JS18">
        <v>0.453125</v>
      </c>
      <c r="JT18">
        <v>-4.6875E-2</v>
      </c>
      <c r="JW18">
        <v>0.28358208955223801</v>
      </c>
      <c r="JX18">
        <v>-0.30303030303030298</v>
      </c>
      <c r="JZ18">
        <v>6.2E-2</v>
      </c>
      <c r="KA18">
        <v>-0.104</v>
      </c>
      <c r="KD18">
        <v>6.3291139240506306E-2</v>
      </c>
      <c r="KE18">
        <v>-0.367088607594936</v>
      </c>
      <c r="KG18">
        <v>7.2429906542056E-2</v>
      </c>
      <c r="KH18">
        <v>-0.109557109557109</v>
      </c>
      <c r="KK18">
        <v>0.188811188811188</v>
      </c>
      <c r="KL18">
        <v>3.03738317757009E-2</v>
      </c>
      <c r="KN18">
        <v>-0.128</v>
      </c>
      <c r="KO18">
        <v>-0.29399999999999998</v>
      </c>
      <c r="KR18">
        <v>-6.07476635514018E-2</v>
      </c>
      <c r="KS18">
        <v>-0.20279720279720201</v>
      </c>
      <c r="KU18">
        <v>0.152</v>
      </c>
      <c r="KV18">
        <v>-1.6E-2</v>
      </c>
      <c r="KY18">
        <v>0.13084112149532701</v>
      </c>
      <c r="KZ18">
        <v>-0.13986013986013901</v>
      </c>
      <c r="LB18">
        <v>1.33333333333333E-3</v>
      </c>
      <c r="LC18">
        <v>-7.7333333333333296E-2</v>
      </c>
      <c r="LF18">
        <v>8.66666666666666E-2</v>
      </c>
      <c r="LG18">
        <v>-3.0666666666666599E-2</v>
      </c>
      <c r="LI18">
        <v>0</v>
      </c>
      <c r="LJ18">
        <v>-0.17289719626168201</v>
      </c>
      <c r="LM18">
        <v>0.112</v>
      </c>
      <c r="LN18">
        <v>-1.3333333333333299E-2</v>
      </c>
      <c r="LP18">
        <v>-7.4999999999999997E-2</v>
      </c>
      <c r="LQ18">
        <v>-0.14000000000000001</v>
      </c>
      <c r="LT18">
        <v>2.39520958083832E-2</v>
      </c>
      <c r="LU18">
        <v>-0.16816816816816799</v>
      </c>
      <c r="LW18">
        <v>8.2666666666666597E-2</v>
      </c>
      <c r="LX18">
        <v>-2.6666666666666601E-3</v>
      </c>
      <c r="MA18">
        <v>0.15</v>
      </c>
      <c r="MB18">
        <v>-3.4000000000000002E-2</v>
      </c>
      <c r="MD18">
        <v>0.125874125874125</v>
      </c>
      <c r="ME18">
        <v>-0.14452214452214401</v>
      </c>
      <c r="MH18">
        <v>6.9930069930069904E-3</v>
      </c>
      <c r="MI18">
        <v>-0.154205607476635</v>
      </c>
      <c r="MK18">
        <v>0.112</v>
      </c>
      <c r="ML18">
        <v>-8.4000000000000005E-2</v>
      </c>
      <c r="MN18">
        <f t="shared" si="0"/>
        <v>0.13569703469023303</v>
      </c>
      <c r="MO18">
        <f t="shared" si="1"/>
        <v>-6.37386354537509E-2</v>
      </c>
      <c r="MQ18">
        <f t="shared" si="2"/>
        <v>0.10454448203673727</v>
      </c>
      <c r="MR18">
        <f t="shared" si="3"/>
        <v>-0.12853639624407376</v>
      </c>
    </row>
    <row r="19" spans="3:356" x14ac:dyDescent="0.25">
      <c r="C19">
        <v>0.26133333333333297</v>
      </c>
      <c r="D19">
        <v>0.117333333333333</v>
      </c>
      <c r="F19">
        <v>-7.00934579439252E-2</v>
      </c>
      <c r="G19">
        <v>-0.30140186915887801</v>
      </c>
      <c r="J19">
        <v>0.234375</v>
      </c>
      <c r="K19">
        <v>-0.375</v>
      </c>
      <c r="M19">
        <v>0.150684931506849</v>
      </c>
      <c r="N19">
        <v>-0.465753424657534</v>
      </c>
      <c r="Q19">
        <v>0.36486486486486402</v>
      </c>
      <c r="R19">
        <v>-0.36986301369863001</v>
      </c>
      <c r="T19">
        <v>-0.1</v>
      </c>
      <c r="U19">
        <v>-0.308</v>
      </c>
      <c r="X19">
        <v>-0.33733333333333299</v>
      </c>
      <c r="Y19">
        <v>-0.37066666666666598</v>
      </c>
      <c r="AA19">
        <v>0.67857142857142805</v>
      </c>
      <c r="AB19">
        <v>0.119047619047619</v>
      </c>
      <c r="AE19">
        <v>0.14799999999999999</v>
      </c>
      <c r="AF19">
        <v>-0.154</v>
      </c>
      <c r="AH19">
        <v>-5.5E-2</v>
      </c>
      <c r="AI19">
        <v>-0.109</v>
      </c>
      <c r="AL19">
        <v>0.44600000000000001</v>
      </c>
      <c r="AM19">
        <v>-2.1999999999999999E-2</v>
      </c>
      <c r="AO19">
        <v>7.4999999999999997E-2</v>
      </c>
      <c r="AP19">
        <v>-0.21833333333333299</v>
      </c>
      <c r="AS19">
        <v>-5.0000000000000001E-3</v>
      </c>
      <c r="AT19">
        <v>-0.14833333333333301</v>
      </c>
      <c r="AV19">
        <v>1.16822429906542E-2</v>
      </c>
      <c r="AW19">
        <v>-8.6247086247086199E-2</v>
      </c>
      <c r="AZ19">
        <v>-0.25233644859812998</v>
      </c>
      <c r="BA19">
        <v>-0.39860139860139798</v>
      </c>
      <c r="BC19">
        <v>0.45066666666666599</v>
      </c>
      <c r="BD19">
        <v>0.10666666666666599</v>
      </c>
      <c r="BG19">
        <v>-9.83333333333333E-2</v>
      </c>
      <c r="BH19">
        <v>-0.23499999999999999</v>
      </c>
      <c r="BJ19">
        <v>0.123831775700934</v>
      </c>
      <c r="BK19">
        <v>7.0093457943925198E-3</v>
      </c>
      <c r="BN19">
        <v>-0.326340326340326</v>
      </c>
      <c r="BO19">
        <v>-0.55011655011655003</v>
      </c>
      <c r="BQ19">
        <v>0.46133333333333298</v>
      </c>
      <c r="BR19">
        <v>0.26</v>
      </c>
      <c r="BU19">
        <v>0.28599999999999998</v>
      </c>
      <c r="BV19">
        <v>0.14599999999999999</v>
      </c>
      <c r="BX19">
        <v>-0.158508158508158</v>
      </c>
      <c r="BY19">
        <v>-0.29836829836829798</v>
      </c>
      <c r="CB19">
        <v>1.6E-2</v>
      </c>
      <c r="CC19">
        <v>-0.26400000000000001</v>
      </c>
      <c r="CE19">
        <v>0.121495327102803</v>
      </c>
      <c r="CF19">
        <v>-5.8411214953271E-2</v>
      </c>
      <c r="CI19">
        <v>0.35499999999999998</v>
      </c>
      <c r="CJ19">
        <v>-0.22666666666666599</v>
      </c>
      <c r="CL19">
        <v>-0.193925233644859</v>
      </c>
      <c r="CM19">
        <v>-0.45920745920745898</v>
      </c>
      <c r="CP19">
        <v>8.3916083916083906E-2</v>
      </c>
      <c r="CQ19">
        <v>-9.7902097902097904E-2</v>
      </c>
      <c r="CS19">
        <v>4.5999999999999999E-2</v>
      </c>
      <c r="CT19">
        <v>-0.10199999999999999</v>
      </c>
      <c r="CW19">
        <v>8.1666666666666596E-2</v>
      </c>
      <c r="CX19">
        <v>-4.6666666666666599E-2</v>
      </c>
      <c r="CZ19">
        <v>7.5999999999999998E-2</v>
      </c>
      <c r="DA19">
        <v>-0.08</v>
      </c>
      <c r="DD19">
        <v>-3.0030030030029999E-2</v>
      </c>
      <c r="DE19">
        <v>-0.201201201201201</v>
      </c>
      <c r="DG19">
        <v>0.16783216783216701</v>
      </c>
      <c r="DH19">
        <v>0.109557109557109</v>
      </c>
      <c r="DK19">
        <v>-6.6666666666666602E-3</v>
      </c>
      <c r="DL19">
        <v>-0.22</v>
      </c>
      <c r="DN19">
        <v>0.39705882352941102</v>
      </c>
      <c r="DO19">
        <v>-0.25</v>
      </c>
      <c r="DR19">
        <v>-0.188</v>
      </c>
      <c r="DS19">
        <v>-0.378</v>
      </c>
      <c r="DU19">
        <v>0.31166666666666598</v>
      </c>
      <c r="DV19">
        <v>0.115</v>
      </c>
      <c r="DY19">
        <v>0.30499999999999999</v>
      </c>
      <c r="DZ19">
        <v>0.171666666666666</v>
      </c>
      <c r="EB19">
        <v>-0.19</v>
      </c>
      <c r="EC19">
        <v>-0.442</v>
      </c>
      <c r="EF19">
        <v>0.22800000000000001</v>
      </c>
      <c r="EG19">
        <v>0.106</v>
      </c>
      <c r="EI19">
        <v>-0.108</v>
      </c>
      <c r="EJ19">
        <v>-0.22600000000000001</v>
      </c>
      <c r="EM19">
        <v>0.86419753086419704</v>
      </c>
      <c r="EN19">
        <v>0.41975308641975301</v>
      </c>
      <c r="EP19">
        <v>-0.78269617706237404</v>
      </c>
      <c r="EQ19">
        <v>-1</v>
      </c>
      <c r="ET19">
        <v>0.41975308641975301</v>
      </c>
      <c r="EU19">
        <v>-7.4074074074074001E-2</v>
      </c>
      <c r="EW19">
        <v>-8.6448598130841103E-2</v>
      </c>
      <c r="EX19">
        <v>-0.21962616822429901</v>
      </c>
      <c r="FA19">
        <v>0.137850467289719</v>
      </c>
      <c r="FB19">
        <v>-8.6247086247086199E-2</v>
      </c>
      <c r="FD19">
        <v>4.1000000000000002E-2</v>
      </c>
      <c r="FE19">
        <v>-7.5999999999999998E-2</v>
      </c>
      <c r="FH19">
        <v>0.155</v>
      </c>
      <c r="FI19">
        <v>-3.6666666666666597E-2</v>
      </c>
      <c r="FK19">
        <v>-0.10666666666666599</v>
      </c>
      <c r="FL19">
        <v>-0.27200000000000002</v>
      </c>
      <c r="FO19">
        <v>4.90654205607476E-2</v>
      </c>
      <c r="FP19">
        <v>-0.184579439252336</v>
      </c>
      <c r="FR19">
        <v>0.27600000000000002</v>
      </c>
      <c r="FS19">
        <v>-0.20799999999999999</v>
      </c>
      <c r="FV19">
        <v>6.8000000000000005E-2</v>
      </c>
      <c r="FW19">
        <v>-7.8666666666666593E-2</v>
      </c>
      <c r="FY19">
        <v>3.4666666666666603E-2</v>
      </c>
      <c r="FZ19">
        <v>-0.18133333333333301</v>
      </c>
      <c r="GC19">
        <v>0.189873417721519</v>
      </c>
      <c r="GD19">
        <v>-0.316455696202531</v>
      </c>
      <c r="GF19">
        <v>7.3999999999999996E-2</v>
      </c>
      <c r="GG19">
        <v>-7.8E-2</v>
      </c>
      <c r="GJ19">
        <v>0.14685314685314599</v>
      </c>
      <c r="GK19">
        <v>-0.18691588785046701</v>
      </c>
      <c r="GM19">
        <v>1.16666666666666E-2</v>
      </c>
      <c r="GN19">
        <v>-0.118333333333333</v>
      </c>
      <c r="GQ19">
        <v>-5.3738317757009303E-2</v>
      </c>
      <c r="GR19">
        <v>-0.24242424242424199</v>
      </c>
      <c r="GT19">
        <v>0.26400000000000001</v>
      </c>
      <c r="GU19">
        <v>-9.4E-2</v>
      </c>
      <c r="GX19">
        <v>0.14599999999999999</v>
      </c>
      <c r="GY19">
        <v>0.03</v>
      </c>
      <c r="HA19">
        <v>-6.5268065268065195E-2</v>
      </c>
      <c r="HB19">
        <v>-0.23310023310023301</v>
      </c>
      <c r="HE19">
        <v>-1.2E-2</v>
      </c>
      <c r="HF19">
        <v>-0.14133333333333301</v>
      </c>
      <c r="HH19">
        <v>0.101333333333333</v>
      </c>
      <c r="HI19">
        <v>-5.3333333333333302E-2</v>
      </c>
      <c r="HL19">
        <v>0.44266666666666599</v>
      </c>
      <c r="HM19">
        <v>-0.08</v>
      </c>
      <c r="HO19">
        <v>9.34579439252336E-2</v>
      </c>
      <c r="HP19">
        <v>-0.18181818181818099</v>
      </c>
      <c r="HS19">
        <v>0.15868263473053801</v>
      </c>
      <c r="HT19">
        <v>1.8018018018018001E-2</v>
      </c>
      <c r="HV19">
        <v>-6.1333333333333302E-2</v>
      </c>
      <c r="HW19">
        <v>-0.224</v>
      </c>
      <c r="HZ19">
        <v>0.24691358024691301</v>
      </c>
      <c r="IA19">
        <v>-0.32098765432098703</v>
      </c>
      <c r="IC19">
        <v>0.24199999999999999</v>
      </c>
      <c r="ID19">
        <v>-0.11600000000000001</v>
      </c>
      <c r="IG19">
        <v>9.6666666666666595E-2</v>
      </c>
      <c r="IH19">
        <v>-2.1666666666666601E-2</v>
      </c>
      <c r="IJ19">
        <v>3.7296037296037199E-2</v>
      </c>
      <c r="IK19">
        <v>-0.114219114219114</v>
      </c>
      <c r="IN19">
        <v>0.06</v>
      </c>
      <c r="IO19">
        <v>-0.28499999999999998</v>
      </c>
      <c r="IQ19">
        <v>5.8666666666666603E-2</v>
      </c>
      <c r="IR19">
        <v>-7.5999999999999998E-2</v>
      </c>
      <c r="IU19">
        <v>0.193473193473193</v>
      </c>
      <c r="IV19">
        <v>-1.8648018648018599E-2</v>
      </c>
      <c r="IX19">
        <v>-0.14199999999999999</v>
      </c>
      <c r="IY19">
        <v>-0.29599999999999999</v>
      </c>
      <c r="JB19">
        <v>0.224</v>
      </c>
      <c r="JC19">
        <v>0.106</v>
      </c>
      <c r="JE19">
        <v>-0.123333333333333</v>
      </c>
      <c r="JF19">
        <v>-0.19166666666666601</v>
      </c>
      <c r="JI19">
        <v>0.108</v>
      </c>
      <c r="JJ19">
        <v>-4.8000000000000001E-2</v>
      </c>
      <c r="JL19">
        <v>-0.06</v>
      </c>
      <c r="JM19">
        <v>-0.13166666666666599</v>
      </c>
      <c r="JP19">
        <v>-3.6666666666666597E-2</v>
      </c>
      <c r="JQ19">
        <v>-0.206666666666666</v>
      </c>
      <c r="JS19">
        <v>0.20399999999999999</v>
      </c>
      <c r="JT19">
        <v>-0.08</v>
      </c>
      <c r="JW19">
        <v>-2.6666666666666601E-3</v>
      </c>
      <c r="JX19">
        <v>-7.7333333333333296E-2</v>
      </c>
      <c r="JZ19">
        <v>0.13053613053613</v>
      </c>
      <c r="KA19">
        <v>-9.11214953271028E-2</v>
      </c>
      <c r="KD19">
        <v>5.6000000000000001E-2</v>
      </c>
      <c r="KE19">
        <v>-0.23200000000000001</v>
      </c>
      <c r="KG19">
        <v>-0.01</v>
      </c>
      <c r="KH19">
        <v>-0.188</v>
      </c>
      <c r="KK19">
        <v>0.316</v>
      </c>
      <c r="KL19">
        <v>9.4E-2</v>
      </c>
      <c r="KN19">
        <v>-0.19500000000000001</v>
      </c>
      <c r="KO19">
        <v>-0.43833333333333302</v>
      </c>
      <c r="KR19">
        <v>-4.90654205607476E-2</v>
      </c>
      <c r="KS19">
        <v>-0.13053613053613</v>
      </c>
      <c r="KU19">
        <v>6.6666666666666596E-2</v>
      </c>
      <c r="KV19">
        <v>8.3333333333333297E-3</v>
      </c>
      <c r="KY19">
        <v>7.8E-2</v>
      </c>
      <c r="KZ19">
        <v>-4.3999999999999997E-2</v>
      </c>
      <c r="LB19">
        <v>0.26744186046511598</v>
      </c>
      <c r="LC19">
        <v>-0.209302325581395</v>
      </c>
      <c r="LF19">
        <v>0.114</v>
      </c>
      <c r="LG19">
        <v>-0.106</v>
      </c>
      <c r="LI19">
        <v>-2.4E-2</v>
      </c>
      <c r="LJ19">
        <v>-0.15</v>
      </c>
      <c r="LM19">
        <v>0.32876712328767099</v>
      </c>
      <c r="LN19">
        <v>-0.20270270270270199</v>
      </c>
      <c r="LP19">
        <v>9.3023255813953404E-2</v>
      </c>
      <c r="LQ19">
        <v>-0.39534883720930197</v>
      </c>
      <c r="LT19">
        <v>1.2E-2</v>
      </c>
      <c r="LU19">
        <v>-0.106</v>
      </c>
      <c r="LW19">
        <v>0.09</v>
      </c>
      <c r="LX19">
        <v>-0.19</v>
      </c>
      <c r="MA19">
        <v>0.14399999999999999</v>
      </c>
      <c r="MB19">
        <v>-6.2E-2</v>
      </c>
      <c r="MD19">
        <v>3.7999999999999999E-2</v>
      </c>
      <c r="ME19">
        <v>-0.27600000000000002</v>
      </c>
      <c r="MH19">
        <v>8.1775700934579407E-2</v>
      </c>
      <c r="MI19">
        <v>-0.135514018691588</v>
      </c>
      <c r="MK19">
        <v>7.5999999999999998E-2</v>
      </c>
      <c r="ML19">
        <v>-0.124</v>
      </c>
      <c r="MN19">
        <f t="shared" si="0"/>
        <v>0.17152145340141758</v>
      </c>
      <c r="MO19">
        <f t="shared" si="1"/>
        <v>-7.5165963789510973E-2</v>
      </c>
      <c r="MQ19">
        <f t="shared" si="2"/>
        <v>0.11266633875491625</v>
      </c>
      <c r="MR19">
        <f t="shared" si="3"/>
        <v>-0.10695084643261824</v>
      </c>
    </row>
    <row r="20" spans="3:356" x14ac:dyDescent="0.25">
      <c r="C20">
        <v>0.261072261072261</v>
      </c>
      <c r="D20">
        <v>9.11214953271028E-2</v>
      </c>
      <c r="F20">
        <v>-0.05</v>
      </c>
      <c r="G20">
        <v>-0.29799999999999999</v>
      </c>
      <c r="J20">
        <v>0.34666666666666601</v>
      </c>
      <c r="K20">
        <v>-0.32</v>
      </c>
      <c r="M20">
        <v>3.5999999999999997E-2</v>
      </c>
      <c r="N20">
        <v>-7.7333333333333296E-2</v>
      </c>
      <c r="Q20">
        <v>0.36599999999999999</v>
      </c>
      <c r="R20">
        <v>-3.4000000000000002E-2</v>
      </c>
      <c r="T20">
        <v>0.18681318681318601</v>
      </c>
      <c r="U20">
        <v>-0.47252747252747201</v>
      </c>
      <c r="X20">
        <v>-0.37</v>
      </c>
      <c r="Y20">
        <v>-0.72</v>
      </c>
      <c r="AA20">
        <v>0.57575757575757502</v>
      </c>
      <c r="AB20">
        <v>0.37383177570093401</v>
      </c>
      <c r="AE20">
        <v>0.15887850467289699</v>
      </c>
      <c r="AF20">
        <v>-7.69230769230769E-2</v>
      </c>
      <c r="AH20">
        <v>-7.8E-2</v>
      </c>
      <c r="AI20">
        <v>-0.19600000000000001</v>
      </c>
      <c r="AL20">
        <v>-3.2634032634032598E-2</v>
      </c>
      <c r="AM20">
        <v>-0.158508158508158</v>
      </c>
      <c r="AO20">
        <v>0.20333333333333301</v>
      </c>
      <c r="AP20">
        <v>-0.105</v>
      </c>
      <c r="AS20">
        <v>-4.0000000000000001E-3</v>
      </c>
      <c r="AT20">
        <v>-6.6000000000000003E-2</v>
      </c>
      <c r="AV20">
        <v>0.19400000000000001</v>
      </c>
      <c r="AW20">
        <v>-4.5999999999999999E-2</v>
      </c>
      <c r="AZ20">
        <v>-0.26400000000000001</v>
      </c>
      <c r="BA20">
        <v>-0.40799999999999997</v>
      </c>
      <c r="BG20">
        <v>2.3310023310023301E-3</v>
      </c>
      <c r="BH20">
        <v>-0.221445221445221</v>
      </c>
      <c r="BJ20">
        <v>0.39772727272727199</v>
      </c>
      <c r="BK20">
        <v>-0.14772727272727201</v>
      </c>
      <c r="BN20">
        <v>-0.23529411764705799</v>
      </c>
      <c r="BO20">
        <v>-1</v>
      </c>
      <c r="BQ20">
        <v>0.49</v>
      </c>
      <c r="BR20">
        <v>0.32200000000000001</v>
      </c>
      <c r="BU20">
        <v>0.30133333333333301</v>
      </c>
      <c r="BV20">
        <v>9.3333333333333296E-2</v>
      </c>
      <c r="BX20">
        <v>-0.18925233644859801</v>
      </c>
      <c r="BY20">
        <v>-0.37529137529137502</v>
      </c>
      <c r="CB20">
        <v>-2.6666666666666601E-3</v>
      </c>
      <c r="CC20">
        <v>-0.224</v>
      </c>
      <c r="CE20">
        <v>0.24009324009324001</v>
      </c>
      <c r="CF20">
        <v>-0.1002331002331</v>
      </c>
      <c r="CI20">
        <v>0.34200000000000003</v>
      </c>
      <c r="CJ20">
        <v>0.158</v>
      </c>
      <c r="CL20">
        <v>-0.15333333333333299</v>
      </c>
      <c r="CM20">
        <v>-0.51500000000000001</v>
      </c>
      <c r="CP20">
        <v>0.126</v>
      </c>
      <c r="CQ20">
        <v>-3.2000000000000001E-2</v>
      </c>
      <c r="CS20">
        <v>0.152</v>
      </c>
      <c r="CT20">
        <v>-0.19</v>
      </c>
      <c r="CW20">
        <v>-2.3364485981308401E-3</v>
      </c>
      <c r="CX20">
        <v>-0.14953271028037299</v>
      </c>
      <c r="CZ20">
        <v>0.14000000000000001</v>
      </c>
      <c r="DA20">
        <v>-6.4000000000000001E-2</v>
      </c>
      <c r="DD20">
        <v>-4.2000000000000003E-2</v>
      </c>
      <c r="DE20">
        <v>-0.152</v>
      </c>
      <c r="DG20">
        <v>8.1000000000000003E-2</v>
      </c>
      <c r="DH20">
        <v>3.4000000000000002E-2</v>
      </c>
      <c r="DK20">
        <v>-0.13</v>
      </c>
      <c r="DL20">
        <v>-0.30166666666666597</v>
      </c>
      <c r="DN20">
        <v>0.25934579439252298</v>
      </c>
      <c r="DO20">
        <v>-1.4018691588785E-2</v>
      </c>
      <c r="DR20">
        <v>-0.18666666666666601</v>
      </c>
      <c r="DS20">
        <v>-0.46500000000000002</v>
      </c>
      <c r="DU20">
        <v>0.28799999999999998</v>
      </c>
      <c r="DV20">
        <v>-0.01</v>
      </c>
      <c r="DY20">
        <v>0.26333333333333298</v>
      </c>
      <c r="DZ20">
        <v>0.15833333333333299</v>
      </c>
      <c r="EB20">
        <v>-0.17199999999999999</v>
      </c>
      <c r="EC20">
        <v>-0.39200000000000002</v>
      </c>
      <c r="EF20">
        <v>0.17599999999999999</v>
      </c>
      <c r="EG20">
        <v>0.11600000000000001</v>
      </c>
      <c r="EI20">
        <v>5.1666666666666597E-2</v>
      </c>
      <c r="EJ20">
        <v>-0.34499999999999997</v>
      </c>
      <c r="EM20">
        <v>0.89600000000000002</v>
      </c>
      <c r="EN20">
        <v>0.78200000000000003</v>
      </c>
      <c r="EP20">
        <v>-0.79666666666666597</v>
      </c>
      <c r="EQ20">
        <v>-0.85666666666666602</v>
      </c>
      <c r="ET20">
        <v>0.21333333333333299</v>
      </c>
      <c r="EU20">
        <v>8.66666666666666E-2</v>
      </c>
      <c r="EW20">
        <v>2.8333333333333301E-2</v>
      </c>
      <c r="EX20">
        <v>-0.29666666666666602</v>
      </c>
      <c r="FA20">
        <v>0.12121212121212099</v>
      </c>
      <c r="FB20">
        <v>-4.6620046620046603E-3</v>
      </c>
      <c r="FD20">
        <v>8.5999999999999993E-2</v>
      </c>
      <c r="FE20">
        <v>-0.1</v>
      </c>
      <c r="FH20">
        <v>0.24009324009324001</v>
      </c>
      <c r="FI20">
        <v>2.5641025641025599E-2</v>
      </c>
      <c r="FK20">
        <v>0.116666666666666</v>
      </c>
      <c r="FL20">
        <v>-0.20333333333333301</v>
      </c>
      <c r="FO20">
        <v>-4.6620046620046603E-3</v>
      </c>
      <c r="FP20">
        <v>-0.121495327102803</v>
      </c>
      <c r="FR20">
        <v>0.182</v>
      </c>
      <c r="FS20">
        <v>-4.8000000000000001E-2</v>
      </c>
      <c r="FV20">
        <v>4.8333333333333298E-2</v>
      </c>
      <c r="FW20">
        <v>-3.16666666666666E-2</v>
      </c>
      <c r="FY20">
        <v>4.2000000000000003E-2</v>
      </c>
      <c r="FZ20">
        <v>-7.6999999999999999E-2</v>
      </c>
      <c r="GC20">
        <v>0.25</v>
      </c>
      <c r="GD20">
        <v>-0.32530120481927699</v>
      </c>
      <c r="GF20">
        <v>0.12666666666666601</v>
      </c>
      <c r="GG20">
        <v>-0.17</v>
      </c>
      <c r="GJ20">
        <v>0.13</v>
      </c>
      <c r="GK20">
        <v>-0.13600000000000001</v>
      </c>
      <c r="GM20">
        <v>-1.4E-2</v>
      </c>
      <c r="GN20">
        <v>-0.09</v>
      </c>
      <c r="GQ20">
        <v>0.18518518518518501</v>
      </c>
      <c r="GR20">
        <v>-0.469135802469135</v>
      </c>
      <c r="GT20">
        <v>9.4E-2</v>
      </c>
      <c r="GU20">
        <v>-0.114</v>
      </c>
      <c r="GX20">
        <v>0.20200000000000001</v>
      </c>
      <c r="GY20">
        <v>7.0000000000000007E-2</v>
      </c>
      <c r="HA20">
        <v>-0.104</v>
      </c>
      <c r="HB20">
        <v>-0.22800000000000001</v>
      </c>
      <c r="HE20">
        <v>6.1666666666666599E-2</v>
      </c>
      <c r="HF20">
        <v>-0.116666666666666</v>
      </c>
      <c r="HH20">
        <v>2.1333333333333301E-2</v>
      </c>
      <c r="HI20">
        <v>-0.16</v>
      </c>
      <c r="HL20">
        <v>1</v>
      </c>
      <c r="HM20">
        <v>-0.34615384615384598</v>
      </c>
      <c r="HO20">
        <v>0.61666666666666603</v>
      </c>
      <c r="HP20">
        <v>-0.27500000000000002</v>
      </c>
      <c r="HS20">
        <v>0.43209876543209802</v>
      </c>
      <c r="HT20">
        <v>-0.11111111111111099</v>
      </c>
      <c r="HV20">
        <v>-0.14452214452214401</v>
      </c>
      <c r="HW20">
        <v>-0.322429906542056</v>
      </c>
      <c r="HZ20">
        <v>0.22</v>
      </c>
      <c r="IA20">
        <v>-0.4</v>
      </c>
      <c r="IC20">
        <v>6.8000000000000005E-2</v>
      </c>
      <c r="ID20">
        <v>-0.20200000000000001</v>
      </c>
      <c r="IG20">
        <v>0.2</v>
      </c>
      <c r="IH20">
        <v>-0.04</v>
      </c>
      <c r="IJ20">
        <v>-5.1282051282051197E-2</v>
      </c>
      <c r="IK20">
        <v>-0.21911421911421899</v>
      </c>
      <c r="IN20">
        <v>7.1999999999999995E-2</v>
      </c>
      <c r="IO20">
        <v>-0.112</v>
      </c>
      <c r="IQ20">
        <v>0.158508158508158</v>
      </c>
      <c r="IR20">
        <v>-0.121495327102803</v>
      </c>
      <c r="IU20">
        <v>0.23543123543123501</v>
      </c>
      <c r="IV20">
        <v>-2.3310023310023301E-2</v>
      </c>
      <c r="IX20">
        <v>-4.67289719626168E-2</v>
      </c>
      <c r="IY20">
        <v>-0.31002331002331002</v>
      </c>
      <c r="JB20">
        <v>0.18224299065420499</v>
      </c>
      <c r="JC20">
        <v>4.2056074766355103E-2</v>
      </c>
      <c r="JE20">
        <v>-0.13800000000000001</v>
      </c>
      <c r="JF20">
        <v>-0.252</v>
      </c>
      <c r="JI20">
        <v>0.28999999999999998</v>
      </c>
      <c r="JJ20">
        <v>2.33333333333333E-2</v>
      </c>
      <c r="JL20">
        <v>-8.6448598130841103E-2</v>
      </c>
      <c r="JM20">
        <v>-0.33177570093457898</v>
      </c>
      <c r="JP20">
        <v>0.16</v>
      </c>
      <c r="JQ20">
        <v>-0.49333333333333301</v>
      </c>
      <c r="JS20">
        <v>0.318</v>
      </c>
      <c r="JT20">
        <v>1.7999999999999999E-2</v>
      </c>
      <c r="JW20">
        <v>-4.4999999999999998E-2</v>
      </c>
      <c r="JX20">
        <v>-0.10666666666666599</v>
      </c>
      <c r="JZ20">
        <v>6.2E-2</v>
      </c>
      <c r="KA20">
        <v>-0.08</v>
      </c>
      <c r="KD20">
        <v>0.14685314685314599</v>
      </c>
      <c r="KE20">
        <v>-4.4289044289044198E-2</v>
      </c>
      <c r="KG20">
        <v>0.29906542056074698</v>
      </c>
      <c r="KH20">
        <v>-0.36448598130841098</v>
      </c>
      <c r="KK20">
        <v>0.43589743589743501</v>
      </c>
      <c r="KL20">
        <v>0.151869158878504</v>
      </c>
      <c r="KN20">
        <v>-0.30266666666666597</v>
      </c>
      <c r="KO20">
        <v>-0.53466666666666596</v>
      </c>
      <c r="KR20">
        <v>-2.3310023310023301E-3</v>
      </c>
      <c r="KS20">
        <v>-0.135514018691588</v>
      </c>
      <c r="KU20">
        <v>0.25700000000000001</v>
      </c>
      <c r="KV20">
        <v>-0.04</v>
      </c>
      <c r="KY20">
        <v>-0.05</v>
      </c>
      <c r="KZ20">
        <v>-0.171666666666666</v>
      </c>
      <c r="LB20">
        <v>0.37362637362637302</v>
      </c>
      <c r="LC20">
        <v>-0.14285714285714199</v>
      </c>
      <c r="LF20">
        <v>0.28399999999999997</v>
      </c>
      <c r="LG20">
        <v>-3.4000000000000002E-2</v>
      </c>
      <c r="LI20">
        <v>2.5000000000000001E-2</v>
      </c>
      <c r="LJ20">
        <v>-0.17833333333333301</v>
      </c>
      <c r="LM20">
        <v>0.138333333333333</v>
      </c>
      <c r="LN20">
        <v>-0.15833333333333299</v>
      </c>
      <c r="LP20">
        <v>-2.57009345794392E-2</v>
      </c>
      <c r="LQ20">
        <v>-0.17482517482517401</v>
      </c>
      <c r="LT20">
        <v>0.03</v>
      </c>
      <c r="LU20">
        <v>-0.188</v>
      </c>
      <c r="LW20">
        <v>4.3999999999999997E-2</v>
      </c>
      <c r="LX20">
        <v>-0.124</v>
      </c>
      <c r="MA20">
        <v>-4.2000000000000003E-2</v>
      </c>
      <c r="MB20">
        <v>-0.105</v>
      </c>
      <c r="MD20">
        <v>0.107226107226107</v>
      </c>
      <c r="ME20">
        <v>-5.3738317757009303E-2</v>
      </c>
      <c r="MH20">
        <v>2.1999999999999999E-2</v>
      </c>
      <c r="MI20">
        <v>-9.1999999999999998E-2</v>
      </c>
      <c r="MK20">
        <v>5.3333333333333302E-2</v>
      </c>
      <c r="ML20">
        <v>-7.8333333333333297E-2</v>
      </c>
      <c r="MN20">
        <f t="shared" si="0"/>
        <v>0.18651098898563062</v>
      </c>
      <c r="MO20">
        <f t="shared" si="1"/>
        <v>-4.5797033116696619E-2</v>
      </c>
      <c r="MQ20">
        <f t="shared" si="2"/>
        <v>0.15553697579678871</v>
      </c>
      <c r="MR20">
        <f t="shared" si="3"/>
        <v>-0.10441530531773514</v>
      </c>
    </row>
    <row r="21" spans="3:356" x14ac:dyDescent="0.25">
      <c r="C21">
        <v>0.23599999999999999</v>
      </c>
      <c r="D21">
        <v>4.0000000000000001E-3</v>
      </c>
      <c r="F21">
        <v>-0.14833333333333301</v>
      </c>
      <c r="G21">
        <v>-0.26166666666666599</v>
      </c>
      <c r="J21">
        <v>0.10256410256410201</v>
      </c>
      <c r="K21">
        <v>-0.14719626168224201</v>
      </c>
      <c r="M21">
        <v>6.2E-2</v>
      </c>
      <c r="N21">
        <v>-0.14199999999999999</v>
      </c>
      <c r="Q21">
        <v>-1.8333333333333299E-2</v>
      </c>
      <c r="R21">
        <v>-0.32</v>
      </c>
      <c r="T21">
        <v>0.21261682242990601</v>
      </c>
      <c r="U21">
        <v>-8.3916083916083906E-2</v>
      </c>
      <c r="X21">
        <v>-0.47599999999999998</v>
      </c>
      <c r="Y21">
        <v>-0.57399999999999995</v>
      </c>
      <c r="AA21">
        <v>0.73873873873873797</v>
      </c>
      <c r="AB21">
        <v>0.29729729729729698</v>
      </c>
      <c r="AE21">
        <v>0.14000000000000001</v>
      </c>
      <c r="AF21">
        <v>4.8333333333333298E-2</v>
      </c>
      <c r="AH21">
        <v>-0.12666666666666601</v>
      </c>
      <c r="AI21">
        <v>-0.15833333333333299</v>
      </c>
      <c r="AL21">
        <v>0.28571428571428498</v>
      </c>
      <c r="AM21">
        <v>-0.49450549450549403</v>
      </c>
      <c r="AO21">
        <v>-5.1282051282051197E-2</v>
      </c>
      <c r="AP21">
        <v>-0.36214953271028</v>
      </c>
      <c r="AS21">
        <v>6.9767441860465101E-2</v>
      </c>
      <c r="AT21">
        <v>-0.40697674418604601</v>
      </c>
      <c r="AV21">
        <v>0.28499999999999998</v>
      </c>
      <c r="AW21">
        <v>-0.255</v>
      </c>
      <c r="BG21">
        <v>0.266666666666666</v>
      </c>
      <c r="BH21">
        <v>-0.35164835164835101</v>
      </c>
      <c r="BJ21">
        <v>-0.01</v>
      </c>
      <c r="BK21">
        <v>-0.158</v>
      </c>
      <c r="BN21">
        <v>-0.25874125874125797</v>
      </c>
      <c r="BO21">
        <v>-0.482517482517482</v>
      </c>
      <c r="BQ21">
        <v>0.42399999999999999</v>
      </c>
      <c r="BR21">
        <v>0.29799999999999999</v>
      </c>
      <c r="BU21">
        <v>0.60439560439560402</v>
      </c>
      <c r="BV21">
        <v>0</v>
      </c>
      <c r="BX21">
        <v>-0.30666666666666598</v>
      </c>
      <c r="BY21">
        <v>-0.61666666666666603</v>
      </c>
      <c r="CB21">
        <v>-2.5641025641025599E-2</v>
      </c>
      <c r="CC21">
        <v>-0.34498834498834402</v>
      </c>
      <c r="CI21">
        <v>0.31</v>
      </c>
      <c r="CJ21">
        <v>9.5000000000000001E-2</v>
      </c>
      <c r="CL21">
        <v>-0.16822429906542</v>
      </c>
      <c r="CM21">
        <v>-0.35981308411214902</v>
      </c>
      <c r="CP21">
        <v>-5.3738317757009303E-2</v>
      </c>
      <c r="CQ21">
        <v>-0.315420560747663</v>
      </c>
      <c r="CS21">
        <v>0.168333333333333</v>
      </c>
      <c r="CT21">
        <v>0.03</v>
      </c>
      <c r="CW21">
        <v>-2.1999999999999999E-2</v>
      </c>
      <c r="CX21">
        <v>-0.22800000000000001</v>
      </c>
      <c r="CZ21">
        <v>0.168333333333333</v>
      </c>
      <c r="DA21">
        <v>-2.5000000000000001E-2</v>
      </c>
      <c r="DD21">
        <v>2.4666666666666601E-2</v>
      </c>
      <c r="DE21">
        <v>-0.193333333333333</v>
      </c>
      <c r="DG21">
        <v>5.3333333333333302E-2</v>
      </c>
      <c r="DH21">
        <v>-0.08</v>
      </c>
      <c r="DK21">
        <v>0.16</v>
      </c>
      <c r="DL21">
        <v>-0.23733333333333301</v>
      </c>
      <c r="DN21">
        <v>-2.1333333333333301E-2</v>
      </c>
      <c r="DO21">
        <v>-0.20799999999999999</v>
      </c>
      <c r="DR21">
        <v>-2.27272727272727E-2</v>
      </c>
      <c r="DS21">
        <v>-0.55681818181818099</v>
      </c>
      <c r="DU21">
        <v>0.4</v>
      </c>
      <c r="DV21">
        <v>-0.27</v>
      </c>
      <c r="DY21">
        <v>0.26533333333333298</v>
      </c>
      <c r="DZ21">
        <v>0.165333333333333</v>
      </c>
      <c r="EB21">
        <v>-0.13986013986013901</v>
      </c>
      <c r="EC21">
        <v>-0.33566433566433501</v>
      </c>
      <c r="EF21">
        <v>3.3333333333333301E-3</v>
      </c>
      <c r="EG21">
        <v>-6.1666666666666599E-2</v>
      </c>
      <c r="EI21">
        <v>4.3999999999999997E-2</v>
      </c>
      <c r="EJ21">
        <v>-3.7333333333333302E-2</v>
      </c>
      <c r="EM21">
        <v>0.83599999999999997</v>
      </c>
      <c r="EN21">
        <v>0.78533333333333299</v>
      </c>
      <c r="EP21">
        <v>-0.78088578088577998</v>
      </c>
      <c r="EQ21">
        <v>-0.86713286713286697</v>
      </c>
      <c r="ET21">
        <v>0.38333333333333303</v>
      </c>
      <c r="EU21">
        <v>-0.45833333333333298</v>
      </c>
      <c r="EW21">
        <v>0.432</v>
      </c>
      <c r="EX21">
        <v>-0.23200000000000001</v>
      </c>
      <c r="FA21">
        <v>0.14252336448598099</v>
      </c>
      <c r="FB21">
        <v>-0.13986013986013901</v>
      </c>
      <c r="FD21">
        <v>-5.1999999999999998E-2</v>
      </c>
      <c r="FE21">
        <v>-0.12</v>
      </c>
      <c r="FH21">
        <v>4.2000000000000003E-2</v>
      </c>
      <c r="FI21">
        <v>-0.17799999999999999</v>
      </c>
      <c r="FK21">
        <v>6.6666666666666596E-2</v>
      </c>
      <c r="FL21">
        <v>-1.06666666666666E-2</v>
      </c>
      <c r="FO21">
        <v>2.19780219780219E-2</v>
      </c>
      <c r="FP21">
        <v>-0.46153846153846101</v>
      </c>
      <c r="FR21">
        <v>0.15</v>
      </c>
      <c r="FS21">
        <v>4.5999999999999999E-2</v>
      </c>
      <c r="FV21">
        <v>0.23</v>
      </c>
      <c r="FW21">
        <v>-0.106</v>
      </c>
      <c r="FY21">
        <v>6.9930069930069894E-2</v>
      </c>
      <c r="FZ21">
        <v>-0.26573426573426501</v>
      </c>
      <c r="GC21">
        <v>0.3</v>
      </c>
      <c r="GD21">
        <v>-0.51</v>
      </c>
      <c r="GF21">
        <v>0.38834951456310601</v>
      </c>
      <c r="GG21">
        <v>-0.54368932038834905</v>
      </c>
      <c r="GJ21">
        <v>0.18133333333333301</v>
      </c>
      <c r="GK21">
        <v>2.2666666666666599E-2</v>
      </c>
      <c r="GM21">
        <v>-4.4999999999999998E-2</v>
      </c>
      <c r="GN21">
        <v>-0.20399999999999999</v>
      </c>
      <c r="GQ21">
        <v>0.04</v>
      </c>
      <c r="GR21">
        <v>-0.11600000000000001</v>
      </c>
      <c r="GT21">
        <v>7.6666666666666605E-2</v>
      </c>
      <c r="GU21">
        <v>-3.16666666666666E-2</v>
      </c>
      <c r="GX21">
        <v>0.25066666666666598</v>
      </c>
      <c r="GY21">
        <v>2.9333333333333302E-2</v>
      </c>
      <c r="HA21">
        <v>-3.8333333333333303E-2</v>
      </c>
      <c r="HB21">
        <v>-0.23</v>
      </c>
      <c r="HE21">
        <v>9.3240093240093205E-2</v>
      </c>
      <c r="HF21">
        <v>-5.1401869158878503E-2</v>
      </c>
      <c r="HH21">
        <v>-1.16666666666666E-2</v>
      </c>
      <c r="HI21">
        <v>-0.185</v>
      </c>
      <c r="HL21">
        <v>-0.58933333333333304</v>
      </c>
      <c r="HM21">
        <v>-0.75733333333333297</v>
      </c>
      <c r="HO21">
        <v>0.90076335877862501</v>
      </c>
      <c r="HP21">
        <v>0.36923076923076897</v>
      </c>
      <c r="HS21">
        <v>0.33100233100233101</v>
      </c>
      <c r="HT21">
        <v>0.17948717948717899</v>
      </c>
      <c r="HV21">
        <v>-0.17599999999999999</v>
      </c>
      <c r="HW21">
        <v>-0.35466666666666602</v>
      </c>
      <c r="HZ21">
        <v>0.242990654205607</v>
      </c>
      <c r="IA21">
        <v>-0.26168224299065401</v>
      </c>
      <c r="IC21">
        <v>0.28000000000000003</v>
      </c>
      <c r="ID21">
        <v>-0.123333333333333</v>
      </c>
      <c r="IG21">
        <v>0.17399999999999999</v>
      </c>
      <c r="IH21">
        <v>-4.8000000000000001E-2</v>
      </c>
      <c r="IJ21">
        <v>1.2E-2</v>
      </c>
      <c r="IK21">
        <v>-0.29799999999999999</v>
      </c>
      <c r="IN21">
        <v>0.12676056338028099</v>
      </c>
      <c r="IO21">
        <v>-0.36619718309859101</v>
      </c>
      <c r="IQ21">
        <v>0.26829268292682901</v>
      </c>
      <c r="IR21">
        <v>-0.33333333333333298</v>
      </c>
      <c r="IU21">
        <v>0.246</v>
      </c>
      <c r="IV21">
        <v>-8.7999999999999995E-2</v>
      </c>
      <c r="IX21">
        <v>-0.16500000000000001</v>
      </c>
      <c r="IY21">
        <v>-0.37833333333333302</v>
      </c>
      <c r="JB21">
        <v>0.48809523809523803</v>
      </c>
      <c r="JC21">
        <v>-2.3809523809523801E-2</v>
      </c>
      <c r="JE21">
        <v>0.10280373831775701</v>
      </c>
      <c r="JF21">
        <v>-0.26340326340326298</v>
      </c>
      <c r="JI21">
        <v>0.56382978723404198</v>
      </c>
      <c r="JJ21">
        <v>-0.13829787234042501</v>
      </c>
      <c r="JL21">
        <v>-5.0505050505050497E-2</v>
      </c>
      <c r="JM21">
        <v>-0.83333333333333304</v>
      </c>
      <c r="JP21">
        <v>-0.14000000000000001</v>
      </c>
      <c r="JQ21">
        <v>-0.39400000000000002</v>
      </c>
      <c r="JS21">
        <v>0.48148148148148101</v>
      </c>
      <c r="JT21">
        <v>-9.8765432098765399E-2</v>
      </c>
      <c r="JW21">
        <v>0.22</v>
      </c>
      <c r="JX21">
        <v>-9.5000000000000001E-2</v>
      </c>
      <c r="JZ21">
        <v>8.3333333333333301E-2</v>
      </c>
      <c r="KA21">
        <v>-0.33833333333333299</v>
      </c>
      <c r="KD21">
        <v>-8.0000000000000002E-3</v>
      </c>
      <c r="KE21">
        <v>-0.29399999999999998</v>
      </c>
      <c r="KG21">
        <v>8.8333333333333305E-2</v>
      </c>
      <c r="KH21">
        <v>-8.5000000000000006E-2</v>
      </c>
      <c r="KK21">
        <v>0.65</v>
      </c>
      <c r="KL21">
        <v>-0.05</v>
      </c>
      <c r="KN21">
        <v>-0.48795180722891501</v>
      </c>
      <c r="KO21">
        <v>-1</v>
      </c>
      <c r="KR21">
        <v>-0.23200000000000001</v>
      </c>
      <c r="KS21">
        <v>-0.30933333333333302</v>
      </c>
      <c r="KU21">
        <v>0.27833333333333299</v>
      </c>
      <c r="KV21">
        <v>0.193333333333333</v>
      </c>
      <c r="KY21">
        <v>-8.1666666666666596E-2</v>
      </c>
      <c r="KZ21">
        <v>-0.23499999999999999</v>
      </c>
      <c r="LB21">
        <v>8.6999999999999994E-2</v>
      </c>
      <c r="LC21">
        <v>4.3999999999999997E-2</v>
      </c>
      <c r="LF21">
        <v>0.08</v>
      </c>
      <c r="LG21">
        <v>-0.13400000000000001</v>
      </c>
      <c r="LI21">
        <v>-9.3240093240093205E-3</v>
      </c>
      <c r="LJ21">
        <v>-0.156177156177156</v>
      </c>
      <c r="LM21">
        <v>0.25806451612903197</v>
      </c>
      <c r="LN21">
        <v>-0.180851063829787</v>
      </c>
      <c r="LP21">
        <v>0.20618556701030899</v>
      </c>
      <c r="LQ21">
        <v>-0.46875</v>
      </c>
      <c r="LT21">
        <v>9.0909090909090898E-2</v>
      </c>
      <c r="LU21">
        <v>-3.03738317757009E-2</v>
      </c>
      <c r="LW21">
        <v>1.3986013986013899E-2</v>
      </c>
      <c r="LX21">
        <v>-0.19158878504672799</v>
      </c>
      <c r="MA21">
        <v>0.116666666666666</v>
      </c>
      <c r="MB21">
        <v>-0.185</v>
      </c>
      <c r="MD21">
        <v>-1.06666666666666E-2</v>
      </c>
      <c r="ME21">
        <v>-0.25866666666666599</v>
      </c>
      <c r="MH21">
        <v>0.05</v>
      </c>
      <c r="MI21">
        <v>-0.13500000000000001</v>
      </c>
      <c r="MK21">
        <v>0.43209876543209802</v>
      </c>
      <c r="ML21">
        <v>-0.27160493827160398</v>
      </c>
      <c r="MN21">
        <f t="shared" si="0"/>
        <v>0.23693871307968942</v>
      </c>
      <c r="MO21">
        <f t="shared" si="1"/>
        <v>-0.10261682625632967</v>
      </c>
      <c r="MQ21">
        <f t="shared" si="2"/>
        <v>0.20644621822608872</v>
      </c>
      <c r="MR21">
        <f t="shared" si="3"/>
        <v>-8.6769145609893114E-2</v>
      </c>
    </row>
    <row r="22" spans="3:356" x14ac:dyDescent="0.25">
      <c r="C22">
        <v>0.407407407407407</v>
      </c>
      <c r="D22">
        <v>-0.172839506172839</v>
      </c>
      <c r="F22">
        <v>-0.20833333333333301</v>
      </c>
      <c r="G22">
        <v>-0.55333333333333301</v>
      </c>
      <c r="J22">
        <v>0.20399999999999999</v>
      </c>
      <c r="K22">
        <v>-0.108</v>
      </c>
      <c r="M22">
        <v>-0.02</v>
      </c>
      <c r="N22">
        <v>-0.28000000000000003</v>
      </c>
      <c r="Q22">
        <v>1.6E-2</v>
      </c>
      <c r="R22">
        <v>-0.29599999999999999</v>
      </c>
      <c r="T22">
        <v>0.8</v>
      </c>
      <c r="U22">
        <v>-0.38400000000000001</v>
      </c>
      <c r="X22">
        <v>-0.358333333333333</v>
      </c>
      <c r="Y22">
        <v>-1</v>
      </c>
      <c r="AA22">
        <v>0.74825174825174801</v>
      </c>
      <c r="AB22">
        <v>0.188811188811188</v>
      </c>
      <c r="AE22">
        <v>0.19859813084112099</v>
      </c>
      <c r="AF22">
        <v>9.5571095571095499E-2</v>
      </c>
      <c r="AH22">
        <v>1.2E-2</v>
      </c>
      <c r="AI22">
        <v>-0.25733333333333303</v>
      </c>
      <c r="AL22">
        <v>0.32710280373831702</v>
      </c>
      <c r="AM22">
        <v>-0.37383177570093401</v>
      </c>
      <c r="AO22">
        <v>0.4375</v>
      </c>
      <c r="AP22">
        <v>-0.41441441441441401</v>
      </c>
      <c r="AS22">
        <v>0.14000000000000001</v>
      </c>
      <c r="AT22">
        <v>-0.254</v>
      </c>
      <c r="AV22">
        <v>2.5000000000000001E-2</v>
      </c>
      <c r="AW22">
        <v>-0.21833333333333299</v>
      </c>
      <c r="BG22">
        <v>0.22429906542056</v>
      </c>
      <c r="BH22">
        <v>-9.11214953271028E-2</v>
      </c>
      <c r="BJ22">
        <v>5.1999999999999998E-2</v>
      </c>
      <c r="BK22">
        <v>-0.34799999999999998</v>
      </c>
      <c r="BN22">
        <v>-0.41799999999999998</v>
      </c>
      <c r="BO22">
        <v>-0.53600000000000003</v>
      </c>
      <c r="BQ22">
        <v>0.45166666666666599</v>
      </c>
      <c r="BR22">
        <v>0.30833333333333302</v>
      </c>
      <c r="CI22">
        <v>0.33733333333333299</v>
      </c>
      <c r="CJ22">
        <v>5.46666666666666E-2</v>
      </c>
      <c r="CL22">
        <v>-0.14018691588785001</v>
      </c>
      <c r="CM22">
        <v>-0.348130841121495</v>
      </c>
      <c r="CP22">
        <v>-3.16666666666666E-2</v>
      </c>
      <c r="CQ22">
        <v>-0.245</v>
      </c>
      <c r="CS22">
        <v>0.14399999999999999</v>
      </c>
      <c r="CT22">
        <v>3.1E-2</v>
      </c>
      <c r="CW22">
        <v>-6.2E-2</v>
      </c>
      <c r="CX22">
        <v>-0.19</v>
      </c>
      <c r="CZ22">
        <v>0.4</v>
      </c>
      <c r="DA22">
        <v>-0.21176470588235199</v>
      </c>
      <c r="DD22">
        <v>-3.7333333333333302E-2</v>
      </c>
      <c r="DE22">
        <v>-0.101333333333333</v>
      </c>
      <c r="DG22">
        <v>0.198333333333333</v>
      </c>
      <c r="DH22">
        <v>-0.09</v>
      </c>
      <c r="DK22">
        <v>0.252</v>
      </c>
      <c r="DL22">
        <v>-6.6666666666666596E-2</v>
      </c>
      <c r="DN22">
        <v>-0.108</v>
      </c>
      <c r="DO22">
        <v>-0.197333333333333</v>
      </c>
      <c r="DR22">
        <v>-0.22666666666666599</v>
      </c>
      <c r="DS22">
        <v>-0.56999999999999995</v>
      </c>
      <c r="DU22">
        <v>0.48799999999999999</v>
      </c>
      <c r="DV22">
        <v>-2.4E-2</v>
      </c>
      <c r="DY22">
        <v>0.432</v>
      </c>
      <c r="DZ22">
        <v>0.09</v>
      </c>
      <c r="EB22">
        <v>-0.20437956204379501</v>
      </c>
      <c r="EC22">
        <v>-0.61764705882352899</v>
      </c>
      <c r="EF22">
        <v>6.6666666666666602E-3</v>
      </c>
      <c r="EG22">
        <v>-0.118333333333333</v>
      </c>
      <c r="EI22">
        <v>0.19166666666666601</v>
      </c>
      <c r="EJ22">
        <v>-0.15</v>
      </c>
      <c r="EM22">
        <v>0.78800000000000003</v>
      </c>
      <c r="EN22">
        <v>0.71</v>
      </c>
      <c r="EP22">
        <v>-0.50485436893203794</v>
      </c>
      <c r="EQ22">
        <v>-1</v>
      </c>
      <c r="ET22">
        <v>0.32824427480916002</v>
      </c>
      <c r="EU22">
        <v>-0.56488549618320605</v>
      </c>
      <c r="EW22">
        <v>0.35766423357664201</v>
      </c>
      <c r="EX22">
        <v>-0.61029411764705799</v>
      </c>
      <c r="FA22">
        <v>0.13600000000000001</v>
      </c>
      <c r="FB22">
        <v>2.8000000000000001E-2</v>
      </c>
      <c r="FD22">
        <v>-4.6666666666666599E-2</v>
      </c>
      <c r="FE22">
        <v>-0.27</v>
      </c>
      <c r="FH22">
        <v>0.19800000000000001</v>
      </c>
      <c r="FI22">
        <v>-0.13600000000000001</v>
      </c>
      <c r="FK22">
        <v>-0.121</v>
      </c>
      <c r="FL22">
        <v>-0.32200000000000001</v>
      </c>
      <c r="FO22">
        <v>-0.115</v>
      </c>
      <c r="FP22">
        <v>-0.198333333333333</v>
      </c>
      <c r="FR22">
        <v>0.25666666666666599</v>
      </c>
      <c r="FS22">
        <v>6.3333333333333297E-2</v>
      </c>
      <c r="FV22">
        <v>0.214</v>
      </c>
      <c r="FW22">
        <v>-0.14399999999999999</v>
      </c>
      <c r="FY22">
        <v>0.03</v>
      </c>
      <c r="FZ22">
        <v>-0.14833333333333301</v>
      </c>
      <c r="GC22">
        <v>-0.10256410256410201</v>
      </c>
      <c r="GD22">
        <v>-0.27505827505827501</v>
      </c>
      <c r="GF22">
        <v>0.222</v>
      </c>
      <c r="GG22">
        <v>-1.7999999999999999E-2</v>
      </c>
      <c r="GJ22">
        <v>0.233333333333333</v>
      </c>
      <c r="GK22">
        <v>0.04</v>
      </c>
      <c r="GM22">
        <v>0.77906976744185996</v>
      </c>
      <c r="GN22">
        <v>-0.435294117647058</v>
      </c>
      <c r="GQ22">
        <v>8.3000000000000004E-2</v>
      </c>
      <c r="GR22">
        <v>-0.109</v>
      </c>
      <c r="GT22">
        <v>0.20333333333333301</v>
      </c>
      <c r="GU22">
        <v>-0.2</v>
      </c>
      <c r="GX22">
        <v>0.106</v>
      </c>
      <c r="GY22">
        <v>-0.03</v>
      </c>
      <c r="HA22">
        <v>2.33644859813084E-2</v>
      </c>
      <c r="HB22">
        <v>-8.3916083916083906E-2</v>
      </c>
      <c r="HE22">
        <v>0.104</v>
      </c>
      <c r="HF22">
        <v>-0.06</v>
      </c>
      <c r="HH22">
        <v>-2.3310023310023301E-2</v>
      </c>
      <c r="HI22">
        <v>-0.15654205607476601</v>
      </c>
      <c r="HL22">
        <v>-0.82550335570469802</v>
      </c>
      <c r="HM22">
        <v>-1</v>
      </c>
      <c r="HO22">
        <v>0.93066666666666598</v>
      </c>
      <c r="HP22">
        <v>0.92600000000000005</v>
      </c>
      <c r="HS22">
        <v>0.246</v>
      </c>
      <c r="HT22">
        <v>0.14399999999999999</v>
      </c>
      <c r="HV22">
        <v>-0.13600000000000001</v>
      </c>
      <c r="HW22">
        <v>-0.26200000000000001</v>
      </c>
      <c r="HZ22">
        <v>-3.5000000000000003E-2</v>
      </c>
      <c r="IA22">
        <v>-0.42333333333333301</v>
      </c>
      <c r="IC22">
        <v>0.16800000000000001</v>
      </c>
      <c r="ID22">
        <v>-1.7333333333333301E-2</v>
      </c>
      <c r="IG22">
        <v>0.16500000000000001</v>
      </c>
      <c r="IH22">
        <v>-0.125</v>
      </c>
      <c r="IJ22">
        <v>0.15463917525773099</v>
      </c>
      <c r="IK22">
        <v>-0.432989690721649</v>
      </c>
      <c r="IN22">
        <v>0.452380952380952</v>
      </c>
      <c r="IO22">
        <v>-0.30120481927710802</v>
      </c>
      <c r="IQ22">
        <v>-5.3333333333333297E-3</v>
      </c>
      <c r="IR22">
        <v>-0.29866666666666603</v>
      </c>
      <c r="IU22">
        <v>0.47599999999999998</v>
      </c>
      <c r="IV22">
        <v>4.2000000000000003E-2</v>
      </c>
      <c r="IX22">
        <v>-0.37466666666666598</v>
      </c>
      <c r="IY22">
        <v>-0.496</v>
      </c>
      <c r="JB22">
        <v>-3.0666666666666599E-2</v>
      </c>
      <c r="JC22">
        <v>-0.146666666666666</v>
      </c>
      <c r="JE22">
        <v>0.21621621621621601</v>
      </c>
      <c r="JF22">
        <v>-8.1081081081081002E-2</v>
      </c>
      <c r="JI22">
        <v>0.49199999999999999</v>
      </c>
      <c r="JJ22">
        <v>0.216</v>
      </c>
      <c r="JL22">
        <v>-0.04</v>
      </c>
      <c r="JM22">
        <v>-0.34166666666666601</v>
      </c>
      <c r="JP22">
        <v>0.108433734939759</v>
      </c>
      <c r="JQ22">
        <v>-0.54216867469879504</v>
      </c>
      <c r="JS22">
        <v>0.31333333333333302</v>
      </c>
      <c r="JT22">
        <v>8.66666666666666E-2</v>
      </c>
      <c r="JW22">
        <v>5.8666666666666603E-2</v>
      </c>
      <c r="JX22">
        <v>-0.13066666666666599</v>
      </c>
      <c r="JZ22">
        <v>0.141666666666666</v>
      </c>
      <c r="KA22">
        <v>-0.16166666666666599</v>
      </c>
      <c r="KD22">
        <v>0.55000000000000004</v>
      </c>
      <c r="KE22">
        <v>-0.375</v>
      </c>
      <c r="KG22">
        <v>0.117333333333333</v>
      </c>
      <c r="KH22">
        <v>-0.23733333333333301</v>
      </c>
      <c r="KR22">
        <v>-0.20200000000000001</v>
      </c>
      <c r="KS22">
        <v>-0.25600000000000001</v>
      </c>
      <c r="KU22">
        <v>0.33400000000000002</v>
      </c>
      <c r="KV22">
        <v>0.13600000000000001</v>
      </c>
      <c r="KY22">
        <v>-2.7972027972027899E-2</v>
      </c>
      <c r="KZ22">
        <v>-0.156177156177156</v>
      </c>
      <c r="LB22">
        <v>0.26340326340326298</v>
      </c>
      <c r="LC22">
        <v>-4.6728971962616802E-3</v>
      </c>
      <c r="LF22">
        <v>7.3999999999999996E-2</v>
      </c>
      <c r="LG22">
        <v>-0.156</v>
      </c>
      <c r="LI22">
        <v>3.7999999999999999E-2</v>
      </c>
      <c r="LJ22">
        <v>-0.24</v>
      </c>
      <c r="LM22">
        <v>4.3478260869565202E-2</v>
      </c>
      <c r="LN22">
        <v>-0.43965517241379298</v>
      </c>
      <c r="LP22">
        <v>4.5333333333333302E-2</v>
      </c>
      <c r="LQ22">
        <v>-0.152</v>
      </c>
      <c r="LT22">
        <v>0.112</v>
      </c>
      <c r="LU22">
        <v>-3.5999999999999997E-2</v>
      </c>
      <c r="LW22">
        <v>0.14000000000000001</v>
      </c>
      <c r="LX22">
        <v>-0.289333333333333</v>
      </c>
      <c r="MA22">
        <v>0.39361702127659498</v>
      </c>
      <c r="MB22">
        <v>-0.14893617021276501</v>
      </c>
      <c r="MD22">
        <v>0</v>
      </c>
      <c r="ME22">
        <v>-0.42268041237113402</v>
      </c>
      <c r="MH22">
        <v>-0.18</v>
      </c>
      <c r="MI22">
        <v>-0.43166666666666598</v>
      </c>
      <c r="MK22">
        <v>0.30933333333333302</v>
      </c>
      <c r="ML22">
        <v>0.13600000000000001</v>
      </c>
      <c r="MN22">
        <f t="shared" si="0"/>
        <v>0.20373320675126599</v>
      </c>
      <c r="MO22">
        <f t="shared" si="1"/>
        <v>-5.7965942599601486E-2</v>
      </c>
      <c r="MQ22">
        <f t="shared" si="2"/>
        <v>0.27261158484642484</v>
      </c>
      <c r="MR22">
        <f t="shared" si="3"/>
        <v>-8.3008201125848058E-2</v>
      </c>
    </row>
    <row r="23" spans="3:356" x14ac:dyDescent="0.25">
      <c r="C23">
        <v>0.372</v>
      </c>
      <c r="D23">
        <v>0.2</v>
      </c>
      <c r="F23">
        <v>-0.146666666666666</v>
      </c>
      <c r="G23">
        <v>-0.42499999999999999</v>
      </c>
      <c r="J23">
        <v>0.61538461538461497</v>
      </c>
      <c r="K23">
        <v>-0.240384615384615</v>
      </c>
      <c r="M23">
        <v>0.05</v>
      </c>
      <c r="N23">
        <v>-0.21</v>
      </c>
      <c r="X23">
        <v>-0.56999999999999995</v>
      </c>
      <c r="Y23">
        <v>-0.7</v>
      </c>
      <c r="AA23">
        <v>0.936708860759493</v>
      </c>
      <c r="AB23">
        <v>0.348101265822784</v>
      </c>
      <c r="AE23">
        <v>0.13600000000000001</v>
      </c>
      <c r="AF23">
        <v>-9.4E-2</v>
      </c>
      <c r="AH23">
        <v>-0.08</v>
      </c>
      <c r="AI23">
        <v>-0.20166666666666599</v>
      </c>
      <c r="AL23">
        <v>-0.160583941605839</v>
      </c>
      <c r="AM23">
        <v>-0.69852941176470495</v>
      </c>
      <c r="AO23">
        <v>0.72027972027971998</v>
      </c>
      <c r="AP23">
        <v>-7.0422535211267599E-3</v>
      </c>
      <c r="AS23">
        <v>0.70103092783505105</v>
      </c>
      <c r="AT23">
        <v>-0.30927835051546299</v>
      </c>
      <c r="AV23">
        <v>-6.3063063063063002E-2</v>
      </c>
      <c r="AW23">
        <v>-0.72072072072072002</v>
      </c>
      <c r="BG23">
        <v>0.39333333333333298</v>
      </c>
      <c r="BH23">
        <v>-0.3</v>
      </c>
      <c r="BJ23">
        <v>-0.25666666666666599</v>
      </c>
      <c r="BK23">
        <v>-0.586666666666666</v>
      </c>
      <c r="BN23">
        <v>-0.336666666666666</v>
      </c>
      <c r="BO23">
        <v>-0.64500000000000002</v>
      </c>
      <c r="BQ23">
        <v>0.74</v>
      </c>
      <c r="BR23">
        <v>0.13</v>
      </c>
      <c r="CI23">
        <v>0.32833333333333298</v>
      </c>
      <c r="CJ23">
        <v>0.02</v>
      </c>
      <c r="CL23">
        <v>-0.150666666666666</v>
      </c>
      <c r="CM23">
        <v>-0.29733333333333301</v>
      </c>
      <c r="CP23">
        <v>-7.1999999999999995E-2</v>
      </c>
      <c r="CQ23">
        <v>-0.229333333333333</v>
      </c>
      <c r="CS23">
        <v>0.22266666666666601</v>
      </c>
      <c r="CT23">
        <v>1.6E-2</v>
      </c>
      <c r="CW23">
        <v>-1.7333333333333301E-2</v>
      </c>
      <c r="CX23">
        <v>-0.26</v>
      </c>
      <c r="CZ23">
        <v>0.14333333333333301</v>
      </c>
      <c r="DA23">
        <v>-5.3333333333333302E-2</v>
      </c>
      <c r="DD23">
        <v>-7.1666666666666601E-2</v>
      </c>
      <c r="DE23">
        <v>-0.19666666666666599</v>
      </c>
      <c r="DG23">
        <v>0.29310344827586199</v>
      </c>
      <c r="DH23">
        <v>-0.163793103448275</v>
      </c>
      <c r="DK23">
        <v>0.28199999999999997</v>
      </c>
      <c r="DL23">
        <v>-0.04</v>
      </c>
      <c r="DN23">
        <v>9.1666666666666605E-2</v>
      </c>
      <c r="DO23">
        <v>-0.6</v>
      </c>
      <c r="DR23">
        <v>-0.3</v>
      </c>
      <c r="DS23">
        <v>-0.48533333333333301</v>
      </c>
      <c r="DU23">
        <v>0.39</v>
      </c>
      <c r="DV23">
        <v>0.31666666666666599</v>
      </c>
      <c r="EF23">
        <v>-9.8000000000000004E-2</v>
      </c>
      <c r="EG23">
        <v>-0.248</v>
      </c>
      <c r="EI23">
        <v>0.65979381443298901</v>
      </c>
      <c r="EJ23">
        <v>-6.1855670103092703E-2</v>
      </c>
      <c r="ET23">
        <v>-0.118333333333333</v>
      </c>
      <c r="EU23">
        <v>-0.29499999999999998</v>
      </c>
      <c r="EW23">
        <v>0.51666666666666605</v>
      </c>
      <c r="EX23">
        <v>-6.3333333333333297E-2</v>
      </c>
      <c r="FA23">
        <v>0.27</v>
      </c>
      <c r="FB23">
        <v>-0.14399999999999999</v>
      </c>
      <c r="FD23">
        <v>-0.201333333333333</v>
      </c>
      <c r="FE23">
        <v>-0.30133333333333301</v>
      </c>
      <c r="FH23">
        <v>0.25833333333333303</v>
      </c>
      <c r="FI23">
        <v>0.01</v>
      </c>
      <c r="FK23">
        <v>-0.111888111888111</v>
      </c>
      <c r="FL23">
        <v>-0.256410256410256</v>
      </c>
      <c r="FO23">
        <v>-4.4289044289044198E-2</v>
      </c>
      <c r="FP23">
        <v>-0.18925233644859801</v>
      </c>
      <c r="FR23">
        <v>0.401869158878504</v>
      </c>
      <c r="FS23">
        <v>-0.14953271028037299</v>
      </c>
      <c r="FV23">
        <v>1</v>
      </c>
      <c r="FW23">
        <v>-0.42307692307692302</v>
      </c>
      <c r="FY23">
        <v>0.253164556962025</v>
      </c>
      <c r="FZ23">
        <v>-0.259493670886075</v>
      </c>
      <c r="GC23">
        <v>0.27826086956521701</v>
      </c>
      <c r="GD23">
        <v>-0.50434782608695605</v>
      </c>
      <c r="GF23">
        <v>-0.20533333333333301</v>
      </c>
      <c r="GG23">
        <v>-0.537333333333333</v>
      </c>
      <c r="GJ23">
        <v>-0.760067114093959</v>
      </c>
      <c r="GK23">
        <v>-1</v>
      </c>
      <c r="GM23">
        <v>0.875</v>
      </c>
      <c r="GN23">
        <v>0.73</v>
      </c>
      <c r="GQ23">
        <v>-0.13</v>
      </c>
      <c r="GR23">
        <v>-0.185</v>
      </c>
      <c r="GT23">
        <v>0.43065693430656898</v>
      </c>
      <c r="GU23">
        <v>-0.13970588235294101</v>
      </c>
      <c r="GX23">
        <v>5.6000000000000001E-2</v>
      </c>
      <c r="GY23">
        <v>-0.112</v>
      </c>
      <c r="HA23">
        <v>-1.8333333333333299E-2</v>
      </c>
      <c r="HB23">
        <v>-0.14333333333333301</v>
      </c>
      <c r="HE23">
        <v>0.108</v>
      </c>
      <c r="HF23">
        <v>-3.5999999999999997E-2</v>
      </c>
      <c r="HH23">
        <v>8.0000000000000002E-3</v>
      </c>
      <c r="HI23">
        <v>-0.16200000000000001</v>
      </c>
      <c r="HL23">
        <v>-0.74</v>
      </c>
      <c r="HM23">
        <v>-0.74</v>
      </c>
      <c r="HS23">
        <v>0.163333333333333</v>
      </c>
      <c r="HT23">
        <v>0.13666666666666599</v>
      </c>
      <c r="HV23">
        <v>-0.09</v>
      </c>
      <c r="HW23">
        <v>-0.25800000000000001</v>
      </c>
      <c r="HZ23">
        <v>-6.5000000000000002E-2</v>
      </c>
      <c r="IA23">
        <v>-0.288333333333333</v>
      </c>
      <c r="IC23">
        <v>0.21333333333333299</v>
      </c>
      <c r="ID23">
        <v>2.1666666666666601E-2</v>
      </c>
      <c r="IG23">
        <v>2.6666666666666601E-3</v>
      </c>
      <c r="IH23">
        <v>-0.16266666666666599</v>
      </c>
      <c r="IJ23">
        <v>0.40384615384615302</v>
      </c>
      <c r="IK23">
        <v>-0.42307692307692302</v>
      </c>
      <c r="IN23">
        <v>0.28166666666666601</v>
      </c>
      <c r="IO23">
        <v>-0.116666666666666</v>
      </c>
      <c r="IQ23">
        <v>4.1000000000000002E-2</v>
      </c>
      <c r="IR23">
        <v>-0.23699999999999999</v>
      </c>
      <c r="JB23">
        <v>-0.18933333333333299</v>
      </c>
      <c r="JC23">
        <v>-0.24399999999999999</v>
      </c>
      <c r="JE23">
        <v>0.3</v>
      </c>
      <c r="JF23">
        <v>6.6666666666666596E-2</v>
      </c>
      <c r="JI23">
        <v>0.29866666666666603</v>
      </c>
      <c r="JJ23">
        <v>-0.11600000000000001</v>
      </c>
      <c r="JL23">
        <v>0.29599999999999999</v>
      </c>
      <c r="JM23">
        <v>-0.52</v>
      </c>
      <c r="JP23">
        <v>-0.13</v>
      </c>
      <c r="JQ23">
        <v>-0.51166666666666605</v>
      </c>
      <c r="JS23">
        <v>0.67961165048543604</v>
      </c>
      <c r="JT23">
        <v>-0.233009708737864</v>
      </c>
      <c r="JW23">
        <v>0.30769230769230699</v>
      </c>
      <c r="JX23">
        <v>-0.41538461538461502</v>
      </c>
      <c r="JZ23">
        <v>0.17647058823529399</v>
      </c>
      <c r="KA23">
        <v>-0.51470588235294101</v>
      </c>
      <c r="KD23">
        <v>0.66412213740458004</v>
      </c>
      <c r="KE23">
        <v>-0.43846153846153801</v>
      </c>
      <c r="KG23">
        <v>0.15833333333333299</v>
      </c>
      <c r="KH23">
        <v>-0.211666666666666</v>
      </c>
      <c r="KR23">
        <v>-0.198333333333333</v>
      </c>
      <c r="KS23">
        <v>-0.43</v>
      </c>
      <c r="KU23">
        <v>0.23200000000000001</v>
      </c>
      <c r="KV23">
        <v>0.146666666666666</v>
      </c>
      <c r="KY23">
        <v>0.2</v>
      </c>
      <c r="KZ23">
        <v>-0.495652173913043</v>
      </c>
      <c r="LB23">
        <v>0.81666666666666599</v>
      </c>
      <c r="LC23">
        <v>-0.45833333333333298</v>
      </c>
      <c r="LF23">
        <v>0.155</v>
      </c>
      <c r="LG23">
        <v>-0.11</v>
      </c>
      <c r="LM23">
        <v>1.6317016317016299E-2</v>
      </c>
      <c r="LN23">
        <v>-0.123831775700934</v>
      </c>
      <c r="LP23">
        <v>0.4</v>
      </c>
      <c r="LQ23">
        <v>-0.11333333333333299</v>
      </c>
      <c r="LT23">
        <v>5.3333333333333302E-2</v>
      </c>
      <c r="LU23">
        <v>-0.28999999999999998</v>
      </c>
      <c r="LW23">
        <v>4.8000000000000001E-2</v>
      </c>
      <c r="LX23">
        <v>-0.2</v>
      </c>
      <c r="MA23">
        <v>0.30399999999999999</v>
      </c>
      <c r="MB23">
        <v>-0.02</v>
      </c>
      <c r="MD23">
        <v>-0.22800000000000001</v>
      </c>
      <c r="ME23">
        <v>-0.39800000000000002</v>
      </c>
      <c r="MH23">
        <v>-4.1666666666666602E-2</v>
      </c>
      <c r="MI23">
        <v>-0.36499999999999999</v>
      </c>
      <c r="MK23">
        <v>0.36666666666666597</v>
      </c>
      <c r="ML23">
        <v>-0.15</v>
      </c>
      <c r="MN23">
        <f t="shared" si="0"/>
        <v>0.20894800405897609</v>
      </c>
      <c r="MO23">
        <f t="shared" si="1"/>
        <v>-0.15993405673945313</v>
      </c>
      <c r="MQ23">
        <f t="shared" si="2"/>
        <v>0.39821617224424977</v>
      </c>
      <c r="MR23">
        <f t="shared" si="3"/>
        <v>-2.2166845471082764E-2</v>
      </c>
    </row>
    <row r="24" spans="3:356" x14ac:dyDescent="0.25">
      <c r="C24">
        <v>0.32500000000000001</v>
      </c>
      <c r="D24">
        <v>9.83333333333333E-2</v>
      </c>
      <c r="F24">
        <v>-0.06</v>
      </c>
      <c r="G24">
        <v>-0.394666666666666</v>
      </c>
      <c r="J24">
        <v>-2.6666666666666599E-2</v>
      </c>
      <c r="K24">
        <v>-0.23</v>
      </c>
      <c r="M24">
        <v>0.16166666666666599</v>
      </c>
      <c r="N24">
        <v>-0.05</v>
      </c>
      <c r="X24">
        <v>-0.66237288135593198</v>
      </c>
      <c r="Y24">
        <v>-1</v>
      </c>
      <c r="AA24">
        <v>0.94</v>
      </c>
      <c r="AB24">
        <v>0.81599999999999995</v>
      </c>
      <c r="AE24">
        <v>0.27102803738317699</v>
      </c>
      <c r="AF24">
        <v>-3.73831775700934E-2</v>
      </c>
      <c r="AH24">
        <v>-0.22800000000000001</v>
      </c>
      <c r="AI24">
        <v>-0.378</v>
      </c>
      <c r="AL24">
        <v>-0.36305732484076397</v>
      </c>
      <c r="AM24">
        <v>-1</v>
      </c>
      <c r="AO24">
        <v>0.61599999999999999</v>
      </c>
      <c r="AP24">
        <v>0.266666666666666</v>
      </c>
      <c r="AS24">
        <v>0.316</v>
      </c>
      <c r="AT24">
        <v>0.14399999999999999</v>
      </c>
      <c r="AV24">
        <v>0.64166666666666605</v>
      </c>
      <c r="AW24">
        <v>-0.70833333333333304</v>
      </c>
      <c r="BN24">
        <v>-0.54</v>
      </c>
      <c r="BO24">
        <v>-0.65500000000000003</v>
      </c>
      <c r="CP24">
        <v>-0.15384615384615299</v>
      </c>
      <c r="CQ24">
        <v>-0.27272727272727199</v>
      </c>
      <c r="CS24">
        <v>0.40869565217391302</v>
      </c>
      <c r="CT24">
        <v>-5.2173913043478203E-2</v>
      </c>
      <c r="CW24">
        <v>-3.2000000000000001E-2</v>
      </c>
      <c r="CX24">
        <v>-0.233333333333333</v>
      </c>
      <c r="CZ24">
        <v>0.25666666666666599</v>
      </c>
      <c r="DA24">
        <v>-6.6666666666666596E-2</v>
      </c>
      <c r="DD24">
        <v>-7.7102803738317696E-2</v>
      </c>
      <c r="DE24">
        <v>-0.27102803738317699</v>
      </c>
      <c r="DG24">
        <v>0.51200000000000001</v>
      </c>
      <c r="DH24">
        <v>-0.12</v>
      </c>
      <c r="DK24">
        <v>0.61599999999999999</v>
      </c>
      <c r="DL24">
        <v>-0.44</v>
      </c>
      <c r="DN24">
        <v>0.28169014084506999</v>
      </c>
      <c r="DO24">
        <v>-1</v>
      </c>
      <c r="DR24">
        <v>-0.12676056338028099</v>
      </c>
      <c r="DS24">
        <v>-0.62937062937062904</v>
      </c>
      <c r="DU24">
        <v>0.32500000000000001</v>
      </c>
      <c r="DV24">
        <v>9.1666666666666605E-2</v>
      </c>
      <c r="EF24">
        <v>-0.42016806722688999</v>
      </c>
      <c r="EG24">
        <v>-1</v>
      </c>
      <c r="ET24">
        <v>-0.133333333333333</v>
      </c>
      <c r="EU24">
        <v>-0.224</v>
      </c>
      <c r="FA24">
        <v>0.62637362637362604</v>
      </c>
      <c r="FB24">
        <v>-2.19780219780219E-2</v>
      </c>
      <c r="FD24">
        <v>-0.43</v>
      </c>
      <c r="FE24">
        <v>-0.59166666666666601</v>
      </c>
      <c r="FH24">
        <v>0.56034482758620596</v>
      </c>
      <c r="FI24">
        <v>-9.4827586206896505E-2</v>
      </c>
      <c r="FK24">
        <v>3.03030303030303E-2</v>
      </c>
      <c r="FL24">
        <v>-0.23543123543123501</v>
      </c>
      <c r="FO24">
        <v>0.18333333333333299</v>
      </c>
      <c r="FP24">
        <v>-0.18</v>
      </c>
      <c r="FR24">
        <v>-2.33333333333333E-2</v>
      </c>
      <c r="FS24">
        <v>-0.391666666666666</v>
      </c>
      <c r="FV24">
        <v>-5.8666666666666603E-2</v>
      </c>
      <c r="FW24">
        <v>-0.20799999999999999</v>
      </c>
      <c r="GC24">
        <v>0.47666666666666602</v>
      </c>
      <c r="GD24">
        <v>5.0000000000000001E-3</v>
      </c>
      <c r="GF24">
        <v>-0.33400000000000002</v>
      </c>
      <c r="GG24">
        <v>-0.56200000000000006</v>
      </c>
      <c r="GJ24">
        <v>-0.84543010752688097</v>
      </c>
      <c r="GK24">
        <v>-1</v>
      </c>
      <c r="GM24">
        <v>0.94199999999999995</v>
      </c>
      <c r="GN24">
        <v>0.83</v>
      </c>
      <c r="GQ24">
        <v>0.43356643356643298</v>
      </c>
      <c r="GR24">
        <v>-0.24647887323943601</v>
      </c>
      <c r="GT24">
        <v>-0.22600000000000001</v>
      </c>
      <c r="GU24">
        <v>-0.38400000000000001</v>
      </c>
      <c r="GX24">
        <v>0.23166666666666599</v>
      </c>
      <c r="GY24">
        <v>-3.3333333333333301E-3</v>
      </c>
      <c r="HA24">
        <v>-1.8333333333333299E-2</v>
      </c>
      <c r="HB24">
        <v>-0.155</v>
      </c>
      <c r="HE24">
        <v>7.6666666666666605E-2</v>
      </c>
      <c r="HF24">
        <v>-0.14333333333333301</v>
      </c>
      <c r="HH24">
        <v>1.6666666666666601E-3</v>
      </c>
      <c r="HI24">
        <v>-0.13</v>
      </c>
      <c r="HS24">
        <v>0.38834951456310601</v>
      </c>
      <c r="HT24">
        <v>-0.12621359223300899</v>
      </c>
      <c r="HV24">
        <v>0.14953271028037299</v>
      </c>
      <c r="HW24">
        <v>-0.58878504672897103</v>
      </c>
      <c r="HZ24">
        <v>-0.14533333333333301</v>
      </c>
      <c r="IA24">
        <v>-0.349333333333333</v>
      </c>
      <c r="IC24">
        <v>0.54545454545454497</v>
      </c>
      <c r="ID24">
        <v>-0.105633802816901</v>
      </c>
      <c r="IG24">
        <v>3.5000000000000003E-2</v>
      </c>
      <c r="IH24">
        <v>-0.12</v>
      </c>
      <c r="IJ24">
        <v>9.6666666666666595E-2</v>
      </c>
      <c r="IK24">
        <v>-0.171666666666666</v>
      </c>
      <c r="IN24">
        <v>0.105140186915887</v>
      </c>
      <c r="IO24">
        <v>-0.13519813519813501</v>
      </c>
      <c r="IQ24">
        <v>0.1</v>
      </c>
      <c r="IR24">
        <v>-0.225333333333333</v>
      </c>
      <c r="JB24">
        <v>6.6666666666666602E-3</v>
      </c>
      <c r="JC24">
        <v>-0.42</v>
      </c>
      <c r="JE24">
        <v>0</v>
      </c>
      <c r="JF24">
        <v>0</v>
      </c>
      <c r="JI24">
        <v>-5.6000000000000001E-2</v>
      </c>
      <c r="JJ24">
        <v>-0.458666666666666</v>
      </c>
      <c r="JL24">
        <v>0.38</v>
      </c>
      <c r="JM24">
        <v>-0.233333333333333</v>
      </c>
      <c r="JP24">
        <v>-0.56000000000000005</v>
      </c>
      <c r="JQ24">
        <v>-0.60933333333333295</v>
      </c>
      <c r="JS24">
        <v>0.82517482517482499</v>
      </c>
      <c r="JT24">
        <v>0.33098591549295697</v>
      </c>
      <c r="JW24">
        <v>0.107</v>
      </c>
      <c r="JX24">
        <v>-3.9E-2</v>
      </c>
      <c r="JZ24">
        <v>1</v>
      </c>
      <c r="KA24">
        <v>-0.38461538461538403</v>
      </c>
      <c r="KD24">
        <v>3.2000000000000001E-2</v>
      </c>
      <c r="KE24">
        <v>-0.44400000000000001</v>
      </c>
      <c r="KG24">
        <v>0.30933333333333302</v>
      </c>
      <c r="KH24">
        <v>0.11333333333333299</v>
      </c>
      <c r="KR24">
        <v>-1.03092783505154E-2</v>
      </c>
      <c r="KS24">
        <v>-0.432989690721649</v>
      </c>
      <c r="KU24">
        <v>0.21962616822429901</v>
      </c>
      <c r="KV24">
        <v>1.6317016317016299E-2</v>
      </c>
      <c r="KY24">
        <v>0.349333333333333</v>
      </c>
      <c r="KZ24">
        <v>-0.04</v>
      </c>
      <c r="LB24">
        <v>0.21199999999999999</v>
      </c>
      <c r="LC24">
        <v>3.5999999999999997E-2</v>
      </c>
      <c r="LM24">
        <v>0.37579617834394902</v>
      </c>
      <c r="LN24">
        <v>-0.424050632911392</v>
      </c>
      <c r="LP24">
        <v>5.7142857142857099E-3</v>
      </c>
      <c r="LQ24">
        <v>-1</v>
      </c>
      <c r="LT24">
        <v>0.118333333333333</v>
      </c>
      <c r="LU24">
        <v>-0.20333333333333301</v>
      </c>
      <c r="LW24">
        <v>-0.03</v>
      </c>
      <c r="LX24">
        <v>-0.146666666666666</v>
      </c>
      <c r="MA24">
        <v>0.318</v>
      </c>
      <c r="MB24">
        <v>0.106</v>
      </c>
      <c r="MD24">
        <v>-0.22500000000000001</v>
      </c>
      <c r="ME24">
        <v>-0.43666666666666598</v>
      </c>
      <c r="MH24">
        <v>-0.16083916083916</v>
      </c>
      <c r="MI24">
        <v>-0.55011655011655003</v>
      </c>
      <c r="MK24">
        <v>0.19400000000000001</v>
      </c>
      <c r="ML24">
        <v>6.4000000000000001E-2</v>
      </c>
      <c r="MN24">
        <f t="shared" si="0"/>
        <v>0.28294787001354643</v>
      </c>
      <c r="MO24">
        <f t="shared" si="1"/>
        <v>-0.1268884881136442</v>
      </c>
      <c r="MQ24">
        <f t="shared" si="2"/>
        <v>0.35770122870572219</v>
      </c>
      <c r="MR24">
        <f t="shared" si="3"/>
        <v>8.4631214540295624E-2</v>
      </c>
    </row>
    <row r="25" spans="3:356" x14ac:dyDescent="0.25">
      <c r="C25">
        <v>0.56200000000000006</v>
      </c>
      <c r="D25">
        <v>0.156</v>
      </c>
      <c r="F25">
        <v>1</v>
      </c>
      <c r="G25">
        <v>-1</v>
      </c>
      <c r="J25">
        <v>0.50847457627118597</v>
      </c>
      <c r="K25">
        <v>-0.34659090909090901</v>
      </c>
      <c r="X25">
        <v>0.53713298791018904</v>
      </c>
      <c r="Y25">
        <v>-1</v>
      </c>
      <c r="AE25">
        <v>0.241666666666666</v>
      </c>
      <c r="AF25">
        <v>0.18333333333333299</v>
      </c>
      <c r="AH25">
        <v>-0.12</v>
      </c>
      <c r="AI25">
        <v>-0.31333333333333302</v>
      </c>
      <c r="AL25">
        <v>-0.316</v>
      </c>
      <c r="AM25">
        <v>-0.6</v>
      </c>
      <c r="AO25">
        <v>0.46833333333333299</v>
      </c>
      <c r="AP25">
        <v>0.19166666666666601</v>
      </c>
      <c r="AS25">
        <v>3.0666666666666599E-2</v>
      </c>
      <c r="AT25">
        <v>-0.13200000000000001</v>
      </c>
      <c r="AV25">
        <v>0.69</v>
      </c>
      <c r="AW25">
        <v>-3.6666666666666597E-2</v>
      </c>
      <c r="CP25">
        <v>-0.153284671532846</v>
      </c>
      <c r="CQ25">
        <v>-0.51470588235294101</v>
      </c>
      <c r="CS25">
        <v>0.308</v>
      </c>
      <c r="CT25">
        <v>0.16400000000000001</v>
      </c>
      <c r="CW25">
        <v>0.2</v>
      </c>
      <c r="CX25">
        <v>-0.32166666666666599</v>
      </c>
      <c r="CZ25">
        <v>0.42499999999999999</v>
      </c>
      <c r="DA25">
        <v>-0.47499999999999998</v>
      </c>
      <c r="DD25">
        <v>0.2</v>
      </c>
      <c r="DE25">
        <v>-0.67938931297709904</v>
      </c>
      <c r="DG25">
        <v>0.34558823529411697</v>
      </c>
      <c r="DH25">
        <v>-0.40875912408759102</v>
      </c>
      <c r="DK25">
        <v>0.913333333333333</v>
      </c>
      <c r="DL25">
        <v>0.6</v>
      </c>
      <c r="DN25">
        <v>0.51747311827956899</v>
      </c>
      <c r="DO25">
        <v>-1</v>
      </c>
      <c r="DR25">
        <v>5.7324840764331197E-2</v>
      </c>
      <c r="DS25">
        <v>-0.518987341772151</v>
      </c>
      <c r="DU25">
        <v>0.69879518072289104</v>
      </c>
      <c r="DV25">
        <v>-0.42771084337349302</v>
      </c>
      <c r="FA25">
        <v>0.51466666666666605</v>
      </c>
      <c r="FB25">
        <v>0.40666666666666601</v>
      </c>
      <c r="FD25">
        <v>-0.11</v>
      </c>
      <c r="FE25">
        <v>-0.66</v>
      </c>
      <c r="FH25">
        <v>0.42533333333333301</v>
      </c>
      <c r="FI25">
        <v>-0.156</v>
      </c>
      <c r="FK25">
        <v>0.26</v>
      </c>
      <c r="FL25">
        <v>-0.54666666666666597</v>
      </c>
      <c r="FO25">
        <v>8.1333333333333299E-2</v>
      </c>
      <c r="FP25">
        <v>-4.0000000000000001E-3</v>
      </c>
      <c r="FR25">
        <v>1.4E-2</v>
      </c>
      <c r="FS25">
        <v>-9.0999999999999998E-2</v>
      </c>
      <c r="GC25">
        <v>0.64666666666666595</v>
      </c>
      <c r="GD25">
        <v>-0.146666666666666</v>
      </c>
      <c r="GF25">
        <v>-8.5106382978723402E-2</v>
      </c>
      <c r="GG25">
        <v>-0.73796791443850196</v>
      </c>
      <c r="GJ25">
        <v>-0.76719576719576699</v>
      </c>
      <c r="GK25">
        <v>-1</v>
      </c>
      <c r="GM25">
        <v>0.940119760479041</v>
      </c>
      <c r="GN25">
        <v>0.73652694610778402</v>
      </c>
      <c r="GQ25">
        <v>0.4</v>
      </c>
      <c r="GR25">
        <v>0.137333333333333</v>
      </c>
      <c r="GT25">
        <v>-2.10280373831775E-2</v>
      </c>
      <c r="GU25">
        <v>-0.41258741258741199</v>
      </c>
      <c r="GX25">
        <v>0.34</v>
      </c>
      <c r="GY25">
        <v>-0.25</v>
      </c>
      <c r="HA25">
        <v>-5.3333333333333302E-2</v>
      </c>
      <c r="HB25">
        <v>-0.308</v>
      </c>
      <c r="HE25">
        <v>5.6666666666666601E-2</v>
      </c>
      <c r="HF25">
        <v>-0.206666666666666</v>
      </c>
      <c r="HH25">
        <v>8.0000000000000002E-3</v>
      </c>
      <c r="HI25">
        <v>-0.188</v>
      </c>
      <c r="HS25">
        <v>0.36936936936936898</v>
      </c>
      <c r="HT25">
        <v>-9.90990990990991E-2</v>
      </c>
      <c r="HV25">
        <v>-0.33800000000000002</v>
      </c>
      <c r="HW25">
        <v>-0.498</v>
      </c>
      <c r="HZ25">
        <v>-0.41899999999999998</v>
      </c>
      <c r="IA25">
        <v>-0.48899999999999999</v>
      </c>
      <c r="IC25">
        <v>0.61299999999999999</v>
      </c>
      <c r="ID25">
        <v>0.38400000000000001</v>
      </c>
      <c r="IG25">
        <v>-5.3333333333333297E-3</v>
      </c>
      <c r="IH25">
        <v>-0.184</v>
      </c>
      <c r="IJ25">
        <v>0.30833333333333302</v>
      </c>
      <c r="IK25">
        <v>-0.34166666666666601</v>
      </c>
      <c r="IN25">
        <v>0.184</v>
      </c>
      <c r="IO25">
        <v>-0.21199999999999999</v>
      </c>
      <c r="IQ25">
        <v>-1.16666666666666E-2</v>
      </c>
      <c r="IR25">
        <v>-0.21</v>
      </c>
      <c r="JB25">
        <v>1.4018691588785E-2</v>
      </c>
      <c r="JC25">
        <v>0</v>
      </c>
      <c r="JE25">
        <v>0</v>
      </c>
      <c r="JF25">
        <v>-1.2987012987012899E-2</v>
      </c>
      <c r="JI25">
        <v>0.20886075949367</v>
      </c>
      <c r="JJ25">
        <v>-0.354430379746835</v>
      </c>
      <c r="JL25">
        <v>0.19161676646706499</v>
      </c>
      <c r="JM25">
        <v>-0.39156626506024</v>
      </c>
      <c r="JP25">
        <v>-0.72666666666666602</v>
      </c>
      <c r="JQ25">
        <v>-0.79666666666666597</v>
      </c>
      <c r="JW25">
        <v>0.48295454545454503</v>
      </c>
      <c r="JX25">
        <v>-0.22727272727272699</v>
      </c>
      <c r="JZ25">
        <v>-0.28000000000000003</v>
      </c>
      <c r="KA25">
        <v>-0.65600000000000003</v>
      </c>
      <c r="KD25">
        <v>3.2000000000000001E-2</v>
      </c>
      <c r="KE25">
        <v>-0.17599999999999999</v>
      </c>
      <c r="KG25">
        <v>0.63166666666666604</v>
      </c>
      <c r="KH25">
        <v>0.171666666666666</v>
      </c>
      <c r="KR25">
        <v>5.83333333333333E-2</v>
      </c>
      <c r="KS25">
        <v>-0.36666666666666597</v>
      </c>
      <c r="KU25">
        <v>0.112</v>
      </c>
      <c r="KV25">
        <v>-0.112</v>
      </c>
      <c r="KY25">
        <v>0.46400000000000002</v>
      </c>
      <c r="KZ25">
        <v>4.0000000000000001E-3</v>
      </c>
      <c r="LB25">
        <v>0.504</v>
      </c>
      <c r="LC25">
        <v>0.102666666666666</v>
      </c>
      <c r="LT25">
        <v>0.35135135135135098</v>
      </c>
      <c r="LU25">
        <v>-0.20720720720720701</v>
      </c>
      <c r="LW25">
        <v>0.176666666666666</v>
      </c>
      <c r="LX25">
        <v>-5.83333333333333E-2</v>
      </c>
      <c r="MA25">
        <v>0.25333333333333302</v>
      </c>
      <c r="MB25">
        <v>0.12866666666666601</v>
      </c>
      <c r="MD25">
        <v>5.6000000000000001E-2</v>
      </c>
      <c r="ME25">
        <v>-0.496</v>
      </c>
      <c r="MH25">
        <v>-0.110666666666666</v>
      </c>
      <c r="MI25">
        <v>-0.270666666666666</v>
      </c>
      <c r="MK25">
        <v>0.181666666666666</v>
      </c>
      <c r="ML25">
        <v>5.6666666666666601E-2</v>
      </c>
      <c r="MN25">
        <f t="shared" si="0"/>
        <v>0.33876154214484883</v>
      </c>
      <c r="MO25">
        <f t="shared" si="1"/>
        <v>-3.7376378824163226E-3</v>
      </c>
      <c r="MQ25">
        <f t="shared" si="2"/>
        <v>0.2919272818643362</v>
      </c>
      <c r="MR25">
        <f t="shared" si="3"/>
        <v>-2.3745627146269599E-2</v>
      </c>
    </row>
    <row r="26" spans="3:356" x14ac:dyDescent="0.25">
      <c r="AE26">
        <v>0.41538461538461502</v>
      </c>
      <c r="AF26">
        <v>0</v>
      </c>
      <c r="AH26">
        <v>-0.26300000000000001</v>
      </c>
      <c r="AI26">
        <v>-0.46800000000000003</v>
      </c>
      <c r="AL26">
        <v>-6.3829787234042507E-2</v>
      </c>
      <c r="AM26">
        <v>-0.71122994652406402</v>
      </c>
      <c r="AO26">
        <v>0.51082251082250996</v>
      </c>
      <c r="AP26">
        <v>-0.352173913043478</v>
      </c>
      <c r="AS26">
        <v>0.12666666666666601</v>
      </c>
      <c r="AT26">
        <v>-8.66666666666666E-2</v>
      </c>
      <c r="AV26">
        <v>0.44500000000000001</v>
      </c>
      <c r="AW26">
        <v>-0.36</v>
      </c>
      <c r="CP26">
        <v>-0.245</v>
      </c>
      <c r="CQ26">
        <v>-0.375</v>
      </c>
      <c r="CS26">
        <v>0.51</v>
      </c>
      <c r="CT26">
        <v>0.155</v>
      </c>
      <c r="CW26">
        <v>0.13200000000000001</v>
      </c>
      <c r="CX26">
        <v>-0.17333333333333301</v>
      </c>
      <c r="CZ26">
        <v>9.3333333333333296E-2</v>
      </c>
      <c r="DA26">
        <v>-0.30933333333333302</v>
      </c>
      <c r="DD26">
        <v>-0.34599999999999997</v>
      </c>
      <c r="DE26">
        <v>-0.34599999999999997</v>
      </c>
      <c r="DG26">
        <v>0.39800000000000002</v>
      </c>
      <c r="DH26">
        <v>0.254</v>
      </c>
      <c r="DR26">
        <v>-0.47499999999999998</v>
      </c>
      <c r="DS26">
        <v>-0.86499999999999999</v>
      </c>
      <c r="DU26">
        <v>0.58699999999999997</v>
      </c>
      <c r="DV26">
        <v>0.375</v>
      </c>
      <c r="FA26">
        <v>0.34699999999999998</v>
      </c>
      <c r="FB26">
        <v>0.24299999999999999</v>
      </c>
      <c r="FD26">
        <v>-0.11214953271028</v>
      </c>
      <c r="FE26">
        <v>-0.58878504672897103</v>
      </c>
      <c r="FH26">
        <v>-3.7234042553191397E-2</v>
      </c>
      <c r="FI26">
        <v>-0.5</v>
      </c>
      <c r="FK26">
        <v>0.2</v>
      </c>
      <c r="FL26">
        <v>9.1666666666666605E-2</v>
      </c>
      <c r="FO26">
        <v>0.62711864406779605</v>
      </c>
      <c r="FP26">
        <v>-0.21590909090909</v>
      </c>
      <c r="FR26">
        <v>-0.23376623376623301</v>
      </c>
      <c r="FS26">
        <v>-0.64347826086956506</v>
      </c>
      <c r="GC26">
        <v>0.51466666666666605</v>
      </c>
      <c r="GD26">
        <v>0.312</v>
      </c>
      <c r="GF26">
        <v>0.421911421911421</v>
      </c>
      <c r="GG26">
        <v>-0.188811188811188</v>
      </c>
      <c r="GJ26">
        <v>-0.87733333333333297</v>
      </c>
      <c r="GK26">
        <v>-0.89333333333333298</v>
      </c>
      <c r="GQ26">
        <v>0.70093457943925197</v>
      </c>
      <c r="GR26">
        <v>-0.28037383177570002</v>
      </c>
      <c r="GT26">
        <v>0.16017316017316</v>
      </c>
      <c r="GU26">
        <v>-0.83478260869565202</v>
      </c>
      <c r="GX26">
        <v>0.187</v>
      </c>
      <c r="GY26">
        <v>-8.5999999999999993E-2</v>
      </c>
      <c r="HA26">
        <v>0.33566433566433501</v>
      </c>
      <c r="HB26">
        <v>-0.356643356643356</v>
      </c>
      <c r="HE26">
        <v>0.109333333333333</v>
      </c>
      <c r="HF26">
        <v>-0.142666666666666</v>
      </c>
      <c r="HH26">
        <v>-2.2666666666666599E-2</v>
      </c>
      <c r="HI26">
        <v>-0.206666666666666</v>
      </c>
      <c r="HS26">
        <v>0.51166666666666605</v>
      </c>
      <c r="HT26">
        <v>0.23</v>
      </c>
      <c r="HV26">
        <v>-0.124031007751937</v>
      </c>
      <c r="HW26">
        <v>-1</v>
      </c>
      <c r="HZ26">
        <v>-0.137333333333333</v>
      </c>
      <c r="IA26">
        <v>-0.56933333333333302</v>
      </c>
      <c r="IG26">
        <v>0.20799999999999999</v>
      </c>
      <c r="IH26">
        <v>-0.38400000000000001</v>
      </c>
      <c r="IJ26">
        <v>0.43511450381679301</v>
      </c>
      <c r="IK26">
        <v>-0.45384615384615301</v>
      </c>
      <c r="IN26">
        <v>0.40400000000000003</v>
      </c>
      <c r="IO26">
        <v>-0.26266666666666599</v>
      </c>
      <c r="IQ26">
        <v>0.16588785046728899</v>
      </c>
      <c r="IR26">
        <v>-0.226635514018691</v>
      </c>
      <c r="JB26">
        <v>1.2E-2</v>
      </c>
      <c r="JC26">
        <v>0</v>
      </c>
      <c r="JE26">
        <v>0</v>
      </c>
      <c r="JF26">
        <v>-7.3260073260073194E-2</v>
      </c>
      <c r="JI26">
        <v>0.26136363636363602</v>
      </c>
      <c r="JJ26">
        <v>-0.50568181818181801</v>
      </c>
      <c r="JL26">
        <v>-3.7999999999999999E-2</v>
      </c>
      <c r="JM26">
        <v>-0.248</v>
      </c>
      <c r="JW26">
        <v>0.62637362637362604</v>
      </c>
      <c r="JX26">
        <v>0.18681318681318601</v>
      </c>
      <c r="JZ26">
        <v>-0.31333333333333302</v>
      </c>
      <c r="KA26">
        <v>-0.87</v>
      </c>
      <c r="KD26">
        <v>0.14000000000000001</v>
      </c>
      <c r="KE26">
        <v>-5.2999999999999999E-2</v>
      </c>
      <c r="KR26">
        <v>9.5000000000000001E-2</v>
      </c>
      <c r="KS26">
        <v>-0.33200000000000002</v>
      </c>
      <c r="KU26">
        <v>-3.1E-2</v>
      </c>
      <c r="KV26">
        <v>-0.111</v>
      </c>
      <c r="LT26">
        <v>-0.14000000000000001</v>
      </c>
      <c r="LU26">
        <v>-0.23066666666666599</v>
      </c>
      <c r="LW26">
        <v>0.23066666666666599</v>
      </c>
      <c r="LX26">
        <v>0.12933333333333299</v>
      </c>
      <c r="MA26">
        <v>0.308</v>
      </c>
      <c r="MB26">
        <v>-0.33733333333333299</v>
      </c>
      <c r="MD26">
        <v>0.109333333333333</v>
      </c>
      <c r="ME26">
        <v>-0.117333333333333</v>
      </c>
      <c r="MH26">
        <v>-0.151</v>
      </c>
      <c r="MI26">
        <v>-0.19500000000000001</v>
      </c>
      <c r="MK26">
        <v>0.49</v>
      </c>
      <c r="ML26">
        <v>7.0000000000000007E-2</v>
      </c>
      <c r="MN26">
        <f t="shared" si="0"/>
        <v>0.37603911038171195</v>
      </c>
      <c r="MO26">
        <f t="shared" si="1"/>
        <v>-8.8780888773340047E-2</v>
      </c>
      <c r="MQ26">
        <f t="shared" si="2"/>
        <v>0.26131087412467691</v>
      </c>
      <c r="MR26">
        <f t="shared" si="3"/>
        <v>-3.4394505358152768E-3</v>
      </c>
    </row>
    <row r="27" spans="3:356" x14ac:dyDescent="0.25">
      <c r="AE27">
        <v>0.49</v>
      </c>
      <c r="AF27">
        <v>0.17499999999999999</v>
      </c>
      <c r="AH27">
        <v>-0.244680851063829</v>
      </c>
      <c r="AI27">
        <v>-0.64361702127659504</v>
      </c>
      <c r="AL27">
        <v>-0.23733333333333301</v>
      </c>
      <c r="AM27">
        <v>-0.30933333333333302</v>
      </c>
      <c r="AS27">
        <v>0.7</v>
      </c>
      <c r="AT27">
        <v>-9.5000000000000001E-2</v>
      </c>
      <c r="AV27">
        <v>0.583666666666666</v>
      </c>
      <c r="AW27">
        <v>0.583666666666666</v>
      </c>
      <c r="CP27">
        <v>-0.37066666666666598</v>
      </c>
      <c r="CQ27">
        <v>-0.54</v>
      </c>
      <c r="CS27">
        <v>0.50166666666666604</v>
      </c>
      <c r="CT27">
        <v>0.27500000000000002</v>
      </c>
      <c r="CW27">
        <v>4.1000000000000002E-2</v>
      </c>
      <c r="CX27">
        <v>-0.17</v>
      </c>
      <c r="CZ27">
        <v>0.23831775700934499</v>
      </c>
      <c r="DA27">
        <v>-0.163170163170163</v>
      </c>
      <c r="DD27">
        <v>-0.27272727272727199</v>
      </c>
      <c r="DE27">
        <v>-0.45687645687645601</v>
      </c>
      <c r="DG27">
        <v>0.38</v>
      </c>
      <c r="DH27">
        <v>0.28000000000000003</v>
      </c>
      <c r="DR27">
        <v>-0.55266666666666597</v>
      </c>
      <c r="DS27">
        <v>-0.64200000000000002</v>
      </c>
      <c r="DU27">
        <v>0.78800000000000003</v>
      </c>
      <c r="DV27">
        <v>0.39200000000000002</v>
      </c>
      <c r="FA27">
        <v>0.26266666666666599</v>
      </c>
      <c r="FB27">
        <v>0.18333333333333299</v>
      </c>
      <c r="FD27">
        <v>-0.24199999999999999</v>
      </c>
      <c r="FE27">
        <v>-0.27600000000000002</v>
      </c>
      <c r="FH27">
        <v>1</v>
      </c>
      <c r="FI27">
        <v>-0.46153846153846101</v>
      </c>
      <c r="FK27">
        <v>0.54978354978354904</v>
      </c>
      <c r="FL27">
        <v>-4.3478260869565202E-2</v>
      </c>
      <c r="GC27">
        <v>0.748</v>
      </c>
      <c r="GD27">
        <v>0.316</v>
      </c>
      <c r="GF27">
        <v>0.26200000000000001</v>
      </c>
      <c r="GG27">
        <v>9.4E-2</v>
      </c>
      <c r="GX27">
        <v>-0.13466666666666599</v>
      </c>
      <c r="GY27">
        <v>-0.174666666666666</v>
      </c>
      <c r="HE27">
        <v>0.245</v>
      </c>
      <c r="HF27">
        <v>-0.17</v>
      </c>
      <c r="HH27">
        <v>-7.3333333333333306E-2</v>
      </c>
      <c r="HI27">
        <v>-0.42533333333333301</v>
      </c>
      <c r="HS27">
        <v>0.44666666666666599</v>
      </c>
      <c r="HT27">
        <v>7.0000000000000007E-2</v>
      </c>
      <c r="HV27">
        <v>-0.215</v>
      </c>
      <c r="HW27">
        <v>-0.61166666666666603</v>
      </c>
      <c r="IG27">
        <v>0.17799999999999999</v>
      </c>
      <c r="IH27">
        <v>8.5999999999999993E-2</v>
      </c>
      <c r="IJ27">
        <v>1</v>
      </c>
      <c r="IK27">
        <v>-0.30769230769230699</v>
      </c>
      <c r="IN27">
        <v>0.20300000000000001</v>
      </c>
      <c r="IO27">
        <v>-0.16500000000000001</v>
      </c>
      <c r="IQ27">
        <v>0.20399999999999999</v>
      </c>
      <c r="IR27">
        <v>-0.16400000000000001</v>
      </c>
      <c r="JB27">
        <v>0</v>
      </c>
      <c r="JC27">
        <v>0</v>
      </c>
      <c r="JE27">
        <v>0</v>
      </c>
      <c r="JF27">
        <v>0</v>
      </c>
      <c r="JI27">
        <v>0.64500000000000002</v>
      </c>
      <c r="JJ27">
        <v>-0.3</v>
      </c>
      <c r="JL27">
        <v>0.12933333333333299</v>
      </c>
      <c r="JM27">
        <v>-0.50266666666666604</v>
      </c>
      <c r="KR27">
        <v>0.22266666666666601</v>
      </c>
      <c r="KS27">
        <v>-0.25066666666666598</v>
      </c>
      <c r="KU27">
        <v>0.19251336898395699</v>
      </c>
      <c r="KV27">
        <v>-0.29787234042553101</v>
      </c>
      <c r="LT27">
        <v>-1.33333333333333E-3</v>
      </c>
      <c r="LU27">
        <v>-0.28266666666666601</v>
      </c>
      <c r="LW27">
        <v>0.32</v>
      </c>
      <c r="LX27">
        <v>-0.20499999999999999</v>
      </c>
      <c r="MN27">
        <f t="shared" si="0"/>
        <v>0.41737037037037017</v>
      </c>
      <c r="MO27">
        <f t="shared" si="1"/>
        <v>1.0592592592592555E-2</v>
      </c>
      <c r="MQ27">
        <f t="shared" si="2"/>
        <v>0.3262181761593525</v>
      </c>
      <c r="MR27">
        <f t="shared" si="3"/>
        <v>2.6294377633878204E-2</v>
      </c>
    </row>
    <row r="28" spans="3:356" x14ac:dyDescent="0.25">
      <c r="AE28">
        <v>0.68</v>
      </c>
      <c r="AF28">
        <v>0.09</v>
      </c>
      <c r="AH28">
        <v>-0.51600000000000001</v>
      </c>
      <c r="AI28">
        <v>-0.64800000000000002</v>
      </c>
      <c r="CP28">
        <v>-0.34399999999999997</v>
      </c>
      <c r="CQ28">
        <v>-0.47066666666666601</v>
      </c>
      <c r="CS28">
        <v>0.96333333333333304</v>
      </c>
      <c r="CT28">
        <v>0.53666666666666596</v>
      </c>
      <c r="CW28">
        <v>0.387850467289719</v>
      </c>
      <c r="CX28">
        <v>-0.36915887850467199</v>
      </c>
      <c r="CZ28">
        <v>-0.272666666666666</v>
      </c>
      <c r="DA28">
        <v>-0.29933333333333301</v>
      </c>
      <c r="DD28">
        <v>-0.30533333333333301</v>
      </c>
      <c r="DE28">
        <v>-0.38933333333333298</v>
      </c>
      <c r="DG28">
        <v>0.75</v>
      </c>
      <c r="DH28">
        <v>0.161</v>
      </c>
      <c r="DR28">
        <v>-0.70933333333333304</v>
      </c>
      <c r="DS28">
        <v>-0.72666666666666602</v>
      </c>
      <c r="FA28">
        <v>0.45</v>
      </c>
      <c r="FB28">
        <v>-1.6666666666666601E-2</v>
      </c>
      <c r="FD28">
        <v>-0.22</v>
      </c>
      <c r="FE28">
        <v>-0.336666666666666</v>
      </c>
      <c r="FH28">
        <v>-8.7999999999999995E-2</v>
      </c>
      <c r="FI28">
        <v>-0.55200000000000005</v>
      </c>
      <c r="FK28">
        <v>0.61866666666666603</v>
      </c>
      <c r="FL28">
        <v>0</v>
      </c>
      <c r="HE28">
        <v>0.36799999999999999</v>
      </c>
      <c r="HF28">
        <v>9.8000000000000004E-2</v>
      </c>
      <c r="HH28">
        <v>0.43</v>
      </c>
      <c r="HI28">
        <v>-0.34300000000000003</v>
      </c>
      <c r="HS28">
        <v>0.96521739130434703</v>
      </c>
      <c r="HT28">
        <v>-5.6277056277056203E-2</v>
      </c>
      <c r="HV28">
        <v>-0.81606765327695496</v>
      </c>
      <c r="HW28">
        <v>-1</v>
      </c>
      <c r="IG28">
        <v>0.33866666666666601</v>
      </c>
      <c r="IH28">
        <v>1.3333333333333299E-2</v>
      </c>
      <c r="IJ28">
        <v>0.53066666666666595</v>
      </c>
      <c r="IK28">
        <v>0.17066666666666599</v>
      </c>
      <c r="IN28">
        <v>1</v>
      </c>
      <c r="IO28">
        <v>-1</v>
      </c>
      <c r="IQ28">
        <v>0.62133333333333296</v>
      </c>
      <c r="IR28">
        <v>0.376</v>
      </c>
      <c r="JB28">
        <v>0</v>
      </c>
      <c r="JC28">
        <v>0</v>
      </c>
      <c r="JE28">
        <v>0</v>
      </c>
      <c r="JF28">
        <v>0</v>
      </c>
      <c r="KR28">
        <v>-9.6000000000000002E-2</v>
      </c>
      <c r="KS28">
        <v>-0.34599999999999997</v>
      </c>
      <c r="KU28">
        <v>0.177570093457943</v>
      </c>
      <c r="KV28">
        <v>3.73831775700934E-2</v>
      </c>
      <c r="LT28">
        <v>4.2056074766355103E-2</v>
      </c>
      <c r="LU28">
        <v>-0.50934579439252303</v>
      </c>
      <c r="LW28">
        <v>0</v>
      </c>
      <c r="LX28">
        <v>-0.163333333333333</v>
      </c>
      <c r="MN28">
        <f t="shared" si="0"/>
        <v>0.53162242087678868</v>
      </c>
      <c r="MO28">
        <f t="shared" si="1"/>
        <v>-4.0128211352510247E-2</v>
      </c>
      <c r="MQ28">
        <f t="shared" si="2"/>
        <v>0.52181723779854583</v>
      </c>
      <c r="MR28">
        <f t="shared" si="3"/>
        <v>0.15795275181723775</v>
      </c>
    </row>
    <row r="29" spans="3:356" x14ac:dyDescent="0.25">
      <c r="AE29">
        <v>0.64066666666666605</v>
      </c>
      <c r="AF29">
        <v>0.54400000000000004</v>
      </c>
      <c r="AH29">
        <v>-0.41</v>
      </c>
      <c r="AI29">
        <v>-0.65600000000000003</v>
      </c>
      <c r="CP29">
        <v>-3.8306451612903199E-2</v>
      </c>
      <c r="CQ29">
        <v>-1</v>
      </c>
      <c r="CS29">
        <v>0.97599999999999998</v>
      </c>
      <c r="CT29">
        <v>0</v>
      </c>
      <c r="CW29">
        <v>0.68</v>
      </c>
      <c r="CX29">
        <v>0.35</v>
      </c>
      <c r="CZ29">
        <v>0.18833333333333299</v>
      </c>
      <c r="DA29">
        <v>-0.55166666666666597</v>
      </c>
      <c r="DD29">
        <v>-0.10666666666666599</v>
      </c>
      <c r="DE29">
        <v>-0.504</v>
      </c>
      <c r="FA29">
        <v>0.50381679389312894</v>
      </c>
      <c r="FB29">
        <v>-6.9230769230769207E-2</v>
      </c>
      <c r="FD29">
        <v>-0.254</v>
      </c>
      <c r="FE29">
        <v>-0.496</v>
      </c>
      <c r="FH29">
        <v>0</v>
      </c>
      <c r="FI29">
        <v>-2.4E-2</v>
      </c>
      <c r="FK29">
        <v>0</v>
      </c>
      <c r="FL29">
        <v>0</v>
      </c>
      <c r="HE29">
        <v>0.43</v>
      </c>
      <c r="IN29">
        <v>1</v>
      </c>
      <c r="IO29">
        <v>0.48148148148148101</v>
      </c>
      <c r="JB29">
        <v>0</v>
      </c>
      <c r="JC29">
        <v>0</v>
      </c>
      <c r="KR29">
        <v>-0.117333333333333</v>
      </c>
      <c r="KS29">
        <v>-0.30933333333333302</v>
      </c>
      <c r="KU29">
        <v>0.16800000000000001</v>
      </c>
      <c r="KV29">
        <v>6.8000000000000005E-2</v>
      </c>
      <c r="LT29">
        <v>0</v>
      </c>
      <c r="LU29">
        <v>0</v>
      </c>
      <c r="LW29">
        <v>0</v>
      </c>
      <c r="LX29">
        <v>0</v>
      </c>
      <c r="MN29">
        <f t="shared" si="0"/>
        <v>0.5636208651399488</v>
      </c>
      <c r="MO29">
        <f t="shared" si="1"/>
        <v>0.27492307692307694</v>
      </c>
      <c r="MQ29">
        <f t="shared" si="2"/>
        <v>0.28599999999999998</v>
      </c>
      <c r="MR29">
        <f t="shared" si="3"/>
        <v>2.2666666666666668E-2</v>
      </c>
    </row>
    <row r="30" spans="3:356" x14ac:dyDescent="0.25">
      <c r="AE30">
        <v>0.57799999999999996</v>
      </c>
      <c r="AF30">
        <v>0.44500000000000001</v>
      </c>
      <c r="AH30">
        <v>0</v>
      </c>
      <c r="AI30">
        <v>-0.57333333333333303</v>
      </c>
      <c r="CP30">
        <v>0</v>
      </c>
      <c r="CQ30">
        <v>-1</v>
      </c>
      <c r="CW30" t="s">
        <v>6</v>
      </c>
      <c r="FA30">
        <v>0.31666666666666599</v>
      </c>
      <c r="FB30">
        <v>0.293333333333333</v>
      </c>
      <c r="FD30">
        <v>-0.23166666666666599</v>
      </c>
      <c r="FE30">
        <v>-0.37666666666666598</v>
      </c>
      <c r="KR30">
        <v>0</v>
      </c>
      <c r="KS30">
        <v>-0.26007326007325998</v>
      </c>
      <c r="KU30">
        <v>0</v>
      </c>
      <c r="KV30">
        <v>0</v>
      </c>
      <c r="LT30">
        <v>0</v>
      </c>
      <c r="LU30">
        <v>0</v>
      </c>
      <c r="LW30">
        <v>0</v>
      </c>
      <c r="LX30">
        <v>0</v>
      </c>
      <c r="MN30">
        <f t="shared" si="0"/>
        <v>0.298222222222222</v>
      </c>
      <c r="MO30">
        <f t="shared" si="1"/>
        <v>0.36916666666666653</v>
      </c>
      <c r="MQ30">
        <f t="shared" si="2"/>
        <v>0</v>
      </c>
      <c r="MR30">
        <f t="shared" si="3"/>
        <v>0</v>
      </c>
    </row>
    <row r="31" spans="3:356" x14ac:dyDescent="0.25">
      <c r="AE31">
        <v>0</v>
      </c>
      <c r="AF31">
        <v>0</v>
      </c>
      <c r="AH31">
        <v>0</v>
      </c>
      <c r="AI31">
        <v>0</v>
      </c>
      <c r="FA31">
        <v>0.563291139240506</v>
      </c>
      <c r="FB31">
        <v>0</v>
      </c>
      <c r="FD31">
        <v>-0.46400000000000002</v>
      </c>
      <c r="FE31">
        <v>-0.72799999999999998</v>
      </c>
      <c r="KR31">
        <v>0</v>
      </c>
      <c r="KS31">
        <v>0</v>
      </c>
      <c r="KU31">
        <v>0</v>
      </c>
      <c r="KV31">
        <v>0</v>
      </c>
      <c r="LT31">
        <v>0</v>
      </c>
      <c r="LU31">
        <v>0</v>
      </c>
      <c r="MN31">
        <f t="shared" si="0"/>
        <v>0.281645569620253</v>
      </c>
      <c r="MO31">
        <f t="shared" si="1"/>
        <v>0</v>
      </c>
      <c r="MQ31">
        <f t="shared" si="2"/>
        <v>0</v>
      </c>
      <c r="MR31">
        <f t="shared" si="3"/>
        <v>0</v>
      </c>
    </row>
    <row r="32" spans="3:356" x14ac:dyDescent="0.25">
      <c r="FA32">
        <v>0.59799999999999998</v>
      </c>
      <c r="FB32">
        <v>0.32700000000000001</v>
      </c>
      <c r="FD32">
        <v>-6.0606060606060601E-2</v>
      </c>
      <c r="FE32">
        <v>-0.74458874458874402</v>
      </c>
      <c r="KR32">
        <v>0</v>
      </c>
      <c r="KS32">
        <v>0</v>
      </c>
      <c r="KU32">
        <v>0</v>
      </c>
      <c r="KV32">
        <v>0</v>
      </c>
      <c r="MN32">
        <f t="shared" si="0"/>
        <v>0.59799999999999998</v>
      </c>
      <c r="MO32">
        <f t="shared" si="1"/>
        <v>0.32700000000000001</v>
      </c>
      <c r="MQ32">
        <f t="shared" si="2"/>
        <v>0</v>
      </c>
      <c r="MR32">
        <f t="shared" si="3"/>
        <v>0</v>
      </c>
    </row>
    <row r="33" spans="157:356" x14ac:dyDescent="0.25">
      <c r="FA33">
        <v>0.67600000000000005</v>
      </c>
      <c r="FB33">
        <v>-0.04</v>
      </c>
      <c r="FD33">
        <v>-0.45600000000000002</v>
      </c>
      <c r="FE33">
        <v>-0.67700000000000005</v>
      </c>
      <c r="KR33">
        <v>0</v>
      </c>
      <c r="KS33">
        <v>0</v>
      </c>
      <c r="MN33">
        <f t="shared" si="0"/>
        <v>0.67600000000000005</v>
      </c>
      <c r="MO33">
        <f t="shared" si="1"/>
        <v>-0.04</v>
      </c>
      <c r="MQ33">
        <f t="shared" si="2"/>
        <v>0</v>
      </c>
      <c r="MR33">
        <f t="shared" si="3"/>
        <v>0</v>
      </c>
    </row>
    <row r="34" spans="157:356" x14ac:dyDescent="0.25">
      <c r="FA34">
        <v>0.83133333333333304</v>
      </c>
      <c r="FB34">
        <v>0.83133333333333304</v>
      </c>
      <c r="FD34">
        <v>-0.26933333333333298</v>
      </c>
      <c r="FE34">
        <v>-0.48799999999999999</v>
      </c>
      <c r="MQ34">
        <f t="shared" si="2"/>
        <v>0</v>
      </c>
      <c r="MR34">
        <f t="shared" si="3"/>
        <v>0</v>
      </c>
    </row>
  </sheetData>
  <hyperlinks>
    <hyperlink ref="C3" r:id="rId1" display="webpack://src/app/services/game/game.service.ts" xr:uid="{00000000-0004-0000-0400-0000B5000000}"/>
    <hyperlink ref="D3" r:id="rId2" display="webpack://src/app/services/game/game.service.ts" xr:uid="{00000000-0004-0000-0400-0000B6000000}"/>
    <hyperlink ref="F3" r:id="rId3" display="webpack://src/app/services/game/game.service.ts" xr:uid="{00000000-0004-0000-0400-0000B7000000}"/>
    <hyperlink ref="G3" r:id="rId4" display="webpack://src/app/services/game/game.service.ts" xr:uid="{00000000-0004-0000-0400-0000B8000000}"/>
    <hyperlink ref="J3" r:id="rId5" display="webpack://src/app/services/game/game.service.ts" xr:uid="{00000000-0004-0000-0400-0000B9000000}"/>
    <hyperlink ref="K3" r:id="rId6" display="webpack://src/app/services/game/game.service.ts" xr:uid="{00000000-0004-0000-0400-0000BA000000}"/>
    <hyperlink ref="M3" r:id="rId7" display="webpack://src/app/services/game/game.service.ts" xr:uid="{00000000-0004-0000-0400-0000BB000000}"/>
    <hyperlink ref="N3" r:id="rId8" display="webpack://src/app/services/game/game.service.ts" xr:uid="{00000000-0004-0000-0400-0000BC000000}"/>
    <hyperlink ref="Q3" r:id="rId9" display="webpack://src/app/services/game/game.service.ts" xr:uid="{00000000-0004-0000-0400-0000BD000000}"/>
    <hyperlink ref="R3" r:id="rId10" display="webpack://src/app/services/game/game.service.ts" xr:uid="{00000000-0004-0000-0400-0000BE000000}"/>
    <hyperlink ref="T3" r:id="rId11" display="webpack://src/app/services/game/game.service.ts" xr:uid="{00000000-0004-0000-0400-0000BF000000}"/>
    <hyperlink ref="U3" r:id="rId12" display="webpack://src/app/services/game/game.service.ts" xr:uid="{00000000-0004-0000-0400-0000C0000000}"/>
    <hyperlink ref="X3" r:id="rId13" display="webpack://src/app/services/game/game.service.ts" xr:uid="{00000000-0004-0000-0400-0000C1000000}"/>
    <hyperlink ref="Y3" r:id="rId14" display="webpack://src/app/services/game/game.service.ts" xr:uid="{00000000-0004-0000-0400-0000C2000000}"/>
    <hyperlink ref="AA3" r:id="rId15" display="webpack://src/app/services/game/game.service.ts" xr:uid="{00000000-0004-0000-0400-0000C3000000}"/>
    <hyperlink ref="AB3" r:id="rId16" display="webpack://src/app/services/game/game.service.ts" xr:uid="{00000000-0004-0000-0400-0000C4000000}"/>
    <hyperlink ref="AE3" r:id="rId17" display="webpack://src/app/services/game/game.service.ts" xr:uid="{00000000-0004-0000-0400-0000C5000000}"/>
    <hyperlink ref="AF3" r:id="rId18" display="webpack://src/app/services/game/game.service.ts" xr:uid="{00000000-0004-0000-0400-0000C6000000}"/>
    <hyperlink ref="AH3" r:id="rId19" display="webpack://src/app/services/game/game.service.ts" xr:uid="{00000000-0004-0000-0400-0000C7000000}"/>
    <hyperlink ref="AI3" r:id="rId20" display="webpack://src/app/services/game/game.service.ts" xr:uid="{00000000-0004-0000-0400-0000C8000000}"/>
    <hyperlink ref="AL3" r:id="rId21" display="webpack://src/app/services/game/game.service.ts" xr:uid="{00000000-0004-0000-0400-0000C9000000}"/>
    <hyperlink ref="AM3" r:id="rId22" display="webpack://src/app/services/game/game.service.ts" xr:uid="{00000000-0004-0000-0400-0000CA000000}"/>
    <hyperlink ref="AO3" r:id="rId23" display="webpack://src/app/services/game/game.service.ts" xr:uid="{00000000-0004-0000-0400-0000CB000000}"/>
    <hyperlink ref="AP3" r:id="rId24" display="webpack://src/app/services/game/game.service.ts" xr:uid="{00000000-0004-0000-0400-0000CC000000}"/>
    <hyperlink ref="AS3" r:id="rId25" display="webpack://src/app/services/game/game.service.ts" xr:uid="{00000000-0004-0000-0400-0000CD000000}"/>
    <hyperlink ref="AT3" r:id="rId26" display="webpack://src/app/services/game/game.service.ts" xr:uid="{00000000-0004-0000-0400-0000CE000000}"/>
    <hyperlink ref="AV3" r:id="rId27" display="webpack://src/app/services/game/game.service.ts" xr:uid="{00000000-0004-0000-0400-0000CF000000}"/>
    <hyperlink ref="AW3" r:id="rId28" display="webpack://src/app/services/game/game.service.ts" xr:uid="{00000000-0004-0000-0400-0000D0000000}"/>
    <hyperlink ref="AZ3" r:id="rId29" display="webpack://src/app/services/game/game.service.ts" xr:uid="{00000000-0004-0000-0400-0000D1000000}"/>
    <hyperlink ref="BA3" r:id="rId30" display="webpack://src/app/services/game/game.service.ts" xr:uid="{00000000-0004-0000-0400-0000D2000000}"/>
    <hyperlink ref="BC3" r:id="rId31" display="webpack://src/app/services/game/game.service.ts" xr:uid="{00000000-0004-0000-0400-0000D3000000}"/>
    <hyperlink ref="BD3" r:id="rId32" display="webpack://src/app/services/game/game.service.ts" xr:uid="{00000000-0004-0000-0400-0000D4000000}"/>
    <hyperlink ref="BG3" r:id="rId33" display="webpack://src/app/services/game/game.service.ts" xr:uid="{00000000-0004-0000-0400-0000D5000000}"/>
    <hyperlink ref="BH3" r:id="rId34" display="webpack://src/app/services/game/game.service.ts" xr:uid="{00000000-0004-0000-0400-0000D6000000}"/>
    <hyperlink ref="BJ3" r:id="rId35" display="webpack://src/app/services/game/game.service.ts" xr:uid="{00000000-0004-0000-0400-0000D7000000}"/>
    <hyperlink ref="BK3" r:id="rId36" display="webpack://src/app/services/game/game.service.ts" xr:uid="{00000000-0004-0000-0400-0000D8000000}"/>
    <hyperlink ref="BN3" r:id="rId37" display="webpack://src/app/services/game/game.service.ts" xr:uid="{00000000-0004-0000-0400-0000D9000000}"/>
    <hyperlink ref="BO3" r:id="rId38" display="webpack://src/app/services/game/game.service.ts" xr:uid="{00000000-0004-0000-0400-0000DA000000}"/>
    <hyperlink ref="BQ3" r:id="rId39" display="webpack://src/app/services/game/game.service.ts" xr:uid="{00000000-0004-0000-0400-0000DB000000}"/>
    <hyperlink ref="BR3" r:id="rId40" display="webpack://src/app/services/game/game.service.ts" xr:uid="{00000000-0004-0000-0400-0000DC000000}"/>
    <hyperlink ref="BU3" r:id="rId41" display="webpack://src/app/services/game/game.service.ts" xr:uid="{00000000-0004-0000-0400-0000DD000000}"/>
    <hyperlink ref="BV3" r:id="rId42" display="webpack://src/app/services/game/game.service.ts" xr:uid="{00000000-0004-0000-0400-0000DE000000}"/>
    <hyperlink ref="BX3" r:id="rId43" display="webpack://src/app/services/game/game.service.ts" xr:uid="{00000000-0004-0000-0400-0000DF000000}"/>
    <hyperlink ref="BY3" r:id="rId44" display="webpack://src/app/services/game/game.service.ts" xr:uid="{00000000-0004-0000-0400-0000E0000000}"/>
    <hyperlink ref="CB3" r:id="rId45" display="webpack://src/app/services/game/game.service.ts" xr:uid="{00000000-0004-0000-0400-0000E1000000}"/>
    <hyperlink ref="CC3" r:id="rId46" display="webpack://src/app/services/game/game.service.ts" xr:uid="{00000000-0004-0000-0400-0000E2000000}"/>
    <hyperlink ref="CE3" r:id="rId47" display="webpack://src/app/services/game/game.service.ts" xr:uid="{00000000-0004-0000-0400-0000E3000000}"/>
    <hyperlink ref="CF3" r:id="rId48" display="webpack://src/app/services/game/game.service.ts" xr:uid="{00000000-0004-0000-0400-0000E4000000}"/>
    <hyperlink ref="CI3" r:id="rId49" display="webpack://src/app/services/game/game.service.ts" xr:uid="{00000000-0004-0000-0400-0000E5000000}"/>
    <hyperlink ref="CJ3" r:id="rId50" display="webpack://src/app/services/game/game.service.ts" xr:uid="{00000000-0004-0000-0400-0000E6000000}"/>
    <hyperlink ref="CL3" r:id="rId51" display="webpack://src/app/services/game/game.service.ts" xr:uid="{00000000-0004-0000-0400-0000E7000000}"/>
    <hyperlink ref="CM3" r:id="rId52" display="webpack://src/app/services/game/game.service.ts" xr:uid="{00000000-0004-0000-0400-0000E8000000}"/>
    <hyperlink ref="CP3" r:id="rId53" display="webpack://src/app/services/game/game.service.ts" xr:uid="{00000000-0004-0000-0400-0000E9000000}"/>
    <hyperlink ref="CQ3" r:id="rId54" display="webpack://src/app/services/game/game.service.ts" xr:uid="{00000000-0004-0000-0400-0000EA000000}"/>
    <hyperlink ref="CS3" r:id="rId55" display="webpack://src/app/services/game/game.service.ts" xr:uid="{00000000-0004-0000-0400-0000EB000000}"/>
    <hyperlink ref="CT3" r:id="rId56" display="webpack://src/app/services/game/game.service.ts" xr:uid="{00000000-0004-0000-0400-0000EC000000}"/>
    <hyperlink ref="CW3" r:id="rId57" display="webpack://src/app/services/game/game.service.ts" xr:uid="{00000000-0004-0000-0400-0000ED000000}"/>
    <hyperlink ref="CX3" r:id="rId58" display="webpack://src/app/services/game/game.service.ts" xr:uid="{00000000-0004-0000-0400-0000EE000000}"/>
    <hyperlink ref="CZ3" r:id="rId59" display="webpack://src/app/services/game/game.service.ts" xr:uid="{00000000-0004-0000-0400-0000EF000000}"/>
    <hyperlink ref="DA3" r:id="rId60" display="webpack://src/app/services/game/game.service.ts" xr:uid="{00000000-0004-0000-0400-0000F0000000}"/>
    <hyperlink ref="DD3" r:id="rId61" display="webpack://src/app/services/game/game.service.ts" xr:uid="{00000000-0004-0000-0400-0000F1000000}"/>
    <hyperlink ref="DE3" r:id="rId62" display="webpack://src/app/services/game/game.service.ts" xr:uid="{00000000-0004-0000-0400-0000F2000000}"/>
    <hyperlink ref="DG3" r:id="rId63" display="webpack://src/app/services/game/game.service.ts" xr:uid="{00000000-0004-0000-0400-0000F3000000}"/>
    <hyperlink ref="DH3" r:id="rId64" display="webpack://src/app/services/game/game.service.ts" xr:uid="{00000000-0004-0000-0400-0000F4000000}"/>
    <hyperlink ref="DK3" r:id="rId65" display="webpack://src/app/services/game/game.service.ts" xr:uid="{00000000-0004-0000-0400-0000F5000000}"/>
    <hyperlink ref="DL3" r:id="rId66" display="webpack://src/app/services/game/game.service.ts" xr:uid="{00000000-0004-0000-0400-0000F6000000}"/>
    <hyperlink ref="DN3" r:id="rId67" display="webpack://src/app/services/game/game.service.ts" xr:uid="{00000000-0004-0000-0400-0000F7000000}"/>
    <hyperlink ref="DO3" r:id="rId68" display="webpack://src/app/services/game/game.service.ts" xr:uid="{00000000-0004-0000-0400-0000F8000000}"/>
    <hyperlink ref="DR3" r:id="rId69" display="webpack://src/app/services/game/game.service.ts" xr:uid="{00000000-0004-0000-0400-0000F9000000}"/>
    <hyperlink ref="DS3" r:id="rId70" display="webpack://src/app/services/game/game.service.ts" xr:uid="{00000000-0004-0000-0400-0000FA000000}"/>
    <hyperlink ref="DU3" r:id="rId71" display="webpack://src/app/services/game/game.service.ts" xr:uid="{00000000-0004-0000-0400-0000FB000000}"/>
    <hyperlink ref="DV3" r:id="rId72" display="webpack://src/app/services/game/game.service.ts" xr:uid="{00000000-0004-0000-0400-0000FC000000}"/>
    <hyperlink ref="DY3" r:id="rId73" display="webpack://src/app/services/game/game.service.ts" xr:uid="{00000000-0004-0000-0400-0000FD000000}"/>
    <hyperlink ref="DZ3" r:id="rId74" display="webpack://src/app/services/game/game.service.ts" xr:uid="{00000000-0004-0000-0400-0000FE000000}"/>
    <hyperlink ref="EB3" r:id="rId75" display="webpack://src/app/services/game/game.service.ts" xr:uid="{00000000-0004-0000-0400-0000FF000000}"/>
    <hyperlink ref="EC3" r:id="rId76" display="webpack://src/app/services/game/game.service.ts" xr:uid="{00000000-0004-0000-0400-000000010000}"/>
    <hyperlink ref="EF3" r:id="rId77" display="webpack://src/app/services/game/game.service.ts" xr:uid="{00000000-0004-0000-0400-000001010000}"/>
    <hyperlink ref="EG3" r:id="rId78" display="webpack://src/app/services/game/game.service.ts" xr:uid="{00000000-0004-0000-0400-000002010000}"/>
    <hyperlink ref="EI3" r:id="rId79" display="webpack://src/app/services/game/game.service.ts" xr:uid="{00000000-0004-0000-0400-000003010000}"/>
    <hyperlink ref="EJ3" r:id="rId80" display="webpack://src/app/services/game/game.service.ts" xr:uid="{00000000-0004-0000-0400-000004010000}"/>
    <hyperlink ref="EM3" r:id="rId81" display="webpack://src/app/services/game/game.service.ts" xr:uid="{00000000-0004-0000-0400-000005010000}"/>
    <hyperlink ref="EN3" r:id="rId82" display="webpack://src/app/services/game/game.service.ts" xr:uid="{00000000-0004-0000-0400-000006010000}"/>
    <hyperlink ref="EP3" r:id="rId83" display="webpack://src/app/services/game/game.service.ts" xr:uid="{00000000-0004-0000-0400-000007010000}"/>
    <hyperlink ref="EQ3" r:id="rId84" display="webpack://src/app/services/game/game.service.ts" xr:uid="{00000000-0004-0000-0400-000008010000}"/>
    <hyperlink ref="ET3" r:id="rId85" display="webpack://src/app/services/game/game.service.ts" xr:uid="{00000000-0004-0000-0400-000009010000}"/>
    <hyperlink ref="EU3" r:id="rId86" display="webpack://src/app/services/game/game.service.ts" xr:uid="{00000000-0004-0000-0400-00000A010000}"/>
    <hyperlink ref="EW3" r:id="rId87" display="webpack://src/app/services/game/game.service.ts" xr:uid="{00000000-0004-0000-0400-00000B010000}"/>
    <hyperlink ref="EX3" r:id="rId88" display="webpack://src/app/services/game/game.service.ts" xr:uid="{00000000-0004-0000-0400-00000C010000}"/>
    <hyperlink ref="FA3" r:id="rId89" display="webpack://src/app/services/game/game.service.ts" xr:uid="{00000000-0004-0000-0400-00000D010000}"/>
    <hyperlink ref="FB3" r:id="rId90" display="webpack://src/app/services/game/game.service.ts" xr:uid="{00000000-0004-0000-0400-00000E010000}"/>
    <hyperlink ref="FD3" r:id="rId91" display="webpack://src/app/services/game/game.service.ts" xr:uid="{00000000-0004-0000-0400-00000F010000}"/>
    <hyperlink ref="FE3" r:id="rId92" display="webpack://src/app/services/game/game.service.ts" xr:uid="{00000000-0004-0000-0400-000010010000}"/>
    <hyperlink ref="FH3" r:id="rId93" display="webpack://src/app/services/game/game.service.ts" xr:uid="{00000000-0004-0000-0400-000011010000}"/>
    <hyperlink ref="FI3" r:id="rId94" display="webpack://src/app/services/game/game.service.ts" xr:uid="{00000000-0004-0000-0400-000012010000}"/>
    <hyperlink ref="FK3" r:id="rId95" display="webpack://src/app/services/game/game.service.ts" xr:uid="{00000000-0004-0000-0400-000013010000}"/>
    <hyperlink ref="FL3" r:id="rId96" display="webpack://src/app/services/game/game.service.ts" xr:uid="{00000000-0004-0000-0400-000014010000}"/>
    <hyperlink ref="FO3" r:id="rId97" display="webpack://src/app/services/game/game.service.ts" xr:uid="{00000000-0004-0000-0400-000015010000}"/>
    <hyperlink ref="FP3" r:id="rId98" display="webpack://src/app/services/game/game.service.ts" xr:uid="{00000000-0004-0000-0400-000016010000}"/>
    <hyperlink ref="FR3" r:id="rId99" display="webpack://src/app/services/game/game.service.ts" xr:uid="{00000000-0004-0000-0400-000017010000}"/>
    <hyperlink ref="FS3" r:id="rId100" display="webpack://src/app/services/game/game.service.ts" xr:uid="{00000000-0004-0000-0400-000018010000}"/>
    <hyperlink ref="FV3" r:id="rId101" display="webpack://src/app/services/game/game.service.ts" xr:uid="{00000000-0004-0000-0400-000019010000}"/>
    <hyperlink ref="FW3" r:id="rId102" display="webpack://src/app/services/game/game.service.ts" xr:uid="{00000000-0004-0000-0400-00001A010000}"/>
    <hyperlink ref="FY3" r:id="rId103" display="webpack://src/app/services/game/game.service.ts" xr:uid="{00000000-0004-0000-0400-00001B010000}"/>
    <hyperlink ref="FZ3" r:id="rId104" display="webpack://src/app/services/game/game.service.ts" xr:uid="{00000000-0004-0000-0400-00001C010000}"/>
    <hyperlink ref="GC3" r:id="rId105" display="webpack://src/app/services/game/game.service.ts" xr:uid="{00000000-0004-0000-0400-00001D010000}"/>
    <hyperlink ref="GD3" r:id="rId106" display="webpack://src/app/services/game/game.service.ts" xr:uid="{00000000-0004-0000-0400-00001E010000}"/>
    <hyperlink ref="GF3" r:id="rId107" display="webpack://src/app/services/game/game.service.ts" xr:uid="{00000000-0004-0000-0400-00001F010000}"/>
    <hyperlink ref="GG3" r:id="rId108" display="webpack://src/app/services/game/game.service.ts" xr:uid="{00000000-0004-0000-0400-000020010000}"/>
    <hyperlink ref="GJ3" r:id="rId109" display="webpack://src/app/services/game/game.service.ts" xr:uid="{00000000-0004-0000-0400-000021010000}"/>
    <hyperlink ref="GK3" r:id="rId110" display="webpack://src/app/services/game/game.service.ts" xr:uid="{00000000-0004-0000-0400-000022010000}"/>
    <hyperlink ref="GM3" r:id="rId111" display="webpack://src/app/services/game/game.service.ts" xr:uid="{00000000-0004-0000-0400-000023010000}"/>
    <hyperlink ref="GN3" r:id="rId112" display="webpack://src/app/services/game/game.service.ts" xr:uid="{00000000-0004-0000-0400-000024010000}"/>
    <hyperlink ref="GQ3" r:id="rId113" display="webpack://src/app/services/game/game.service.ts" xr:uid="{00000000-0004-0000-0400-000025010000}"/>
    <hyperlink ref="GR3" r:id="rId114" display="webpack://src/app/services/game/game.service.ts" xr:uid="{00000000-0004-0000-0400-000026010000}"/>
    <hyperlink ref="GT3" r:id="rId115" display="webpack://src/app/services/game/game.service.ts" xr:uid="{00000000-0004-0000-0400-000027010000}"/>
    <hyperlink ref="GU3" r:id="rId116" display="webpack://src/app/services/game/game.service.ts" xr:uid="{00000000-0004-0000-0400-000028010000}"/>
    <hyperlink ref="GX3" r:id="rId117" display="webpack://src/app/services/game/game.service.ts" xr:uid="{00000000-0004-0000-0400-000029010000}"/>
    <hyperlink ref="GY3" r:id="rId118" display="webpack://src/app/services/game/game.service.ts" xr:uid="{00000000-0004-0000-0400-00002A010000}"/>
    <hyperlink ref="HA3" r:id="rId119" display="webpack://src/app/services/game/game.service.ts" xr:uid="{00000000-0004-0000-0400-00002B010000}"/>
    <hyperlink ref="HB3" r:id="rId120" display="webpack://src/app/services/game/game.service.ts" xr:uid="{00000000-0004-0000-0400-00002C010000}"/>
    <hyperlink ref="HE3" r:id="rId121" display="webpack://src/app/services/game/game.service.ts" xr:uid="{00000000-0004-0000-0400-00002D010000}"/>
    <hyperlink ref="HF3" r:id="rId122" display="webpack://src/app/services/game/game.service.ts" xr:uid="{00000000-0004-0000-0400-00002E010000}"/>
    <hyperlink ref="HH3" r:id="rId123" display="webpack://src/app/services/game/game.service.ts" xr:uid="{00000000-0004-0000-0400-00002F010000}"/>
    <hyperlink ref="HI3" r:id="rId124" display="webpack://src/app/services/game/game.service.ts" xr:uid="{00000000-0004-0000-0400-000030010000}"/>
    <hyperlink ref="HL3" r:id="rId125" display="webpack://src/app/services/game/game.service.ts" xr:uid="{00000000-0004-0000-0400-000031010000}"/>
    <hyperlink ref="HM3" r:id="rId126" display="webpack://src/app/services/game/game.service.ts" xr:uid="{00000000-0004-0000-0400-000032010000}"/>
    <hyperlink ref="HO3" r:id="rId127" display="webpack://src/app/services/game/game.service.ts" xr:uid="{00000000-0004-0000-0400-000033010000}"/>
    <hyperlink ref="HP3" r:id="rId128" display="webpack://src/app/services/game/game.service.ts" xr:uid="{00000000-0004-0000-0400-000034010000}"/>
    <hyperlink ref="HS3" r:id="rId129" display="webpack://src/app/services/game/game.service.ts" xr:uid="{00000000-0004-0000-0400-000035010000}"/>
    <hyperlink ref="HT3" r:id="rId130" display="webpack://src/app/services/game/game.service.ts" xr:uid="{00000000-0004-0000-0400-000036010000}"/>
    <hyperlink ref="HV3" r:id="rId131" display="webpack://src/app/services/game/game.service.ts" xr:uid="{00000000-0004-0000-0400-000037010000}"/>
    <hyperlink ref="HW3" r:id="rId132" display="webpack://src/app/services/game/game.service.ts" xr:uid="{00000000-0004-0000-0400-000038010000}"/>
    <hyperlink ref="HZ3" r:id="rId133" display="webpack://src/app/services/game/game.service.ts" xr:uid="{00000000-0004-0000-0400-000039010000}"/>
    <hyperlink ref="IA3" r:id="rId134" display="webpack://src/app/services/game/game.service.ts" xr:uid="{00000000-0004-0000-0400-00003A010000}"/>
    <hyperlink ref="IC3" r:id="rId135" display="webpack://src/app/services/game/game.service.ts" xr:uid="{00000000-0004-0000-0400-00003B010000}"/>
    <hyperlink ref="ID3" r:id="rId136" display="webpack://src/app/services/game/game.service.ts" xr:uid="{00000000-0004-0000-0400-00003C010000}"/>
    <hyperlink ref="IG3" r:id="rId137" display="webpack://src/app/services/game/game.service.ts" xr:uid="{00000000-0004-0000-0400-00003D010000}"/>
    <hyperlink ref="IH3" r:id="rId138" display="webpack://src/app/services/game/game.service.ts" xr:uid="{00000000-0004-0000-0400-00003E010000}"/>
    <hyperlink ref="IJ3" r:id="rId139" display="webpack://src/app/services/game/game.service.ts" xr:uid="{00000000-0004-0000-0400-00003F010000}"/>
    <hyperlink ref="IK3" r:id="rId140" display="webpack://src/app/services/game/game.service.ts" xr:uid="{00000000-0004-0000-0400-000040010000}"/>
    <hyperlink ref="IN3" r:id="rId141" display="webpack://src/app/services/game/game.service.ts" xr:uid="{00000000-0004-0000-0400-000041010000}"/>
    <hyperlink ref="IO3" r:id="rId142" display="webpack://src/app/services/game/game.service.ts" xr:uid="{00000000-0004-0000-0400-000042010000}"/>
    <hyperlink ref="IQ3" r:id="rId143" display="webpack://src/app/services/game/game.service.ts" xr:uid="{00000000-0004-0000-0400-000043010000}"/>
    <hyperlink ref="IR3" r:id="rId144" display="webpack://src/app/services/game/game.service.ts" xr:uid="{00000000-0004-0000-0400-000044010000}"/>
    <hyperlink ref="IU3" r:id="rId145" display="webpack://src/app/services/game/game.service.ts" xr:uid="{00000000-0004-0000-0400-000045010000}"/>
    <hyperlink ref="IV3" r:id="rId146" display="webpack://src/app/services/game/game.service.ts" xr:uid="{00000000-0004-0000-0400-000046010000}"/>
    <hyperlink ref="IX3" r:id="rId147" display="webpack://src/app/services/game/game.service.ts" xr:uid="{00000000-0004-0000-0400-000047010000}"/>
    <hyperlink ref="IY3" r:id="rId148" display="webpack://src/app/services/game/game.service.ts" xr:uid="{00000000-0004-0000-0400-000048010000}"/>
    <hyperlink ref="JB3" r:id="rId149" display="webpack://src/app/services/game/game.service.ts" xr:uid="{00000000-0004-0000-0400-000049010000}"/>
    <hyperlink ref="JC3" r:id="rId150" display="webpack://src/app/services/game/game.service.ts" xr:uid="{00000000-0004-0000-0400-00004A010000}"/>
    <hyperlink ref="JE3" r:id="rId151" display="webpack://src/app/services/game/game.service.ts" xr:uid="{00000000-0004-0000-0400-00004B010000}"/>
    <hyperlink ref="JF3" r:id="rId152" display="webpack://src/app/services/game/game.service.ts" xr:uid="{00000000-0004-0000-0400-00004C010000}"/>
    <hyperlink ref="JI3" r:id="rId153" display="webpack://src/app/services/game/game.service.ts" xr:uid="{00000000-0004-0000-0400-00004D010000}"/>
    <hyperlink ref="JJ3" r:id="rId154" display="webpack://src/app/services/game/game.service.ts" xr:uid="{00000000-0004-0000-0400-00004E010000}"/>
    <hyperlink ref="JL3" r:id="rId155" display="webpack://src/app/services/game/game.service.ts" xr:uid="{00000000-0004-0000-0400-00004F010000}"/>
    <hyperlink ref="JM3" r:id="rId156" display="webpack://src/app/services/game/game.service.ts" xr:uid="{00000000-0004-0000-0400-000050010000}"/>
    <hyperlink ref="JP3" r:id="rId157" display="webpack://src/app/services/game/game.service.ts" xr:uid="{00000000-0004-0000-0400-000051010000}"/>
    <hyperlink ref="JQ3" r:id="rId158" display="webpack://src/app/services/game/game.service.ts" xr:uid="{00000000-0004-0000-0400-000052010000}"/>
    <hyperlink ref="JS3" r:id="rId159" display="webpack://src/app/services/game/game.service.ts" xr:uid="{00000000-0004-0000-0400-000053010000}"/>
    <hyperlink ref="JT3" r:id="rId160" display="webpack://src/app/services/game/game.service.ts" xr:uid="{00000000-0004-0000-0400-000054010000}"/>
    <hyperlink ref="JW3" r:id="rId161" display="webpack://src/app/services/game/game.service.ts" xr:uid="{00000000-0004-0000-0400-000055010000}"/>
    <hyperlink ref="JX3" r:id="rId162" display="webpack://src/app/services/game/game.service.ts" xr:uid="{00000000-0004-0000-0400-000056010000}"/>
    <hyperlink ref="JZ3" r:id="rId163" display="webpack://src/app/services/game/game.service.ts" xr:uid="{00000000-0004-0000-0400-000057010000}"/>
    <hyperlink ref="KA3" r:id="rId164" display="webpack://src/app/services/game/game.service.ts" xr:uid="{00000000-0004-0000-0400-000058010000}"/>
    <hyperlink ref="KD3" r:id="rId165" display="webpack://src/app/services/game/game.service.ts" xr:uid="{00000000-0004-0000-0400-000059010000}"/>
    <hyperlink ref="KE3" r:id="rId166" display="webpack://src/app/services/game/game.service.ts" xr:uid="{00000000-0004-0000-0400-00005A010000}"/>
    <hyperlink ref="KG3" r:id="rId167" display="webpack://src/app/services/game/game.service.ts" xr:uid="{00000000-0004-0000-0400-00005B010000}"/>
    <hyperlink ref="KH3" r:id="rId168" display="webpack://src/app/services/game/game.service.ts" xr:uid="{00000000-0004-0000-0400-00005C010000}"/>
    <hyperlink ref="KK3" r:id="rId169" display="webpack://src/app/services/game/game.service.ts" xr:uid="{00000000-0004-0000-0400-00005D010000}"/>
    <hyperlink ref="KL3" r:id="rId170" display="webpack://src/app/services/game/game.service.ts" xr:uid="{00000000-0004-0000-0400-00005E010000}"/>
    <hyperlink ref="KN3" r:id="rId171" display="webpack://src/app/services/game/game.service.ts" xr:uid="{00000000-0004-0000-0400-00005F010000}"/>
    <hyperlink ref="KO3" r:id="rId172" display="webpack://src/app/services/game/game.service.ts" xr:uid="{00000000-0004-0000-0400-000060010000}"/>
    <hyperlink ref="KR3" r:id="rId173" display="webpack://src/app/services/game/game.service.ts" xr:uid="{00000000-0004-0000-0400-000061010000}"/>
    <hyperlink ref="KS3" r:id="rId174" display="webpack://src/app/services/game/game.service.ts" xr:uid="{00000000-0004-0000-0400-000062010000}"/>
    <hyperlink ref="KU3" r:id="rId175" display="webpack://src/app/services/game/game.service.ts" xr:uid="{00000000-0004-0000-0400-000063010000}"/>
    <hyperlink ref="KV3" r:id="rId176" display="webpack://src/app/services/game/game.service.ts" xr:uid="{00000000-0004-0000-0400-000064010000}"/>
    <hyperlink ref="KY3" r:id="rId177" display="webpack://src/app/services/game/game.service.ts" xr:uid="{00000000-0004-0000-0400-000065010000}"/>
    <hyperlink ref="KZ3" r:id="rId178" display="webpack://src/app/services/game/game.service.ts" xr:uid="{00000000-0004-0000-0400-000066010000}"/>
    <hyperlink ref="LB3" r:id="rId179" display="webpack://src/app/services/game/game.service.ts" xr:uid="{00000000-0004-0000-0400-000067010000}"/>
    <hyperlink ref="LC3" r:id="rId180" display="webpack://src/app/services/game/game.service.ts" xr:uid="{00000000-0004-0000-0400-000068010000}"/>
    <hyperlink ref="LF3" r:id="rId181" display="webpack://src/app/services/game/game.service.ts" xr:uid="{00000000-0004-0000-0400-000069010000}"/>
    <hyperlink ref="LG3" r:id="rId182" display="webpack://src/app/services/game/game.service.ts" xr:uid="{00000000-0004-0000-0400-00006A010000}"/>
    <hyperlink ref="LI3" r:id="rId183" display="webpack://src/app/services/game/game.service.ts" xr:uid="{00000000-0004-0000-0400-00006B010000}"/>
    <hyperlink ref="LJ3" r:id="rId184" display="webpack://src/app/services/game/game.service.ts" xr:uid="{00000000-0004-0000-0400-00006C010000}"/>
    <hyperlink ref="LM3" r:id="rId185" display="webpack://src/app/services/game/game.service.ts" xr:uid="{00000000-0004-0000-0400-00006D010000}"/>
    <hyperlink ref="LN3" r:id="rId186" display="webpack://src/app/services/game/game.service.ts" xr:uid="{00000000-0004-0000-0400-00006E010000}"/>
    <hyperlink ref="LP3" r:id="rId187" display="webpack://src/app/services/game/game.service.ts" xr:uid="{00000000-0004-0000-0400-00006F010000}"/>
    <hyperlink ref="LQ3" r:id="rId188" display="webpack://src/app/services/game/game.service.ts" xr:uid="{00000000-0004-0000-0400-000070010000}"/>
    <hyperlink ref="LT3" r:id="rId189" display="webpack://src/app/services/game/game.service.ts" xr:uid="{00000000-0004-0000-0400-000071010000}"/>
    <hyperlink ref="LU3" r:id="rId190" display="webpack://src/app/services/game/game.service.ts" xr:uid="{00000000-0004-0000-0400-000072010000}"/>
    <hyperlink ref="LW3" r:id="rId191" display="webpack://src/app/services/game/game.service.ts" xr:uid="{00000000-0004-0000-0400-000073010000}"/>
    <hyperlink ref="LX3" r:id="rId192" display="webpack://src/app/services/game/game.service.ts" xr:uid="{00000000-0004-0000-0400-000074010000}"/>
    <hyperlink ref="MA3" r:id="rId193" display="webpack://src/app/services/game/game.service.ts" xr:uid="{00000000-0004-0000-0400-000075010000}"/>
    <hyperlink ref="MB3" r:id="rId194" display="webpack://src/app/services/game/game.service.ts" xr:uid="{00000000-0004-0000-0400-000076010000}"/>
    <hyperlink ref="MD3" r:id="rId195" display="webpack://src/app/services/game/game.service.ts" xr:uid="{00000000-0004-0000-0400-000077010000}"/>
    <hyperlink ref="ME3" r:id="rId196" display="webpack://src/app/services/game/game.service.ts" xr:uid="{00000000-0004-0000-0400-000078010000}"/>
    <hyperlink ref="MH3" r:id="rId197" display="webpack://src/app/services/game/game.service.ts" xr:uid="{00000000-0004-0000-0400-000079010000}"/>
    <hyperlink ref="MI3" r:id="rId198" display="webpack://src/app/services/game/game.service.ts" xr:uid="{00000000-0004-0000-0400-00007A010000}"/>
    <hyperlink ref="MK3" r:id="rId199" display="webpack://src/app/services/game/game.service.ts" xr:uid="{00000000-0004-0000-0400-00007B010000}"/>
    <hyperlink ref="ML3" r:id="rId200" display="webpack://src/app/services/game/game.service.ts" xr:uid="{00000000-0004-0000-0400-00007C010000}"/>
  </hyperlinks>
  <pageMargins left="0.7" right="0.7" top="0.75" bottom="0.75" header="0.3" footer="0.3"/>
  <pageSetup orientation="portrait" horizontalDpi="4294967294" verticalDpi="0" r:id="rId201"/>
  <drawing r:id="rId2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3F2DB-D4DE-4BC5-88F1-0A655EB92199}">
  <sheetPr codeName="Sheet9"/>
  <dimension ref="A1:O51"/>
  <sheetViews>
    <sheetView topLeftCell="B1" workbookViewId="0">
      <selection activeCell="C24" sqref="C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16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4</v>
      </c>
      <c r="F4" t="s">
        <v>19</v>
      </c>
      <c r="G4">
        <f>COUNTIF(C:C, "=Random")</f>
        <v>8</v>
      </c>
      <c r="J4" t="s">
        <v>19</v>
      </c>
      <c r="K4">
        <f>COUNTIFS(C:C,"=Random",A:A,"=Random")</f>
        <v>4</v>
      </c>
      <c r="N4" t="s">
        <v>19</v>
      </c>
      <c r="O4">
        <f>COUNTIFS(A:A,"=Good dad",C:C,"=Random")</f>
        <v>4</v>
      </c>
    </row>
    <row r="5" spans="1:15" x14ac:dyDescent="0.25">
      <c r="A5" t="s">
        <v>4</v>
      </c>
      <c r="B5" t="s">
        <v>16</v>
      </c>
      <c r="C5" t="s">
        <v>17</v>
      </c>
      <c r="F5" t="s">
        <v>20</v>
      </c>
      <c r="G5">
        <f>COUNTIF(C:C, "=Good dad")</f>
        <v>21</v>
      </c>
      <c r="J5" t="s">
        <v>20</v>
      </c>
      <c r="K5">
        <f>COUNTIFS(C:C,"=Good dad",A:A,"=Random")</f>
        <v>9</v>
      </c>
      <c r="N5" t="s">
        <v>20</v>
      </c>
      <c r="O5">
        <f>COUNTIFS(A:A,"=Good dad",C:C,"=Good dad")</f>
        <v>12</v>
      </c>
    </row>
    <row r="6" spans="1:15" x14ac:dyDescent="0.25">
      <c r="A6" t="s">
        <v>4</v>
      </c>
      <c r="B6" t="s">
        <v>16</v>
      </c>
      <c r="C6" t="s">
        <v>17</v>
      </c>
      <c r="F6" t="s">
        <v>17</v>
      </c>
      <c r="G6">
        <f>COUNTIF(C:C, "=draw")</f>
        <v>21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9</v>
      </c>
    </row>
    <row r="7" spans="1:15" x14ac:dyDescent="0.25">
      <c r="A7" t="s">
        <v>4</v>
      </c>
      <c r="B7" t="s">
        <v>16</v>
      </c>
      <c r="C7" t="s">
        <v>4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17</v>
      </c>
    </row>
    <row r="10" spans="1:15" x14ac:dyDescent="0.25">
      <c r="A10" t="s">
        <v>4</v>
      </c>
      <c r="B10" t="s">
        <v>16</v>
      </c>
      <c r="C10" t="s">
        <v>4</v>
      </c>
    </row>
    <row r="11" spans="1:15" x14ac:dyDescent="0.25">
      <c r="A11" t="s">
        <v>16</v>
      </c>
      <c r="B11" t="s">
        <v>4</v>
      </c>
      <c r="C11" t="s">
        <v>4</v>
      </c>
    </row>
    <row r="12" spans="1:15" x14ac:dyDescent="0.25">
      <c r="A12" t="s">
        <v>4</v>
      </c>
      <c r="B12" t="s">
        <v>16</v>
      </c>
      <c r="C12" t="s">
        <v>17</v>
      </c>
    </row>
    <row r="13" spans="1:15" x14ac:dyDescent="0.25">
      <c r="A13" t="s">
        <v>16</v>
      </c>
      <c r="B13" t="s">
        <v>4</v>
      </c>
      <c r="C13" t="s">
        <v>16</v>
      </c>
    </row>
    <row r="14" spans="1:15" x14ac:dyDescent="0.25">
      <c r="A14" t="s">
        <v>4</v>
      </c>
      <c r="B14" t="s">
        <v>16</v>
      </c>
      <c r="C14" t="s">
        <v>16</v>
      </c>
    </row>
    <row r="15" spans="1:15" x14ac:dyDescent="0.25">
      <c r="A15" t="s">
        <v>16</v>
      </c>
      <c r="B15" t="s">
        <v>4</v>
      </c>
      <c r="C15" t="s">
        <v>17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4</v>
      </c>
      <c r="B22" t="s">
        <v>16</v>
      </c>
      <c r="C22" t="s">
        <v>17</v>
      </c>
    </row>
    <row r="23" spans="1:3" x14ac:dyDescent="0.25">
      <c r="A23" t="s">
        <v>16</v>
      </c>
      <c r="B23" t="s">
        <v>4</v>
      </c>
      <c r="C23" t="s">
        <v>4</v>
      </c>
    </row>
    <row r="24" spans="1:3" x14ac:dyDescent="0.25">
      <c r="A24" t="s">
        <v>4</v>
      </c>
      <c r="B24" t="s">
        <v>16</v>
      </c>
      <c r="C24" t="s">
        <v>17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4</v>
      </c>
      <c r="B26" t="s">
        <v>16</v>
      </c>
      <c r="C26" t="s">
        <v>4</v>
      </c>
    </row>
    <row r="27" spans="1:3" x14ac:dyDescent="0.25">
      <c r="A27" t="s">
        <v>4</v>
      </c>
      <c r="B27" t="s">
        <v>16</v>
      </c>
      <c r="C27" t="s">
        <v>4</v>
      </c>
    </row>
    <row r="28" spans="1:3" x14ac:dyDescent="0.25">
      <c r="A28" t="s">
        <v>4</v>
      </c>
      <c r="B28" t="s">
        <v>16</v>
      </c>
      <c r="C28" t="s">
        <v>16</v>
      </c>
    </row>
    <row r="29" spans="1:3" x14ac:dyDescent="0.25">
      <c r="A29" t="s">
        <v>16</v>
      </c>
      <c r="B29" t="s">
        <v>4</v>
      </c>
      <c r="C29" t="s">
        <v>17</v>
      </c>
    </row>
    <row r="30" spans="1:3" x14ac:dyDescent="0.25">
      <c r="A30" t="s">
        <v>16</v>
      </c>
      <c r="B30" t="s">
        <v>4</v>
      </c>
      <c r="C30" t="s">
        <v>17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16</v>
      </c>
      <c r="B32" t="s">
        <v>4</v>
      </c>
      <c r="C32" t="s">
        <v>17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16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4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4</v>
      </c>
      <c r="B39" t="s">
        <v>16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16</v>
      </c>
      <c r="B41" t="s">
        <v>4</v>
      </c>
      <c r="C41" t="s">
        <v>17</v>
      </c>
    </row>
    <row r="42" spans="1:3" x14ac:dyDescent="0.25">
      <c r="A42" t="s">
        <v>4</v>
      </c>
      <c r="B42" t="s">
        <v>16</v>
      </c>
      <c r="C42" t="s">
        <v>16</v>
      </c>
    </row>
    <row r="43" spans="1:3" x14ac:dyDescent="0.25">
      <c r="A43" t="s">
        <v>16</v>
      </c>
      <c r="B43" t="s">
        <v>4</v>
      </c>
      <c r="C43" t="s">
        <v>16</v>
      </c>
    </row>
    <row r="44" spans="1:3" x14ac:dyDescent="0.25">
      <c r="A44" t="s">
        <v>16</v>
      </c>
      <c r="B44" t="s">
        <v>4</v>
      </c>
      <c r="C44" t="s">
        <v>17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16</v>
      </c>
      <c r="B46" t="s">
        <v>4</v>
      </c>
      <c r="C46" t="s">
        <v>4</v>
      </c>
    </row>
    <row r="47" spans="1:3" x14ac:dyDescent="0.25">
      <c r="A47" t="s">
        <v>16</v>
      </c>
      <c r="B47" t="s">
        <v>4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16</v>
      </c>
      <c r="B49" t="s">
        <v>4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FE56-C4EE-4673-8543-DF83DB304C38}">
  <sheetPr codeName="Sheet18"/>
  <dimension ref="A1:AA42"/>
  <sheetViews>
    <sheetView tabSelected="1" topLeftCell="A25" workbookViewId="0">
      <selection activeCell="G38" sqref="G38"/>
    </sheetView>
  </sheetViews>
  <sheetFormatPr defaultRowHeight="15" x14ac:dyDescent="0.25"/>
  <cols>
    <col min="1" max="2" width="12.5703125" bestFit="1" customWidth="1"/>
    <col min="3" max="3" width="11.85546875" customWidth="1"/>
    <col min="4" max="4" width="10.85546875" customWidth="1"/>
    <col min="5" max="5" width="12.28515625" customWidth="1"/>
    <col min="6" max="6" width="57.85546875" customWidth="1"/>
    <col min="7" max="7" width="55.5703125" customWidth="1"/>
    <col min="10" max="10" width="12" customWidth="1"/>
    <col min="13" max="13" width="11.85546875" customWidth="1"/>
    <col min="17" max="17" width="11.5703125" customWidth="1"/>
    <col min="20" max="20" width="11.140625" customWidth="1"/>
  </cols>
  <sheetData>
    <row r="1" spans="1:27" x14ac:dyDescent="0.25">
      <c r="A1" t="s">
        <v>13</v>
      </c>
      <c r="B1" t="s">
        <v>14</v>
      </c>
      <c r="C1" t="s">
        <v>15</v>
      </c>
      <c r="D1" t="s">
        <v>68</v>
      </c>
      <c r="E1" t="s">
        <v>67</v>
      </c>
      <c r="F1" t="s">
        <v>66</v>
      </c>
      <c r="G1" t="s">
        <v>65</v>
      </c>
    </row>
    <row r="2" spans="1:27" x14ac:dyDescent="0.25">
      <c r="A2" t="s">
        <v>1</v>
      </c>
      <c r="B2" t="s">
        <v>32</v>
      </c>
      <c r="C2" t="s">
        <v>32</v>
      </c>
      <c r="D2" t="s">
        <v>41</v>
      </c>
      <c r="E2" t="s">
        <v>43</v>
      </c>
      <c r="F2" t="s">
        <v>64</v>
      </c>
      <c r="G2" t="s">
        <v>42</v>
      </c>
    </row>
    <row r="3" spans="1:27" x14ac:dyDescent="0.25">
      <c r="A3" t="s">
        <v>32</v>
      </c>
      <c r="B3" t="s">
        <v>33</v>
      </c>
      <c r="C3" t="s">
        <v>32</v>
      </c>
      <c r="D3" t="s">
        <v>41</v>
      </c>
      <c r="E3" t="s">
        <v>62</v>
      </c>
      <c r="F3" t="s">
        <v>63</v>
      </c>
      <c r="G3" t="s">
        <v>42</v>
      </c>
      <c r="I3" t="s">
        <v>55</v>
      </c>
      <c r="J3">
        <f>COUNTIF(D:D,I3)</f>
        <v>1</v>
      </c>
    </row>
    <row r="4" spans="1:27" x14ac:dyDescent="0.25">
      <c r="A4" t="s">
        <v>16</v>
      </c>
      <c r="B4" t="s">
        <v>32</v>
      </c>
      <c r="C4" t="s">
        <v>32</v>
      </c>
      <c r="D4" t="s">
        <v>41</v>
      </c>
      <c r="E4" t="s">
        <v>62</v>
      </c>
      <c r="F4" t="s">
        <v>61</v>
      </c>
      <c r="G4" t="s">
        <v>42</v>
      </c>
      <c r="I4" t="s">
        <v>44</v>
      </c>
      <c r="J4">
        <f t="shared" ref="J4:J6" si="0">COUNTIF(D:D,I4)</f>
        <v>2</v>
      </c>
    </row>
    <row r="5" spans="1:27" x14ac:dyDescent="0.25">
      <c r="A5" t="s">
        <v>33</v>
      </c>
      <c r="B5" t="s">
        <v>32</v>
      </c>
      <c r="C5" t="s">
        <v>32</v>
      </c>
      <c r="D5" t="s">
        <v>41</v>
      </c>
      <c r="E5" t="s">
        <v>44</v>
      </c>
      <c r="F5" t="s">
        <v>60</v>
      </c>
      <c r="G5" t="s">
        <v>42</v>
      </c>
      <c r="I5" t="s">
        <v>41</v>
      </c>
      <c r="J5">
        <f t="shared" si="0"/>
        <v>17</v>
      </c>
    </row>
    <row r="6" spans="1:27" x14ac:dyDescent="0.25">
      <c r="A6" t="s">
        <v>16</v>
      </c>
      <c r="B6" t="s">
        <v>32</v>
      </c>
      <c r="C6" t="s">
        <v>32</v>
      </c>
      <c r="D6" t="s">
        <v>41</v>
      </c>
      <c r="E6" t="s">
        <v>44</v>
      </c>
      <c r="G6" t="s">
        <v>34</v>
      </c>
      <c r="I6" t="s">
        <v>37</v>
      </c>
      <c r="J6">
        <f t="shared" si="0"/>
        <v>4</v>
      </c>
    </row>
    <row r="7" spans="1:27" x14ac:dyDescent="0.25">
      <c r="A7" t="s">
        <v>4</v>
      </c>
      <c r="B7" t="s">
        <v>32</v>
      </c>
      <c r="C7" t="s">
        <v>32</v>
      </c>
      <c r="D7" t="s">
        <v>41</v>
      </c>
      <c r="E7" t="s">
        <v>43</v>
      </c>
      <c r="F7" t="s">
        <v>59</v>
      </c>
      <c r="G7" t="s">
        <v>42</v>
      </c>
      <c r="R7" t="s">
        <v>62</v>
      </c>
      <c r="S7" t="s">
        <v>43</v>
      </c>
      <c r="T7" t="s">
        <v>44</v>
      </c>
      <c r="U7" t="s">
        <v>40</v>
      </c>
      <c r="V7" t="s">
        <v>36</v>
      </c>
    </row>
    <row r="8" spans="1:27" x14ac:dyDescent="0.25">
      <c r="A8" t="s">
        <v>24</v>
      </c>
      <c r="B8" t="s">
        <v>32</v>
      </c>
      <c r="C8" t="s">
        <v>32</v>
      </c>
      <c r="D8" t="s">
        <v>41</v>
      </c>
      <c r="E8" t="s">
        <v>40</v>
      </c>
      <c r="F8" t="s">
        <v>58</v>
      </c>
      <c r="G8" t="s">
        <v>38</v>
      </c>
      <c r="I8" t="s">
        <v>43</v>
      </c>
      <c r="J8" t="s">
        <v>1</v>
      </c>
      <c r="K8">
        <f>COUNTIFS(B:B, J8, E:E,I$8) + COUNTIFS(A:A,J8,E:E,I$8)</f>
        <v>1</v>
      </c>
      <c r="M8" t="s">
        <v>1</v>
      </c>
      <c r="N8" t="s">
        <v>62</v>
      </c>
      <c r="O8">
        <f>COUNTIFS(A:A,M8,E:E,N8) + COUNTIFS(B:B,M8,E:E,N8)</f>
        <v>0</v>
      </c>
      <c r="Q8" t="s">
        <v>16</v>
      </c>
      <c r="R8">
        <f>COUNTIFS($A:$A,$Q8,$E:$E,R$7) + COUNTIFS($B:$B,$Q8,$E:$E,R$7)</f>
        <v>1</v>
      </c>
      <c r="S8">
        <f t="shared" ref="S8:V8" si="1">COUNTIFS($A:$A,$Q8,$E:$E,S$7) + COUNTIFS($B:$B,$Q8,$E:$E,S$7)</f>
        <v>0</v>
      </c>
      <c r="T8">
        <f t="shared" si="1"/>
        <v>2</v>
      </c>
      <c r="U8">
        <f t="shared" si="1"/>
        <v>1</v>
      </c>
      <c r="V8">
        <f t="shared" si="1"/>
        <v>0</v>
      </c>
    </row>
    <row r="9" spans="1:27" x14ac:dyDescent="0.25">
      <c r="A9" t="s">
        <v>32</v>
      </c>
      <c r="B9" t="s">
        <v>33</v>
      </c>
      <c r="C9" t="s">
        <v>32</v>
      </c>
      <c r="D9" t="s">
        <v>44</v>
      </c>
      <c r="E9" t="s">
        <v>40</v>
      </c>
      <c r="F9" t="s">
        <v>57</v>
      </c>
      <c r="G9" t="s">
        <v>38</v>
      </c>
      <c r="J9" t="s">
        <v>16</v>
      </c>
      <c r="K9">
        <f>COUNTIFS(B:B, J9, E:E,I$8) + COUNTIFS(A:A,J9,E:E,I$8)</f>
        <v>0</v>
      </c>
      <c r="M9" t="s">
        <v>1</v>
      </c>
      <c r="N9" t="s">
        <v>43</v>
      </c>
      <c r="O9">
        <f t="shared" ref="O9:O32" si="2">COUNTIFS(A:A,M9,E:E,N9) + COUNTIFS(B:B,M9,E:E,N9)</f>
        <v>1</v>
      </c>
      <c r="Q9" t="s">
        <v>1</v>
      </c>
      <c r="R9">
        <f t="shared" ref="R9:V12" si="3">COUNTIFS($A:$A,$Q9,$E:$E,R$7) + COUNTIFS($B:$B,$Q9,$E:$E,R$7)</f>
        <v>0</v>
      </c>
      <c r="S9">
        <f t="shared" si="3"/>
        <v>1</v>
      </c>
      <c r="T9">
        <f t="shared" si="3"/>
        <v>1</v>
      </c>
      <c r="U9">
        <f t="shared" si="3"/>
        <v>1</v>
      </c>
      <c r="V9">
        <f t="shared" si="3"/>
        <v>0</v>
      </c>
      <c r="X9" t="s">
        <v>62</v>
      </c>
      <c r="Y9">
        <f>COUNTIF(E:E,X9)</f>
        <v>2</v>
      </c>
      <c r="Z9" t="s">
        <v>83</v>
      </c>
      <c r="AA9">
        <f>COUNTIFS(D:D,Z9)</f>
        <v>0</v>
      </c>
    </row>
    <row r="10" spans="1:27" x14ac:dyDescent="0.25">
      <c r="A10" t="s">
        <v>16</v>
      </c>
      <c r="B10" t="s">
        <v>32</v>
      </c>
      <c r="C10" t="s">
        <v>32</v>
      </c>
      <c r="D10" t="s">
        <v>44</v>
      </c>
      <c r="E10" t="s">
        <v>40</v>
      </c>
      <c r="F10" t="s">
        <v>56</v>
      </c>
      <c r="G10" t="s">
        <v>42</v>
      </c>
      <c r="J10" t="s">
        <v>24</v>
      </c>
      <c r="K10">
        <f>COUNTIFS(B:B, J10, E:E,I$8) + COUNTIFS(A:A,J10,E:E,I$8)</f>
        <v>2</v>
      </c>
      <c r="M10" t="s">
        <v>1</v>
      </c>
      <c r="N10" t="s">
        <v>44</v>
      </c>
      <c r="O10">
        <f t="shared" si="2"/>
        <v>1</v>
      </c>
      <c r="Q10" t="s">
        <v>4</v>
      </c>
      <c r="R10">
        <f t="shared" si="3"/>
        <v>0</v>
      </c>
      <c r="S10">
        <f t="shared" si="3"/>
        <v>3</v>
      </c>
      <c r="T10">
        <f>COUNTIFS($A:$A,$Q10,$E:$E,T$7) + COUNTIFS($B:$B,$Q10,$E:$E,T$7)</f>
        <v>0</v>
      </c>
      <c r="U10">
        <f t="shared" si="3"/>
        <v>0</v>
      </c>
      <c r="V10">
        <f t="shared" si="3"/>
        <v>1</v>
      </c>
      <c r="X10" t="s">
        <v>43</v>
      </c>
      <c r="Y10">
        <f>COUNTIF(E:E,X10)</f>
        <v>6</v>
      </c>
      <c r="Z10" t="s">
        <v>55</v>
      </c>
      <c r="AA10">
        <f>COUNTIFS(D:D,Z10)</f>
        <v>1</v>
      </c>
    </row>
    <row r="11" spans="1:27" x14ac:dyDescent="0.25">
      <c r="A11" t="s">
        <v>32</v>
      </c>
      <c r="B11" t="s">
        <v>33</v>
      </c>
      <c r="C11" t="s">
        <v>33</v>
      </c>
      <c r="D11" t="s">
        <v>55</v>
      </c>
      <c r="E11" t="s">
        <v>36</v>
      </c>
      <c r="F11" t="s">
        <v>54</v>
      </c>
      <c r="G11" t="s">
        <v>38</v>
      </c>
      <c r="J11" t="s">
        <v>4</v>
      </c>
      <c r="K11">
        <f>COUNTIFS(B:B, J11, E:E,I$8) + COUNTIFS(A:A,J11,E:E,I$8)</f>
        <v>3</v>
      </c>
      <c r="M11" t="s">
        <v>1</v>
      </c>
      <c r="N11" t="s">
        <v>40</v>
      </c>
      <c r="O11">
        <f t="shared" si="2"/>
        <v>1</v>
      </c>
      <c r="Q11" t="s">
        <v>33</v>
      </c>
      <c r="R11">
        <f t="shared" si="3"/>
        <v>1</v>
      </c>
      <c r="S11">
        <f t="shared" si="3"/>
        <v>0</v>
      </c>
      <c r="T11">
        <f t="shared" si="3"/>
        <v>3</v>
      </c>
      <c r="U11">
        <f t="shared" si="3"/>
        <v>2</v>
      </c>
      <c r="V11">
        <f t="shared" si="3"/>
        <v>2</v>
      </c>
      <c r="X11" t="s">
        <v>44</v>
      </c>
      <c r="Y11">
        <f>COUNTIF(E:E,X11)</f>
        <v>6</v>
      </c>
      <c r="Z11" t="s">
        <v>44</v>
      </c>
      <c r="AA11">
        <f>COUNTIFS(D:D,Z11)</f>
        <v>2</v>
      </c>
    </row>
    <row r="12" spans="1:27" x14ac:dyDescent="0.25">
      <c r="A12" t="s">
        <v>24</v>
      </c>
      <c r="B12" t="s">
        <v>32</v>
      </c>
      <c r="C12" t="s">
        <v>32</v>
      </c>
      <c r="D12" t="s">
        <v>37</v>
      </c>
      <c r="E12" t="s">
        <v>40</v>
      </c>
      <c r="F12" t="s">
        <v>53</v>
      </c>
      <c r="G12" t="s">
        <v>34</v>
      </c>
      <c r="J12" t="s">
        <v>33</v>
      </c>
      <c r="K12">
        <f>COUNTIFS(B:B, J12, E:E,I$8) + COUNTIFS(A:A,J12,E:E,I$8)</f>
        <v>0</v>
      </c>
      <c r="M12" t="s">
        <v>1</v>
      </c>
      <c r="N12" t="s">
        <v>36</v>
      </c>
      <c r="O12">
        <f t="shared" si="2"/>
        <v>0</v>
      </c>
      <c r="Q12" t="s">
        <v>24</v>
      </c>
      <c r="R12">
        <f t="shared" si="3"/>
        <v>0</v>
      </c>
      <c r="S12">
        <f t="shared" si="3"/>
        <v>2</v>
      </c>
      <c r="T12">
        <f t="shared" si="3"/>
        <v>0</v>
      </c>
      <c r="U12">
        <f t="shared" si="3"/>
        <v>3</v>
      </c>
      <c r="V12">
        <f t="shared" si="3"/>
        <v>0</v>
      </c>
      <c r="X12" t="s">
        <v>40</v>
      </c>
      <c r="Y12">
        <f>COUNTIF(E:E,X12)</f>
        <v>7</v>
      </c>
      <c r="Z12" t="s">
        <v>41</v>
      </c>
      <c r="AA12">
        <f>COUNTIFS(D:D,Z12)</f>
        <v>17</v>
      </c>
    </row>
    <row r="13" spans="1:27" x14ac:dyDescent="0.25">
      <c r="A13" t="s">
        <v>32</v>
      </c>
      <c r="B13" t="s">
        <v>4</v>
      </c>
      <c r="C13" t="s">
        <v>32</v>
      </c>
      <c r="D13" t="s">
        <v>37</v>
      </c>
      <c r="E13" t="s">
        <v>43</v>
      </c>
      <c r="F13" t="s">
        <v>52</v>
      </c>
      <c r="G13" t="s">
        <v>42</v>
      </c>
      <c r="M13" t="s">
        <v>16</v>
      </c>
      <c r="N13" t="s">
        <v>62</v>
      </c>
      <c r="O13">
        <f t="shared" si="2"/>
        <v>1</v>
      </c>
      <c r="X13" t="s">
        <v>36</v>
      </c>
      <c r="Y13">
        <f>COUNTIF(E:E,X13)</f>
        <v>3</v>
      </c>
      <c r="Z13" t="s">
        <v>37</v>
      </c>
      <c r="AA13">
        <f>COUNTIFS(D:D,Z13)</f>
        <v>4</v>
      </c>
    </row>
    <row r="14" spans="1:27" x14ac:dyDescent="0.25">
      <c r="A14" t="s">
        <v>1</v>
      </c>
      <c r="B14" t="s">
        <v>32</v>
      </c>
      <c r="C14" t="s">
        <v>1</v>
      </c>
      <c r="D14" t="s">
        <v>41</v>
      </c>
      <c r="E14" t="s">
        <v>44</v>
      </c>
      <c r="G14" t="s">
        <v>34</v>
      </c>
      <c r="I14" t="s">
        <v>62</v>
      </c>
      <c r="J14" t="s">
        <v>1</v>
      </c>
      <c r="K14">
        <f>COUNTIFS(B:B, J14, E:E,I$14) + COUNTIFS(A:A,J14,E:E,I$14)</f>
        <v>0</v>
      </c>
      <c r="M14" t="s">
        <v>16</v>
      </c>
      <c r="N14" t="s">
        <v>43</v>
      </c>
      <c r="O14">
        <f t="shared" si="2"/>
        <v>0</v>
      </c>
    </row>
    <row r="15" spans="1:27" x14ac:dyDescent="0.25">
      <c r="A15" t="s">
        <v>32</v>
      </c>
      <c r="B15" t="s">
        <v>33</v>
      </c>
      <c r="C15" t="s">
        <v>32</v>
      </c>
      <c r="D15" t="s">
        <v>41</v>
      </c>
      <c r="E15" t="s">
        <v>44</v>
      </c>
      <c r="G15" t="s">
        <v>34</v>
      </c>
      <c r="J15" t="s">
        <v>16</v>
      </c>
      <c r="K15">
        <f>COUNTIFS(B:B, J15, E:E,I$14) + COUNTIFS(A:A,J15,E:E,I$14)</f>
        <v>1</v>
      </c>
      <c r="M15" t="s">
        <v>16</v>
      </c>
      <c r="N15" t="s">
        <v>44</v>
      </c>
      <c r="O15">
        <f t="shared" si="2"/>
        <v>2</v>
      </c>
    </row>
    <row r="16" spans="1:27" x14ac:dyDescent="0.25">
      <c r="A16" t="s">
        <v>16</v>
      </c>
      <c r="B16" t="s">
        <v>32</v>
      </c>
      <c r="C16" t="s">
        <v>32</v>
      </c>
      <c r="D16" t="s">
        <v>41</v>
      </c>
      <c r="E16" t="s">
        <v>44</v>
      </c>
      <c r="F16" t="s">
        <v>51</v>
      </c>
      <c r="G16" t="s">
        <v>42</v>
      </c>
      <c r="J16" t="s">
        <v>24</v>
      </c>
      <c r="K16">
        <f>COUNTIFS(B:B, J16, E:E,I$14) + COUNTIFS(A:A,J16,E:E,I$14)</f>
        <v>0</v>
      </c>
      <c r="M16" t="s">
        <v>16</v>
      </c>
      <c r="N16" t="s">
        <v>40</v>
      </c>
      <c r="O16">
        <f t="shared" si="2"/>
        <v>1</v>
      </c>
    </row>
    <row r="17" spans="1:23" x14ac:dyDescent="0.25">
      <c r="A17" t="s">
        <v>32</v>
      </c>
      <c r="B17" t="s">
        <v>33</v>
      </c>
      <c r="C17" t="s">
        <v>32</v>
      </c>
      <c r="D17" t="s">
        <v>37</v>
      </c>
      <c r="E17" t="s">
        <v>36</v>
      </c>
      <c r="F17" t="s">
        <v>50</v>
      </c>
      <c r="G17" t="s">
        <v>42</v>
      </c>
      <c r="J17" t="s">
        <v>4</v>
      </c>
      <c r="K17">
        <f>COUNTIFS(B:B, J17, E:E,I$14) + COUNTIFS(A:A,J17,E:E,I$14)</f>
        <v>0</v>
      </c>
      <c r="M17" t="s">
        <v>16</v>
      </c>
      <c r="N17" t="s">
        <v>36</v>
      </c>
      <c r="O17">
        <f t="shared" si="2"/>
        <v>0</v>
      </c>
      <c r="W17">
        <f>PEARSON(AA9:AA13,Y9:Y13)</f>
        <v>0.55852587726703828</v>
      </c>
    </row>
    <row r="18" spans="1:23" x14ac:dyDescent="0.25">
      <c r="A18" t="s">
        <v>24</v>
      </c>
      <c r="B18" t="s">
        <v>32</v>
      </c>
      <c r="C18" t="s">
        <v>32</v>
      </c>
      <c r="D18" t="s">
        <v>41</v>
      </c>
      <c r="E18" t="s">
        <v>43</v>
      </c>
      <c r="F18" t="s">
        <v>49</v>
      </c>
      <c r="G18" t="s">
        <v>42</v>
      </c>
      <c r="J18" t="s">
        <v>33</v>
      </c>
      <c r="K18">
        <f>COUNTIFS(B:B, J18, E:E,I$14) + COUNTIFS(A:A,J18,E:E,I$14)</f>
        <v>1</v>
      </c>
      <c r="M18" t="s">
        <v>24</v>
      </c>
      <c r="N18" t="s">
        <v>62</v>
      </c>
      <c r="O18">
        <f t="shared" si="2"/>
        <v>0</v>
      </c>
    </row>
    <row r="19" spans="1:23" x14ac:dyDescent="0.25">
      <c r="A19" t="s">
        <v>33</v>
      </c>
      <c r="B19" t="s">
        <v>32</v>
      </c>
      <c r="C19" t="s">
        <v>32</v>
      </c>
      <c r="D19" t="s">
        <v>41</v>
      </c>
      <c r="E19" t="s">
        <v>40</v>
      </c>
      <c r="F19" t="s">
        <v>48</v>
      </c>
      <c r="G19" t="s">
        <v>42</v>
      </c>
      <c r="M19" t="s">
        <v>24</v>
      </c>
      <c r="N19" t="s">
        <v>43</v>
      </c>
      <c r="O19">
        <f t="shared" si="2"/>
        <v>2</v>
      </c>
    </row>
    <row r="20" spans="1:23" x14ac:dyDescent="0.25">
      <c r="A20" t="s">
        <v>1</v>
      </c>
      <c r="B20" t="s">
        <v>32</v>
      </c>
      <c r="C20" t="s">
        <v>1</v>
      </c>
      <c r="D20" t="s">
        <v>41</v>
      </c>
      <c r="E20" t="s">
        <v>40</v>
      </c>
      <c r="F20" t="s">
        <v>47</v>
      </c>
      <c r="G20" t="s">
        <v>42</v>
      </c>
      <c r="I20" t="s">
        <v>44</v>
      </c>
      <c r="J20" t="s">
        <v>1</v>
      </c>
      <c r="K20">
        <f>COUNTIFS(B:B, J20, E:E,I$20) + COUNTIFS(A:A,J20,E:E,I$20)</f>
        <v>1</v>
      </c>
      <c r="M20" t="s">
        <v>24</v>
      </c>
      <c r="N20" t="s">
        <v>44</v>
      </c>
      <c r="O20">
        <f t="shared" si="2"/>
        <v>0</v>
      </c>
    </row>
    <row r="21" spans="1:23" x14ac:dyDescent="0.25">
      <c r="A21" t="s">
        <v>32</v>
      </c>
      <c r="B21" t="s">
        <v>24</v>
      </c>
      <c r="C21" t="s">
        <v>32</v>
      </c>
      <c r="D21" t="s">
        <v>41</v>
      </c>
      <c r="E21" t="s">
        <v>43</v>
      </c>
      <c r="F21" t="s">
        <v>46</v>
      </c>
      <c r="G21" t="s">
        <v>45</v>
      </c>
      <c r="J21" t="s">
        <v>16</v>
      </c>
      <c r="K21">
        <f>COUNTIFS(B:B, J21, E:E,I$20) + COUNTIFS(A:A,J21,E:E,I$20)</f>
        <v>2</v>
      </c>
      <c r="M21" t="s">
        <v>24</v>
      </c>
      <c r="N21" t="s">
        <v>40</v>
      </c>
      <c r="O21">
        <f t="shared" si="2"/>
        <v>3</v>
      </c>
    </row>
    <row r="22" spans="1:23" x14ac:dyDescent="0.25">
      <c r="A22" t="s">
        <v>32</v>
      </c>
      <c r="B22" t="s">
        <v>33</v>
      </c>
      <c r="C22" t="s">
        <v>32</v>
      </c>
      <c r="D22" t="s">
        <v>41</v>
      </c>
      <c r="E22" t="s">
        <v>44</v>
      </c>
      <c r="G22" t="s">
        <v>34</v>
      </c>
      <c r="J22" t="s">
        <v>24</v>
      </c>
      <c r="K22">
        <f>COUNTIFS(B:B, J22, E:E,I$20) + COUNTIFS(A:A,J22,E:E,I$20)</f>
        <v>0</v>
      </c>
      <c r="M22" t="s">
        <v>24</v>
      </c>
      <c r="N22" t="s">
        <v>36</v>
      </c>
      <c r="O22">
        <f t="shared" si="2"/>
        <v>0</v>
      </c>
    </row>
    <row r="23" spans="1:23" x14ac:dyDescent="0.25">
      <c r="A23" t="s">
        <v>4</v>
      </c>
      <c r="B23" t="s">
        <v>32</v>
      </c>
      <c r="C23" t="s">
        <v>4</v>
      </c>
      <c r="D23" t="s">
        <v>41</v>
      </c>
      <c r="E23" t="s">
        <v>43</v>
      </c>
      <c r="G23" t="s">
        <v>42</v>
      </c>
      <c r="J23" t="s">
        <v>4</v>
      </c>
      <c r="K23">
        <f>COUNTIFS(B:B, J23, E:E,I$20) + COUNTIFS(A:A,J23,E:E,I$20)</f>
        <v>0</v>
      </c>
      <c r="M23" t="s">
        <v>4</v>
      </c>
      <c r="N23" t="s">
        <v>62</v>
      </c>
      <c r="O23">
        <f t="shared" si="2"/>
        <v>0</v>
      </c>
      <c r="R23" t="s">
        <v>83</v>
      </c>
      <c r="S23" t="s">
        <v>55</v>
      </c>
      <c r="T23" t="s">
        <v>44</v>
      </c>
      <c r="U23" t="s">
        <v>41</v>
      </c>
      <c r="V23" t="s">
        <v>37</v>
      </c>
    </row>
    <row r="24" spans="1:23" x14ac:dyDescent="0.25">
      <c r="A24" t="s">
        <v>24</v>
      </c>
      <c r="B24" t="s">
        <v>32</v>
      </c>
      <c r="C24" t="s">
        <v>24</v>
      </c>
      <c r="D24" t="s">
        <v>41</v>
      </c>
      <c r="E24" t="s">
        <v>40</v>
      </c>
      <c r="F24" t="s">
        <v>39</v>
      </c>
      <c r="G24" t="s">
        <v>38</v>
      </c>
      <c r="J24" t="s">
        <v>33</v>
      </c>
      <c r="K24">
        <f>COUNTIFS(B:B, J24, E:E,I$20) + COUNTIFS(A:A,J24,E:E,I$20)</f>
        <v>3</v>
      </c>
      <c r="M24" t="s">
        <v>4</v>
      </c>
      <c r="N24" t="s">
        <v>43</v>
      </c>
      <c r="O24">
        <f t="shared" si="2"/>
        <v>3</v>
      </c>
      <c r="Q24" t="s">
        <v>16</v>
      </c>
      <c r="R24">
        <f>COUNTIFS($A:$A,$Q24,$D:$D,R$23) + COUNTIFS($B:$B,$Q24,$D:$D,R$23)</f>
        <v>0</v>
      </c>
      <c r="S24">
        <f t="shared" ref="S24:V24" si="4">COUNTIFS($A:$A,$Q24,$D:$D,S$23) + COUNTIFS($B:$B,$Q24,$D:$D,S$23)</f>
        <v>0</v>
      </c>
      <c r="T24">
        <f t="shared" si="4"/>
        <v>1</v>
      </c>
      <c r="U24">
        <f t="shared" si="4"/>
        <v>3</v>
      </c>
      <c r="V24">
        <f t="shared" si="4"/>
        <v>0</v>
      </c>
    </row>
    <row r="25" spans="1:23" x14ac:dyDescent="0.25">
      <c r="A25" t="s">
        <v>32</v>
      </c>
      <c r="B25" t="s">
        <v>4</v>
      </c>
      <c r="C25" t="s">
        <v>32</v>
      </c>
      <c r="D25" t="s">
        <v>37</v>
      </c>
      <c r="E25" t="s">
        <v>36</v>
      </c>
      <c r="F25" t="s">
        <v>35</v>
      </c>
      <c r="G25" t="s">
        <v>34</v>
      </c>
      <c r="M25" t="s">
        <v>4</v>
      </c>
      <c r="N25" t="s">
        <v>44</v>
      </c>
      <c r="O25">
        <f t="shared" si="2"/>
        <v>0</v>
      </c>
      <c r="Q25" t="s">
        <v>1</v>
      </c>
      <c r="R25">
        <f t="shared" ref="R25:V28" si="5">COUNTIFS($A:$A,$Q25,$D:$D,R$23) + COUNTIFS($B:$B,$Q25,$D:$D,R$23)</f>
        <v>0</v>
      </c>
      <c r="S25">
        <f t="shared" si="5"/>
        <v>0</v>
      </c>
      <c r="T25">
        <f t="shared" si="5"/>
        <v>0</v>
      </c>
      <c r="U25">
        <f t="shared" si="5"/>
        <v>3</v>
      </c>
      <c r="V25">
        <f t="shared" si="5"/>
        <v>0</v>
      </c>
    </row>
    <row r="26" spans="1:23" x14ac:dyDescent="0.25">
      <c r="I26" t="s">
        <v>40</v>
      </c>
      <c r="J26" t="s">
        <v>1</v>
      </c>
      <c r="K26">
        <f>COUNTIFS(B:B, J26, E:E,I$26) + COUNTIFS(A:A,J26,E:E,I$26)</f>
        <v>1</v>
      </c>
      <c r="M26" t="s">
        <v>4</v>
      </c>
      <c r="N26" t="s">
        <v>40</v>
      </c>
      <c r="O26">
        <f t="shared" si="2"/>
        <v>0</v>
      </c>
      <c r="Q26" t="s">
        <v>4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2</v>
      </c>
      <c r="V26">
        <f t="shared" si="5"/>
        <v>2</v>
      </c>
    </row>
    <row r="27" spans="1:23" x14ac:dyDescent="0.25">
      <c r="G27" t="s">
        <v>84</v>
      </c>
      <c r="H27">
        <f>COUNTIF(G$2:G$25,G27)</f>
        <v>0</v>
      </c>
      <c r="J27" t="s">
        <v>16</v>
      </c>
      <c r="K27">
        <f>COUNTIFS(B:B, J27, E:E,I$26) + COUNTIFS(A:A,J27,E:E,I$26)</f>
        <v>1</v>
      </c>
      <c r="M27" t="s">
        <v>4</v>
      </c>
      <c r="N27" t="s">
        <v>36</v>
      </c>
      <c r="O27">
        <f t="shared" si="2"/>
        <v>1</v>
      </c>
      <c r="Q27" t="s">
        <v>33</v>
      </c>
      <c r="R27">
        <f t="shared" si="5"/>
        <v>0</v>
      </c>
      <c r="S27">
        <f t="shared" si="5"/>
        <v>1</v>
      </c>
      <c r="T27">
        <f t="shared" si="5"/>
        <v>1</v>
      </c>
      <c r="U27">
        <f t="shared" si="5"/>
        <v>5</v>
      </c>
      <c r="V27">
        <f t="shared" si="5"/>
        <v>1</v>
      </c>
    </row>
    <row r="28" spans="1:23" x14ac:dyDescent="0.25">
      <c r="G28" t="s">
        <v>38</v>
      </c>
      <c r="H28">
        <f t="shared" ref="H28:H31" si="6">COUNTIF(G$2:G$25,G28)</f>
        <v>4</v>
      </c>
      <c r="J28" t="s">
        <v>24</v>
      </c>
      <c r="K28">
        <f>COUNTIFS(B:B, J28, E:E,I$26) + COUNTIFS(A:A,J28,E:E,I$26)</f>
        <v>3</v>
      </c>
      <c r="M28" t="s">
        <v>33</v>
      </c>
      <c r="N28" t="s">
        <v>62</v>
      </c>
      <c r="O28">
        <f t="shared" si="2"/>
        <v>1</v>
      </c>
      <c r="Q28" t="s">
        <v>24</v>
      </c>
      <c r="R28">
        <f t="shared" si="5"/>
        <v>0</v>
      </c>
      <c r="S28">
        <f t="shared" si="5"/>
        <v>0</v>
      </c>
      <c r="T28">
        <f t="shared" si="5"/>
        <v>0</v>
      </c>
      <c r="U28">
        <f t="shared" si="5"/>
        <v>4</v>
      </c>
      <c r="V28">
        <f t="shared" si="5"/>
        <v>1</v>
      </c>
    </row>
    <row r="29" spans="1:23" x14ac:dyDescent="0.25">
      <c r="B29" t="s">
        <v>32</v>
      </c>
      <c r="C29">
        <f>COUNTIFS($C$2:$C$25,B29,$B$2:$B$25,B30) + COUNTIFS($C$2:$C$25,B29,$A$2:$A$25,B30)</f>
        <v>3</v>
      </c>
      <c r="G29" t="s">
        <v>34</v>
      </c>
      <c r="H29">
        <f t="shared" si="6"/>
        <v>6</v>
      </c>
      <c r="J29" t="s">
        <v>4</v>
      </c>
      <c r="K29">
        <f>COUNTIFS(B:B, J29, E:E,I$26) + COUNTIFS(A:A,J29,E:E,I$26)</f>
        <v>0</v>
      </c>
      <c r="M29" t="s">
        <v>33</v>
      </c>
      <c r="N29" t="s">
        <v>43</v>
      </c>
      <c r="O29">
        <f t="shared" si="2"/>
        <v>0</v>
      </c>
    </row>
    <row r="30" spans="1:23" x14ac:dyDescent="0.25">
      <c r="B30" t="s">
        <v>4</v>
      </c>
      <c r="C30">
        <f>COUNTIF($A$2:$A$25,B30) + COUNTIF($B$2:$B$25,B30) -C29</f>
        <v>1</v>
      </c>
      <c r="G30" t="s">
        <v>42</v>
      </c>
      <c r="H30">
        <f t="shared" si="6"/>
        <v>13</v>
      </c>
      <c r="J30" t="s">
        <v>33</v>
      </c>
      <c r="K30">
        <f>COUNTIFS(B:B, J30, E:E,I$26) + COUNTIFS(A:A,J30,E:E,I$26)</f>
        <v>2</v>
      </c>
      <c r="M30" t="s">
        <v>33</v>
      </c>
      <c r="N30" t="s">
        <v>44</v>
      </c>
      <c r="O30">
        <f t="shared" si="2"/>
        <v>3</v>
      </c>
    </row>
    <row r="31" spans="1:23" x14ac:dyDescent="0.25">
      <c r="G31" t="s">
        <v>45</v>
      </c>
      <c r="H31">
        <f t="shared" si="6"/>
        <v>1</v>
      </c>
      <c r="M31" t="s">
        <v>33</v>
      </c>
      <c r="N31" t="s">
        <v>40</v>
      </c>
      <c r="O31">
        <f t="shared" si="2"/>
        <v>2</v>
      </c>
    </row>
    <row r="32" spans="1:23" x14ac:dyDescent="0.25">
      <c r="B32" t="s">
        <v>32</v>
      </c>
      <c r="C32">
        <f>COUNTIFS($C$2:$C$25,B32,$B$2:$B$25,B33) + COUNTIFS($C$2:$C$25,B32,$A$2:$A$25,B33)</f>
        <v>7</v>
      </c>
      <c r="I32" t="s">
        <v>36</v>
      </c>
      <c r="J32" t="s">
        <v>1</v>
      </c>
      <c r="K32">
        <f>COUNTIFS(B:B, J32, E:E,I$32) + COUNTIFS(A:A,J32,E:E,I$32)</f>
        <v>0</v>
      </c>
      <c r="M32" t="s">
        <v>33</v>
      </c>
      <c r="N32" t="s">
        <v>36</v>
      </c>
      <c r="O32">
        <f t="shared" si="2"/>
        <v>2</v>
      </c>
    </row>
    <row r="33" spans="2:11" x14ac:dyDescent="0.25">
      <c r="B33" t="s">
        <v>33</v>
      </c>
      <c r="C33">
        <f>COUNTIF($A$2:$A$25,B33) + COUNTIF($B$2:$B$25,B33) -C32</f>
        <v>1</v>
      </c>
      <c r="J33" t="s">
        <v>16</v>
      </c>
      <c r="K33">
        <f>COUNTIFS(B:B, J33, E:E,I$32) + COUNTIFS(A:A,J33,E:E,I$32)</f>
        <v>0</v>
      </c>
    </row>
    <row r="34" spans="2:11" x14ac:dyDescent="0.25">
      <c r="J34" t="s">
        <v>24</v>
      </c>
      <c r="K34">
        <f>COUNTIFS(B:B, J34, E:E,I$32) + COUNTIFS(A:A,J34,E:E,I$32)</f>
        <v>0</v>
      </c>
    </row>
    <row r="35" spans="2:11" x14ac:dyDescent="0.25">
      <c r="B35" t="s">
        <v>32</v>
      </c>
      <c r="C35">
        <f>COUNTIFS($C$2:$C$25,B35,$B$2:$B$25,B36) + COUNTIFS($C$2:$C$25,B35,$A$2:$A$25,B36)</f>
        <v>4</v>
      </c>
      <c r="J35" t="s">
        <v>4</v>
      </c>
      <c r="K35">
        <f>COUNTIFS(B:B, J35, E:E,I$32) + COUNTIFS(A:A,J35,E:E,I$32)</f>
        <v>1</v>
      </c>
    </row>
    <row r="36" spans="2:11" x14ac:dyDescent="0.25">
      <c r="B36" t="s">
        <v>16</v>
      </c>
      <c r="C36">
        <f>COUNTIF($A$2:$A$25,B36) + COUNTIF($B$2:$B$25,B36) -C35</f>
        <v>0</v>
      </c>
      <c r="J36" t="s">
        <v>33</v>
      </c>
      <c r="K36">
        <f>COUNTIFS(B:B, J36, E:E,I$32) + COUNTIFS(A:A,J36,E:E,I$32)</f>
        <v>2</v>
      </c>
    </row>
    <row r="38" spans="2:11" x14ac:dyDescent="0.25">
      <c r="B38" t="s">
        <v>32</v>
      </c>
      <c r="C38">
        <f>COUNTIFS($C$2:$C$25,B38,$B$2:$B$25,B39) + COUNTIFS($C$2:$C$25,B38,$A$2:$A$25,B39)</f>
        <v>1</v>
      </c>
    </row>
    <row r="39" spans="2:11" x14ac:dyDescent="0.25">
      <c r="B39" t="s">
        <v>1</v>
      </c>
      <c r="C39">
        <f>COUNTIF($A$2:$A$25,B39) + COUNTIF($B$2:$B$25,B39) -C38</f>
        <v>2</v>
      </c>
    </row>
    <row r="41" spans="2:11" x14ac:dyDescent="0.25">
      <c r="B41" t="s">
        <v>32</v>
      </c>
      <c r="C41">
        <f>COUNTIFS($C$2:$C$25,B41,$B$2:$B$25,B42) + COUNTIFS($C$2:$C$25,B41,$A$2:$A$25,B42)</f>
        <v>4</v>
      </c>
    </row>
    <row r="42" spans="2:11" x14ac:dyDescent="0.25">
      <c r="B42" t="s">
        <v>24</v>
      </c>
      <c r="C42">
        <f>COUNTIF($A$2:$A$25,B42) + COUNTIF($B$2:$B$25,B42) -C41</f>
        <v>1</v>
      </c>
    </row>
  </sheetData>
  <pageMargins left="0.7" right="0.7" top="0.75" bottom="0.75" header="0.3" footer="0.3"/>
  <pageSetup orientation="portrait" horizontalDpi="4294967294" verticalDpi="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0BE-3E51-4C2D-982D-D3ECFF5A2344}">
  <sheetPr codeName="Sheet10"/>
  <dimension ref="A1:O51"/>
  <sheetViews>
    <sheetView workbookViewId="0">
      <selection activeCell="L12" sqref="L1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1</v>
      </c>
      <c r="B3" t="s">
        <v>4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4</v>
      </c>
      <c r="F4" t="s">
        <v>25</v>
      </c>
      <c r="G4">
        <f>COUNTIF(C:C, "=MCTS")</f>
        <v>22</v>
      </c>
      <c r="J4" t="s">
        <v>25</v>
      </c>
      <c r="K4">
        <f>COUNTIFS(C:C,"=MCTS",A:A,"=MCTS")</f>
        <v>12</v>
      </c>
      <c r="N4" t="s">
        <v>25</v>
      </c>
      <c r="O4">
        <f>COUNTIFS(A:A,"=Good dad",C:C,"=MCTS")</f>
        <v>10</v>
      </c>
    </row>
    <row r="5" spans="1:15" x14ac:dyDescent="0.25">
      <c r="A5" t="s">
        <v>1</v>
      </c>
      <c r="B5" t="s">
        <v>4</v>
      </c>
      <c r="C5" t="s">
        <v>4</v>
      </c>
      <c r="F5" t="s">
        <v>20</v>
      </c>
      <c r="G5">
        <f>COUNTIF(C:C, "=Good dad")</f>
        <v>24</v>
      </c>
      <c r="J5" t="s">
        <v>20</v>
      </c>
      <c r="K5">
        <f>COUNTIFS(C:C,"=Good dad",A:A,"=MCTS")</f>
        <v>11</v>
      </c>
      <c r="N5" t="s">
        <v>20</v>
      </c>
      <c r="O5">
        <f>COUNTIFS(A:A,"=Good dad",C:C,"=Good dad")</f>
        <v>13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4</v>
      </c>
      <c r="J6" t="s">
        <v>17</v>
      </c>
      <c r="K6">
        <f>COUNTIFS(C:C,"=draw",A:A,"=MCTS")</f>
        <v>2</v>
      </c>
      <c r="N6" t="s">
        <v>17</v>
      </c>
      <c r="O6">
        <f>COUNTIFS(A:A,"=Good dad",C:C,"=draw")</f>
        <v>2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4</v>
      </c>
    </row>
    <row r="9" spans="1:15" x14ac:dyDescent="0.25">
      <c r="A9" t="s">
        <v>1</v>
      </c>
      <c r="B9" t="s">
        <v>4</v>
      </c>
      <c r="C9" t="s">
        <v>17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4</v>
      </c>
    </row>
    <row r="12" spans="1:15" x14ac:dyDescent="0.25">
      <c r="A12" t="s">
        <v>4</v>
      </c>
      <c r="B12" t="s">
        <v>1</v>
      </c>
      <c r="C12" t="s">
        <v>4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17</v>
      </c>
    </row>
    <row r="15" spans="1:15" x14ac:dyDescent="0.25">
      <c r="A15" t="s">
        <v>1</v>
      </c>
      <c r="B15" t="s">
        <v>4</v>
      </c>
      <c r="C15" t="s">
        <v>4</v>
      </c>
    </row>
    <row r="16" spans="1:15" x14ac:dyDescent="0.25">
      <c r="A16" t="s">
        <v>4</v>
      </c>
      <c r="B16" t="s">
        <v>1</v>
      </c>
      <c r="C16" t="s">
        <v>4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4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4</v>
      </c>
      <c r="B20" t="s">
        <v>1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4</v>
      </c>
    </row>
    <row r="23" spans="1:3" x14ac:dyDescent="0.25">
      <c r="A23" t="s">
        <v>4</v>
      </c>
      <c r="B23" t="s">
        <v>1</v>
      </c>
      <c r="C23" t="s">
        <v>4</v>
      </c>
    </row>
    <row r="24" spans="1:3" x14ac:dyDescent="0.25">
      <c r="A24" t="s">
        <v>1</v>
      </c>
      <c r="B24" t="s">
        <v>4</v>
      </c>
      <c r="C24" t="s">
        <v>1</v>
      </c>
    </row>
    <row r="25" spans="1:3" x14ac:dyDescent="0.25">
      <c r="A25" t="s">
        <v>4</v>
      </c>
      <c r="B25" t="s">
        <v>1</v>
      </c>
      <c r="C25" t="s">
        <v>4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4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1</v>
      </c>
      <c r="B30" t="s">
        <v>4</v>
      </c>
      <c r="C30" t="s">
        <v>4</v>
      </c>
    </row>
    <row r="31" spans="1:3" x14ac:dyDescent="0.25">
      <c r="A31" t="s">
        <v>4</v>
      </c>
      <c r="B31" t="s">
        <v>1</v>
      </c>
      <c r="C31" t="s">
        <v>1</v>
      </c>
    </row>
    <row r="32" spans="1:3" x14ac:dyDescent="0.25">
      <c r="A32" t="s">
        <v>1</v>
      </c>
      <c r="B32" t="s">
        <v>4</v>
      </c>
      <c r="C32" t="s">
        <v>4</v>
      </c>
    </row>
    <row r="33" spans="1:3" x14ac:dyDescent="0.25">
      <c r="A33" t="s">
        <v>4</v>
      </c>
      <c r="B33" t="s">
        <v>1</v>
      </c>
      <c r="C33" t="s">
        <v>17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4</v>
      </c>
      <c r="B36" t="s">
        <v>1</v>
      </c>
      <c r="C36" t="s">
        <v>4</v>
      </c>
    </row>
    <row r="37" spans="1:3" x14ac:dyDescent="0.25">
      <c r="A37" t="s">
        <v>1</v>
      </c>
      <c r="B37" t="s">
        <v>4</v>
      </c>
      <c r="C37" t="s">
        <v>4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17</v>
      </c>
    </row>
    <row r="40" spans="1:3" x14ac:dyDescent="0.25">
      <c r="A40" t="s">
        <v>4</v>
      </c>
      <c r="B40" t="s">
        <v>1</v>
      </c>
      <c r="C40" t="s">
        <v>4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4</v>
      </c>
    </row>
    <row r="43" spans="1:3" x14ac:dyDescent="0.25">
      <c r="A43" t="s">
        <v>1</v>
      </c>
      <c r="B43" t="s">
        <v>4</v>
      </c>
      <c r="C43" t="s">
        <v>4</v>
      </c>
    </row>
    <row r="44" spans="1:3" x14ac:dyDescent="0.25">
      <c r="A44" t="s">
        <v>4</v>
      </c>
      <c r="B44" t="s">
        <v>1</v>
      </c>
      <c r="C44" t="s">
        <v>4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4</v>
      </c>
    </row>
    <row r="47" spans="1:3" x14ac:dyDescent="0.25">
      <c r="A47" t="s">
        <v>4</v>
      </c>
      <c r="B47" t="s">
        <v>1</v>
      </c>
      <c r="C47" t="s">
        <v>4</v>
      </c>
    </row>
    <row r="48" spans="1:3" x14ac:dyDescent="0.25">
      <c r="A48" t="s">
        <v>4</v>
      </c>
      <c r="B48" t="s">
        <v>1</v>
      </c>
      <c r="C48" t="s">
        <v>1</v>
      </c>
    </row>
    <row r="49" spans="1:3" x14ac:dyDescent="0.25">
      <c r="A49" t="s">
        <v>1</v>
      </c>
      <c r="B49" t="s">
        <v>4</v>
      </c>
      <c r="C49" t="s">
        <v>1</v>
      </c>
    </row>
    <row r="50" spans="1:3" x14ac:dyDescent="0.25">
      <c r="A50" t="s">
        <v>1</v>
      </c>
      <c r="B50" t="s">
        <v>4</v>
      </c>
      <c r="C50" t="s">
        <v>4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D03B-AA8C-4113-AD78-E8AF30A40E76}">
  <dimension ref="A1:I2096"/>
  <sheetViews>
    <sheetView topLeftCell="A2076" workbookViewId="0">
      <selection activeCell="D2" sqref="D2:D2096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70</v>
      </c>
      <c r="B1" t="s">
        <v>71</v>
      </c>
      <c r="C1" t="s">
        <v>78</v>
      </c>
      <c r="D1" t="s">
        <v>72</v>
      </c>
    </row>
    <row r="2" spans="1:9" x14ac:dyDescent="0.25">
      <c r="A2">
        <v>3</v>
      </c>
      <c r="B2">
        <v>-1</v>
      </c>
      <c r="C2">
        <f t="shared" ref="C2:C65" si="0">_xlfn.NORM.DIST(B2, I$10,I$13,FALSE)</f>
        <v>5.9708230471847818E-4</v>
      </c>
      <c r="D2">
        <v>0</v>
      </c>
      <c r="E2">
        <f>_xlfn.NORM.DIST(D2, I$4,I$7,FALSE)</f>
        <v>3.8593787311575464E-2</v>
      </c>
    </row>
    <row r="3" spans="1:9" x14ac:dyDescent="0.25">
      <c r="A3">
        <v>3</v>
      </c>
      <c r="B3">
        <v>-1</v>
      </c>
      <c r="C3">
        <f t="shared" si="0"/>
        <v>5.9708230471847818E-4</v>
      </c>
      <c r="D3">
        <v>0</v>
      </c>
      <c r="E3">
        <f t="shared" ref="E3:E66" si="1">_xlfn.NORM.DIST(D3, I$4,I$7,FALSE)</f>
        <v>3.8593787311575464E-2</v>
      </c>
      <c r="G3" t="s">
        <v>73</v>
      </c>
    </row>
    <row r="4" spans="1:9" x14ac:dyDescent="0.25">
      <c r="A4">
        <v>3</v>
      </c>
      <c r="B4">
        <v>-1</v>
      </c>
      <c r="C4">
        <f t="shared" si="0"/>
        <v>5.9708230471847818E-4</v>
      </c>
      <c r="D4">
        <v>0</v>
      </c>
      <c r="E4">
        <f t="shared" si="1"/>
        <v>3.8593787311575464E-2</v>
      </c>
      <c r="H4" t="s">
        <v>34</v>
      </c>
      <c r="I4">
        <f>AVERAGE(D:D)</f>
        <v>4.6758949880668261</v>
      </c>
    </row>
    <row r="5" spans="1:9" x14ac:dyDescent="0.25">
      <c r="A5">
        <v>3</v>
      </c>
      <c r="B5">
        <v>-1</v>
      </c>
      <c r="C5">
        <f t="shared" si="0"/>
        <v>5.9708230471847818E-4</v>
      </c>
      <c r="D5">
        <v>0</v>
      </c>
      <c r="E5">
        <f t="shared" si="1"/>
        <v>3.8593787311575464E-2</v>
      </c>
      <c r="H5" t="s">
        <v>74</v>
      </c>
      <c r="I5">
        <f>MIN(D:D)</f>
        <v>0</v>
      </c>
    </row>
    <row r="6" spans="1:9" x14ac:dyDescent="0.25">
      <c r="A6">
        <v>3</v>
      </c>
      <c r="B6">
        <v>-1</v>
      </c>
      <c r="C6">
        <f t="shared" si="0"/>
        <v>5.9708230471847818E-4</v>
      </c>
      <c r="D6">
        <v>0</v>
      </c>
      <c r="E6">
        <f t="shared" si="1"/>
        <v>3.8593787311575464E-2</v>
      </c>
      <c r="H6" t="s">
        <v>75</v>
      </c>
      <c r="I6">
        <f>MAX(D:D)</f>
        <v>80</v>
      </c>
    </row>
    <row r="7" spans="1:9" x14ac:dyDescent="0.25">
      <c r="A7">
        <v>3</v>
      </c>
      <c r="B7">
        <v>-0.78523489932885904</v>
      </c>
      <c r="C7">
        <f t="shared" si="0"/>
        <v>9.3406831642433661E-3</v>
      </c>
      <c r="D7">
        <v>0</v>
      </c>
      <c r="E7">
        <f t="shared" si="1"/>
        <v>3.8593787311575464E-2</v>
      </c>
      <c r="H7" t="s">
        <v>76</v>
      </c>
      <c r="I7">
        <f>STDEV(D:D)</f>
        <v>9.0436417399297344</v>
      </c>
    </row>
    <row r="8" spans="1:9" x14ac:dyDescent="0.25">
      <c r="A8">
        <v>3</v>
      </c>
      <c r="B8">
        <v>-0.72592592592592597</v>
      </c>
      <c r="C8">
        <f t="shared" si="0"/>
        <v>1.7969084391812485E-2</v>
      </c>
      <c r="D8">
        <v>0</v>
      </c>
      <c r="E8">
        <f t="shared" si="1"/>
        <v>3.8593787311575464E-2</v>
      </c>
    </row>
    <row r="9" spans="1:9" x14ac:dyDescent="0.25">
      <c r="A9">
        <v>3</v>
      </c>
      <c r="B9">
        <v>-0.72</v>
      </c>
      <c r="C9">
        <f t="shared" si="0"/>
        <v>1.9135089881147659E-2</v>
      </c>
      <c r="D9">
        <v>0</v>
      </c>
      <c r="E9">
        <f t="shared" si="1"/>
        <v>3.8593787311575464E-2</v>
      </c>
      <c r="G9" t="s">
        <v>77</v>
      </c>
    </row>
    <row r="10" spans="1:9" x14ac:dyDescent="0.25">
      <c r="A10">
        <v>3</v>
      </c>
      <c r="B10">
        <v>-0.59281437125748504</v>
      </c>
      <c r="C10">
        <f t="shared" si="0"/>
        <v>6.6112029357033072E-2</v>
      </c>
      <c r="D10">
        <v>0</v>
      </c>
      <c r="E10">
        <f t="shared" si="1"/>
        <v>3.8593787311575464E-2</v>
      </c>
      <c r="H10" t="s">
        <v>34</v>
      </c>
      <c r="I10">
        <f>AVERAGE(B:B)</f>
        <v>9.6847613555428383E-2</v>
      </c>
    </row>
    <row r="11" spans="1:9" x14ac:dyDescent="0.25">
      <c r="A11">
        <v>3</v>
      </c>
      <c r="B11">
        <v>-0.5625</v>
      </c>
      <c r="C11">
        <f t="shared" si="0"/>
        <v>8.6139310401837407E-2</v>
      </c>
      <c r="D11">
        <v>0</v>
      </c>
      <c r="E11">
        <f t="shared" si="1"/>
        <v>3.8593787311575464E-2</v>
      </c>
      <c r="H11" t="s">
        <v>74</v>
      </c>
      <c r="I11">
        <f>MIN(B:B)</f>
        <v>-1</v>
      </c>
    </row>
    <row r="12" spans="1:9" x14ac:dyDescent="0.25">
      <c r="A12">
        <v>3</v>
      </c>
      <c r="B12">
        <v>-0.55038759689922501</v>
      </c>
      <c r="C12">
        <f t="shared" si="0"/>
        <v>9.5427826287564924E-2</v>
      </c>
      <c r="D12">
        <v>0</v>
      </c>
      <c r="E12">
        <f t="shared" si="1"/>
        <v>3.8593787311575464E-2</v>
      </c>
      <c r="H12" t="s">
        <v>75</v>
      </c>
      <c r="I12">
        <f>MAX(B:B)</f>
        <v>1</v>
      </c>
    </row>
    <row r="13" spans="1:9" x14ac:dyDescent="0.25">
      <c r="A13">
        <v>3</v>
      </c>
      <c r="B13">
        <v>-0.54</v>
      </c>
      <c r="C13">
        <f t="shared" si="0"/>
        <v>0.10403005443419247</v>
      </c>
      <c r="D13">
        <v>0</v>
      </c>
      <c r="E13">
        <f t="shared" si="1"/>
        <v>3.8593787311575464E-2</v>
      </c>
      <c r="H13" t="s">
        <v>76</v>
      </c>
      <c r="I13">
        <f>STDEV(B:B)</f>
        <v>0.27797737318987686</v>
      </c>
    </row>
    <row r="14" spans="1:9" x14ac:dyDescent="0.25">
      <c r="A14">
        <v>3</v>
      </c>
      <c r="B14">
        <v>-0.51648351648351698</v>
      </c>
      <c r="C14">
        <f t="shared" si="0"/>
        <v>0.12582815303847877</v>
      </c>
      <c r="D14">
        <v>0</v>
      </c>
      <c r="E14">
        <f t="shared" si="1"/>
        <v>3.8593787311575464E-2</v>
      </c>
    </row>
    <row r="15" spans="1:9" x14ac:dyDescent="0.25">
      <c r="A15">
        <v>3</v>
      </c>
      <c r="B15">
        <v>-0.5</v>
      </c>
      <c r="C15">
        <f t="shared" si="0"/>
        <v>0.14316453987175382</v>
      </c>
      <c r="D15">
        <v>0</v>
      </c>
      <c r="E15">
        <f t="shared" si="1"/>
        <v>3.8593787311575464E-2</v>
      </c>
    </row>
    <row r="16" spans="1:9" x14ac:dyDescent="0.25">
      <c r="A16">
        <v>3</v>
      </c>
      <c r="B16">
        <v>-0.487179487179487</v>
      </c>
      <c r="C16">
        <f t="shared" si="0"/>
        <v>0.15789925509991293</v>
      </c>
      <c r="D16">
        <v>0</v>
      </c>
      <c r="E16">
        <f t="shared" si="1"/>
        <v>3.8593787311575464E-2</v>
      </c>
    </row>
    <row r="17" spans="1:5" x14ac:dyDescent="0.25">
      <c r="A17">
        <v>3</v>
      </c>
      <c r="B17">
        <v>-0.46666666666666701</v>
      </c>
      <c r="C17">
        <f t="shared" si="0"/>
        <v>0.18387808662551391</v>
      </c>
      <c r="D17">
        <v>0</v>
      </c>
      <c r="E17">
        <f t="shared" si="1"/>
        <v>3.8593787311575464E-2</v>
      </c>
    </row>
    <row r="18" spans="1:5" x14ac:dyDescent="0.25">
      <c r="A18">
        <v>3</v>
      </c>
      <c r="B18">
        <v>-0.45800000000000002</v>
      </c>
      <c r="C18">
        <f t="shared" si="0"/>
        <v>0.19577969208140206</v>
      </c>
      <c r="D18">
        <v>0</v>
      </c>
      <c r="E18">
        <f t="shared" si="1"/>
        <v>3.8593787311575464E-2</v>
      </c>
    </row>
    <row r="19" spans="1:5" x14ac:dyDescent="0.25">
      <c r="A19">
        <v>3</v>
      </c>
      <c r="B19">
        <v>-0.443037974683544</v>
      </c>
      <c r="C19">
        <f t="shared" si="0"/>
        <v>0.21766916546748943</v>
      </c>
      <c r="D19">
        <v>0</v>
      </c>
      <c r="E19">
        <f t="shared" si="1"/>
        <v>3.8593787311575464E-2</v>
      </c>
    </row>
    <row r="20" spans="1:5" x14ac:dyDescent="0.25">
      <c r="A20">
        <v>3</v>
      </c>
      <c r="B20">
        <v>-0.38600000000000001</v>
      </c>
      <c r="C20">
        <f t="shared" si="0"/>
        <v>0.31748865326068526</v>
      </c>
      <c r="D20">
        <v>0</v>
      </c>
      <c r="E20">
        <f t="shared" si="1"/>
        <v>3.8593787311575464E-2</v>
      </c>
    </row>
    <row r="21" spans="1:5" x14ac:dyDescent="0.25">
      <c r="A21">
        <v>3</v>
      </c>
      <c r="B21">
        <v>-0.38551401869158902</v>
      </c>
      <c r="C21">
        <f t="shared" si="0"/>
        <v>0.31845376948920534</v>
      </c>
      <c r="D21">
        <v>0</v>
      </c>
      <c r="E21">
        <f t="shared" si="1"/>
        <v>3.8593787311575464E-2</v>
      </c>
    </row>
    <row r="22" spans="1:5" x14ac:dyDescent="0.25">
      <c r="A22">
        <v>3</v>
      </c>
      <c r="B22">
        <v>-0.38461538461538503</v>
      </c>
      <c r="C22">
        <f t="shared" si="0"/>
        <v>0.32024353429962482</v>
      </c>
      <c r="D22">
        <v>0</v>
      </c>
      <c r="E22">
        <f t="shared" si="1"/>
        <v>3.8593787311575464E-2</v>
      </c>
    </row>
    <row r="23" spans="1:5" x14ac:dyDescent="0.25">
      <c r="A23">
        <v>3</v>
      </c>
      <c r="B23">
        <v>-0.38133333333333302</v>
      </c>
      <c r="C23">
        <f t="shared" si="0"/>
        <v>0.32683709445315356</v>
      </c>
      <c r="D23">
        <v>0</v>
      </c>
      <c r="E23">
        <f t="shared" si="1"/>
        <v>3.8593787311575464E-2</v>
      </c>
    </row>
    <row r="24" spans="1:5" x14ac:dyDescent="0.25">
      <c r="A24">
        <v>3</v>
      </c>
      <c r="B24">
        <v>-0.38095238095238099</v>
      </c>
      <c r="C24">
        <f t="shared" si="0"/>
        <v>0.3276082006454652</v>
      </c>
      <c r="D24">
        <v>0</v>
      </c>
      <c r="E24">
        <f t="shared" si="1"/>
        <v>3.8593787311575464E-2</v>
      </c>
    </row>
    <row r="25" spans="1:5" x14ac:dyDescent="0.25">
      <c r="A25">
        <v>3</v>
      </c>
      <c r="B25">
        <v>-0.375</v>
      </c>
      <c r="C25">
        <f t="shared" si="0"/>
        <v>0.33981286406828221</v>
      </c>
      <c r="D25">
        <v>0</v>
      </c>
      <c r="E25">
        <f t="shared" si="1"/>
        <v>3.8593787311575464E-2</v>
      </c>
    </row>
    <row r="26" spans="1:5" x14ac:dyDescent="0.25">
      <c r="A26">
        <v>3</v>
      </c>
      <c r="B26">
        <v>-0.36666666666666697</v>
      </c>
      <c r="C26">
        <f t="shared" si="0"/>
        <v>0.35739160026206335</v>
      </c>
      <c r="D26">
        <v>0</v>
      </c>
      <c r="E26">
        <f t="shared" si="1"/>
        <v>3.8593787311575464E-2</v>
      </c>
    </row>
    <row r="27" spans="1:5" x14ac:dyDescent="0.25">
      <c r="A27">
        <v>3</v>
      </c>
      <c r="B27">
        <v>-0.36</v>
      </c>
      <c r="C27">
        <f t="shared" si="0"/>
        <v>0.37186640275459398</v>
      </c>
      <c r="D27">
        <v>0</v>
      </c>
      <c r="E27">
        <f t="shared" si="1"/>
        <v>3.8593787311575464E-2</v>
      </c>
    </row>
    <row r="28" spans="1:5" x14ac:dyDescent="0.25">
      <c r="A28">
        <v>3</v>
      </c>
      <c r="B28">
        <v>-0.34731934731934699</v>
      </c>
      <c r="C28">
        <f t="shared" si="0"/>
        <v>0.40040050516687614</v>
      </c>
      <c r="D28">
        <v>0</v>
      </c>
      <c r="E28">
        <f t="shared" si="1"/>
        <v>3.8593787311575464E-2</v>
      </c>
    </row>
    <row r="29" spans="1:5" x14ac:dyDescent="0.25">
      <c r="A29">
        <v>3</v>
      </c>
      <c r="B29">
        <v>-0.341772151898734</v>
      </c>
      <c r="C29">
        <f t="shared" si="0"/>
        <v>0.41329112764746323</v>
      </c>
      <c r="D29">
        <v>0</v>
      </c>
      <c r="E29">
        <f t="shared" si="1"/>
        <v>3.8593787311575464E-2</v>
      </c>
    </row>
    <row r="30" spans="1:5" x14ac:dyDescent="0.25">
      <c r="A30">
        <v>3</v>
      </c>
      <c r="B30">
        <v>-0.32758620689655199</v>
      </c>
      <c r="C30">
        <f t="shared" si="0"/>
        <v>0.44736485807978582</v>
      </c>
      <c r="D30">
        <v>0</v>
      </c>
      <c r="E30">
        <f t="shared" si="1"/>
        <v>3.8593787311575464E-2</v>
      </c>
    </row>
    <row r="31" spans="1:5" x14ac:dyDescent="0.25">
      <c r="A31">
        <v>3</v>
      </c>
      <c r="B31">
        <v>-0.32558139534883701</v>
      </c>
      <c r="C31">
        <f t="shared" si="0"/>
        <v>0.45230668301805066</v>
      </c>
      <c r="D31">
        <v>0</v>
      </c>
      <c r="E31">
        <f t="shared" si="1"/>
        <v>3.8593787311575464E-2</v>
      </c>
    </row>
    <row r="32" spans="1:5" x14ac:dyDescent="0.25">
      <c r="A32">
        <v>3</v>
      </c>
      <c r="B32">
        <v>-0.32467532467532501</v>
      </c>
      <c r="C32">
        <f t="shared" si="0"/>
        <v>0.45455024875916622</v>
      </c>
      <c r="D32">
        <v>0</v>
      </c>
      <c r="E32">
        <f t="shared" si="1"/>
        <v>3.8593787311575464E-2</v>
      </c>
    </row>
    <row r="33" spans="1:5" x14ac:dyDescent="0.25">
      <c r="A33">
        <v>3</v>
      </c>
      <c r="B33">
        <v>-0.32432432432432401</v>
      </c>
      <c r="C33">
        <f t="shared" si="0"/>
        <v>0.45542106513735459</v>
      </c>
      <c r="D33">
        <v>0</v>
      </c>
      <c r="E33">
        <f t="shared" si="1"/>
        <v>3.8593787311575464E-2</v>
      </c>
    </row>
    <row r="34" spans="1:5" x14ac:dyDescent="0.25">
      <c r="A34">
        <v>3</v>
      </c>
      <c r="B34">
        <v>-0.32400000000000001</v>
      </c>
      <c r="C34">
        <f t="shared" si="0"/>
        <v>0.45622653573817679</v>
      </c>
      <c r="D34">
        <v>0</v>
      </c>
      <c r="E34">
        <f t="shared" si="1"/>
        <v>3.8593787311575464E-2</v>
      </c>
    </row>
    <row r="35" spans="1:5" x14ac:dyDescent="0.25">
      <c r="A35">
        <v>3</v>
      </c>
      <c r="B35">
        <v>-0.31833333333333302</v>
      </c>
      <c r="C35">
        <f t="shared" si="0"/>
        <v>0.47042868475025579</v>
      </c>
      <c r="D35">
        <v>0</v>
      </c>
      <c r="E35">
        <f t="shared" si="1"/>
        <v>3.8593787311575464E-2</v>
      </c>
    </row>
    <row r="36" spans="1:5" x14ac:dyDescent="0.25">
      <c r="A36">
        <v>3</v>
      </c>
      <c r="B36">
        <v>-0.31733333333333302</v>
      </c>
      <c r="C36">
        <f t="shared" si="0"/>
        <v>0.47296005013056691</v>
      </c>
      <c r="D36">
        <v>0</v>
      </c>
      <c r="E36">
        <f t="shared" si="1"/>
        <v>3.8593787311575464E-2</v>
      </c>
    </row>
    <row r="37" spans="1:5" x14ac:dyDescent="0.25">
      <c r="A37">
        <v>3</v>
      </c>
      <c r="B37">
        <v>-0.31538461538461499</v>
      </c>
      <c r="C37">
        <f t="shared" si="0"/>
        <v>0.47791439895435595</v>
      </c>
      <c r="D37">
        <v>0</v>
      </c>
      <c r="E37">
        <f t="shared" si="1"/>
        <v>3.8593787311575464E-2</v>
      </c>
    </row>
    <row r="38" spans="1:5" x14ac:dyDescent="0.25">
      <c r="A38">
        <v>3</v>
      </c>
      <c r="B38">
        <v>-0.315</v>
      </c>
      <c r="C38">
        <f t="shared" si="0"/>
        <v>0.47889556519243603</v>
      </c>
      <c r="D38">
        <v>0</v>
      </c>
      <c r="E38">
        <f t="shared" si="1"/>
        <v>3.8593787311575464E-2</v>
      </c>
    </row>
    <row r="39" spans="1:5" x14ac:dyDescent="0.25">
      <c r="A39">
        <v>3</v>
      </c>
      <c r="B39">
        <v>-0.31333333333333302</v>
      </c>
      <c r="C39">
        <f t="shared" si="0"/>
        <v>0.48315992705668609</v>
      </c>
      <c r="D39">
        <v>0</v>
      </c>
      <c r="E39">
        <f t="shared" si="1"/>
        <v>3.8593787311575464E-2</v>
      </c>
    </row>
    <row r="40" spans="1:5" x14ac:dyDescent="0.25">
      <c r="A40">
        <v>3</v>
      </c>
      <c r="B40">
        <v>-0.31168831168831201</v>
      </c>
      <c r="C40">
        <f t="shared" si="0"/>
        <v>0.48738896070043214</v>
      </c>
      <c r="D40">
        <v>0</v>
      </c>
      <c r="E40">
        <f t="shared" si="1"/>
        <v>3.8593787311575464E-2</v>
      </c>
    </row>
    <row r="41" spans="1:5" x14ac:dyDescent="0.25">
      <c r="A41">
        <v>3</v>
      </c>
      <c r="B41">
        <v>-0.30933333333333302</v>
      </c>
      <c r="C41">
        <f t="shared" si="0"/>
        <v>0.49347758377418355</v>
      </c>
      <c r="D41">
        <v>0</v>
      </c>
      <c r="E41">
        <f t="shared" si="1"/>
        <v>3.8593787311575464E-2</v>
      </c>
    </row>
    <row r="42" spans="1:5" x14ac:dyDescent="0.25">
      <c r="A42">
        <v>3</v>
      </c>
      <c r="B42">
        <v>-0.30769230769230799</v>
      </c>
      <c r="C42">
        <f t="shared" si="0"/>
        <v>0.49774412510658889</v>
      </c>
      <c r="D42">
        <v>0</v>
      </c>
      <c r="E42">
        <f t="shared" si="1"/>
        <v>3.8593787311575464E-2</v>
      </c>
    </row>
    <row r="43" spans="1:5" x14ac:dyDescent="0.25">
      <c r="A43">
        <v>3</v>
      </c>
      <c r="B43">
        <v>-0.30599999999999999</v>
      </c>
      <c r="C43">
        <f t="shared" si="0"/>
        <v>0.50216430438862525</v>
      </c>
      <c r="D43">
        <v>0</v>
      </c>
      <c r="E43">
        <f t="shared" si="1"/>
        <v>3.8593787311575464E-2</v>
      </c>
    </row>
    <row r="44" spans="1:5" x14ac:dyDescent="0.25">
      <c r="A44">
        <v>3</v>
      </c>
      <c r="B44">
        <v>-0.29799999999999999</v>
      </c>
      <c r="C44">
        <f t="shared" si="0"/>
        <v>0.52333433470166812</v>
      </c>
      <c r="D44">
        <v>0</v>
      </c>
      <c r="E44">
        <f t="shared" si="1"/>
        <v>3.8593787311575464E-2</v>
      </c>
    </row>
    <row r="45" spans="1:5" x14ac:dyDescent="0.25">
      <c r="A45">
        <v>3</v>
      </c>
      <c r="B45">
        <v>-0.29729729729729698</v>
      </c>
      <c r="C45">
        <f t="shared" si="0"/>
        <v>0.52521518446712134</v>
      </c>
      <c r="D45">
        <v>0</v>
      </c>
      <c r="E45">
        <f t="shared" si="1"/>
        <v>3.8593787311575464E-2</v>
      </c>
    </row>
    <row r="46" spans="1:5" x14ac:dyDescent="0.25">
      <c r="A46">
        <v>3</v>
      </c>
      <c r="B46">
        <v>-0.28799999999999998</v>
      </c>
      <c r="C46">
        <f t="shared" si="0"/>
        <v>0.5504148376923893</v>
      </c>
      <c r="D46">
        <v>0</v>
      </c>
      <c r="E46">
        <f t="shared" si="1"/>
        <v>3.8593787311575464E-2</v>
      </c>
    </row>
    <row r="47" spans="1:5" x14ac:dyDescent="0.25">
      <c r="A47">
        <v>3</v>
      </c>
      <c r="B47">
        <v>-0.28799999999999998</v>
      </c>
      <c r="C47">
        <f t="shared" si="0"/>
        <v>0.5504148376923893</v>
      </c>
      <c r="D47">
        <v>0</v>
      </c>
      <c r="E47">
        <f t="shared" si="1"/>
        <v>3.8593787311575464E-2</v>
      </c>
    </row>
    <row r="48" spans="1:5" x14ac:dyDescent="0.25">
      <c r="A48">
        <v>3</v>
      </c>
      <c r="B48">
        <v>-0.28738317757009302</v>
      </c>
      <c r="C48">
        <f t="shared" si="0"/>
        <v>0.55210698724824281</v>
      </c>
      <c r="D48">
        <v>0</v>
      </c>
      <c r="E48">
        <f t="shared" si="1"/>
        <v>3.8593787311575464E-2</v>
      </c>
    </row>
    <row r="49" spans="1:5" x14ac:dyDescent="0.25">
      <c r="A49">
        <v>3</v>
      </c>
      <c r="B49">
        <v>-0.28399999999999997</v>
      </c>
      <c r="C49">
        <f t="shared" si="0"/>
        <v>0.56143195003504154</v>
      </c>
      <c r="D49">
        <v>0</v>
      </c>
      <c r="E49">
        <f t="shared" si="1"/>
        <v>3.8593787311575464E-2</v>
      </c>
    </row>
    <row r="50" spans="1:5" x14ac:dyDescent="0.25">
      <c r="A50">
        <v>3</v>
      </c>
      <c r="B50">
        <v>-0.27733333333333299</v>
      </c>
      <c r="C50">
        <f t="shared" si="0"/>
        <v>0.58001907106504513</v>
      </c>
      <c r="D50">
        <v>0</v>
      </c>
      <c r="E50">
        <f t="shared" si="1"/>
        <v>3.8593787311575464E-2</v>
      </c>
    </row>
    <row r="51" spans="1:5" x14ac:dyDescent="0.25">
      <c r="A51">
        <v>3</v>
      </c>
      <c r="B51">
        <v>-0.27600000000000002</v>
      </c>
      <c r="C51">
        <f t="shared" si="0"/>
        <v>0.58376940212020068</v>
      </c>
      <c r="D51">
        <v>0</v>
      </c>
      <c r="E51">
        <f t="shared" si="1"/>
        <v>3.8593787311575464E-2</v>
      </c>
    </row>
    <row r="52" spans="1:5" x14ac:dyDescent="0.25">
      <c r="A52">
        <v>3</v>
      </c>
      <c r="B52">
        <v>-0.26806526806526798</v>
      </c>
      <c r="C52">
        <f t="shared" si="0"/>
        <v>0.60630615712639213</v>
      </c>
      <c r="D52">
        <v>0</v>
      </c>
      <c r="E52">
        <f t="shared" si="1"/>
        <v>3.8593787311575464E-2</v>
      </c>
    </row>
    <row r="53" spans="1:5" x14ac:dyDescent="0.25">
      <c r="A53">
        <v>3</v>
      </c>
      <c r="B53">
        <v>-0.266666666666667</v>
      </c>
      <c r="C53">
        <f t="shared" si="0"/>
        <v>0.61031625937713374</v>
      </c>
      <c r="D53">
        <v>0</v>
      </c>
      <c r="E53">
        <f t="shared" si="1"/>
        <v>3.8593787311575464E-2</v>
      </c>
    </row>
    <row r="54" spans="1:5" x14ac:dyDescent="0.25">
      <c r="A54">
        <v>3</v>
      </c>
      <c r="B54">
        <v>-0.26027397260273999</v>
      </c>
      <c r="C54">
        <f t="shared" si="0"/>
        <v>0.62878319856606379</v>
      </c>
      <c r="D54">
        <v>0</v>
      </c>
      <c r="E54">
        <f t="shared" si="1"/>
        <v>3.8593787311575464E-2</v>
      </c>
    </row>
    <row r="55" spans="1:5" x14ac:dyDescent="0.25">
      <c r="A55">
        <v>3</v>
      </c>
      <c r="B55">
        <v>-0.26</v>
      </c>
      <c r="C55">
        <f t="shared" si="0"/>
        <v>0.62957956606742072</v>
      </c>
      <c r="D55">
        <v>0</v>
      </c>
      <c r="E55">
        <f t="shared" si="1"/>
        <v>3.8593787311575464E-2</v>
      </c>
    </row>
    <row r="56" spans="1:5" x14ac:dyDescent="0.25">
      <c r="A56">
        <v>3</v>
      </c>
      <c r="B56">
        <v>-0.25874125874125897</v>
      </c>
      <c r="C56">
        <f t="shared" si="0"/>
        <v>0.63324347790936242</v>
      </c>
      <c r="D56">
        <v>0</v>
      </c>
      <c r="E56">
        <f t="shared" si="1"/>
        <v>3.8593787311575464E-2</v>
      </c>
    </row>
    <row r="57" spans="1:5" x14ac:dyDescent="0.25">
      <c r="A57">
        <v>3</v>
      </c>
      <c r="B57">
        <v>-0.25600000000000001</v>
      </c>
      <c r="C57">
        <f t="shared" si="0"/>
        <v>0.64125111435058213</v>
      </c>
      <c r="D57">
        <v>0</v>
      </c>
      <c r="E57">
        <f t="shared" si="1"/>
        <v>3.8593787311575464E-2</v>
      </c>
    </row>
    <row r="58" spans="1:5" x14ac:dyDescent="0.25">
      <c r="A58">
        <v>3</v>
      </c>
      <c r="B58">
        <v>-0.25600000000000001</v>
      </c>
      <c r="C58">
        <f t="shared" si="0"/>
        <v>0.64125111435058213</v>
      </c>
      <c r="D58">
        <v>0</v>
      </c>
      <c r="E58">
        <f t="shared" si="1"/>
        <v>3.8593787311575464E-2</v>
      </c>
    </row>
    <row r="59" spans="1:5" x14ac:dyDescent="0.25">
      <c r="A59">
        <v>3</v>
      </c>
      <c r="B59">
        <v>-0.252</v>
      </c>
      <c r="C59">
        <f t="shared" si="0"/>
        <v>0.65300381076572056</v>
      </c>
      <c r="D59">
        <v>0</v>
      </c>
      <c r="E59">
        <f t="shared" si="1"/>
        <v>3.8593787311575464E-2</v>
      </c>
    </row>
    <row r="60" spans="1:5" x14ac:dyDescent="0.25">
      <c r="A60">
        <v>3</v>
      </c>
      <c r="B60">
        <v>-0.252</v>
      </c>
      <c r="C60">
        <f t="shared" si="0"/>
        <v>0.65300381076572056</v>
      </c>
      <c r="D60">
        <v>0</v>
      </c>
      <c r="E60">
        <f t="shared" si="1"/>
        <v>3.8593787311575464E-2</v>
      </c>
    </row>
    <row r="61" spans="1:5" x14ac:dyDescent="0.25">
      <c r="A61">
        <v>3</v>
      </c>
      <c r="B61">
        <v>-0.24533333333333299</v>
      </c>
      <c r="C61">
        <f t="shared" si="0"/>
        <v>0.67276261747509114</v>
      </c>
      <c r="D61">
        <v>0</v>
      </c>
      <c r="E61">
        <f t="shared" si="1"/>
        <v>3.8593787311575464E-2</v>
      </c>
    </row>
    <row r="62" spans="1:5" x14ac:dyDescent="0.25">
      <c r="A62">
        <v>3</v>
      </c>
      <c r="B62">
        <v>-0.24324324324324301</v>
      </c>
      <c r="C62">
        <f t="shared" si="0"/>
        <v>0.67899911293657034</v>
      </c>
      <c r="D62">
        <v>0</v>
      </c>
      <c r="E62">
        <f t="shared" si="1"/>
        <v>3.8593787311575464E-2</v>
      </c>
    </row>
    <row r="63" spans="1:5" x14ac:dyDescent="0.25">
      <c r="A63">
        <v>3</v>
      </c>
      <c r="B63">
        <v>-0.24175824175824201</v>
      </c>
      <c r="C63">
        <f t="shared" si="0"/>
        <v>0.6834417400923527</v>
      </c>
      <c r="D63">
        <v>0</v>
      </c>
      <c r="E63">
        <f t="shared" si="1"/>
        <v>3.8593787311575464E-2</v>
      </c>
    </row>
    <row r="64" spans="1:5" x14ac:dyDescent="0.25">
      <c r="A64">
        <v>3</v>
      </c>
      <c r="B64">
        <v>-0.23776223776223801</v>
      </c>
      <c r="C64">
        <f t="shared" si="0"/>
        <v>0.69544276101546243</v>
      </c>
      <c r="D64">
        <v>0</v>
      </c>
      <c r="E64">
        <f t="shared" si="1"/>
        <v>3.8593787311575464E-2</v>
      </c>
    </row>
    <row r="65" spans="1:5" x14ac:dyDescent="0.25">
      <c r="A65">
        <v>3</v>
      </c>
      <c r="B65">
        <v>-0.23478260869565201</v>
      </c>
      <c r="C65">
        <f t="shared" si="0"/>
        <v>0.7044335491054331</v>
      </c>
      <c r="D65">
        <v>0</v>
      </c>
      <c r="E65">
        <f t="shared" si="1"/>
        <v>3.8593787311575464E-2</v>
      </c>
    </row>
    <row r="66" spans="1:5" x14ac:dyDescent="0.25">
      <c r="A66">
        <v>3</v>
      </c>
      <c r="B66">
        <v>-0.229333333333333</v>
      </c>
      <c r="C66">
        <f t="shared" ref="C66:C129" si="2">_xlfn.NORM.DIST(B66, I$10,I$13,FALSE)</f>
        <v>0.72096372852777901</v>
      </c>
      <c r="D66">
        <v>0</v>
      </c>
      <c r="E66">
        <f t="shared" si="1"/>
        <v>3.8593787311575464E-2</v>
      </c>
    </row>
    <row r="67" spans="1:5" x14ac:dyDescent="0.25">
      <c r="A67">
        <v>3</v>
      </c>
      <c r="B67">
        <v>-0.22897196261682201</v>
      </c>
      <c r="C67">
        <f t="shared" si="2"/>
        <v>0.72206373826576165</v>
      </c>
      <c r="D67">
        <v>0</v>
      </c>
      <c r="E67">
        <f t="shared" ref="E67:E130" si="3">_xlfn.NORM.DIST(D67, I$4,I$7,FALSE)</f>
        <v>3.8593787311575464E-2</v>
      </c>
    </row>
    <row r="68" spans="1:5" x14ac:dyDescent="0.25">
      <c r="A68">
        <v>3</v>
      </c>
      <c r="B68">
        <v>-0.22897196261682201</v>
      </c>
      <c r="C68">
        <f t="shared" si="2"/>
        <v>0.72206373826576165</v>
      </c>
      <c r="D68">
        <v>0</v>
      </c>
      <c r="E68">
        <f t="shared" si="3"/>
        <v>3.8593787311575464E-2</v>
      </c>
    </row>
    <row r="69" spans="1:5" x14ac:dyDescent="0.25">
      <c r="A69">
        <v>3</v>
      </c>
      <c r="B69">
        <v>-0.22666666666666699</v>
      </c>
      <c r="C69">
        <f t="shared" si="2"/>
        <v>0.72909165122437669</v>
      </c>
      <c r="D69">
        <v>0</v>
      </c>
      <c r="E69">
        <f t="shared" si="3"/>
        <v>3.8593787311575464E-2</v>
      </c>
    </row>
    <row r="70" spans="1:5" x14ac:dyDescent="0.25">
      <c r="A70">
        <v>3</v>
      </c>
      <c r="B70">
        <v>-0.224</v>
      </c>
      <c r="C70">
        <f t="shared" si="2"/>
        <v>0.73724335568157739</v>
      </c>
      <c r="D70">
        <v>0</v>
      </c>
      <c r="E70">
        <f t="shared" si="3"/>
        <v>3.8593787311575464E-2</v>
      </c>
    </row>
    <row r="71" spans="1:5" x14ac:dyDescent="0.25">
      <c r="A71">
        <v>3</v>
      </c>
      <c r="B71">
        <v>-0.21962616822429901</v>
      </c>
      <c r="C71">
        <f t="shared" si="2"/>
        <v>0.75066189337820677</v>
      </c>
      <c r="D71">
        <v>0</v>
      </c>
      <c r="E71">
        <f t="shared" si="3"/>
        <v>3.8593787311575464E-2</v>
      </c>
    </row>
    <row r="72" spans="1:5" x14ac:dyDescent="0.25">
      <c r="A72">
        <v>3</v>
      </c>
      <c r="B72">
        <v>-0.21962616822429901</v>
      </c>
      <c r="C72">
        <f t="shared" si="2"/>
        <v>0.75066189337820677</v>
      </c>
      <c r="D72">
        <v>0</v>
      </c>
      <c r="E72">
        <f t="shared" si="3"/>
        <v>3.8593787311575464E-2</v>
      </c>
    </row>
    <row r="73" spans="1:5" x14ac:dyDescent="0.25">
      <c r="A73">
        <v>3</v>
      </c>
      <c r="B73">
        <v>-0.21875</v>
      </c>
      <c r="C73">
        <f t="shared" si="2"/>
        <v>0.75335669928724358</v>
      </c>
      <c r="D73">
        <v>0</v>
      </c>
      <c r="E73">
        <f t="shared" si="3"/>
        <v>3.8593787311575464E-2</v>
      </c>
    </row>
    <row r="74" spans="1:5" x14ac:dyDescent="0.25">
      <c r="A74">
        <v>3</v>
      </c>
      <c r="B74">
        <v>-0.21621621621621601</v>
      </c>
      <c r="C74">
        <f t="shared" si="2"/>
        <v>0.76116179492932734</v>
      </c>
      <c r="D74">
        <v>0</v>
      </c>
      <c r="E74">
        <f t="shared" si="3"/>
        <v>3.8593787311575464E-2</v>
      </c>
    </row>
    <row r="75" spans="1:5" x14ac:dyDescent="0.25">
      <c r="A75">
        <v>3</v>
      </c>
      <c r="B75">
        <v>-0.21621621621621601</v>
      </c>
      <c r="C75">
        <f t="shared" si="2"/>
        <v>0.76116179492932734</v>
      </c>
      <c r="D75">
        <v>0</v>
      </c>
      <c r="E75">
        <f t="shared" si="3"/>
        <v>3.8593787311575464E-2</v>
      </c>
    </row>
    <row r="76" spans="1:5" x14ac:dyDescent="0.25">
      <c r="A76">
        <v>3</v>
      </c>
      <c r="B76">
        <v>-0.215568862275449</v>
      </c>
      <c r="C76">
        <f t="shared" si="2"/>
        <v>0.7631586777710081</v>
      </c>
      <c r="D76">
        <v>0</v>
      </c>
      <c r="E76">
        <f t="shared" si="3"/>
        <v>3.8593787311575464E-2</v>
      </c>
    </row>
    <row r="77" spans="1:5" x14ac:dyDescent="0.25">
      <c r="A77">
        <v>3</v>
      </c>
      <c r="B77">
        <v>-0.213114754098361</v>
      </c>
      <c r="C77">
        <f t="shared" si="2"/>
        <v>0.77073855844842742</v>
      </c>
      <c r="D77">
        <v>0</v>
      </c>
      <c r="E77">
        <f t="shared" si="3"/>
        <v>3.8593787311575464E-2</v>
      </c>
    </row>
    <row r="78" spans="1:5" x14ac:dyDescent="0.25">
      <c r="A78">
        <v>3</v>
      </c>
      <c r="B78">
        <v>-0.210666666666667</v>
      </c>
      <c r="C78">
        <f t="shared" si="2"/>
        <v>0.77831440872250879</v>
      </c>
      <c r="D78">
        <v>0</v>
      </c>
      <c r="E78">
        <f t="shared" si="3"/>
        <v>3.8593787311575464E-2</v>
      </c>
    </row>
    <row r="79" spans="1:5" x14ac:dyDescent="0.25">
      <c r="A79">
        <v>3</v>
      </c>
      <c r="B79">
        <v>-0.21</v>
      </c>
      <c r="C79">
        <f t="shared" si="2"/>
        <v>0.78037985931594689</v>
      </c>
      <c r="D79">
        <v>0</v>
      </c>
      <c r="E79">
        <f t="shared" si="3"/>
        <v>3.8593787311575464E-2</v>
      </c>
    </row>
    <row r="80" spans="1:5" x14ac:dyDescent="0.25">
      <c r="A80">
        <v>3</v>
      </c>
      <c r="B80">
        <v>-0.20327102803738301</v>
      </c>
      <c r="C80">
        <f t="shared" si="2"/>
        <v>0.80127868269716451</v>
      </c>
      <c r="D80">
        <v>0</v>
      </c>
      <c r="E80">
        <f t="shared" si="3"/>
        <v>3.8593787311575464E-2</v>
      </c>
    </row>
    <row r="81" spans="1:5" x14ac:dyDescent="0.25">
      <c r="A81">
        <v>3</v>
      </c>
      <c r="B81">
        <v>-0.20279720279720301</v>
      </c>
      <c r="C81">
        <f t="shared" si="2"/>
        <v>0.80275347974054923</v>
      </c>
      <c r="D81">
        <v>0</v>
      </c>
      <c r="E81">
        <f t="shared" si="3"/>
        <v>3.8593787311575464E-2</v>
      </c>
    </row>
    <row r="82" spans="1:5" x14ac:dyDescent="0.25">
      <c r="A82">
        <v>3</v>
      </c>
      <c r="B82">
        <v>-0.20166666666666699</v>
      </c>
      <c r="C82">
        <f t="shared" si="2"/>
        <v>0.8062738228502736</v>
      </c>
      <c r="D82">
        <v>0</v>
      </c>
      <c r="E82">
        <f t="shared" si="3"/>
        <v>3.8593787311575464E-2</v>
      </c>
    </row>
    <row r="83" spans="1:5" x14ac:dyDescent="0.25">
      <c r="A83">
        <v>3</v>
      </c>
      <c r="B83">
        <v>-0.2</v>
      </c>
      <c r="C83">
        <f t="shared" si="2"/>
        <v>0.81146730248762977</v>
      </c>
      <c r="D83">
        <v>0</v>
      </c>
      <c r="E83">
        <f t="shared" si="3"/>
        <v>3.8593787311575464E-2</v>
      </c>
    </row>
    <row r="84" spans="1:5" x14ac:dyDescent="0.25">
      <c r="A84">
        <v>3</v>
      </c>
      <c r="B84">
        <v>-0.19400000000000001</v>
      </c>
      <c r="C84">
        <f t="shared" si="2"/>
        <v>0.83019522369085275</v>
      </c>
      <c r="D84">
        <v>0</v>
      </c>
      <c r="E84">
        <f t="shared" si="3"/>
        <v>3.8593787311575464E-2</v>
      </c>
    </row>
    <row r="85" spans="1:5" x14ac:dyDescent="0.25">
      <c r="A85">
        <v>3</v>
      </c>
      <c r="B85">
        <v>-0.193473193473193</v>
      </c>
      <c r="C85">
        <f t="shared" si="2"/>
        <v>0.83184154559106482</v>
      </c>
      <c r="D85">
        <v>0</v>
      </c>
      <c r="E85">
        <f t="shared" si="3"/>
        <v>3.8593787311575464E-2</v>
      </c>
    </row>
    <row r="86" spans="1:5" x14ac:dyDescent="0.25">
      <c r="A86">
        <v>3</v>
      </c>
      <c r="B86">
        <v>-0.192</v>
      </c>
      <c r="C86">
        <f t="shared" si="2"/>
        <v>0.83644682297824846</v>
      </c>
      <c r="D86">
        <v>0</v>
      </c>
      <c r="E86">
        <f t="shared" si="3"/>
        <v>3.8593787311575464E-2</v>
      </c>
    </row>
    <row r="87" spans="1:5" x14ac:dyDescent="0.25">
      <c r="A87">
        <v>3</v>
      </c>
      <c r="B87">
        <v>-0.191142191142191</v>
      </c>
      <c r="C87">
        <f t="shared" si="2"/>
        <v>0.83912925575321062</v>
      </c>
      <c r="D87">
        <v>0</v>
      </c>
      <c r="E87">
        <f t="shared" si="3"/>
        <v>3.8593787311575464E-2</v>
      </c>
    </row>
    <row r="88" spans="1:5" x14ac:dyDescent="0.25">
      <c r="A88">
        <v>3</v>
      </c>
      <c r="B88">
        <v>-0.18933333333333299</v>
      </c>
      <c r="C88">
        <f t="shared" si="2"/>
        <v>0.84478755102810987</v>
      </c>
      <c r="D88">
        <v>0</v>
      </c>
      <c r="E88">
        <f t="shared" si="3"/>
        <v>3.8593787311575464E-2</v>
      </c>
    </row>
    <row r="89" spans="1:5" x14ac:dyDescent="0.25">
      <c r="A89">
        <v>3</v>
      </c>
      <c r="B89">
        <v>-0.18933333333333299</v>
      </c>
      <c r="C89">
        <f t="shared" si="2"/>
        <v>0.84478755102810987</v>
      </c>
      <c r="D89">
        <v>0</v>
      </c>
      <c r="E89">
        <f t="shared" si="3"/>
        <v>3.8593787311575464E-2</v>
      </c>
    </row>
    <row r="90" spans="1:5" x14ac:dyDescent="0.25">
      <c r="A90">
        <v>3</v>
      </c>
      <c r="B90">
        <v>-0.18933333333333299</v>
      </c>
      <c r="C90">
        <f t="shared" si="2"/>
        <v>0.84478755102810987</v>
      </c>
      <c r="D90">
        <v>0</v>
      </c>
      <c r="E90">
        <f t="shared" si="3"/>
        <v>3.8593787311575464E-2</v>
      </c>
    </row>
    <row r="91" spans="1:5" x14ac:dyDescent="0.25">
      <c r="A91">
        <v>3</v>
      </c>
      <c r="B91">
        <v>-0.18918918918918901</v>
      </c>
      <c r="C91">
        <f t="shared" si="2"/>
        <v>0.84523854718932467</v>
      </c>
      <c r="D91">
        <v>0</v>
      </c>
      <c r="E91">
        <f t="shared" si="3"/>
        <v>3.8593787311575464E-2</v>
      </c>
    </row>
    <row r="92" spans="1:5" x14ac:dyDescent="0.25">
      <c r="A92">
        <v>3</v>
      </c>
      <c r="B92">
        <v>-0.18918918918918901</v>
      </c>
      <c r="C92">
        <f t="shared" si="2"/>
        <v>0.84523854718932467</v>
      </c>
      <c r="D92">
        <v>0</v>
      </c>
      <c r="E92">
        <f t="shared" si="3"/>
        <v>3.8593787311575464E-2</v>
      </c>
    </row>
    <row r="93" spans="1:5" x14ac:dyDescent="0.25">
      <c r="A93">
        <v>3</v>
      </c>
      <c r="B93">
        <v>-0.18618618618618599</v>
      </c>
      <c r="C93">
        <f t="shared" si="2"/>
        <v>0.85463698626870965</v>
      </c>
      <c r="D93">
        <v>0</v>
      </c>
      <c r="E93">
        <f t="shared" si="3"/>
        <v>3.8593787311575464E-2</v>
      </c>
    </row>
    <row r="94" spans="1:5" x14ac:dyDescent="0.25">
      <c r="A94">
        <v>3</v>
      </c>
      <c r="B94">
        <v>-0.18618618618618599</v>
      </c>
      <c r="C94">
        <f t="shared" si="2"/>
        <v>0.85463698626870965</v>
      </c>
      <c r="D94">
        <v>0</v>
      </c>
      <c r="E94">
        <f t="shared" si="3"/>
        <v>3.8593787311575464E-2</v>
      </c>
    </row>
    <row r="95" spans="1:5" x14ac:dyDescent="0.25">
      <c r="A95">
        <v>3</v>
      </c>
      <c r="B95">
        <v>-0.184</v>
      </c>
      <c r="C95">
        <f t="shared" si="2"/>
        <v>0.86148147481748738</v>
      </c>
      <c r="D95">
        <v>0</v>
      </c>
      <c r="E95">
        <f t="shared" si="3"/>
        <v>3.8593787311575464E-2</v>
      </c>
    </row>
    <row r="96" spans="1:5" x14ac:dyDescent="0.25">
      <c r="A96">
        <v>3</v>
      </c>
      <c r="B96">
        <v>-0.18</v>
      </c>
      <c r="C96">
        <f t="shared" si="2"/>
        <v>0.87400689202344151</v>
      </c>
      <c r="D96">
        <v>0</v>
      </c>
      <c r="E96">
        <f t="shared" si="3"/>
        <v>3.8593787311575464E-2</v>
      </c>
    </row>
    <row r="97" spans="1:5" x14ac:dyDescent="0.25">
      <c r="A97">
        <v>3</v>
      </c>
      <c r="B97">
        <v>-0.177570093457944</v>
      </c>
      <c r="C97">
        <f t="shared" si="2"/>
        <v>0.88161540396806704</v>
      </c>
      <c r="D97">
        <v>0</v>
      </c>
      <c r="E97">
        <f t="shared" si="3"/>
        <v>3.8593787311575464E-2</v>
      </c>
    </row>
    <row r="98" spans="1:5" x14ac:dyDescent="0.25">
      <c r="A98">
        <v>3</v>
      </c>
      <c r="B98">
        <v>-0.177570093457944</v>
      </c>
      <c r="C98">
        <f t="shared" si="2"/>
        <v>0.88161540396806704</v>
      </c>
      <c r="D98">
        <v>0</v>
      </c>
      <c r="E98">
        <f t="shared" si="3"/>
        <v>3.8593787311575464E-2</v>
      </c>
    </row>
    <row r="99" spans="1:5" x14ac:dyDescent="0.25">
      <c r="A99">
        <v>3</v>
      </c>
      <c r="B99">
        <v>-0.17717717717717699</v>
      </c>
      <c r="C99">
        <f t="shared" si="2"/>
        <v>0.88284557140554187</v>
      </c>
      <c r="D99">
        <v>0</v>
      </c>
      <c r="E99">
        <f t="shared" si="3"/>
        <v>3.8593787311575464E-2</v>
      </c>
    </row>
    <row r="100" spans="1:5" x14ac:dyDescent="0.25">
      <c r="A100">
        <v>3</v>
      </c>
      <c r="B100">
        <v>-0.17664670658682599</v>
      </c>
      <c r="C100">
        <f t="shared" si="2"/>
        <v>0.88450632274416874</v>
      </c>
      <c r="D100">
        <v>0</v>
      </c>
      <c r="E100">
        <f t="shared" si="3"/>
        <v>3.8593787311575464E-2</v>
      </c>
    </row>
    <row r="101" spans="1:5" x14ac:dyDescent="0.25">
      <c r="A101">
        <v>3</v>
      </c>
      <c r="B101">
        <v>-0.174174174174174</v>
      </c>
      <c r="C101">
        <f t="shared" si="2"/>
        <v>0.89224555494224755</v>
      </c>
      <c r="D101">
        <v>0</v>
      </c>
      <c r="E101">
        <f t="shared" si="3"/>
        <v>3.8593787311575464E-2</v>
      </c>
    </row>
    <row r="102" spans="1:5" x14ac:dyDescent="0.25">
      <c r="A102">
        <v>3</v>
      </c>
      <c r="B102">
        <v>-0.17399999999999999</v>
      </c>
      <c r="C102">
        <f t="shared" si="2"/>
        <v>0.89279061770200907</v>
      </c>
      <c r="D102">
        <v>0</v>
      </c>
      <c r="E102">
        <f t="shared" si="3"/>
        <v>3.8593787311575464E-2</v>
      </c>
    </row>
    <row r="103" spans="1:5" x14ac:dyDescent="0.25">
      <c r="A103">
        <v>3</v>
      </c>
      <c r="B103">
        <v>-0.17333333333333301</v>
      </c>
      <c r="C103">
        <f t="shared" si="2"/>
        <v>0.89487672459134349</v>
      </c>
      <c r="D103">
        <v>0</v>
      </c>
      <c r="E103">
        <f t="shared" si="3"/>
        <v>3.8593787311575464E-2</v>
      </c>
    </row>
    <row r="104" spans="1:5" x14ac:dyDescent="0.25">
      <c r="A104">
        <v>3</v>
      </c>
      <c r="B104">
        <v>-0.17333333333333301</v>
      </c>
      <c r="C104">
        <f t="shared" si="2"/>
        <v>0.89487672459134349</v>
      </c>
      <c r="D104">
        <v>0</v>
      </c>
      <c r="E104">
        <f t="shared" si="3"/>
        <v>3.8593787311575464E-2</v>
      </c>
    </row>
    <row r="105" spans="1:5" x14ac:dyDescent="0.25">
      <c r="A105">
        <v>3</v>
      </c>
      <c r="B105">
        <v>-0.17199999999999999</v>
      </c>
      <c r="C105">
        <f t="shared" si="2"/>
        <v>0.89904805965576229</v>
      </c>
      <c r="D105">
        <v>0</v>
      </c>
      <c r="E105">
        <f t="shared" si="3"/>
        <v>3.8593787311575464E-2</v>
      </c>
    </row>
    <row r="106" spans="1:5" x14ac:dyDescent="0.25">
      <c r="A106">
        <v>3</v>
      </c>
      <c r="B106">
        <v>-0.17166666666666699</v>
      </c>
      <c r="C106">
        <f t="shared" si="2"/>
        <v>0.90009069234221006</v>
      </c>
      <c r="D106">
        <v>0</v>
      </c>
      <c r="E106">
        <f t="shared" si="3"/>
        <v>3.8593787311575464E-2</v>
      </c>
    </row>
    <row r="107" spans="1:5" x14ac:dyDescent="0.25">
      <c r="A107">
        <v>3</v>
      </c>
      <c r="B107">
        <v>-0.17066666666666699</v>
      </c>
      <c r="C107">
        <f t="shared" si="2"/>
        <v>0.90321805827029089</v>
      </c>
      <c r="D107">
        <v>0</v>
      </c>
      <c r="E107">
        <f t="shared" si="3"/>
        <v>3.8593787311575464E-2</v>
      </c>
    </row>
    <row r="108" spans="1:5" x14ac:dyDescent="0.25">
      <c r="A108">
        <v>3</v>
      </c>
      <c r="B108">
        <v>-0.17066666666666699</v>
      </c>
      <c r="C108">
        <f t="shared" si="2"/>
        <v>0.90321805827029089</v>
      </c>
      <c r="D108">
        <v>0</v>
      </c>
      <c r="E108">
        <f t="shared" si="3"/>
        <v>3.8593787311575464E-2</v>
      </c>
    </row>
    <row r="109" spans="1:5" x14ac:dyDescent="0.25">
      <c r="A109">
        <v>3</v>
      </c>
      <c r="B109">
        <v>-0.17016317016317001</v>
      </c>
      <c r="C109">
        <f t="shared" si="2"/>
        <v>0.90479235453894191</v>
      </c>
      <c r="D109">
        <v>0</v>
      </c>
      <c r="E109">
        <f t="shared" si="3"/>
        <v>3.8593787311575464E-2</v>
      </c>
    </row>
    <row r="110" spans="1:5" x14ac:dyDescent="0.25">
      <c r="A110">
        <v>3</v>
      </c>
      <c r="B110">
        <v>-0.16816816816816799</v>
      </c>
      <c r="C110">
        <f t="shared" si="2"/>
        <v>0.91102782028672957</v>
      </c>
      <c r="D110">
        <v>0</v>
      </c>
      <c r="E110">
        <f t="shared" si="3"/>
        <v>3.8593787311575464E-2</v>
      </c>
    </row>
    <row r="111" spans="1:5" x14ac:dyDescent="0.25">
      <c r="A111">
        <v>3</v>
      </c>
      <c r="B111">
        <v>-0.16800000000000001</v>
      </c>
      <c r="C111">
        <f t="shared" si="2"/>
        <v>0.91155325126043174</v>
      </c>
      <c r="D111">
        <v>0</v>
      </c>
      <c r="E111">
        <f t="shared" si="3"/>
        <v>3.8593787311575464E-2</v>
      </c>
    </row>
    <row r="112" spans="1:5" x14ac:dyDescent="0.25">
      <c r="A112">
        <v>3</v>
      </c>
      <c r="B112">
        <v>-0.16800000000000001</v>
      </c>
      <c r="C112">
        <f t="shared" si="2"/>
        <v>0.91155325126043174</v>
      </c>
      <c r="D112">
        <v>0</v>
      </c>
      <c r="E112">
        <f t="shared" si="3"/>
        <v>3.8593787311575464E-2</v>
      </c>
    </row>
    <row r="113" spans="1:5" x14ac:dyDescent="0.25">
      <c r="A113">
        <v>3</v>
      </c>
      <c r="B113">
        <v>-0.165501165501166</v>
      </c>
      <c r="C113">
        <f t="shared" si="2"/>
        <v>0.91935685901296937</v>
      </c>
      <c r="D113">
        <v>0</v>
      </c>
      <c r="E113">
        <f t="shared" si="3"/>
        <v>3.8593787311575464E-2</v>
      </c>
    </row>
    <row r="114" spans="1:5" x14ac:dyDescent="0.25">
      <c r="A114">
        <v>3</v>
      </c>
      <c r="B114">
        <v>-0.165333333333333</v>
      </c>
      <c r="C114">
        <f t="shared" si="2"/>
        <v>0.91988070574833203</v>
      </c>
      <c r="D114">
        <v>0</v>
      </c>
      <c r="E114">
        <f t="shared" si="3"/>
        <v>3.8593787311575464E-2</v>
      </c>
    </row>
    <row r="115" spans="1:5" x14ac:dyDescent="0.25">
      <c r="A115">
        <v>3</v>
      </c>
      <c r="B115">
        <v>-0.16384180790960501</v>
      </c>
      <c r="C115">
        <f t="shared" si="2"/>
        <v>0.92453446132573325</v>
      </c>
      <c r="D115">
        <v>0</v>
      </c>
      <c r="E115">
        <f t="shared" si="3"/>
        <v>3.8593787311575464E-2</v>
      </c>
    </row>
    <row r="116" spans="1:5" x14ac:dyDescent="0.25">
      <c r="A116">
        <v>3</v>
      </c>
      <c r="B116">
        <v>-0.163170163170163</v>
      </c>
      <c r="C116">
        <f t="shared" si="2"/>
        <v>0.92662905076895918</v>
      </c>
      <c r="D116">
        <v>0</v>
      </c>
      <c r="E116">
        <f t="shared" si="3"/>
        <v>3.8593787311575464E-2</v>
      </c>
    </row>
    <row r="117" spans="1:5" x14ac:dyDescent="0.25">
      <c r="A117">
        <v>3</v>
      </c>
      <c r="B117">
        <v>-0.16266666666666699</v>
      </c>
      <c r="C117">
        <f t="shared" si="2"/>
        <v>0.92819881139609439</v>
      </c>
      <c r="D117">
        <v>0</v>
      </c>
      <c r="E117">
        <f t="shared" si="3"/>
        <v>3.8593787311575464E-2</v>
      </c>
    </row>
    <row r="118" spans="1:5" x14ac:dyDescent="0.25">
      <c r="A118">
        <v>3</v>
      </c>
      <c r="B118">
        <v>-0.16266666666666699</v>
      </c>
      <c r="C118">
        <f t="shared" si="2"/>
        <v>0.92819881139609439</v>
      </c>
      <c r="D118">
        <v>0</v>
      </c>
      <c r="E118">
        <f t="shared" si="3"/>
        <v>3.8593787311575464E-2</v>
      </c>
    </row>
    <row r="119" spans="1:5" x14ac:dyDescent="0.25">
      <c r="A119">
        <v>3</v>
      </c>
      <c r="B119">
        <v>-0.16266666666666699</v>
      </c>
      <c r="C119">
        <f t="shared" si="2"/>
        <v>0.92819881139609439</v>
      </c>
      <c r="D119">
        <v>0</v>
      </c>
      <c r="E119">
        <f t="shared" si="3"/>
        <v>3.8593787311575464E-2</v>
      </c>
    </row>
    <row r="120" spans="1:5" x14ac:dyDescent="0.25">
      <c r="A120">
        <v>3</v>
      </c>
      <c r="B120">
        <v>-0.162162162162162</v>
      </c>
      <c r="C120">
        <f t="shared" si="2"/>
        <v>0.92977132241732297</v>
      </c>
      <c r="D120">
        <v>0</v>
      </c>
      <c r="E120">
        <f t="shared" si="3"/>
        <v>3.8593787311575464E-2</v>
      </c>
    </row>
    <row r="121" spans="1:5" x14ac:dyDescent="0.25">
      <c r="A121">
        <v>3</v>
      </c>
      <c r="B121">
        <v>-0.162162162162162</v>
      </c>
      <c r="C121">
        <f t="shared" si="2"/>
        <v>0.92977132241732297</v>
      </c>
      <c r="D121">
        <v>0</v>
      </c>
      <c r="E121">
        <f t="shared" si="3"/>
        <v>3.8593787311575464E-2</v>
      </c>
    </row>
    <row r="122" spans="1:5" x14ac:dyDescent="0.25">
      <c r="A122">
        <v>3</v>
      </c>
      <c r="B122">
        <v>-0.16200000000000001</v>
      </c>
      <c r="C122">
        <f t="shared" si="2"/>
        <v>0.93027668718660916</v>
      </c>
      <c r="D122">
        <v>0</v>
      </c>
      <c r="E122">
        <f t="shared" si="3"/>
        <v>3.8593787311575464E-2</v>
      </c>
    </row>
    <row r="123" spans="1:5" x14ac:dyDescent="0.25">
      <c r="A123">
        <v>3</v>
      </c>
      <c r="B123">
        <v>-0.161764705882353</v>
      </c>
      <c r="C123">
        <f t="shared" si="2"/>
        <v>0.93100988664492856</v>
      </c>
      <c r="D123">
        <v>0</v>
      </c>
      <c r="E123">
        <f t="shared" si="3"/>
        <v>3.8593787311575464E-2</v>
      </c>
    </row>
    <row r="124" spans="1:5" x14ac:dyDescent="0.25">
      <c r="A124">
        <v>3</v>
      </c>
      <c r="B124">
        <v>-0.160839160839161</v>
      </c>
      <c r="C124">
        <f t="shared" si="2"/>
        <v>0.93389309438122803</v>
      </c>
      <c r="D124">
        <v>0</v>
      </c>
      <c r="E124">
        <f t="shared" si="3"/>
        <v>3.8593787311575464E-2</v>
      </c>
    </row>
    <row r="125" spans="1:5" x14ac:dyDescent="0.25">
      <c r="A125">
        <v>3</v>
      </c>
      <c r="B125">
        <v>-0.158227848101266</v>
      </c>
      <c r="C125">
        <f t="shared" si="2"/>
        <v>0.94201963948322098</v>
      </c>
      <c r="D125">
        <v>0</v>
      </c>
      <c r="E125">
        <f t="shared" si="3"/>
        <v>3.8593787311575464E-2</v>
      </c>
    </row>
    <row r="126" spans="1:5" x14ac:dyDescent="0.25">
      <c r="A126">
        <v>3</v>
      </c>
      <c r="B126">
        <v>-0.15733333333333299</v>
      </c>
      <c r="C126">
        <f t="shared" si="2"/>
        <v>0.94480047509346798</v>
      </c>
      <c r="D126">
        <v>0</v>
      </c>
      <c r="E126">
        <f t="shared" si="3"/>
        <v>3.8593787311575464E-2</v>
      </c>
    </row>
    <row r="127" spans="1:5" x14ac:dyDescent="0.25">
      <c r="A127">
        <v>3</v>
      </c>
      <c r="B127">
        <v>-0.156177156177156</v>
      </c>
      <c r="C127">
        <f t="shared" si="2"/>
        <v>0.9483923729122391</v>
      </c>
      <c r="D127">
        <v>0</v>
      </c>
      <c r="E127">
        <f t="shared" si="3"/>
        <v>3.8593787311575464E-2</v>
      </c>
    </row>
    <row r="128" spans="1:5" x14ac:dyDescent="0.25">
      <c r="A128">
        <v>3</v>
      </c>
      <c r="B128">
        <v>-0.15533980582524301</v>
      </c>
      <c r="C128">
        <f t="shared" si="2"/>
        <v>0.95099202204883992</v>
      </c>
      <c r="D128">
        <v>0</v>
      </c>
      <c r="E128">
        <f t="shared" si="3"/>
        <v>3.8593787311575464E-2</v>
      </c>
    </row>
    <row r="129" spans="1:5" x14ac:dyDescent="0.25">
      <c r="A129">
        <v>3</v>
      </c>
      <c r="B129">
        <v>-0.15466666666666701</v>
      </c>
      <c r="C129">
        <f t="shared" si="2"/>
        <v>0.95308075422377159</v>
      </c>
      <c r="D129">
        <v>0</v>
      </c>
      <c r="E129">
        <f t="shared" si="3"/>
        <v>3.8593787311575464E-2</v>
      </c>
    </row>
    <row r="130" spans="1:5" x14ac:dyDescent="0.25">
      <c r="A130">
        <v>3</v>
      </c>
      <c r="B130">
        <v>-0.154205607476636</v>
      </c>
      <c r="C130">
        <f t="shared" ref="C130:C193" si="4">_xlfn.NORM.DIST(B130, I$10,I$13,FALSE)</f>
        <v>0.9545108249444203</v>
      </c>
      <c r="D130">
        <v>0</v>
      </c>
      <c r="E130">
        <f t="shared" si="3"/>
        <v>3.8593787311575464E-2</v>
      </c>
    </row>
    <row r="131" spans="1:5" x14ac:dyDescent="0.25">
      <c r="A131">
        <v>3</v>
      </c>
      <c r="B131">
        <v>-0.154205607476636</v>
      </c>
      <c r="C131">
        <f t="shared" si="4"/>
        <v>0.9545108249444203</v>
      </c>
      <c r="D131">
        <v>0</v>
      </c>
      <c r="E131">
        <f t="shared" ref="E131:E194" si="5">_xlfn.NORM.DIST(D131, I$4,I$7,FALSE)</f>
        <v>3.8593787311575464E-2</v>
      </c>
    </row>
    <row r="132" spans="1:5" x14ac:dyDescent="0.25">
      <c r="A132">
        <v>3</v>
      </c>
      <c r="B132">
        <v>-0.154</v>
      </c>
      <c r="C132">
        <f t="shared" si="4"/>
        <v>0.95514840363903009</v>
      </c>
      <c r="D132">
        <v>0</v>
      </c>
      <c r="E132">
        <f t="shared" si="5"/>
        <v>3.8593787311575464E-2</v>
      </c>
    </row>
    <row r="133" spans="1:5" x14ac:dyDescent="0.25">
      <c r="A133">
        <v>3</v>
      </c>
      <c r="B133">
        <v>-0.15384615384615399</v>
      </c>
      <c r="C133">
        <f t="shared" si="4"/>
        <v>0.95562540959514208</v>
      </c>
      <c r="D133">
        <v>0</v>
      </c>
      <c r="E133">
        <f t="shared" si="5"/>
        <v>3.8593787311575464E-2</v>
      </c>
    </row>
    <row r="134" spans="1:5" x14ac:dyDescent="0.25">
      <c r="A134">
        <v>3</v>
      </c>
      <c r="B134">
        <v>-0.15384615384615399</v>
      </c>
      <c r="C134">
        <f t="shared" si="4"/>
        <v>0.95562540959514208</v>
      </c>
      <c r="D134">
        <v>0</v>
      </c>
      <c r="E134">
        <f t="shared" si="5"/>
        <v>3.8593787311575464E-2</v>
      </c>
    </row>
    <row r="135" spans="1:5" x14ac:dyDescent="0.25">
      <c r="A135">
        <v>3</v>
      </c>
      <c r="B135">
        <v>-0.15384615384615399</v>
      </c>
      <c r="C135">
        <f t="shared" si="4"/>
        <v>0.95562540959514208</v>
      </c>
      <c r="D135">
        <v>0</v>
      </c>
      <c r="E135">
        <f t="shared" si="5"/>
        <v>3.8593787311575464E-2</v>
      </c>
    </row>
    <row r="136" spans="1:5" x14ac:dyDescent="0.25">
      <c r="A136">
        <v>3</v>
      </c>
      <c r="B136">
        <v>-0.15384615384615399</v>
      </c>
      <c r="C136">
        <f t="shared" si="4"/>
        <v>0.95562540959514208</v>
      </c>
      <c r="D136">
        <v>0</v>
      </c>
      <c r="E136">
        <f t="shared" si="5"/>
        <v>3.8593787311575464E-2</v>
      </c>
    </row>
    <row r="137" spans="1:5" x14ac:dyDescent="0.25">
      <c r="A137">
        <v>3</v>
      </c>
      <c r="B137">
        <v>-0.15384615384615399</v>
      </c>
      <c r="C137">
        <f t="shared" si="4"/>
        <v>0.95562540959514208</v>
      </c>
      <c r="D137">
        <v>0</v>
      </c>
      <c r="E137">
        <f t="shared" si="5"/>
        <v>3.8593787311575464E-2</v>
      </c>
    </row>
    <row r="138" spans="1:5" x14ac:dyDescent="0.25">
      <c r="A138">
        <v>3</v>
      </c>
      <c r="B138">
        <v>-0.15269461077844301</v>
      </c>
      <c r="C138">
        <f t="shared" si="4"/>
        <v>0.95919405640186473</v>
      </c>
      <c r="D138">
        <v>0</v>
      </c>
      <c r="E138">
        <f t="shared" si="5"/>
        <v>3.8593787311575464E-2</v>
      </c>
    </row>
    <row r="139" spans="1:5" x14ac:dyDescent="0.25">
      <c r="A139">
        <v>3</v>
      </c>
      <c r="B139">
        <v>-0.152</v>
      </c>
      <c r="C139">
        <f t="shared" si="4"/>
        <v>0.96134512768635993</v>
      </c>
      <c r="D139">
        <v>0</v>
      </c>
      <c r="E139">
        <f t="shared" si="5"/>
        <v>3.8593787311575464E-2</v>
      </c>
    </row>
    <row r="140" spans="1:5" x14ac:dyDescent="0.25">
      <c r="A140">
        <v>3</v>
      </c>
      <c r="B140">
        <v>-0.152</v>
      </c>
      <c r="C140">
        <f t="shared" si="4"/>
        <v>0.96134512768635993</v>
      </c>
      <c r="D140">
        <v>0</v>
      </c>
      <c r="E140">
        <f t="shared" si="5"/>
        <v>3.8593787311575464E-2</v>
      </c>
    </row>
    <row r="141" spans="1:5" x14ac:dyDescent="0.25">
      <c r="A141">
        <v>3</v>
      </c>
      <c r="B141">
        <v>-0.152</v>
      </c>
      <c r="C141">
        <f t="shared" si="4"/>
        <v>0.96134512768635993</v>
      </c>
      <c r="D141">
        <v>0</v>
      </c>
      <c r="E141">
        <f t="shared" si="5"/>
        <v>3.8593787311575464E-2</v>
      </c>
    </row>
    <row r="142" spans="1:5" x14ac:dyDescent="0.25">
      <c r="A142">
        <v>3</v>
      </c>
      <c r="B142">
        <v>-0.151898734177215</v>
      </c>
      <c r="C142">
        <f t="shared" si="4"/>
        <v>0.96165862891056952</v>
      </c>
      <c r="D142">
        <v>0</v>
      </c>
      <c r="E142">
        <f t="shared" si="5"/>
        <v>3.8593787311575464E-2</v>
      </c>
    </row>
    <row r="143" spans="1:5" x14ac:dyDescent="0.25">
      <c r="A143">
        <v>3</v>
      </c>
      <c r="B143">
        <v>-0.15015015015015001</v>
      </c>
      <c r="C143">
        <f t="shared" si="4"/>
        <v>0.96706784947674751</v>
      </c>
      <c r="D143">
        <v>0</v>
      </c>
      <c r="E143">
        <f t="shared" si="5"/>
        <v>3.8593787311575464E-2</v>
      </c>
    </row>
    <row r="144" spans="1:5" x14ac:dyDescent="0.25">
      <c r="A144">
        <v>3</v>
      </c>
      <c r="B144">
        <v>-0.15015015015015001</v>
      </c>
      <c r="C144">
        <f t="shared" si="4"/>
        <v>0.96706784947674751</v>
      </c>
      <c r="D144">
        <v>0</v>
      </c>
      <c r="E144">
        <f t="shared" si="5"/>
        <v>3.8593787311575464E-2</v>
      </c>
    </row>
    <row r="145" spans="1:5" x14ac:dyDescent="0.25">
      <c r="A145">
        <v>3</v>
      </c>
      <c r="B145">
        <v>-0.149700598802395</v>
      </c>
      <c r="C145">
        <f t="shared" si="4"/>
        <v>0.96845724778983899</v>
      </c>
      <c r="D145">
        <v>0</v>
      </c>
      <c r="E145">
        <f t="shared" si="5"/>
        <v>3.8593787311575464E-2</v>
      </c>
    </row>
    <row r="146" spans="1:5" x14ac:dyDescent="0.25">
      <c r="A146">
        <v>3</v>
      </c>
      <c r="B146">
        <v>-0.14933333333333301</v>
      </c>
      <c r="C146">
        <f t="shared" si="4"/>
        <v>0.96959192993248711</v>
      </c>
      <c r="D146">
        <v>0</v>
      </c>
      <c r="E146">
        <f t="shared" si="5"/>
        <v>3.8593787311575464E-2</v>
      </c>
    </row>
    <row r="147" spans="1:5" x14ac:dyDescent="0.25">
      <c r="A147">
        <v>3</v>
      </c>
      <c r="B147">
        <v>-0.14799999999999999</v>
      </c>
      <c r="C147">
        <f t="shared" si="4"/>
        <v>0.97370821875501734</v>
      </c>
      <c r="D147">
        <v>0</v>
      </c>
      <c r="E147">
        <f t="shared" si="5"/>
        <v>3.8593787311575464E-2</v>
      </c>
    </row>
    <row r="148" spans="1:5" x14ac:dyDescent="0.25">
      <c r="A148">
        <v>3</v>
      </c>
      <c r="B148">
        <v>-0.14685314685314699</v>
      </c>
      <c r="C148">
        <f t="shared" si="4"/>
        <v>0.97724479342587611</v>
      </c>
      <c r="D148">
        <v>0</v>
      </c>
      <c r="E148">
        <f t="shared" si="5"/>
        <v>3.8593787311575464E-2</v>
      </c>
    </row>
    <row r="149" spans="1:5" x14ac:dyDescent="0.25">
      <c r="A149">
        <v>3</v>
      </c>
      <c r="B149">
        <v>-0.146666666666667</v>
      </c>
      <c r="C149">
        <f t="shared" si="4"/>
        <v>0.9778194859204431</v>
      </c>
      <c r="D149">
        <v>0</v>
      </c>
      <c r="E149">
        <f t="shared" si="5"/>
        <v>3.8593787311575464E-2</v>
      </c>
    </row>
    <row r="150" spans="1:5" x14ac:dyDescent="0.25">
      <c r="A150">
        <v>3</v>
      </c>
      <c r="B150">
        <v>-0.14599999999999999</v>
      </c>
      <c r="C150">
        <f t="shared" si="4"/>
        <v>0.97987317053520784</v>
      </c>
      <c r="D150">
        <v>0</v>
      </c>
      <c r="E150">
        <f t="shared" si="5"/>
        <v>3.8593787311575464E-2</v>
      </c>
    </row>
    <row r="151" spans="1:5" x14ac:dyDescent="0.25">
      <c r="A151">
        <v>3</v>
      </c>
      <c r="B151">
        <v>-0.144859813084112</v>
      </c>
      <c r="C151">
        <f t="shared" si="4"/>
        <v>0.98338243960279292</v>
      </c>
      <c r="D151">
        <v>0</v>
      </c>
      <c r="E151">
        <f t="shared" si="5"/>
        <v>3.8593787311575464E-2</v>
      </c>
    </row>
    <row r="152" spans="1:5" x14ac:dyDescent="0.25">
      <c r="A152">
        <v>3</v>
      </c>
      <c r="B152">
        <v>-0.14399999999999999</v>
      </c>
      <c r="C152">
        <f t="shared" si="4"/>
        <v>0.98602611165333132</v>
      </c>
      <c r="D152">
        <v>0</v>
      </c>
      <c r="E152">
        <f t="shared" si="5"/>
        <v>3.8593787311575464E-2</v>
      </c>
    </row>
    <row r="153" spans="1:5" x14ac:dyDescent="0.25">
      <c r="A153">
        <v>3</v>
      </c>
      <c r="B153">
        <v>-0.14399999999999999</v>
      </c>
      <c r="C153">
        <f t="shared" si="4"/>
        <v>0.98602611165333132</v>
      </c>
      <c r="D153">
        <v>0</v>
      </c>
      <c r="E153">
        <f t="shared" si="5"/>
        <v>3.8593787311575464E-2</v>
      </c>
    </row>
    <row r="154" spans="1:5" x14ac:dyDescent="0.25">
      <c r="A154">
        <v>3</v>
      </c>
      <c r="B154">
        <v>-0.14285714285714299</v>
      </c>
      <c r="C154">
        <f t="shared" si="4"/>
        <v>0.98953641062994357</v>
      </c>
      <c r="D154">
        <v>0</v>
      </c>
      <c r="E154">
        <f t="shared" si="5"/>
        <v>3.8593787311575464E-2</v>
      </c>
    </row>
    <row r="155" spans="1:5" x14ac:dyDescent="0.25">
      <c r="A155">
        <v>3</v>
      </c>
      <c r="B155">
        <v>-0.14252336448598099</v>
      </c>
      <c r="C155">
        <f t="shared" si="4"/>
        <v>0.99056081154138031</v>
      </c>
      <c r="D155">
        <v>0</v>
      </c>
      <c r="E155">
        <f t="shared" si="5"/>
        <v>3.8593787311575464E-2</v>
      </c>
    </row>
    <row r="156" spans="1:5" x14ac:dyDescent="0.25">
      <c r="A156">
        <v>3</v>
      </c>
      <c r="B156">
        <v>-0.14252336448598099</v>
      </c>
      <c r="C156">
        <f t="shared" si="4"/>
        <v>0.99056081154138031</v>
      </c>
      <c r="D156">
        <v>0</v>
      </c>
      <c r="E156">
        <f t="shared" si="5"/>
        <v>3.8593787311575464E-2</v>
      </c>
    </row>
    <row r="157" spans="1:5" x14ac:dyDescent="0.25">
      <c r="A157">
        <v>3</v>
      </c>
      <c r="B157">
        <v>-0.141666666666667</v>
      </c>
      <c r="C157">
        <f t="shared" si="4"/>
        <v>0.99318840956020149</v>
      </c>
      <c r="D157">
        <v>0</v>
      </c>
      <c r="E157">
        <f t="shared" si="5"/>
        <v>3.8593787311575464E-2</v>
      </c>
    </row>
    <row r="158" spans="1:5" x14ac:dyDescent="0.25">
      <c r="A158">
        <v>3</v>
      </c>
      <c r="B158">
        <v>-0.141666666666667</v>
      </c>
      <c r="C158">
        <f t="shared" si="4"/>
        <v>0.99318840956020149</v>
      </c>
      <c r="D158">
        <v>0</v>
      </c>
      <c r="E158">
        <f t="shared" si="5"/>
        <v>3.8593787311575464E-2</v>
      </c>
    </row>
    <row r="159" spans="1:5" x14ac:dyDescent="0.25">
      <c r="A159">
        <v>3</v>
      </c>
      <c r="B159">
        <v>-0.14133333333333301</v>
      </c>
      <c r="C159">
        <f t="shared" si="4"/>
        <v>0.99421011472554199</v>
      </c>
      <c r="D159">
        <v>0</v>
      </c>
      <c r="E159">
        <f t="shared" si="5"/>
        <v>3.8593787311575464E-2</v>
      </c>
    </row>
    <row r="160" spans="1:5" x14ac:dyDescent="0.25">
      <c r="A160">
        <v>3</v>
      </c>
      <c r="B160">
        <v>-0.14117647058823499</v>
      </c>
      <c r="C160">
        <f t="shared" si="4"/>
        <v>0.99469078585908877</v>
      </c>
      <c r="D160">
        <v>0</v>
      </c>
      <c r="E160">
        <f t="shared" si="5"/>
        <v>3.8593787311575464E-2</v>
      </c>
    </row>
    <row r="161" spans="1:5" x14ac:dyDescent="0.25">
      <c r="A161">
        <v>3</v>
      </c>
      <c r="B161">
        <v>-0.14000000000000001</v>
      </c>
      <c r="C161">
        <f t="shared" si="4"/>
        <v>0.99829310172429431</v>
      </c>
      <c r="D161">
        <v>0</v>
      </c>
      <c r="E161">
        <f t="shared" si="5"/>
        <v>3.8593787311575464E-2</v>
      </c>
    </row>
    <row r="162" spans="1:5" x14ac:dyDescent="0.25">
      <c r="A162">
        <v>3</v>
      </c>
      <c r="B162">
        <v>-0.13986013986014001</v>
      </c>
      <c r="C162">
        <f t="shared" si="4"/>
        <v>0.99872102604230883</v>
      </c>
      <c r="D162">
        <v>0</v>
      </c>
      <c r="E162">
        <f t="shared" si="5"/>
        <v>3.8593787311575464E-2</v>
      </c>
    </row>
    <row r="163" spans="1:5" x14ac:dyDescent="0.25">
      <c r="A163">
        <v>3</v>
      </c>
      <c r="B163">
        <v>-0.13986013986014001</v>
      </c>
      <c r="C163">
        <f t="shared" si="4"/>
        <v>0.99872102604230883</v>
      </c>
      <c r="D163">
        <v>0</v>
      </c>
      <c r="E163">
        <f t="shared" si="5"/>
        <v>3.8593787311575464E-2</v>
      </c>
    </row>
    <row r="164" spans="1:5" x14ac:dyDescent="0.25">
      <c r="A164">
        <v>3</v>
      </c>
      <c r="B164">
        <v>-0.13986013986014001</v>
      </c>
      <c r="C164">
        <f t="shared" si="4"/>
        <v>0.99872102604230883</v>
      </c>
      <c r="D164">
        <v>0</v>
      </c>
      <c r="E164">
        <f t="shared" si="5"/>
        <v>3.8593787311575464E-2</v>
      </c>
    </row>
    <row r="165" spans="1:5" x14ac:dyDescent="0.25">
      <c r="A165">
        <v>3</v>
      </c>
      <c r="B165">
        <v>-0.13866666666666699</v>
      </c>
      <c r="C165">
        <f t="shared" si="4"/>
        <v>1.002369794877753</v>
      </c>
      <c r="D165">
        <v>0</v>
      </c>
      <c r="E165">
        <f t="shared" si="5"/>
        <v>3.8593787311575464E-2</v>
      </c>
    </row>
    <row r="166" spans="1:5" x14ac:dyDescent="0.25">
      <c r="A166">
        <v>3</v>
      </c>
      <c r="B166">
        <v>-0.13866666666666699</v>
      </c>
      <c r="C166">
        <f t="shared" si="4"/>
        <v>1.002369794877753</v>
      </c>
      <c r="D166">
        <v>0</v>
      </c>
      <c r="E166">
        <f t="shared" si="5"/>
        <v>3.8593787311575464E-2</v>
      </c>
    </row>
    <row r="167" spans="1:5" x14ac:dyDescent="0.25">
      <c r="A167">
        <v>3</v>
      </c>
      <c r="B167">
        <v>-0.138333333333333</v>
      </c>
      <c r="C167">
        <f t="shared" si="4"/>
        <v>1.0033879597230408</v>
      </c>
      <c r="D167">
        <v>0</v>
      </c>
      <c r="E167">
        <f t="shared" si="5"/>
        <v>3.8593787311575464E-2</v>
      </c>
    </row>
    <row r="168" spans="1:5" x14ac:dyDescent="0.25">
      <c r="A168">
        <v>3</v>
      </c>
      <c r="B168">
        <v>-0.13813813813813799</v>
      </c>
      <c r="C168">
        <f t="shared" si="4"/>
        <v>1.0039839922249889</v>
      </c>
      <c r="D168">
        <v>0</v>
      </c>
      <c r="E168">
        <f t="shared" si="5"/>
        <v>3.8593787311575464E-2</v>
      </c>
    </row>
    <row r="169" spans="1:5" x14ac:dyDescent="0.25">
      <c r="A169">
        <v>3</v>
      </c>
      <c r="B169">
        <v>-0.13800000000000001</v>
      </c>
      <c r="C169">
        <f t="shared" si="4"/>
        <v>1.004405714508132</v>
      </c>
      <c r="D169">
        <v>0</v>
      </c>
      <c r="E169">
        <f t="shared" si="5"/>
        <v>3.8593787311575464E-2</v>
      </c>
    </row>
    <row r="170" spans="1:5" x14ac:dyDescent="0.25">
      <c r="A170">
        <v>3</v>
      </c>
      <c r="B170">
        <v>-0.13772455089820401</v>
      </c>
      <c r="C170">
        <f t="shared" si="4"/>
        <v>1.0052464216239905</v>
      </c>
      <c r="D170">
        <v>0</v>
      </c>
      <c r="E170">
        <f t="shared" si="5"/>
        <v>3.8593787311575464E-2</v>
      </c>
    </row>
    <row r="171" spans="1:5" x14ac:dyDescent="0.25">
      <c r="A171">
        <v>3</v>
      </c>
      <c r="B171">
        <v>-0.13666666666666699</v>
      </c>
      <c r="C171">
        <f t="shared" si="4"/>
        <v>1.0084725661357901</v>
      </c>
      <c r="D171">
        <v>0</v>
      </c>
      <c r="E171">
        <f t="shared" si="5"/>
        <v>3.8593787311575464E-2</v>
      </c>
    </row>
    <row r="172" spans="1:5" x14ac:dyDescent="0.25">
      <c r="A172">
        <v>3</v>
      </c>
      <c r="B172">
        <v>-0.13580246913580199</v>
      </c>
      <c r="C172">
        <f t="shared" si="4"/>
        <v>1.0111048545172967</v>
      </c>
      <c r="D172">
        <v>0</v>
      </c>
      <c r="E172">
        <f t="shared" si="5"/>
        <v>3.8593787311575464E-2</v>
      </c>
    </row>
    <row r="173" spans="1:5" x14ac:dyDescent="0.25">
      <c r="A173">
        <v>3</v>
      </c>
      <c r="B173">
        <v>-0.13551401869158899</v>
      </c>
      <c r="C173">
        <f t="shared" si="4"/>
        <v>1.0119828067663315</v>
      </c>
      <c r="D173">
        <v>0</v>
      </c>
      <c r="E173">
        <f t="shared" si="5"/>
        <v>3.8593787311575464E-2</v>
      </c>
    </row>
    <row r="174" spans="1:5" x14ac:dyDescent="0.25">
      <c r="A174">
        <v>3</v>
      </c>
      <c r="B174">
        <v>-0.13519813519813501</v>
      </c>
      <c r="C174">
        <f t="shared" si="4"/>
        <v>1.0129438798906079</v>
      </c>
      <c r="D174">
        <v>0</v>
      </c>
      <c r="E174">
        <f t="shared" si="5"/>
        <v>3.8593787311575464E-2</v>
      </c>
    </row>
    <row r="175" spans="1:5" x14ac:dyDescent="0.25">
      <c r="A175">
        <v>3</v>
      </c>
      <c r="B175">
        <v>-0.13519813519813501</v>
      </c>
      <c r="C175">
        <f t="shared" si="4"/>
        <v>1.0129438798906079</v>
      </c>
      <c r="D175">
        <v>0</v>
      </c>
      <c r="E175">
        <f t="shared" si="5"/>
        <v>3.8593787311575464E-2</v>
      </c>
    </row>
    <row r="176" spans="1:5" x14ac:dyDescent="0.25">
      <c r="A176">
        <v>3</v>
      </c>
      <c r="B176">
        <v>-0.135135135135135</v>
      </c>
      <c r="C176">
        <f t="shared" si="4"/>
        <v>1.0131355097625152</v>
      </c>
      <c r="D176">
        <v>0</v>
      </c>
      <c r="E176">
        <f t="shared" si="5"/>
        <v>3.8593787311575464E-2</v>
      </c>
    </row>
    <row r="177" spans="1:5" x14ac:dyDescent="0.25">
      <c r="A177">
        <v>3</v>
      </c>
      <c r="B177">
        <v>-0.135135135135135</v>
      </c>
      <c r="C177">
        <f t="shared" si="4"/>
        <v>1.0131355097625152</v>
      </c>
      <c r="D177">
        <v>0</v>
      </c>
      <c r="E177">
        <f t="shared" si="5"/>
        <v>3.8593787311575464E-2</v>
      </c>
    </row>
    <row r="178" spans="1:5" x14ac:dyDescent="0.25">
      <c r="A178">
        <v>3</v>
      </c>
      <c r="B178">
        <v>-0.135135135135135</v>
      </c>
      <c r="C178">
        <f t="shared" si="4"/>
        <v>1.0131355097625152</v>
      </c>
      <c r="D178">
        <v>0</v>
      </c>
      <c r="E178">
        <f t="shared" si="5"/>
        <v>3.8593787311575464E-2</v>
      </c>
    </row>
    <row r="179" spans="1:5" x14ac:dyDescent="0.25">
      <c r="A179">
        <v>3</v>
      </c>
      <c r="B179">
        <v>-0.135135135135135</v>
      </c>
      <c r="C179">
        <f t="shared" si="4"/>
        <v>1.0131355097625152</v>
      </c>
      <c r="D179">
        <v>0</v>
      </c>
      <c r="E179">
        <f t="shared" si="5"/>
        <v>3.8593787311575464E-2</v>
      </c>
    </row>
    <row r="180" spans="1:5" x14ac:dyDescent="0.25">
      <c r="A180">
        <v>3</v>
      </c>
      <c r="B180">
        <v>-0.13400000000000001</v>
      </c>
      <c r="C180">
        <f t="shared" si="4"/>
        <v>1.0165855683226295</v>
      </c>
      <c r="D180">
        <v>0</v>
      </c>
      <c r="E180">
        <f t="shared" si="5"/>
        <v>3.8593787311575464E-2</v>
      </c>
    </row>
    <row r="181" spans="1:5" x14ac:dyDescent="0.25">
      <c r="A181">
        <v>3</v>
      </c>
      <c r="B181">
        <v>-0.133333333333333</v>
      </c>
      <c r="C181">
        <f t="shared" si="4"/>
        <v>1.0186093495038628</v>
      </c>
      <c r="D181">
        <v>0</v>
      </c>
      <c r="E181">
        <f t="shared" si="5"/>
        <v>3.8593787311575464E-2</v>
      </c>
    </row>
    <row r="182" spans="1:5" x14ac:dyDescent="0.25">
      <c r="A182">
        <v>3</v>
      </c>
      <c r="B182">
        <v>-0.133333333333333</v>
      </c>
      <c r="C182">
        <f t="shared" si="4"/>
        <v>1.0186093495038628</v>
      </c>
      <c r="D182">
        <v>0</v>
      </c>
      <c r="E182">
        <f t="shared" si="5"/>
        <v>3.8593787311575464E-2</v>
      </c>
    </row>
    <row r="183" spans="1:5" x14ac:dyDescent="0.25">
      <c r="A183">
        <v>3</v>
      </c>
      <c r="B183">
        <v>-0.133333333333333</v>
      </c>
      <c r="C183">
        <f t="shared" si="4"/>
        <v>1.0186093495038628</v>
      </c>
      <c r="D183">
        <v>0</v>
      </c>
      <c r="E183">
        <f t="shared" si="5"/>
        <v>3.8593787311575464E-2</v>
      </c>
    </row>
    <row r="184" spans="1:5" x14ac:dyDescent="0.25">
      <c r="A184">
        <v>3</v>
      </c>
      <c r="B184">
        <v>-0.13317757009345799</v>
      </c>
      <c r="C184">
        <f t="shared" si="4"/>
        <v>1.0190819311670056</v>
      </c>
      <c r="D184">
        <v>0</v>
      </c>
      <c r="E184">
        <f t="shared" si="5"/>
        <v>3.8593787311575464E-2</v>
      </c>
    </row>
    <row r="185" spans="1:5" x14ac:dyDescent="0.25">
      <c r="A185">
        <v>3</v>
      </c>
      <c r="B185">
        <v>-0.132867132867133</v>
      </c>
      <c r="C185">
        <f t="shared" si="4"/>
        <v>1.0200234885288362</v>
      </c>
      <c r="D185">
        <v>0</v>
      </c>
      <c r="E185">
        <f t="shared" si="5"/>
        <v>3.8593787311575464E-2</v>
      </c>
    </row>
    <row r="186" spans="1:5" x14ac:dyDescent="0.25">
      <c r="A186">
        <v>3</v>
      </c>
      <c r="B186">
        <v>-0.13207547169811301</v>
      </c>
      <c r="C186">
        <f t="shared" si="4"/>
        <v>1.0224227676350657</v>
      </c>
      <c r="D186">
        <v>0</v>
      </c>
      <c r="E186">
        <f t="shared" si="5"/>
        <v>3.8593787311575464E-2</v>
      </c>
    </row>
    <row r="187" spans="1:5" x14ac:dyDescent="0.25">
      <c r="A187">
        <v>3</v>
      </c>
      <c r="B187">
        <v>-0.13173652694610799</v>
      </c>
      <c r="C187">
        <f t="shared" si="4"/>
        <v>1.0234491906945007</v>
      </c>
      <c r="D187">
        <v>0</v>
      </c>
      <c r="E187">
        <f t="shared" si="5"/>
        <v>3.8593787311575464E-2</v>
      </c>
    </row>
    <row r="188" spans="1:5" x14ac:dyDescent="0.25">
      <c r="A188">
        <v>3</v>
      </c>
      <c r="B188">
        <v>-0.13166666666666699</v>
      </c>
      <c r="C188">
        <f t="shared" si="4"/>
        <v>1.0236606867670131</v>
      </c>
      <c r="D188">
        <v>0</v>
      </c>
      <c r="E188">
        <f t="shared" si="5"/>
        <v>3.8593787311575464E-2</v>
      </c>
    </row>
    <row r="189" spans="1:5" x14ac:dyDescent="0.25">
      <c r="A189">
        <v>3</v>
      </c>
      <c r="B189">
        <v>-0.13066666666666699</v>
      </c>
      <c r="C189">
        <f t="shared" si="4"/>
        <v>1.0266857892996373</v>
      </c>
      <c r="D189">
        <v>0</v>
      </c>
      <c r="E189">
        <f t="shared" si="5"/>
        <v>3.8593787311575464E-2</v>
      </c>
    </row>
    <row r="190" spans="1:5" x14ac:dyDescent="0.25">
      <c r="A190">
        <v>3</v>
      </c>
      <c r="B190">
        <v>-0.13066666666666699</v>
      </c>
      <c r="C190">
        <f t="shared" si="4"/>
        <v>1.0266857892996373</v>
      </c>
      <c r="D190">
        <v>0</v>
      </c>
      <c r="E190">
        <f t="shared" si="5"/>
        <v>3.8593787311575464E-2</v>
      </c>
    </row>
    <row r="191" spans="1:5" x14ac:dyDescent="0.25">
      <c r="A191">
        <v>3</v>
      </c>
      <c r="B191">
        <v>-0.130536130536131</v>
      </c>
      <c r="C191">
        <f t="shared" si="4"/>
        <v>1.0270803527796761</v>
      </c>
      <c r="D191">
        <v>0</v>
      </c>
      <c r="E191">
        <f t="shared" si="5"/>
        <v>3.8593787311575464E-2</v>
      </c>
    </row>
    <row r="192" spans="1:5" x14ac:dyDescent="0.25">
      <c r="A192">
        <v>3</v>
      </c>
      <c r="B192">
        <v>-0.13</v>
      </c>
      <c r="C192">
        <f t="shared" si="4"/>
        <v>1.0287000931715387</v>
      </c>
      <c r="D192">
        <v>0</v>
      </c>
      <c r="E192">
        <f t="shared" si="5"/>
        <v>3.8593787311575464E-2</v>
      </c>
    </row>
    <row r="193" spans="1:5" x14ac:dyDescent="0.25">
      <c r="A193">
        <v>3</v>
      </c>
      <c r="B193">
        <v>-0.13</v>
      </c>
      <c r="C193">
        <f t="shared" si="4"/>
        <v>1.0287000931715387</v>
      </c>
      <c r="D193">
        <v>0</v>
      </c>
      <c r="E193">
        <f t="shared" si="5"/>
        <v>3.8593787311575464E-2</v>
      </c>
    </row>
    <row r="194" spans="1:5" x14ac:dyDescent="0.25">
      <c r="A194">
        <v>3</v>
      </c>
      <c r="B194">
        <v>-0.128504672897196</v>
      </c>
      <c r="C194">
        <f t="shared" ref="C194:C257" si="6">_xlfn.NORM.DIST(B194, I$10,I$13,FALSE)</f>
        <v>1.0332109288794709</v>
      </c>
      <c r="D194">
        <v>0</v>
      </c>
      <c r="E194">
        <f t="shared" si="5"/>
        <v>3.8593787311575464E-2</v>
      </c>
    </row>
    <row r="195" spans="1:5" x14ac:dyDescent="0.25">
      <c r="A195">
        <v>3</v>
      </c>
      <c r="B195">
        <v>-0.128</v>
      </c>
      <c r="C195">
        <f t="shared" si="6"/>
        <v>1.0347310379847536</v>
      </c>
      <c r="D195">
        <v>0</v>
      </c>
      <c r="E195">
        <f t="shared" ref="E195:E258" si="7">_xlfn.NORM.DIST(D195, I$4,I$7,FALSE)</f>
        <v>3.8593787311575464E-2</v>
      </c>
    </row>
    <row r="196" spans="1:5" x14ac:dyDescent="0.25">
      <c r="A196">
        <v>3</v>
      </c>
      <c r="B196">
        <v>-0.12616822429906499</v>
      </c>
      <c r="C196">
        <f t="shared" si="6"/>
        <v>1.0402384774515339</v>
      </c>
      <c r="D196">
        <v>0</v>
      </c>
      <c r="E196">
        <f t="shared" si="7"/>
        <v>3.8593787311575464E-2</v>
      </c>
    </row>
    <row r="197" spans="1:5" x14ac:dyDescent="0.25">
      <c r="A197">
        <v>3</v>
      </c>
      <c r="B197">
        <v>-0.126126126126126</v>
      </c>
      <c r="C197">
        <f t="shared" si="6"/>
        <v>1.0403648632754179</v>
      </c>
      <c r="D197">
        <v>0</v>
      </c>
      <c r="E197">
        <f t="shared" si="7"/>
        <v>3.8593787311575464E-2</v>
      </c>
    </row>
    <row r="198" spans="1:5" x14ac:dyDescent="0.25">
      <c r="A198">
        <v>3</v>
      </c>
      <c r="B198">
        <v>-0.126</v>
      </c>
      <c r="C198">
        <f t="shared" si="6"/>
        <v>1.0407434642436713</v>
      </c>
      <c r="D198">
        <v>0</v>
      </c>
      <c r="E198">
        <f t="shared" si="7"/>
        <v>3.8593787311575464E-2</v>
      </c>
    </row>
    <row r="199" spans="1:5" x14ac:dyDescent="0.25">
      <c r="A199">
        <v>3</v>
      </c>
      <c r="B199">
        <v>-0.125874125874126</v>
      </c>
      <c r="C199">
        <f t="shared" si="6"/>
        <v>1.0411212324382804</v>
      </c>
      <c r="D199">
        <v>0</v>
      </c>
      <c r="E199">
        <f t="shared" si="7"/>
        <v>3.8593787311575464E-2</v>
      </c>
    </row>
    <row r="200" spans="1:5" x14ac:dyDescent="0.25">
      <c r="A200">
        <v>3</v>
      </c>
      <c r="B200">
        <v>-0.125748502994012</v>
      </c>
      <c r="C200">
        <f t="shared" si="6"/>
        <v>1.0414981703987989</v>
      </c>
      <c r="D200">
        <v>0</v>
      </c>
      <c r="E200">
        <f t="shared" si="7"/>
        <v>3.8593787311575464E-2</v>
      </c>
    </row>
    <row r="201" spans="1:5" x14ac:dyDescent="0.25">
      <c r="A201">
        <v>3</v>
      </c>
      <c r="B201">
        <v>-0.12533333333333299</v>
      </c>
      <c r="C201">
        <f t="shared" si="6"/>
        <v>1.0427433646366107</v>
      </c>
      <c r="D201">
        <v>0</v>
      </c>
      <c r="E201">
        <f t="shared" si="7"/>
        <v>3.8593787311575464E-2</v>
      </c>
    </row>
    <row r="202" spans="1:5" x14ac:dyDescent="0.25">
      <c r="A202">
        <v>3</v>
      </c>
      <c r="B202">
        <v>-0.12533333333333299</v>
      </c>
      <c r="C202">
        <f t="shared" si="6"/>
        <v>1.0427433646366107</v>
      </c>
      <c r="D202">
        <v>0</v>
      </c>
      <c r="E202">
        <f t="shared" si="7"/>
        <v>3.8593787311575464E-2</v>
      </c>
    </row>
    <row r="203" spans="1:5" x14ac:dyDescent="0.25">
      <c r="A203">
        <v>3</v>
      </c>
      <c r="B203">
        <v>-0.12533333333333299</v>
      </c>
      <c r="C203">
        <f t="shared" si="6"/>
        <v>1.0427433646366107</v>
      </c>
      <c r="D203">
        <v>0</v>
      </c>
      <c r="E203">
        <f t="shared" si="7"/>
        <v>3.8593787311575464E-2</v>
      </c>
    </row>
    <row r="204" spans="1:5" x14ac:dyDescent="0.25">
      <c r="A204">
        <v>3</v>
      </c>
      <c r="B204">
        <v>-0.123831775700935</v>
      </c>
      <c r="C204">
        <f t="shared" si="6"/>
        <v>1.0472398380739083</v>
      </c>
      <c r="D204">
        <v>0</v>
      </c>
      <c r="E204">
        <f t="shared" si="7"/>
        <v>3.8593787311575464E-2</v>
      </c>
    </row>
    <row r="205" spans="1:5" x14ac:dyDescent="0.25">
      <c r="A205">
        <v>3</v>
      </c>
      <c r="B205">
        <v>-0.123123123123123</v>
      </c>
      <c r="C205">
        <f t="shared" si="6"/>
        <v>1.0493580205724462</v>
      </c>
      <c r="D205">
        <v>0</v>
      </c>
      <c r="E205">
        <f t="shared" si="7"/>
        <v>3.8593787311575464E-2</v>
      </c>
    </row>
    <row r="206" spans="1:5" x14ac:dyDescent="0.25">
      <c r="A206">
        <v>3</v>
      </c>
      <c r="B206">
        <v>-0.123123123123123</v>
      </c>
      <c r="C206">
        <f t="shared" si="6"/>
        <v>1.0493580205724462</v>
      </c>
      <c r="D206">
        <v>0</v>
      </c>
      <c r="E206">
        <f t="shared" si="7"/>
        <v>3.8593787311575464E-2</v>
      </c>
    </row>
    <row r="207" spans="1:5" x14ac:dyDescent="0.25">
      <c r="A207">
        <v>3</v>
      </c>
      <c r="B207">
        <v>-0.12266666666666701</v>
      </c>
      <c r="C207">
        <f t="shared" si="6"/>
        <v>1.0507210339735256</v>
      </c>
      <c r="D207">
        <v>0</v>
      </c>
      <c r="E207">
        <f t="shared" si="7"/>
        <v>3.8593787311575464E-2</v>
      </c>
    </row>
    <row r="208" spans="1:5" x14ac:dyDescent="0.25">
      <c r="A208">
        <v>3</v>
      </c>
      <c r="B208">
        <v>-0.12266666666666701</v>
      </c>
      <c r="C208">
        <f t="shared" si="6"/>
        <v>1.0507210339735256</v>
      </c>
      <c r="D208">
        <v>0</v>
      </c>
      <c r="E208">
        <f t="shared" si="7"/>
        <v>3.8593787311575464E-2</v>
      </c>
    </row>
    <row r="209" spans="1:5" x14ac:dyDescent="0.25">
      <c r="A209">
        <v>3</v>
      </c>
      <c r="B209">
        <v>-0.12266666666666701</v>
      </c>
      <c r="C209">
        <f t="shared" si="6"/>
        <v>1.0507210339735256</v>
      </c>
      <c r="D209">
        <v>0</v>
      </c>
      <c r="E209">
        <f t="shared" si="7"/>
        <v>3.8593787311575464E-2</v>
      </c>
    </row>
    <row r="210" spans="1:5" x14ac:dyDescent="0.25">
      <c r="A210">
        <v>3</v>
      </c>
      <c r="B210">
        <v>-0.122448979591837</v>
      </c>
      <c r="C210">
        <f t="shared" si="6"/>
        <v>1.051370688977258</v>
      </c>
      <c r="D210">
        <v>0</v>
      </c>
      <c r="E210">
        <f t="shared" si="7"/>
        <v>3.8593787311575464E-2</v>
      </c>
    </row>
    <row r="211" spans="1:5" x14ac:dyDescent="0.25">
      <c r="A211">
        <v>3</v>
      </c>
      <c r="B211">
        <v>-0.122</v>
      </c>
      <c r="C211">
        <f t="shared" si="6"/>
        <v>1.052709832383022</v>
      </c>
      <c r="D211">
        <v>0</v>
      </c>
      <c r="E211">
        <f t="shared" si="7"/>
        <v>3.8593787311575464E-2</v>
      </c>
    </row>
    <row r="212" spans="1:5" x14ac:dyDescent="0.25">
      <c r="A212">
        <v>3</v>
      </c>
      <c r="B212">
        <v>-0.121495327102804</v>
      </c>
      <c r="C212">
        <f t="shared" si="6"/>
        <v>1.0542138419437879</v>
      </c>
      <c r="D212">
        <v>0</v>
      </c>
      <c r="E212">
        <f t="shared" si="7"/>
        <v>3.8593787311575464E-2</v>
      </c>
    </row>
    <row r="213" spans="1:5" x14ac:dyDescent="0.25">
      <c r="A213">
        <v>3</v>
      </c>
      <c r="B213">
        <v>-0.121495327102804</v>
      </c>
      <c r="C213">
        <f t="shared" si="6"/>
        <v>1.0542138419437879</v>
      </c>
      <c r="D213">
        <v>0</v>
      </c>
      <c r="E213">
        <f t="shared" si="7"/>
        <v>3.8593787311575464E-2</v>
      </c>
    </row>
    <row r="214" spans="1:5" x14ac:dyDescent="0.25">
      <c r="A214">
        <v>3</v>
      </c>
      <c r="B214">
        <v>-0.121495327102804</v>
      </c>
      <c r="C214">
        <f t="shared" si="6"/>
        <v>1.0542138419437879</v>
      </c>
      <c r="D214">
        <v>0</v>
      </c>
      <c r="E214">
        <f t="shared" si="7"/>
        <v>3.8593787311575464E-2</v>
      </c>
    </row>
    <row r="215" spans="1:5" x14ac:dyDescent="0.25">
      <c r="A215">
        <v>3</v>
      </c>
      <c r="B215">
        <v>-0.121495327102804</v>
      </c>
      <c r="C215">
        <f t="shared" si="6"/>
        <v>1.0542138419437879</v>
      </c>
      <c r="D215">
        <v>0</v>
      </c>
      <c r="E215">
        <f t="shared" si="7"/>
        <v>3.8593787311575464E-2</v>
      </c>
    </row>
    <row r="216" spans="1:5" x14ac:dyDescent="0.25">
      <c r="A216">
        <v>3</v>
      </c>
      <c r="B216">
        <v>-0.12</v>
      </c>
      <c r="C216">
        <f t="shared" si="6"/>
        <v>1.0586623069621905</v>
      </c>
      <c r="D216">
        <v>0</v>
      </c>
      <c r="E216">
        <f t="shared" si="7"/>
        <v>3.8593787311575464E-2</v>
      </c>
    </row>
    <row r="217" spans="1:5" x14ac:dyDescent="0.25">
      <c r="A217">
        <v>3</v>
      </c>
      <c r="B217">
        <v>-0.12</v>
      </c>
      <c r="C217">
        <f t="shared" si="6"/>
        <v>1.0586623069621905</v>
      </c>
      <c r="D217">
        <v>0</v>
      </c>
      <c r="E217">
        <f t="shared" si="7"/>
        <v>3.8593787311575464E-2</v>
      </c>
    </row>
    <row r="218" spans="1:5" x14ac:dyDescent="0.25">
      <c r="A218">
        <v>3</v>
      </c>
      <c r="B218">
        <v>-0.12</v>
      </c>
      <c r="C218">
        <f t="shared" si="6"/>
        <v>1.0586623069621905</v>
      </c>
      <c r="D218">
        <v>0</v>
      </c>
      <c r="E218">
        <f t="shared" si="7"/>
        <v>3.8593787311575464E-2</v>
      </c>
    </row>
    <row r="219" spans="1:5" x14ac:dyDescent="0.25">
      <c r="A219">
        <v>3</v>
      </c>
      <c r="B219">
        <v>-0.12</v>
      </c>
      <c r="C219">
        <f t="shared" si="6"/>
        <v>1.0586623069621905</v>
      </c>
      <c r="D219">
        <v>0</v>
      </c>
      <c r="E219">
        <f t="shared" si="7"/>
        <v>3.8593787311575464E-2</v>
      </c>
    </row>
    <row r="220" spans="1:5" x14ac:dyDescent="0.25">
      <c r="A220">
        <v>3</v>
      </c>
      <c r="B220">
        <v>-0.119760479041916</v>
      </c>
      <c r="C220">
        <f t="shared" si="6"/>
        <v>1.0593737541937986</v>
      </c>
      <c r="D220">
        <v>0</v>
      </c>
      <c r="E220">
        <f t="shared" si="7"/>
        <v>3.8593787311575464E-2</v>
      </c>
    </row>
    <row r="221" spans="1:5" x14ac:dyDescent="0.25">
      <c r="A221">
        <v>3</v>
      </c>
      <c r="B221">
        <v>-0.11915887850467299</v>
      </c>
      <c r="C221">
        <f t="shared" si="6"/>
        <v>1.0611593182505537</v>
      </c>
      <c r="D221">
        <v>0</v>
      </c>
      <c r="E221">
        <f t="shared" si="7"/>
        <v>3.8593787311575464E-2</v>
      </c>
    </row>
    <row r="222" spans="1:5" x14ac:dyDescent="0.25">
      <c r="A222">
        <v>3</v>
      </c>
      <c r="B222">
        <v>-0.11915887850467299</v>
      </c>
      <c r="C222">
        <f t="shared" si="6"/>
        <v>1.0611593182505537</v>
      </c>
      <c r="D222">
        <v>0</v>
      </c>
      <c r="E222">
        <f t="shared" si="7"/>
        <v>3.8593787311575464E-2</v>
      </c>
    </row>
    <row r="223" spans="1:5" x14ac:dyDescent="0.25">
      <c r="A223">
        <v>3</v>
      </c>
      <c r="B223">
        <v>-0.11888111888111901</v>
      </c>
      <c r="C223">
        <f t="shared" si="6"/>
        <v>1.0619830519038005</v>
      </c>
      <c r="D223">
        <v>0</v>
      </c>
      <c r="E223">
        <f t="shared" si="7"/>
        <v>3.8593787311575464E-2</v>
      </c>
    </row>
    <row r="224" spans="1:5" x14ac:dyDescent="0.25">
      <c r="A224">
        <v>3</v>
      </c>
      <c r="B224">
        <v>-0.11799999999999999</v>
      </c>
      <c r="C224">
        <f t="shared" si="6"/>
        <v>1.0645933286758775</v>
      </c>
      <c r="D224">
        <v>0</v>
      </c>
      <c r="E224">
        <f t="shared" si="7"/>
        <v>3.8593787311575464E-2</v>
      </c>
    </row>
    <row r="225" spans="1:5" x14ac:dyDescent="0.25">
      <c r="A225">
        <v>3</v>
      </c>
      <c r="B225">
        <v>-0.11799999999999999</v>
      </c>
      <c r="C225">
        <f t="shared" si="6"/>
        <v>1.0645933286758775</v>
      </c>
      <c r="D225">
        <v>0</v>
      </c>
      <c r="E225">
        <f t="shared" si="7"/>
        <v>3.8593787311575464E-2</v>
      </c>
    </row>
    <row r="226" spans="1:5" x14ac:dyDescent="0.25">
      <c r="A226">
        <v>3</v>
      </c>
      <c r="B226">
        <v>-0.11799999999999999</v>
      </c>
      <c r="C226">
        <f t="shared" si="6"/>
        <v>1.0645933286758775</v>
      </c>
      <c r="D226">
        <v>0</v>
      </c>
      <c r="E226">
        <f t="shared" si="7"/>
        <v>3.8593787311575464E-2</v>
      </c>
    </row>
    <row r="227" spans="1:5" x14ac:dyDescent="0.25">
      <c r="A227">
        <v>3</v>
      </c>
      <c r="B227">
        <v>-0.117333333333333</v>
      </c>
      <c r="C227">
        <f t="shared" si="6"/>
        <v>1.0665654414315138</v>
      </c>
      <c r="D227">
        <v>0</v>
      </c>
      <c r="E227">
        <f t="shared" si="7"/>
        <v>3.8593787311575464E-2</v>
      </c>
    </row>
    <row r="228" spans="1:5" x14ac:dyDescent="0.25">
      <c r="A228">
        <v>3</v>
      </c>
      <c r="B228">
        <v>-0.117333333333333</v>
      </c>
      <c r="C228">
        <f t="shared" si="6"/>
        <v>1.0665654414315138</v>
      </c>
      <c r="D228">
        <v>0</v>
      </c>
      <c r="E228">
        <f t="shared" si="7"/>
        <v>3.8593787311575464E-2</v>
      </c>
    </row>
    <row r="229" spans="1:5" x14ac:dyDescent="0.25">
      <c r="A229">
        <v>3</v>
      </c>
      <c r="B229">
        <v>-0.117333333333333</v>
      </c>
      <c r="C229">
        <f t="shared" si="6"/>
        <v>1.0665654414315138</v>
      </c>
      <c r="D229">
        <v>0</v>
      </c>
      <c r="E229">
        <f t="shared" si="7"/>
        <v>3.8593787311575464E-2</v>
      </c>
    </row>
    <row r="230" spans="1:5" x14ac:dyDescent="0.25">
      <c r="A230">
        <v>3</v>
      </c>
      <c r="B230">
        <v>-0.117333333333333</v>
      </c>
      <c r="C230">
        <f t="shared" si="6"/>
        <v>1.0665654414315138</v>
      </c>
      <c r="D230">
        <v>0</v>
      </c>
      <c r="E230">
        <f t="shared" si="7"/>
        <v>3.8593787311575464E-2</v>
      </c>
    </row>
    <row r="231" spans="1:5" x14ac:dyDescent="0.25">
      <c r="A231">
        <v>3</v>
      </c>
      <c r="B231">
        <v>-0.117117117117117</v>
      </c>
      <c r="C231">
        <f t="shared" si="6"/>
        <v>1.0672045115692423</v>
      </c>
      <c r="D231">
        <v>0</v>
      </c>
      <c r="E231">
        <f t="shared" si="7"/>
        <v>3.8593787311575464E-2</v>
      </c>
    </row>
    <row r="232" spans="1:5" x14ac:dyDescent="0.25">
      <c r="A232">
        <v>3</v>
      </c>
      <c r="B232">
        <v>-0.117117117117117</v>
      </c>
      <c r="C232">
        <f t="shared" si="6"/>
        <v>1.0672045115692423</v>
      </c>
      <c r="D232">
        <v>0</v>
      </c>
      <c r="E232">
        <f t="shared" si="7"/>
        <v>3.8593787311575464E-2</v>
      </c>
    </row>
    <row r="233" spans="1:5" x14ac:dyDescent="0.25">
      <c r="A233">
        <v>3</v>
      </c>
      <c r="B233">
        <v>-0.117117117117117</v>
      </c>
      <c r="C233">
        <f t="shared" si="6"/>
        <v>1.0672045115692423</v>
      </c>
      <c r="D233">
        <v>0</v>
      </c>
      <c r="E233">
        <f t="shared" si="7"/>
        <v>3.8593787311575464E-2</v>
      </c>
    </row>
    <row r="234" spans="1:5" x14ac:dyDescent="0.25">
      <c r="A234">
        <v>3</v>
      </c>
      <c r="B234">
        <v>-0.116766467065868</v>
      </c>
      <c r="C234">
        <f t="shared" si="6"/>
        <v>1.0682403679114103</v>
      </c>
      <c r="D234">
        <v>0</v>
      </c>
      <c r="E234">
        <f t="shared" si="7"/>
        <v>3.8593787311575464E-2</v>
      </c>
    </row>
    <row r="235" spans="1:5" x14ac:dyDescent="0.25">
      <c r="A235">
        <v>3</v>
      </c>
      <c r="B235">
        <v>-0.116766467065868</v>
      </c>
      <c r="C235">
        <f t="shared" si="6"/>
        <v>1.0682403679114103</v>
      </c>
      <c r="D235">
        <v>0</v>
      </c>
      <c r="E235">
        <f t="shared" si="7"/>
        <v>3.8593787311575464E-2</v>
      </c>
    </row>
    <row r="236" spans="1:5" x14ac:dyDescent="0.25">
      <c r="A236">
        <v>3</v>
      </c>
      <c r="B236">
        <v>-0.116666666666667</v>
      </c>
      <c r="C236">
        <f t="shared" si="6"/>
        <v>1.0685350614958742</v>
      </c>
      <c r="D236">
        <v>0</v>
      </c>
      <c r="E236">
        <f t="shared" si="7"/>
        <v>3.8593787311575464E-2</v>
      </c>
    </row>
    <row r="237" spans="1:5" x14ac:dyDescent="0.25">
      <c r="A237">
        <v>3</v>
      </c>
      <c r="B237">
        <v>-0.116550116550117</v>
      </c>
      <c r="C237">
        <f t="shared" si="6"/>
        <v>1.0688791426513247</v>
      </c>
      <c r="D237">
        <v>0</v>
      </c>
      <c r="E237">
        <f t="shared" si="7"/>
        <v>3.8593787311575464E-2</v>
      </c>
    </row>
    <row r="238" spans="1:5" x14ac:dyDescent="0.25">
      <c r="A238">
        <v>3</v>
      </c>
      <c r="B238">
        <v>-0.116550116550117</v>
      </c>
      <c r="C238">
        <f t="shared" si="6"/>
        <v>1.0688791426513247</v>
      </c>
      <c r="D238">
        <v>0</v>
      </c>
      <c r="E238">
        <f t="shared" si="7"/>
        <v>3.8593787311575464E-2</v>
      </c>
    </row>
    <row r="239" spans="1:5" x14ac:dyDescent="0.25">
      <c r="A239">
        <v>3</v>
      </c>
      <c r="B239">
        <v>-0.116550116550117</v>
      </c>
      <c r="C239">
        <f t="shared" si="6"/>
        <v>1.0688791426513247</v>
      </c>
      <c r="D239">
        <v>0</v>
      </c>
      <c r="E239">
        <f t="shared" si="7"/>
        <v>3.8593787311575464E-2</v>
      </c>
    </row>
    <row r="240" spans="1:5" x14ac:dyDescent="0.25">
      <c r="A240">
        <v>3</v>
      </c>
      <c r="B240">
        <v>-0.116550116550117</v>
      </c>
      <c r="C240">
        <f t="shared" si="6"/>
        <v>1.0688791426513247</v>
      </c>
      <c r="D240">
        <v>0</v>
      </c>
      <c r="E240">
        <f t="shared" si="7"/>
        <v>3.8593787311575464E-2</v>
      </c>
    </row>
    <row r="241" spans="1:5" x14ac:dyDescent="0.25">
      <c r="A241">
        <v>3</v>
      </c>
      <c r="B241">
        <v>-0.11600000000000001</v>
      </c>
      <c r="C241">
        <f t="shared" si="6"/>
        <v>1.0705021615874208</v>
      </c>
      <c r="D241">
        <v>0</v>
      </c>
      <c r="E241">
        <f t="shared" si="7"/>
        <v>3.8593787311575464E-2</v>
      </c>
    </row>
    <row r="242" spans="1:5" x14ac:dyDescent="0.25">
      <c r="A242">
        <v>3</v>
      </c>
      <c r="B242">
        <v>-0.11600000000000001</v>
      </c>
      <c r="C242">
        <f t="shared" si="6"/>
        <v>1.0705021615874208</v>
      </c>
      <c r="D242">
        <v>0</v>
      </c>
      <c r="E242">
        <f t="shared" si="7"/>
        <v>3.8593787311575464E-2</v>
      </c>
    </row>
    <row r="243" spans="1:5" x14ac:dyDescent="0.25">
      <c r="A243">
        <v>3</v>
      </c>
      <c r="B243">
        <v>-0.115</v>
      </c>
      <c r="C243">
        <f t="shared" si="6"/>
        <v>1.073448027080796</v>
      </c>
      <c r="D243">
        <v>0</v>
      </c>
      <c r="E243">
        <f t="shared" si="7"/>
        <v>3.8593787311575464E-2</v>
      </c>
    </row>
    <row r="244" spans="1:5" x14ac:dyDescent="0.25">
      <c r="A244">
        <v>3</v>
      </c>
      <c r="B244">
        <v>-0.114666666666667</v>
      </c>
      <c r="C244">
        <f t="shared" si="6"/>
        <v>1.0744286926926003</v>
      </c>
      <c r="D244">
        <v>0</v>
      </c>
      <c r="E244">
        <f t="shared" si="7"/>
        <v>3.8593787311575464E-2</v>
      </c>
    </row>
    <row r="245" spans="1:5" x14ac:dyDescent="0.25">
      <c r="A245">
        <v>3</v>
      </c>
      <c r="B245">
        <v>-0.114219114219114</v>
      </c>
      <c r="C245">
        <f t="shared" si="6"/>
        <v>1.075744366983961</v>
      </c>
      <c r="D245">
        <v>0</v>
      </c>
      <c r="E245">
        <f t="shared" si="7"/>
        <v>3.8593787311575464E-2</v>
      </c>
    </row>
    <row r="246" spans="1:5" x14ac:dyDescent="0.25">
      <c r="A246">
        <v>3</v>
      </c>
      <c r="B246">
        <v>-0.114114114114114</v>
      </c>
      <c r="C246">
        <f t="shared" si="6"/>
        <v>1.0760528661007005</v>
      </c>
      <c r="D246">
        <v>0</v>
      </c>
      <c r="E246">
        <f t="shared" si="7"/>
        <v>3.8593787311575464E-2</v>
      </c>
    </row>
    <row r="247" spans="1:5" x14ac:dyDescent="0.25">
      <c r="A247">
        <v>3</v>
      </c>
      <c r="B247">
        <v>-0.114114114114114</v>
      </c>
      <c r="C247">
        <f t="shared" si="6"/>
        <v>1.0760528661007005</v>
      </c>
      <c r="D247">
        <v>0</v>
      </c>
      <c r="E247">
        <f t="shared" si="7"/>
        <v>3.8593787311575464E-2</v>
      </c>
    </row>
    <row r="248" spans="1:5" x14ac:dyDescent="0.25">
      <c r="A248">
        <v>3</v>
      </c>
      <c r="B248">
        <v>-0.114114114114114</v>
      </c>
      <c r="C248">
        <f t="shared" si="6"/>
        <v>1.0760528661007005</v>
      </c>
      <c r="D248">
        <v>0</v>
      </c>
      <c r="E248">
        <f t="shared" si="7"/>
        <v>3.8593787311575464E-2</v>
      </c>
    </row>
    <row r="249" spans="1:5" x14ac:dyDescent="0.25">
      <c r="A249">
        <v>3</v>
      </c>
      <c r="B249">
        <v>-0.114114114114114</v>
      </c>
      <c r="C249">
        <f t="shared" si="6"/>
        <v>1.0760528661007005</v>
      </c>
      <c r="D249">
        <v>0</v>
      </c>
      <c r="E249">
        <f t="shared" si="7"/>
        <v>3.8593787311575464E-2</v>
      </c>
    </row>
    <row r="250" spans="1:5" x14ac:dyDescent="0.25">
      <c r="A250">
        <v>3</v>
      </c>
      <c r="B250">
        <v>-0.114</v>
      </c>
      <c r="C250">
        <f t="shared" si="6"/>
        <v>1.076388069111716</v>
      </c>
      <c r="D250">
        <v>0</v>
      </c>
      <c r="E250">
        <f t="shared" si="7"/>
        <v>3.8593787311575464E-2</v>
      </c>
    </row>
    <row r="251" spans="1:5" x14ac:dyDescent="0.25">
      <c r="A251">
        <v>3</v>
      </c>
      <c r="B251">
        <v>-0.114</v>
      </c>
      <c r="C251">
        <f t="shared" si="6"/>
        <v>1.076388069111716</v>
      </c>
      <c r="D251">
        <v>0</v>
      </c>
      <c r="E251">
        <f t="shared" si="7"/>
        <v>3.8593787311575464E-2</v>
      </c>
    </row>
    <row r="252" spans="1:5" x14ac:dyDescent="0.25">
      <c r="A252">
        <v>3</v>
      </c>
      <c r="B252">
        <v>-0.113207547169811</v>
      </c>
      <c r="C252">
        <f t="shared" si="6"/>
        <v>1.0787137168990821</v>
      </c>
      <c r="D252">
        <v>0</v>
      </c>
      <c r="E252">
        <f t="shared" si="7"/>
        <v>3.8593787311575464E-2</v>
      </c>
    </row>
    <row r="253" spans="1:5" x14ac:dyDescent="0.25">
      <c r="A253">
        <v>3</v>
      </c>
      <c r="B253">
        <v>-0.112</v>
      </c>
      <c r="C253">
        <f t="shared" si="6"/>
        <v>1.0822503141645554</v>
      </c>
      <c r="D253">
        <v>0</v>
      </c>
      <c r="E253">
        <f t="shared" si="7"/>
        <v>3.8593787311575464E-2</v>
      </c>
    </row>
    <row r="254" spans="1:5" x14ac:dyDescent="0.25">
      <c r="A254">
        <v>3</v>
      </c>
      <c r="B254">
        <v>-0.111888111888112</v>
      </c>
      <c r="C254">
        <f t="shared" si="6"/>
        <v>1.0825775580878303</v>
      </c>
      <c r="D254">
        <v>0</v>
      </c>
      <c r="E254">
        <f t="shared" si="7"/>
        <v>3.8593787311575464E-2</v>
      </c>
    </row>
    <row r="255" spans="1:5" x14ac:dyDescent="0.25">
      <c r="A255">
        <v>3</v>
      </c>
      <c r="B255">
        <v>-0.111888111888112</v>
      </c>
      <c r="C255">
        <f t="shared" si="6"/>
        <v>1.0825775580878303</v>
      </c>
      <c r="D255">
        <v>0</v>
      </c>
      <c r="E255">
        <f t="shared" si="7"/>
        <v>3.8593787311575464E-2</v>
      </c>
    </row>
    <row r="256" spans="1:5" x14ac:dyDescent="0.25">
      <c r="A256">
        <v>3</v>
      </c>
      <c r="B256">
        <v>-0.111888111888112</v>
      </c>
      <c r="C256">
        <f t="shared" si="6"/>
        <v>1.0825775580878303</v>
      </c>
      <c r="D256">
        <v>0</v>
      </c>
      <c r="E256">
        <f t="shared" si="7"/>
        <v>3.8593787311575464E-2</v>
      </c>
    </row>
    <row r="257" spans="1:5" x14ac:dyDescent="0.25">
      <c r="A257">
        <v>3</v>
      </c>
      <c r="B257">
        <v>-0.11111111111111099</v>
      </c>
      <c r="C257">
        <f t="shared" si="6"/>
        <v>1.0848479681856618</v>
      </c>
      <c r="D257">
        <v>0</v>
      </c>
      <c r="E257">
        <f t="shared" si="7"/>
        <v>3.8593787311575464E-2</v>
      </c>
    </row>
    <row r="258" spans="1:5" x14ac:dyDescent="0.25">
      <c r="A258">
        <v>3</v>
      </c>
      <c r="B258">
        <v>-0.110778443113772</v>
      </c>
      <c r="C258">
        <f t="shared" ref="C258:C321" si="8">_xlfn.NORM.DIST(B258, I$10,I$13,FALSE)</f>
        <v>1.0858188914811919</v>
      </c>
      <c r="D258">
        <v>0</v>
      </c>
      <c r="E258">
        <f t="shared" si="7"/>
        <v>3.8593787311575464E-2</v>
      </c>
    </row>
    <row r="259" spans="1:5" x14ac:dyDescent="0.25">
      <c r="A259">
        <v>3</v>
      </c>
      <c r="B259">
        <v>-0.110778443113772</v>
      </c>
      <c r="C259">
        <f t="shared" si="8"/>
        <v>1.0858188914811919</v>
      </c>
      <c r="D259">
        <v>0</v>
      </c>
      <c r="E259">
        <f t="shared" ref="E259:E322" si="9">_xlfn.NORM.DIST(D259, I$4,I$7,FALSE)</f>
        <v>3.8593787311575464E-2</v>
      </c>
    </row>
    <row r="260" spans="1:5" x14ac:dyDescent="0.25">
      <c r="A260">
        <v>3</v>
      </c>
      <c r="B260">
        <v>-0.11</v>
      </c>
      <c r="C260">
        <f t="shared" si="8"/>
        <v>1.0880881593129179</v>
      </c>
      <c r="D260">
        <v>0</v>
      </c>
      <c r="E260">
        <f t="shared" si="9"/>
        <v>3.8593787311575464E-2</v>
      </c>
    </row>
    <row r="261" spans="1:5" x14ac:dyDescent="0.25">
      <c r="A261">
        <v>3</v>
      </c>
      <c r="B261">
        <v>-0.11</v>
      </c>
      <c r="C261">
        <f t="shared" si="8"/>
        <v>1.0880881593129179</v>
      </c>
      <c r="D261">
        <v>0</v>
      </c>
      <c r="E261">
        <f t="shared" si="9"/>
        <v>3.8593787311575464E-2</v>
      </c>
    </row>
    <row r="262" spans="1:5" x14ac:dyDescent="0.25">
      <c r="A262">
        <v>3</v>
      </c>
      <c r="B262">
        <v>-0.10981308411215</v>
      </c>
      <c r="C262">
        <f t="shared" si="8"/>
        <v>1.0886324792758371</v>
      </c>
      <c r="D262">
        <v>0</v>
      </c>
      <c r="E262">
        <f t="shared" si="9"/>
        <v>3.8593787311575464E-2</v>
      </c>
    </row>
    <row r="263" spans="1:5" x14ac:dyDescent="0.25">
      <c r="A263">
        <v>3</v>
      </c>
      <c r="B263">
        <v>-0.10955710955711</v>
      </c>
      <c r="C263">
        <f t="shared" si="8"/>
        <v>1.0893775484750543</v>
      </c>
      <c r="D263">
        <v>0</v>
      </c>
      <c r="E263">
        <f t="shared" si="9"/>
        <v>3.8593787311575464E-2</v>
      </c>
    </row>
    <row r="264" spans="1:5" x14ac:dyDescent="0.25">
      <c r="A264">
        <v>3</v>
      </c>
      <c r="B264">
        <v>-0.108108108108108</v>
      </c>
      <c r="C264">
        <f t="shared" si="8"/>
        <v>1.0935873214169387</v>
      </c>
      <c r="D264">
        <v>0</v>
      </c>
      <c r="E264">
        <f t="shared" si="9"/>
        <v>3.8593787311575464E-2</v>
      </c>
    </row>
    <row r="265" spans="1:5" x14ac:dyDescent="0.25">
      <c r="A265">
        <v>3</v>
      </c>
      <c r="B265">
        <v>-0.108108108108108</v>
      </c>
      <c r="C265">
        <f t="shared" si="8"/>
        <v>1.0935873214169387</v>
      </c>
      <c r="D265">
        <v>0</v>
      </c>
      <c r="E265">
        <f t="shared" si="9"/>
        <v>3.8593787311575464E-2</v>
      </c>
    </row>
    <row r="266" spans="1:5" x14ac:dyDescent="0.25">
      <c r="A266">
        <v>3</v>
      </c>
      <c r="B266">
        <v>-0.108108108108108</v>
      </c>
      <c r="C266">
        <f t="shared" si="8"/>
        <v>1.0935873214169387</v>
      </c>
      <c r="D266">
        <v>0</v>
      </c>
      <c r="E266">
        <f t="shared" si="9"/>
        <v>3.8593787311575464E-2</v>
      </c>
    </row>
    <row r="267" spans="1:5" x14ac:dyDescent="0.25">
      <c r="A267">
        <v>3</v>
      </c>
      <c r="B267">
        <v>-0.108108108108108</v>
      </c>
      <c r="C267">
        <f t="shared" si="8"/>
        <v>1.0935873214169387</v>
      </c>
      <c r="D267">
        <v>0</v>
      </c>
      <c r="E267">
        <f t="shared" si="9"/>
        <v>3.8593787311575464E-2</v>
      </c>
    </row>
    <row r="268" spans="1:5" x14ac:dyDescent="0.25">
      <c r="A268">
        <v>3</v>
      </c>
      <c r="B268">
        <v>-0.108</v>
      </c>
      <c r="C268">
        <f t="shared" si="8"/>
        <v>1.0939008669261743</v>
      </c>
      <c r="D268">
        <v>0</v>
      </c>
      <c r="E268">
        <f t="shared" si="9"/>
        <v>3.8593787311575464E-2</v>
      </c>
    </row>
    <row r="269" spans="1:5" x14ac:dyDescent="0.25">
      <c r="A269">
        <v>3</v>
      </c>
      <c r="B269">
        <v>-0.108</v>
      </c>
      <c r="C269">
        <f t="shared" si="8"/>
        <v>1.0939008669261743</v>
      </c>
      <c r="D269">
        <v>0</v>
      </c>
      <c r="E269">
        <f t="shared" si="9"/>
        <v>3.8593787311575464E-2</v>
      </c>
    </row>
    <row r="270" spans="1:5" x14ac:dyDescent="0.25">
      <c r="A270">
        <v>3</v>
      </c>
      <c r="B270">
        <v>-0.10747663551401899</v>
      </c>
      <c r="C270">
        <f t="shared" si="8"/>
        <v>1.0954177077828968</v>
      </c>
      <c r="D270">
        <v>0</v>
      </c>
      <c r="E270">
        <f t="shared" si="9"/>
        <v>3.8593787311575464E-2</v>
      </c>
    </row>
    <row r="271" spans="1:5" x14ac:dyDescent="0.25">
      <c r="A271">
        <v>3</v>
      </c>
      <c r="B271">
        <v>-0.106796116504854</v>
      </c>
      <c r="C271">
        <f t="shared" si="8"/>
        <v>1.0973873500760556</v>
      </c>
      <c r="D271">
        <v>0</v>
      </c>
      <c r="E271">
        <f t="shared" si="9"/>
        <v>3.8593787311575464E-2</v>
      </c>
    </row>
    <row r="272" spans="1:5" x14ac:dyDescent="0.25">
      <c r="A272">
        <v>3</v>
      </c>
      <c r="B272">
        <v>-0.10666666666666701</v>
      </c>
      <c r="C272">
        <f t="shared" si="8"/>
        <v>1.0977616757504696</v>
      </c>
      <c r="D272">
        <v>0</v>
      </c>
      <c r="E272">
        <f t="shared" si="9"/>
        <v>3.8593787311575464E-2</v>
      </c>
    </row>
    <row r="273" spans="1:5" x14ac:dyDescent="0.25">
      <c r="A273">
        <v>3</v>
      </c>
      <c r="B273">
        <v>-0.10666666666666701</v>
      </c>
      <c r="C273">
        <f t="shared" si="8"/>
        <v>1.0977616757504696</v>
      </c>
      <c r="D273">
        <v>0</v>
      </c>
      <c r="E273">
        <f t="shared" si="9"/>
        <v>3.8593787311575464E-2</v>
      </c>
    </row>
    <row r="274" spans="1:5" x14ac:dyDescent="0.25">
      <c r="A274">
        <v>3</v>
      </c>
      <c r="B274">
        <v>-0.10666666666666701</v>
      </c>
      <c r="C274">
        <f t="shared" si="8"/>
        <v>1.0977616757504696</v>
      </c>
      <c r="D274">
        <v>0</v>
      </c>
      <c r="E274">
        <f t="shared" si="9"/>
        <v>3.8593787311575464E-2</v>
      </c>
    </row>
    <row r="275" spans="1:5" x14ac:dyDescent="0.25">
      <c r="A275">
        <v>3</v>
      </c>
      <c r="B275">
        <v>-0.10666666666666701</v>
      </c>
      <c r="C275">
        <f t="shared" si="8"/>
        <v>1.0977616757504696</v>
      </c>
      <c r="D275">
        <v>0</v>
      </c>
      <c r="E275">
        <f t="shared" si="9"/>
        <v>3.8593787311575464E-2</v>
      </c>
    </row>
    <row r="276" spans="1:5" x14ac:dyDescent="0.25">
      <c r="A276">
        <v>3</v>
      </c>
      <c r="B276">
        <v>-0.10666666666666701</v>
      </c>
      <c r="C276">
        <f t="shared" si="8"/>
        <v>1.0977616757504696</v>
      </c>
      <c r="D276">
        <v>0</v>
      </c>
      <c r="E276">
        <f t="shared" si="9"/>
        <v>3.8593787311575464E-2</v>
      </c>
    </row>
    <row r="277" spans="1:5" x14ac:dyDescent="0.25">
      <c r="A277">
        <v>3</v>
      </c>
      <c r="B277">
        <v>-0.10666666666666701</v>
      </c>
      <c r="C277">
        <f t="shared" si="8"/>
        <v>1.0977616757504696</v>
      </c>
      <c r="D277">
        <v>0</v>
      </c>
      <c r="E277">
        <f t="shared" si="9"/>
        <v>3.8593787311575464E-2</v>
      </c>
    </row>
    <row r="278" spans="1:5" x14ac:dyDescent="0.25">
      <c r="A278">
        <v>3</v>
      </c>
      <c r="B278">
        <v>-0.105263157894737</v>
      </c>
      <c r="C278">
        <f t="shared" si="8"/>
        <v>1.1018130208637653</v>
      </c>
      <c r="D278">
        <v>0</v>
      </c>
      <c r="E278">
        <f t="shared" si="9"/>
        <v>3.8593787311575464E-2</v>
      </c>
    </row>
    <row r="279" spans="1:5" x14ac:dyDescent="0.25">
      <c r="A279">
        <v>3</v>
      </c>
      <c r="B279">
        <v>-0.105263157894737</v>
      </c>
      <c r="C279">
        <f t="shared" si="8"/>
        <v>1.1018130208637653</v>
      </c>
      <c r="D279">
        <v>0</v>
      </c>
      <c r="E279">
        <f t="shared" si="9"/>
        <v>3.8593787311575464E-2</v>
      </c>
    </row>
    <row r="280" spans="1:5" x14ac:dyDescent="0.25">
      <c r="A280">
        <v>3</v>
      </c>
      <c r="B280">
        <v>-0.105263157894737</v>
      </c>
      <c r="C280">
        <f t="shared" si="8"/>
        <v>1.1018130208637653</v>
      </c>
      <c r="D280">
        <v>0</v>
      </c>
      <c r="E280">
        <f t="shared" si="9"/>
        <v>3.8593787311575464E-2</v>
      </c>
    </row>
    <row r="281" spans="1:5" x14ac:dyDescent="0.25">
      <c r="A281">
        <v>3</v>
      </c>
      <c r="B281">
        <v>-0.105105105105105</v>
      </c>
      <c r="C281">
        <f t="shared" si="8"/>
        <v>1.1022684287268523</v>
      </c>
      <c r="D281">
        <v>0</v>
      </c>
      <c r="E281">
        <f t="shared" si="9"/>
        <v>3.8593787311575464E-2</v>
      </c>
    </row>
    <row r="282" spans="1:5" x14ac:dyDescent="0.25">
      <c r="A282">
        <v>3</v>
      </c>
      <c r="B282">
        <v>-0.105105105105105</v>
      </c>
      <c r="C282">
        <f t="shared" si="8"/>
        <v>1.1022684287268523</v>
      </c>
      <c r="D282">
        <v>0</v>
      </c>
      <c r="E282">
        <f t="shared" si="9"/>
        <v>3.8593787311575464E-2</v>
      </c>
    </row>
    <row r="283" spans="1:5" x14ac:dyDescent="0.25">
      <c r="A283">
        <v>3</v>
      </c>
      <c r="B283">
        <v>-0.10489510489510501</v>
      </c>
      <c r="C283">
        <f t="shared" si="8"/>
        <v>1.1028732557309495</v>
      </c>
      <c r="D283">
        <v>0</v>
      </c>
      <c r="E283">
        <f t="shared" si="9"/>
        <v>3.8593787311575464E-2</v>
      </c>
    </row>
    <row r="284" spans="1:5" x14ac:dyDescent="0.25">
      <c r="A284">
        <v>3</v>
      </c>
      <c r="B284">
        <v>-0.104790419161677</v>
      </c>
      <c r="C284">
        <f t="shared" si="8"/>
        <v>1.1031746525905057</v>
      </c>
      <c r="D284">
        <v>0</v>
      </c>
      <c r="E284">
        <f t="shared" si="9"/>
        <v>3.8593787311575464E-2</v>
      </c>
    </row>
    <row r="285" spans="1:5" x14ac:dyDescent="0.25">
      <c r="A285">
        <v>3</v>
      </c>
      <c r="B285">
        <v>-0.104790419161677</v>
      </c>
      <c r="C285">
        <f t="shared" si="8"/>
        <v>1.1031746525905057</v>
      </c>
      <c r="D285">
        <v>0</v>
      </c>
      <c r="E285">
        <f t="shared" si="9"/>
        <v>3.8593787311575464E-2</v>
      </c>
    </row>
    <row r="286" spans="1:5" x14ac:dyDescent="0.25">
      <c r="A286">
        <v>3</v>
      </c>
      <c r="B286">
        <v>-0.104</v>
      </c>
      <c r="C286">
        <f t="shared" si="8"/>
        <v>1.1054479189500872</v>
      </c>
      <c r="D286">
        <v>0</v>
      </c>
      <c r="E286">
        <f t="shared" si="9"/>
        <v>3.8593787311575464E-2</v>
      </c>
    </row>
    <row r="287" spans="1:5" x14ac:dyDescent="0.25">
      <c r="A287">
        <v>3</v>
      </c>
      <c r="B287">
        <v>-0.104</v>
      </c>
      <c r="C287">
        <f t="shared" si="8"/>
        <v>1.1054479189500872</v>
      </c>
      <c r="D287">
        <v>0</v>
      </c>
      <c r="E287">
        <f t="shared" si="9"/>
        <v>3.8593787311575464E-2</v>
      </c>
    </row>
    <row r="288" spans="1:5" x14ac:dyDescent="0.25">
      <c r="A288">
        <v>3</v>
      </c>
      <c r="B288">
        <v>-0.10344827586206901</v>
      </c>
      <c r="C288">
        <f t="shared" si="8"/>
        <v>1.1070321632682989</v>
      </c>
      <c r="D288">
        <v>0</v>
      </c>
      <c r="E288">
        <f t="shared" si="9"/>
        <v>3.8593787311575464E-2</v>
      </c>
    </row>
    <row r="289" spans="1:5" x14ac:dyDescent="0.25">
      <c r="A289">
        <v>3</v>
      </c>
      <c r="B289">
        <v>-0.10294117647058799</v>
      </c>
      <c r="C289">
        <f t="shared" si="8"/>
        <v>1.1084864212661938</v>
      </c>
      <c r="D289">
        <v>0</v>
      </c>
      <c r="E289">
        <f t="shared" si="9"/>
        <v>3.8593787311575464E-2</v>
      </c>
    </row>
    <row r="290" spans="1:5" x14ac:dyDescent="0.25">
      <c r="A290">
        <v>3</v>
      </c>
      <c r="B290">
        <v>-0.101333333333333</v>
      </c>
      <c r="C290">
        <f t="shared" si="8"/>
        <v>1.1130855398192707</v>
      </c>
      <c r="D290">
        <v>0</v>
      </c>
      <c r="E290">
        <f t="shared" si="9"/>
        <v>3.8593787311575464E-2</v>
      </c>
    </row>
    <row r="291" spans="1:5" x14ac:dyDescent="0.25">
      <c r="A291">
        <v>3</v>
      </c>
      <c r="B291">
        <v>-0.101333333333333</v>
      </c>
      <c r="C291">
        <f t="shared" si="8"/>
        <v>1.1130855398192707</v>
      </c>
      <c r="D291">
        <v>0</v>
      </c>
      <c r="E291">
        <f t="shared" si="9"/>
        <v>3.8593787311575464E-2</v>
      </c>
    </row>
    <row r="292" spans="1:5" x14ac:dyDescent="0.25">
      <c r="A292">
        <v>3</v>
      </c>
      <c r="B292">
        <v>-0.101333333333333</v>
      </c>
      <c r="C292">
        <f t="shared" si="8"/>
        <v>1.1130855398192707</v>
      </c>
      <c r="D292">
        <v>0</v>
      </c>
      <c r="E292">
        <f t="shared" si="9"/>
        <v>3.8593787311575464E-2</v>
      </c>
    </row>
    <row r="293" spans="1:5" x14ac:dyDescent="0.25">
      <c r="A293">
        <v>3</v>
      </c>
      <c r="B293">
        <v>-0.100467289719626</v>
      </c>
      <c r="C293">
        <f t="shared" si="8"/>
        <v>1.1155552312984272</v>
      </c>
      <c r="D293">
        <v>0</v>
      </c>
      <c r="E293">
        <f t="shared" si="9"/>
        <v>3.8593787311575464E-2</v>
      </c>
    </row>
    <row r="294" spans="1:5" x14ac:dyDescent="0.25">
      <c r="A294">
        <v>3</v>
      </c>
      <c r="B294">
        <v>-0.1002331002331</v>
      </c>
      <c r="C294">
        <f t="shared" si="8"/>
        <v>1.116222147776655</v>
      </c>
      <c r="D294">
        <v>0</v>
      </c>
      <c r="E294">
        <f t="shared" si="9"/>
        <v>3.8593787311575464E-2</v>
      </c>
    </row>
    <row r="295" spans="1:5" x14ac:dyDescent="0.25">
      <c r="A295">
        <v>3</v>
      </c>
      <c r="B295">
        <v>-0.1002331002331</v>
      </c>
      <c r="C295">
        <f t="shared" si="8"/>
        <v>1.116222147776655</v>
      </c>
      <c r="D295">
        <v>0</v>
      </c>
      <c r="E295">
        <f t="shared" si="9"/>
        <v>3.8593787311575464E-2</v>
      </c>
    </row>
    <row r="296" spans="1:5" x14ac:dyDescent="0.25">
      <c r="A296">
        <v>3</v>
      </c>
      <c r="B296">
        <v>-9.90990990990991E-2</v>
      </c>
      <c r="C296">
        <f t="shared" si="8"/>
        <v>1.1194459210081711</v>
      </c>
      <c r="D296">
        <v>0</v>
      </c>
      <c r="E296">
        <f t="shared" si="9"/>
        <v>3.8593787311575464E-2</v>
      </c>
    </row>
    <row r="297" spans="1:5" x14ac:dyDescent="0.25">
      <c r="A297">
        <v>3</v>
      </c>
      <c r="B297">
        <v>-9.8802395209580798E-2</v>
      </c>
      <c r="C297">
        <f t="shared" si="8"/>
        <v>1.1202878583688212</v>
      </c>
      <c r="D297">
        <v>0</v>
      </c>
      <c r="E297">
        <f t="shared" si="9"/>
        <v>3.8593787311575464E-2</v>
      </c>
    </row>
    <row r="298" spans="1:5" x14ac:dyDescent="0.25">
      <c r="A298">
        <v>3</v>
      </c>
      <c r="B298">
        <v>-9.8666666666666694E-2</v>
      </c>
      <c r="C298">
        <f t="shared" si="8"/>
        <v>1.1206727918860973</v>
      </c>
      <c r="D298">
        <v>0</v>
      </c>
      <c r="E298">
        <f t="shared" si="9"/>
        <v>3.8593787311575464E-2</v>
      </c>
    </row>
    <row r="299" spans="1:5" x14ac:dyDescent="0.25">
      <c r="A299">
        <v>3</v>
      </c>
      <c r="B299">
        <v>-9.8666666666666694E-2</v>
      </c>
      <c r="C299">
        <f t="shared" si="8"/>
        <v>1.1206727918860973</v>
      </c>
      <c r="D299">
        <v>0</v>
      </c>
      <c r="E299">
        <f t="shared" si="9"/>
        <v>3.8593787311575464E-2</v>
      </c>
    </row>
    <row r="300" spans="1:5" x14ac:dyDescent="0.25">
      <c r="A300">
        <v>3</v>
      </c>
      <c r="B300">
        <v>-9.8666666666666694E-2</v>
      </c>
      <c r="C300">
        <f t="shared" si="8"/>
        <v>1.1206727918860973</v>
      </c>
      <c r="D300">
        <v>0</v>
      </c>
      <c r="E300">
        <f t="shared" si="9"/>
        <v>3.8593787311575464E-2</v>
      </c>
    </row>
    <row r="301" spans="1:5" x14ac:dyDescent="0.25">
      <c r="A301">
        <v>3</v>
      </c>
      <c r="B301">
        <v>-9.8360655737704902E-2</v>
      </c>
      <c r="C301">
        <f t="shared" si="8"/>
        <v>1.1215401598229369</v>
      </c>
      <c r="D301">
        <v>0</v>
      </c>
      <c r="E301">
        <f t="shared" si="9"/>
        <v>3.8593787311575464E-2</v>
      </c>
    </row>
    <row r="302" spans="1:5" x14ac:dyDescent="0.25">
      <c r="A302">
        <v>3</v>
      </c>
      <c r="B302">
        <v>-9.8000000000000004E-2</v>
      </c>
      <c r="C302">
        <f t="shared" si="8"/>
        <v>1.1225615302907208</v>
      </c>
      <c r="D302">
        <v>0</v>
      </c>
      <c r="E302">
        <f t="shared" si="9"/>
        <v>3.8593787311575464E-2</v>
      </c>
    </row>
    <row r="303" spans="1:5" x14ac:dyDescent="0.25">
      <c r="A303">
        <v>3</v>
      </c>
      <c r="B303">
        <v>-9.8000000000000004E-2</v>
      </c>
      <c r="C303">
        <f t="shared" si="8"/>
        <v>1.1225615302907208</v>
      </c>
      <c r="D303">
        <v>0</v>
      </c>
      <c r="E303">
        <f t="shared" si="9"/>
        <v>3.8593787311575464E-2</v>
      </c>
    </row>
    <row r="304" spans="1:5" x14ac:dyDescent="0.25">
      <c r="A304">
        <v>3</v>
      </c>
      <c r="B304">
        <v>-9.7902097902097904E-2</v>
      </c>
      <c r="C304">
        <f t="shared" si="8"/>
        <v>1.122838621549388</v>
      </c>
      <c r="D304">
        <v>0</v>
      </c>
      <c r="E304">
        <f t="shared" si="9"/>
        <v>3.8593787311575464E-2</v>
      </c>
    </row>
    <row r="305" spans="1:5" x14ac:dyDescent="0.25">
      <c r="A305">
        <v>3</v>
      </c>
      <c r="B305">
        <v>-9.7902097902097904E-2</v>
      </c>
      <c r="C305">
        <f t="shared" si="8"/>
        <v>1.122838621549388</v>
      </c>
      <c r="D305">
        <v>0</v>
      </c>
      <c r="E305">
        <f t="shared" si="9"/>
        <v>3.8593787311575464E-2</v>
      </c>
    </row>
    <row r="306" spans="1:5" x14ac:dyDescent="0.25">
      <c r="A306">
        <v>3</v>
      </c>
      <c r="B306">
        <v>-9.7902097902097904E-2</v>
      </c>
      <c r="C306">
        <f t="shared" si="8"/>
        <v>1.122838621549388</v>
      </c>
      <c r="D306">
        <v>0</v>
      </c>
      <c r="E306">
        <f t="shared" si="9"/>
        <v>3.8593787311575464E-2</v>
      </c>
    </row>
    <row r="307" spans="1:5" x14ac:dyDescent="0.25">
      <c r="A307">
        <v>3</v>
      </c>
      <c r="B307">
        <v>-9.7902097902097904E-2</v>
      </c>
      <c r="C307">
        <f t="shared" si="8"/>
        <v>1.122838621549388</v>
      </c>
      <c r="D307">
        <v>0</v>
      </c>
      <c r="E307">
        <f t="shared" si="9"/>
        <v>3.8593787311575464E-2</v>
      </c>
    </row>
    <row r="308" spans="1:5" x14ac:dyDescent="0.25">
      <c r="A308">
        <v>3</v>
      </c>
      <c r="B308">
        <v>-9.6000000000000002E-2</v>
      </c>
      <c r="C308">
        <f t="shared" si="8"/>
        <v>1.1282079306462258</v>
      </c>
      <c r="D308">
        <v>0</v>
      </c>
      <c r="E308">
        <f t="shared" si="9"/>
        <v>3.8593787311575464E-2</v>
      </c>
    </row>
    <row r="309" spans="1:5" x14ac:dyDescent="0.25">
      <c r="A309">
        <v>3</v>
      </c>
      <c r="B309">
        <v>-9.6000000000000002E-2</v>
      </c>
      <c r="C309">
        <f t="shared" si="8"/>
        <v>1.1282079306462258</v>
      </c>
      <c r="D309">
        <v>0</v>
      </c>
      <c r="E309">
        <f t="shared" si="9"/>
        <v>3.8593787311575464E-2</v>
      </c>
    </row>
    <row r="310" spans="1:5" x14ac:dyDescent="0.25">
      <c r="A310">
        <v>3</v>
      </c>
      <c r="B310">
        <v>-9.5571095571095596E-2</v>
      </c>
      <c r="C310">
        <f t="shared" si="8"/>
        <v>1.1294148938764015</v>
      </c>
      <c r="D310">
        <v>0</v>
      </c>
      <c r="E310">
        <f t="shared" si="9"/>
        <v>3.8593787311575464E-2</v>
      </c>
    </row>
    <row r="311" spans="1:5" x14ac:dyDescent="0.25">
      <c r="A311">
        <v>3</v>
      </c>
      <c r="B311">
        <v>-9.5000000000000001E-2</v>
      </c>
      <c r="C311">
        <f t="shared" si="8"/>
        <v>1.1310198166012226</v>
      </c>
      <c r="D311">
        <v>0</v>
      </c>
      <c r="E311">
        <f t="shared" si="9"/>
        <v>3.8593787311575464E-2</v>
      </c>
    </row>
    <row r="312" spans="1:5" x14ac:dyDescent="0.25">
      <c r="A312">
        <v>3</v>
      </c>
      <c r="B312">
        <v>-9.4E-2</v>
      </c>
      <c r="C312">
        <f t="shared" si="8"/>
        <v>1.1338240373923631</v>
      </c>
      <c r="D312">
        <v>0</v>
      </c>
      <c r="E312">
        <f t="shared" si="9"/>
        <v>3.8593787311575464E-2</v>
      </c>
    </row>
    <row r="313" spans="1:5" x14ac:dyDescent="0.25">
      <c r="A313">
        <v>3</v>
      </c>
      <c r="B313">
        <v>-9.4E-2</v>
      </c>
      <c r="C313">
        <f t="shared" si="8"/>
        <v>1.1338240373923631</v>
      </c>
      <c r="D313">
        <v>0</v>
      </c>
      <c r="E313">
        <f t="shared" si="9"/>
        <v>3.8593787311575464E-2</v>
      </c>
    </row>
    <row r="314" spans="1:5" x14ac:dyDescent="0.25">
      <c r="A314">
        <v>3</v>
      </c>
      <c r="B314">
        <v>-9.34579439252336E-2</v>
      </c>
      <c r="C314">
        <f t="shared" si="8"/>
        <v>1.1353408462561612</v>
      </c>
      <c r="D314">
        <v>0</v>
      </c>
      <c r="E314">
        <f t="shared" si="9"/>
        <v>3.8593787311575464E-2</v>
      </c>
    </row>
    <row r="315" spans="1:5" x14ac:dyDescent="0.25">
      <c r="A315">
        <v>3</v>
      </c>
      <c r="B315">
        <v>-9.3333333333333296E-2</v>
      </c>
      <c r="C315">
        <f t="shared" si="8"/>
        <v>1.1356892142206116</v>
      </c>
      <c r="D315">
        <v>0</v>
      </c>
      <c r="E315">
        <f t="shared" si="9"/>
        <v>3.8593787311575464E-2</v>
      </c>
    </row>
    <row r="316" spans="1:5" x14ac:dyDescent="0.25">
      <c r="A316">
        <v>3</v>
      </c>
      <c r="B316">
        <v>-9.3333333333333296E-2</v>
      </c>
      <c r="C316">
        <f t="shared" si="8"/>
        <v>1.1356892142206116</v>
      </c>
      <c r="D316">
        <v>0</v>
      </c>
      <c r="E316">
        <f t="shared" si="9"/>
        <v>3.8593787311575464E-2</v>
      </c>
    </row>
    <row r="317" spans="1:5" x14ac:dyDescent="0.25">
      <c r="A317">
        <v>3</v>
      </c>
      <c r="B317">
        <v>-9.3240093240093205E-2</v>
      </c>
      <c r="C317">
        <f t="shared" si="8"/>
        <v>1.13594980176833</v>
      </c>
      <c r="D317">
        <v>0</v>
      </c>
      <c r="E317">
        <f t="shared" si="9"/>
        <v>3.8593787311575464E-2</v>
      </c>
    </row>
    <row r="318" spans="1:5" x14ac:dyDescent="0.25">
      <c r="A318">
        <v>3</v>
      </c>
      <c r="B318">
        <v>-9.3093093093093104E-2</v>
      </c>
      <c r="C318">
        <f t="shared" si="8"/>
        <v>1.136360499766131</v>
      </c>
      <c r="D318">
        <v>0</v>
      </c>
      <c r="E318">
        <f t="shared" si="9"/>
        <v>3.8593787311575464E-2</v>
      </c>
    </row>
    <row r="319" spans="1:5" x14ac:dyDescent="0.25">
      <c r="A319">
        <v>3</v>
      </c>
      <c r="B319">
        <v>-9.2814371257484998E-2</v>
      </c>
      <c r="C319">
        <f t="shared" si="8"/>
        <v>1.13713874449729</v>
      </c>
      <c r="D319">
        <v>0</v>
      </c>
      <c r="E319">
        <f t="shared" si="9"/>
        <v>3.8593787311575464E-2</v>
      </c>
    </row>
    <row r="320" spans="1:5" x14ac:dyDescent="0.25">
      <c r="A320">
        <v>3</v>
      </c>
      <c r="B320">
        <v>-9.2592592592592601E-2</v>
      </c>
      <c r="C320">
        <f t="shared" si="8"/>
        <v>1.1377575565561995</v>
      </c>
      <c r="D320">
        <v>0</v>
      </c>
      <c r="E320">
        <f t="shared" si="9"/>
        <v>3.8593787311575464E-2</v>
      </c>
    </row>
    <row r="321" spans="1:5" x14ac:dyDescent="0.25">
      <c r="A321">
        <v>3</v>
      </c>
      <c r="B321">
        <v>-9.1999999999999998E-2</v>
      </c>
      <c r="C321">
        <f t="shared" si="8"/>
        <v>1.1394091168564033</v>
      </c>
      <c r="D321">
        <v>0</v>
      </c>
      <c r="E321">
        <f t="shared" si="9"/>
        <v>3.8593787311575464E-2</v>
      </c>
    </row>
    <row r="322" spans="1:5" x14ac:dyDescent="0.25">
      <c r="A322">
        <v>3</v>
      </c>
      <c r="B322">
        <v>-9.0909090909090898E-2</v>
      </c>
      <c r="C322">
        <f t="shared" ref="C322:C385" si="10">_xlfn.NORM.DIST(B322, I$10,I$13,FALSE)</f>
        <v>1.1424421842166363</v>
      </c>
      <c r="D322">
        <v>0</v>
      </c>
      <c r="E322">
        <f t="shared" si="9"/>
        <v>3.8593787311575464E-2</v>
      </c>
    </row>
    <row r="323" spans="1:5" x14ac:dyDescent="0.25">
      <c r="A323">
        <v>3</v>
      </c>
      <c r="B323">
        <v>-9.0909090909090898E-2</v>
      </c>
      <c r="C323">
        <f t="shared" si="10"/>
        <v>1.1424421842166363</v>
      </c>
      <c r="D323">
        <v>0</v>
      </c>
      <c r="E323">
        <f t="shared" ref="E323:E386" si="11">_xlfn.NORM.DIST(D323, I$4,I$7,FALSE)</f>
        <v>3.8593787311575464E-2</v>
      </c>
    </row>
    <row r="324" spans="1:5" x14ac:dyDescent="0.25">
      <c r="A324">
        <v>3</v>
      </c>
      <c r="B324">
        <v>-9.0666666666666701E-2</v>
      </c>
      <c r="C324">
        <f t="shared" si="10"/>
        <v>1.1431149040164752</v>
      </c>
      <c r="D324">
        <v>0</v>
      </c>
      <c r="E324">
        <f t="shared" si="11"/>
        <v>3.8593787311575464E-2</v>
      </c>
    </row>
    <row r="325" spans="1:5" x14ac:dyDescent="0.25">
      <c r="A325">
        <v>3</v>
      </c>
      <c r="B325">
        <v>-9.0666666666666701E-2</v>
      </c>
      <c r="C325">
        <f t="shared" si="10"/>
        <v>1.1431149040164752</v>
      </c>
      <c r="D325">
        <v>0</v>
      </c>
      <c r="E325">
        <f t="shared" si="11"/>
        <v>3.8593787311575464E-2</v>
      </c>
    </row>
    <row r="326" spans="1:5" x14ac:dyDescent="0.25">
      <c r="A326">
        <v>3</v>
      </c>
      <c r="B326">
        <v>-9.0666666666666701E-2</v>
      </c>
      <c r="C326">
        <f t="shared" si="10"/>
        <v>1.1431149040164752</v>
      </c>
      <c r="D326">
        <v>0</v>
      </c>
      <c r="E326">
        <f t="shared" si="11"/>
        <v>3.8593787311575464E-2</v>
      </c>
    </row>
    <row r="327" spans="1:5" x14ac:dyDescent="0.25">
      <c r="A327">
        <v>3</v>
      </c>
      <c r="B327">
        <v>-9.0666666666666701E-2</v>
      </c>
      <c r="C327">
        <f t="shared" si="10"/>
        <v>1.1431149040164752</v>
      </c>
      <c r="D327">
        <v>0</v>
      </c>
      <c r="E327">
        <f t="shared" si="11"/>
        <v>3.8593787311575464E-2</v>
      </c>
    </row>
    <row r="328" spans="1:5" x14ac:dyDescent="0.25">
      <c r="A328">
        <v>3</v>
      </c>
      <c r="B328">
        <v>-9.00900900900901E-2</v>
      </c>
      <c r="C328">
        <f t="shared" si="10"/>
        <v>1.1447129803676597</v>
      </c>
      <c r="D328">
        <v>0</v>
      </c>
      <c r="E328">
        <f t="shared" si="11"/>
        <v>3.8593787311575464E-2</v>
      </c>
    </row>
    <row r="329" spans="1:5" x14ac:dyDescent="0.25">
      <c r="A329">
        <v>3</v>
      </c>
      <c r="B329">
        <v>-9.00900900900901E-2</v>
      </c>
      <c r="C329">
        <f t="shared" si="10"/>
        <v>1.1447129803676597</v>
      </c>
      <c r="D329">
        <v>0</v>
      </c>
      <c r="E329">
        <f t="shared" si="11"/>
        <v>3.8593787311575464E-2</v>
      </c>
    </row>
    <row r="330" spans="1:5" x14ac:dyDescent="0.25">
      <c r="A330">
        <v>3</v>
      </c>
      <c r="B330">
        <v>-9.00900900900901E-2</v>
      </c>
      <c r="C330">
        <f t="shared" si="10"/>
        <v>1.1447129803676597</v>
      </c>
      <c r="D330">
        <v>0</v>
      </c>
      <c r="E330">
        <f t="shared" si="11"/>
        <v>3.8593787311575464E-2</v>
      </c>
    </row>
    <row r="331" spans="1:5" x14ac:dyDescent="0.25">
      <c r="A331">
        <v>3</v>
      </c>
      <c r="B331">
        <v>-9.00900900900901E-2</v>
      </c>
      <c r="C331">
        <f t="shared" si="10"/>
        <v>1.1447129803676597</v>
      </c>
      <c r="D331">
        <v>0</v>
      </c>
      <c r="E331">
        <f t="shared" si="11"/>
        <v>3.8593787311575464E-2</v>
      </c>
    </row>
    <row r="332" spans="1:5" x14ac:dyDescent="0.25">
      <c r="A332">
        <v>3</v>
      </c>
      <c r="B332">
        <v>-0.09</v>
      </c>
      <c r="C332">
        <f t="shared" si="10"/>
        <v>1.1449624365628084</v>
      </c>
      <c r="D332">
        <v>0</v>
      </c>
      <c r="E332">
        <f t="shared" si="11"/>
        <v>3.8593787311575464E-2</v>
      </c>
    </row>
    <row r="333" spans="1:5" x14ac:dyDescent="0.25">
      <c r="A333">
        <v>3</v>
      </c>
      <c r="B333">
        <v>-0.09</v>
      </c>
      <c r="C333">
        <f t="shared" si="10"/>
        <v>1.1449624365628084</v>
      </c>
      <c r="D333">
        <v>0</v>
      </c>
      <c r="E333">
        <f t="shared" si="11"/>
        <v>3.8593787311575464E-2</v>
      </c>
    </row>
    <row r="334" spans="1:5" x14ac:dyDescent="0.25">
      <c r="A334">
        <v>3</v>
      </c>
      <c r="B334">
        <v>-0.09</v>
      </c>
      <c r="C334">
        <f t="shared" si="10"/>
        <v>1.1449624365628084</v>
      </c>
      <c r="D334">
        <v>0</v>
      </c>
      <c r="E334">
        <f t="shared" si="11"/>
        <v>3.8593787311575464E-2</v>
      </c>
    </row>
    <row r="335" spans="1:5" x14ac:dyDescent="0.25">
      <c r="A335">
        <v>3</v>
      </c>
      <c r="B335">
        <v>-8.8578088578088604E-2</v>
      </c>
      <c r="C335">
        <f t="shared" si="10"/>
        <v>1.1488908825325577</v>
      </c>
      <c r="D335">
        <v>0</v>
      </c>
      <c r="E335">
        <f t="shared" si="11"/>
        <v>3.8593787311575464E-2</v>
      </c>
    </row>
    <row r="336" spans="1:5" x14ac:dyDescent="0.25">
      <c r="A336">
        <v>3</v>
      </c>
      <c r="B336">
        <v>-8.8333333333333305E-2</v>
      </c>
      <c r="C336">
        <f t="shared" si="10"/>
        <v>1.1495654145471841</v>
      </c>
      <c r="D336">
        <v>0</v>
      </c>
      <c r="E336">
        <f t="shared" si="11"/>
        <v>3.8593787311575464E-2</v>
      </c>
    </row>
    <row r="337" spans="1:5" x14ac:dyDescent="0.25">
      <c r="A337">
        <v>3</v>
      </c>
      <c r="B337">
        <v>-8.7999999999999995E-2</v>
      </c>
      <c r="C337">
        <f t="shared" si="10"/>
        <v>1.1504832653911645</v>
      </c>
      <c r="D337">
        <v>0</v>
      </c>
      <c r="E337">
        <f t="shared" si="11"/>
        <v>3.8593787311575464E-2</v>
      </c>
    </row>
    <row r="338" spans="1:5" x14ac:dyDescent="0.25">
      <c r="A338">
        <v>3</v>
      </c>
      <c r="B338">
        <v>-8.7999999999999995E-2</v>
      </c>
      <c r="C338">
        <f t="shared" si="10"/>
        <v>1.1504832653911645</v>
      </c>
      <c r="D338">
        <v>0</v>
      </c>
      <c r="E338">
        <f t="shared" si="11"/>
        <v>3.8593787311575464E-2</v>
      </c>
    </row>
    <row r="339" spans="1:5" x14ac:dyDescent="0.25">
      <c r="A339">
        <v>3</v>
      </c>
      <c r="B339">
        <v>-8.7999999999999995E-2</v>
      </c>
      <c r="C339">
        <f t="shared" si="10"/>
        <v>1.1504832653911645</v>
      </c>
      <c r="D339">
        <v>0</v>
      </c>
      <c r="E339">
        <f t="shared" si="11"/>
        <v>3.8593787311575464E-2</v>
      </c>
    </row>
    <row r="340" spans="1:5" x14ac:dyDescent="0.25">
      <c r="A340">
        <v>3</v>
      </c>
      <c r="B340">
        <v>-8.7999999999999995E-2</v>
      </c>
      <c r="C340">
        <f t="shared" si="10"/>
        <v>1.1504832653911645</v>
      </c>
      <c r="D340">
        <v>0</v>
      </c>
      <c r="E340">
        <f t="shared" si="11"/>
        <v>3.8593787311575464E-2</v>
      </c>
    </row>
    <row r="341" spans="1:5" x14ac:dyDescent="0.25">
      <c r="A341">
        <v>3</v>
      </c>
      <c r="B341">
        <v>-8.7999999999999995E-2</v>
      </c>
      <c r="C341">
        <f t="shared" si="10"/>
        <v>1.1504832653911645</v>
      </c>
      <c r="D341">
        <v>0</v>
      </c>
      <c r="E341">
        <f t="shared" si="11"/>
        <v>3.8593787311575464E-2</v>
      </c>
    </row>
    <row r="342" spans="1:5" x14ac:dyDescent="0.25">
      <c r="A342">
        <v>3</v>
      </c>
      <c r="B342">
        <v>-8.7999999999999995E-2</v>
      </c>
      <c r="C342">
        <f t="shared" si="10"/>
        <v>1.1504832653911645</v>
      </c>
      <c r="D342">
        <v>0</v>
      </c>
      <c r="E342">
        <f t="shared" si="11"/>
        <v>3.8593787311575464E-2</v>
      </c>
    </row>
    <row r="343" spans="1:5" x14ac:dyDescent="0.25">
      <c r="A343">
        <v>3</v>
      </c>
      <c r="B343">
        <v>-8.7999999999999995E-2</v>
      </c>
      <c r="C343">
        <f t="shared" si="10"/>
        <v>1.1504832653911645</v>
      </c>
      <c r="D343">
        <v>0</v>
      </c>
      <c r="E343">
        <f t="shared" si="11"/>
        <v>3.8593787311575464E-2</v>
      </c>
    </row>
    <row r="344" spans="1:5" x14ac:dyDescent="0.25">
      <c r="A344">
        <v>3</v>
      </c>
      <c r="B344">
        <v>-8.7999999999999995E-2</v>
      </c>
      <c r="C344">
        <f t="shared" si="10"/>
        <v>1.1504832653911645</v>
      </c>
      <c r="D344">
        <v>0</v>
      </c>
      <c r="E344">
        <f t="shared" si="11"/>
        <v>3.8593787311575464E-2</v>
      </c>
    </row>
    <row r="345" spans="1:5" x14ac:dyDescent="0.25">
      <c r="A345">
        <v>3</v>
      </c>
      <c r="B345">
        <v>-8.7087087087087095E-2</v>
      </c>
      <c r="C345">
        <f t="shared" si="10"/>
        <v>1.1529922845977991</v>
      </c>
      <c r="D345">
        <v>0</v>
      </c>
      <c r="E345">
        <f t="shared" si="11"/>
        <v>3.8593787311575464E-2</v>
      </c>
    </row>
    <row r="346" spans="1:5" x14ac:dyDescent="0.25">
      <c r="A346">
        <v>3</v>
      </c>
      <c r="B346">
        <v>-8.7087087087087095E-2</v>
      </c>
      <c r="C346">
        <f t="shared" si="10"/>
        <v>1.1529922845977991</v>
      </c>
      <c r="D346">
        <v>0</v>
      </c>
      <c r="E346">
        <f t="shared" si="11"/>
        <v>3.8593787311575464E-2</v>
      </c>
    </row>
    <row r="347" spans="1:5" x14ac:dyDescent="0.25">
      <c r="A347">
        <v>3</v>
      </c>
      <c r="B347">
        <v>-8.7087087087087095E-2</v>
      </c>
      <c r="C347">
        <f t="shared" si="10"/>
        <v>1.1529922845977991</v>
      </c>
      <c r="D347">
        <v>0</v>
      </c>
      <c r="E347">
        <f t="shared" si="11"/>
        <v>3.8593787311575464E-2</v>
      </c>
    </row>
    <row r="348" spans="1:5" x14ac:dyDescent="0.25">
      <c r="A348">
        <v>3</v>
      </c>
      <c r="B348">
        <v>-8.6448598130841103E-2</v>
      </c>
      <c r="C348">
        <f t="shared" si="10"/>
        <v>1.1547429358217272</v>
      </c>
      <c r="D348">
        <v>0</v>
      </c>
      <c r="E348">
        <f t="shared" si="11"/>
        <v>3.8593787311575464E-2</v>
      </c>
    </row>
    <row r="349" spans="1:5" x14ac:dyDescent="0.25">
      <c r="A349">
        <v>3</v>
      </c>
      <c r="B349">
        <v>-8.6448598130841103E-2</v>
      </c>
      <c r="C349">
        <f t="shared" si="10"/>
        <v>1.1547429358217272</v>
      </c>
      <c r="D349">
        <v>0</v>
      </c>
      <c r="E349">
        <f t="shared" si="11"/>
        <v>3.8593787311575464E-2</v>
      </c>
    </row>
    <row r="350" spans="1:5" x14ac:dyDescent="0.25">
      <c r="A350">
        <v>3</v>
      </c>
      <c r="B350">
        <v>-8.5333333333333303E-2</v>
      </c>
      <c r="C350">
        <f t="shared" si="10"/>
        <v>1.1577925683185601</v>
      </c>
      <c r="D350">
        <v>0</v>
      </c>
      <c r="E350">
        <f t="shared" si="11"/>
        <v>3.8593787311575464E-2</v>
      </c>
    </row>
    <row r="351" spans="1:5" x14ac:dyDescent="0.25">
      <c r="A351">
        <v>3</v>
      </c>
      <c r="B351">
        <v>-8.4112149532710304E-2</v>
      </c>
      <c r="C351">
        <f t="shared" si="10"/>
        <v>1.161119631864199</v>
      </c>
      <c r="D351">
        <v>0</v>
      </c>
      <c r="E351">
        <f t="shared" si="11"/>
        <v>3.8593787311575464E-2</v>
      </c>
    </row>
    <row r="352" spans="1:5" x14ac:dyDescent="0.25">
      <c r="A352">
        <v>3</v>
      </c>
      <c r="B352">
        <v>-8.4084084084084104E-2</v>
      </c>
      <c r="C352">
        <f t="shared" si="10"/>
        <v>1.1611959438358677</v>
      </c>
      <c r="D352">
        <v>0</v>
      </c>
      <c r="E352">
        <f t="shared" si="11"/>
        <v>3.8593787311575464E-2</v>
      </c>
    </row>
    <row r="353" spans="1:5" x14ac:dyDescent="0.25">
      <c r="A353">
        <v>3</v>
      </c>
      <c r="B353">
        <v>-8.4084084084084104E-2</v>
      </c>
      <c r="C353">
        <f t="shared" si="10"/>
        <v>1.1611959438358677</v>
      </c>
      <c r="D353">
        <v>0</v>
      </c>
      <c r="E353">
        <f t="shared" si="11"/>
        <v>3.8593787311575464E-2</v>
      </c>
    </row>
    <row r="354" spans="1:5" x14ac:dyDescent="0.25">
      <c r="A354">
        <v>3</v>
      </c>
      <c r="B354">
        <v>-8.4084084084084104E-2</v>
      </c>
      <c r="C354">
        <f t="shared" si="10"/>
        <v>1.1611959438358677</v>
      </c>
      <c r="D354">
        <v>0</v>
      </c>
      <c r="E354">
        <f t="shared" si="11"/>
        <v>3.8593787311575464E-2</v>
      </c>
    </row>
    <row r="355" spans="1:5" x14ac:dyDescent="0.25">
      <c r="A355">
        <v>3</v>
      </c>
      <c r="B355">
        <v>-8.2666666666666694E-2</v>
      </c>
      <c r="C355">
        <f t="shared" si="10"/>
        <v>1.1650410880576829</v>
      </c>
      <c r="D355">
        <v>0</v>
      </c>
      <c r="E355">
        <f t="shared" si="11"/>
        <v>3.8593787311575464E-2</v>
      </c>
    </row>
    <row r="356" spans="1:5" x14ac:dyDescent="0.25">
      <c r="A356">
        <v>3</v>
      </c>
      <c r="B356">
        <v>-8.2666666666666694E-2</v>
      </c>
      <c r="C356">
        <f t="shared" si="10"/>
        <v>1.1650410880576829</v>
      </c>
      <c r="D356">
        <v>0</v>
      </c>
      <c r="E356">
        <f t="shared" si="11"/>
        <v>3.8593787311575464E-2</v>
      </c>
    </row>
    <row r="357" spans="1:5" x14ac:dyDescent="0.25">
      <c r="A357">
        <v>3</v>
      </c>
      <c r="B357">
        <v>-8.2666666666666694E-2</v>
      </c>
      <c r="C357">
        <f t="shared" si="10"/>
        <v>1.1650410880576829</v>
      </c>
      <c r="D357">
        <v>0</v>
      </c>
      <c r="E357">
        <f t="shared" si="11"/>
        <v>3.8593787311575464E-2</v>
      </c>
    </row>
    <row r="358" spans="1:5" x14ac:dyDescent="0.25">
      <c r="A358">
        <v>3</v>
      </c>
      <c r="B358">
        <v>-8.2666666666666694E-2</v>
      </c>
      <c r="C358">
        <f t="shared" si="10"/>
        <v>1.1650410880576829</v>
      </c>
      <c r="D358">
        <v>0</v>
      </c>
      <c r="E358">
        <f t="shared" si="11"/>
        <v>3.8593787311575464E-2</v>
      </c>
    </row>
    <row r="359" spans="1:5" x14ac:dyDescent="0.25">
      <c r="A359">
        <v>3</v>
      </c>
      <c r="B359">
        <v>-8.2666666666666694E-2</v>
      </c>
      <c r="C359">
        <f t="shared" si="10"/>
        <v>1.1650410880576829</v>
      </c>
      <c r="D359">
        <v>0</v>
      </c>
      <c r="E359">
        <f t="shared" si="11"/>
        <v>3.8593787311575464E-2</v>
      </c>
    </row>
    <row r="360" spans="1:5" x14ac:dyDescent="0.25">
      <c r="A360">
        <v>3</v>
      </c>
      <c r="B360">
        <v>-8.2000000000000003E-2</v>
      </c>
      <c r="C360">
        <f t="shared" si="10"/>
        <v>1.166843519058681</v>
      </c>
      <c r="D360">
        <v>0</v>
      </c>
      <c r="E360">
        <f t="shared" si="11"/>
        <v>3.8593787311575464E-2</v>
      </c>
    </row>
    <row r="361" spans="1:5" x14ac:dyDescent="0.25">
      <c r="A361">
        <v>3</v>
      </c>
      <c r="B361">
        <v>-8.2000000000000003E-2</v>
      </c>
      <c r="C361">
        <f t="shared" si="10"/>
        <v>1.166843519058681</v>
      </c>
      <c r="D361">
        <v>0</v>
      </c>
      <c r="E361">
        <f t="shared" si="11"/>
        <v>3.8593787311575464E-2</v>
      </c>
    </row>
    <row r="362" spans="1:5" x14ac:dyDescent="0.25">
      <c r="A362">
        <v>3</v>
      </c>
      <c r="B362">
        <v>-8.2000000000000003E-2</v>
      </c>
      <c r="C362">
        <f t="shared" si="10"/>
        <v>1.166843519058681</v>
      </c>
      <c r="D362">
        <v>0</v>
      </c>
      <c r="E362">
        <f t="shared" si="11"/>
        <v>3.8593787311575464E-2</v>
      </c>
    </row>
    <row r="363" spans="1:5" x14ac:dyDescent="0.25">
      <c r="A363">
        <v>3</v>
      </c>
      <c r="B363">
        <v>-8.1081081081081099E-2</v>
      </c>
      <c r="C363">
        <f t="shared" si="10"/>
        <v>1.1693214983298437</v>
      </c>
      <c r="D363">
        <v>0</v>
      </c>
      <c r="E363">
        <f t="shared" si="11"/>
        <v>3.8593787311575464E-2</v>
      </c>
    </row>
    <row r="364" spans="1:5" x14ac:dyDescent="0.25">
      <c r="A364">
        <v>3</v>
      </c>
      <c r="B364">
        <v>-8.1081081081081099E-2</v>
      </c>
      <c r="C364">
        <f t="shared" si="10"/>
        <v>1.1693214983298437</v>
      </c>
      <c r="D364">
        <v>0</v>
      </c>
      <c r="E364">
        <f t="shared" si="11"/>
        <v>3.8593787311575464E-2</v>
      </c>
    </row>
    <row r="365" spans="1:5" x14ac:dyDescent="0.25">
      <c r="A365">
        <v>3</v>
      </c>
      <c r="B365">
        <v>-8.1081081081081099E-2</v>
      </c>
      <c r="C365">
        <f t="shared" si="10"/>
        <v>1.1693214983298437</v>
      </c>
      <c r="D365">
        <v>0</v>
      </c>
      <c r="E365">
        <f t="shared" si="11"/>
        <v>3.8593787311575464E-2</v>
      </c>
    </row>
    <row r="366" spans="1:5" x14ac:dyDescent="0.25">
      <c r="A366">
        <v>3</v>
      </c>
      <c r="B366">
        <v>-8.1081081081081099E-2</v>
      </c>
      <c r="C366">
        <f t="shared" si="10"/>
        <v>1.1693214983298437</v>
      </c>
      <c r="D366">
        <v>0</v>
      </c>
      <c r="E366">
        <f t="shared" si="11"/>
        <v>3.8593787311575464E-2</v>
      </c>
    </row>
    <row r="367" spans="1:5" x14ac:dyDescent="0.25">
      <c r="A367">
        <v>3</v>
      </c>
      <c r="B367">
        <v>-8.1081081081081099E-2</v>
      </c>
      <c r="C367">
        <f t="shared" si="10"/>
        <v>1.1693214983298437</v>
      </c>
      <c r="D367">
        <v>0</v>
      </c>
      <c r="E367">
        <f t="shared" si="11"/>
        <v>3.8593787311575464E-2</v>
      </c>
    </row>
    <row r="368" spans="1:5" x14ac:dyDescent="0.25">
      <c r="A368">
        <v>3</v>
      </c>
      <c r="B368">
        <v>-8.0838323353293398E-2</v>
      </c>
      <c r="C368">
        <f t="shared" si="10"/>
        <v>1.1699748680981614</v>
      </c>
      <c r="D368">
        <v>0</v>
      </c>
      <c r="E368">
        <f t="shared" si="11"/>
        <v>3.8593787311575464E-2</v>
      </c>
    </row>
    <row r="369" spans="1:5" x14ac:dyDescent="0.25">
      <c r="A369">
        <v>3</v>
      </c>
      <c r="B369">
        <v>-8.0838323353293398E-2</v>
      </c>
      <c r="C369">
        <f t="shared" si="10"/>
        <v>1.1699748680981614</v>
      </c>
      <c r="D369">
        <v>0</v>
      </c>
      <c r="E369">
        <f t="shared" si="11"/>
        <v>3.8593787311575464E-2</v>
      </c>
    </row>
    <row r="370" spans="1:5" x14ac:dyDescent="0.25">
      <c r="A370">
        <v>3</v>
      </c>
      <c r="B370">
        <v>-8.0213903743315496E-2</v>
      </c>
      <c r="C370">
        <f t="shared" si="10"/>
        <v>1.1716530334355659</v>
      </c>
      <c r="D370">
        <v>0</v>
      </c>
      <c r="E370">
        <f t="shared" si="11"/>
        <v>3.8593787311575464E-2</v>
      </c>
    </row>
    <row r="371" spans="1:5" x14ac:dyDescent="0.25">
      <c r="A371">
        <v>3</v>
      </c>
      <c r="B371">
        <v>-8.0213903743315496E-2</v>
      </c>
      <c r="C371">
        <f t="shared" si="10"/>
        <v>1.1716530334355659</v>
      </c>
      <c r="D371">
        <v>0</v>
      </c>
      <c r="E371">
        <f t="shared" si="11"/>
        <v>3.8593787311575464E-2</v>
      </c>
    </row>
    <row r="372" spans="1:5" x14ac:dyDescent="0.25">
      <c r="A372">
        <v>3</v>
      </c>
      <c r="B372">
        <v>-0.08</v>
      </c>
      <c r="C372">
        <f t="shared" si="10"/>
        <v>1.1722271058231357</v>
      </c>
      <c r="D372">
        <v>0</v>
      </c>
      <c r="E372">
        <f t="shared" si="11"/>
        <v>3.8593787311575464E-2</v>
      </c>
    </row>
    <row r="373" spans="1:5" x14ac:dyDescent="0.25">
      <c r="A373">
        <v>3</v>
      </c>
      <c r="B373">
        <v>-0.08</v>
      </c>
      <c r="C373">
        <f t="shared" si="10"/>
        <v>1.1722271058231357</v>
      </c>
      <c r="D373">
        <v>0</v>
      </c>
      <c r="E373">
        <f t="shared" si="11"/>
        <v>3.8593787311575464E-2</v>
      </c>
    </row>
    <row r="374" spans="1:5" x14ac:dyDescent="0.25">
      <c r="A374">
        <v>3</v>
      </c>
      <c r="B374">
        <v>-0.08</v>
      </c>
      <c r="C374">
        <f t="shared" si="10"/>
        <v>1.1722271058231357</v>
      </c>
      <c r="D374">
        <v>0</v>
      </c>
      <c r="E374">
        <f t="shared" si="11"/>
        <v>3.8593787311575464E-2</v>
      </c>
    </row>
    <row r="375" spans="1:5" x14ac:dyDescent="0.25">
      <c r="A375">
        <v>3</v>
      </c>
      <c r="B375">
        <v>-0.08</v>
      </c>
      <c r="C375">
        <f t="shared" si="10"/>
        <v>1.1722271058231357</v>
      </c>
      <c r="D375">
        <v>0</v>
      </c>
      <c r="E375">
        <f t="shared" si="11"/>
        <v>3.8593787311575464E-2</v>
      </c>
    </row>
    <row r="376" spans="1:5" x14ac:dyDescent="0.25">
      <c r="A376">
        <v>3</v>
      </c>
      <c r="B376">
        <v>-0.08</v>
      </c>
      <c r="C376">
        <f t="shared" si="10"/>
        <v>1.1722271058231357</v>
      </c>
      <c r="D376">
        <v>0</v>
      </c>
      <c r="E376">
        <f t="shared" si="11"/>
        <v>3.8593787311575464E-2</v>
      </c>
    </row>
    <row r="377" spans="1:5" x14ac:dyDescent="0.25">
      <c r="A377">
        <v>3</v>
      </c>
      <c r="B377">
        <v>-0.08</v>
      </c>
      <c r="C377">
        <f t="shared" si="10"/>
        <v>1.1722271058231357</v>
      </c>
      <c r="D377">
        <v>0</v>
      </c>
      <c r="E377">
        <f t="shared" si="11"/>
        <v>3.8593787311575464E-2</v>
      </c>
    </row>
    <row r="378" spans="1:5" x14ac:dyDescent="0.25">
      <c r="A378">
        <v>3</v>
      </c>
      <c r="B378">
        <v>-0.08</v>
      </c>
      <c r="C378">
        <f t="shared" si="10"/>
        <v>1.1722271058231357</v>
      </c>
      <c r="D378">
        <v>0</v>
      </c>
      <c r="E378">
        <f t="shared" si="11"/>
        <v>3.8593787311575464E-2</v>
      </c>
    </row>
    <row r="379" spans="1:5" x14ac:dyDescent="0.25">
      <c r="A379">
        <v>3</v>
      </c>
      <c r="B379">
        <v>-0.08</v>
      </c>
      <c r="C379">
        <f t="shared" si="10"/>
        <v>1.1722271058231357</v>
      </c>
      <c r="D379">
        <v>0</v>
      </c>
      <c r="E379">
        <f t="shared" si="11"/>
        <v>3.8593787311575464E-2</v>
      </c>
    </row>
    <row r="380" spans="1:5" x14ac:dyDescent="0.25">
      <c r="A380">
        <v>3</v>
      </c>
      <c r="B380">
        <v>-7.9545454545454503E-2</v>
      </c>
      <c r="C380">
        <f t="shared" si="10"/>
        <v>1.1734456366788555</v>
      </c>
      <c r="D380">
        <v>0</v>
      </c>
      <c r="E380">
        <f t="shared" si="11"/>
        <v>3.8593787311575464E-2</v>
      </c>
    </row>
    <row r="381" spans="1:5" x14ac:dyDescent="0.25">
      <c r="A381">
        <v>3</v>
      </c>
      <c r="B381">
        <v>-7.9254079254079193E-2</v>
      </c>
      <c r="C381">
        <f t="shared" si="10"/>
        <v>1.1742257609603279</v>
      </c>
      <c r="D381">
        <v>0</v>
      </c>
      <c r="E381">
        <f t="shared" si="11"/>
        <v>3.8593787311575464E-2</v>
      </c>
    </row>
    <row r="382" spans="1:5" x14ac:dyDescent="0.25">
      <c r="A382">
        <v>3</v>
      </c>
      <c r="B382">
        <v>-7.9254079254079193E-2</v>
      </c>
      <c r="C382">
        <f t="shared" si="10"/>
        <v>1.1742257609603279</v>
      </c>
      <c r="D382">
        <v>0</v>
      </c>
      <c r="E382">
        <f t="shared" si="11"/>
        <v>3.8593787311575464E-2</v>
      </c>
    </row>
    <row r="383" spans="1:5" x14ac:dyDescent="0.25">
      <c r="A383">
        <v>3</v>
      </c>
      <c r="B383">
        <v>-7.8078078078078095E-2</v>
      </c>
      <c r="C383">
        <f t="shared" si="10"/>
        <v>1.1773664984117131</v>
      </c>
      <c r="D383">
        <v>0</v>
      </c>
      <c r="E383">
        <f t="shared" si="11"/>
        <v>3.8593787311575464E-2</v>
      </c>
    </row>
    <row r="384" spans="1:5" x14ac:dyDescent="0.25">
      <c r="A384">
        <v>3</v>
      </c>
      <c r="B384">
        <v>-7.8078078078078095E-2</v>
      </c>
      <c r="C384">
        <f t="shared" si="10"/>
        <v>1.1773664984117131</v>
      </c>
      <c r="D384">
        <v>0</v>
      </c>
      <c r="E384">
        <f t="shared" si="11"/>
        <v>3.8593787311575464E-2</v>
      </c>
    </row>
    <row r="385" spans="1:5" x14ac:dyDescent="0.25">
      <c r="A385">
        <v>3</v>
      </c>
      <c r="B385">
        <v>-7.8078078078078095E-2</v>
      </c>
      <c r="C385">
        <f t="shared" si="10"/>
        <v>1.1773664984117131</v>
      </c>
      <c r="D385">
        <v>0</v>
      </c>
      <c r="E385">
        <f t="shared" si="11"/>
        <v>3.8593787311575464E-2</v>
      </c>
    </row>
    <row r="386" spans="1:5" x14ac:dyDescent="0.25">
      <c r="A386">
        <v>3</v>
      </c>
      <c r="B386">
        <v>-7.7669902912621394E-2</v>
      </c>
      <c r="C386">
        <f t="shared" ref="C386:C449" si="12">_xlfn.NORM.DIST(B386, I$10,I$13,FALSE)</f>
        <v>1.178453640716058</v>
      </c>
      <c r="D386">
        <v>0</v>
      </c>
      <c r="E386">
        <f t="shared" si="11"/>
        <v>3.8593787311575464E-2</v>
      </c>
    </row>
    <row r="387" spans="1:5" x14ac:dyDescent="0.25">
      <c r="A387">
        <v>3</v>
      </c>
      <c r="B387">
        <v>-7.7333333333333296E-2</v>
      </c>
      <c r="C387">
        <f t="shared" si="12"/>
        <v>1.1793489094570251</v>
      </c>
      <c r="D387">
        <v>0</v>
      </c>
      <c r="E387">
        <f t="shared" ref="E387:E450" si="13">_xlfn.NORM.DIST(D387, I$4,I$7,FALSE)</f>
        <v>3.8593787311575464E-2</v>
      </c>
    </row>
    <row r="388" spans="1:5" x14ac:dyDescent="0.25">
      <c r="A388">
        <v>3</v>
      </c>
      <c r="B388">
        <v>-7.7333333333333296E-2</v>
      </c>
      <c r="C388">
        <f t="shared" si="12"/>
        <v>1.1793489094570251</v>
      </c>
      <c r="D388">
        <v>0</v>
      </c>
      <c r="E388">
        <f t="shared" si="13"/>
        <v>3.8593787311575464E-2</v>
      </c>
    </row>
    <row r="389" spans="1:5" x14ac:dyDescent="0.25">
      <c r="A389">
        <v>3</v>
      </c>
      <c r="B389">
        <v>-7.7102803738317793E-2</v>
      </c>
      <c r="C389">
        <f t="shared" si="12"/>
        <v>1.1799615080996981</v>
      </c>
      <c r="D389">
        <v>0</v>
      </c>
      <c r="E389">
        <f t="shared" si="13"/>
        <v>3.8593787311575464E-2</v>
      </c>
    </row>
    <row r="390" spans="1:5" x14ac:dyDescent="0.25">
      <c r="A390">
        <v>3</v>
      </c>
      <c r="B390">
        <v>-7.6666666666666702E-2</v>
      </c>
      <c r="C390">
        <f t="shared" si="12"/>
        <v>1.1811191269494365</v>
      </c>
      <c r="D390">
        <v>0</v>
      </c>
      <c r="E390">
        <f t="shared" si="13"/>
        <v>3.8593787311575464E-2</v>
      </c>
    </row>
    <row r="391" spans="1:5" x14ac:dyDescent="0.25">
      <c r="A391">
        <v>3</v>
      </c>
      <c r="B391">
        <v>-7.6666666666666702E-2</v>
      </c>
      <c r="C391">
        <f t="shared" si="12"/>
        <v>1.1811191269494365</v>
      </c>
      <c r="D391">
        <v>0</v>
      </c>
      <c r="E391">
        <f t="shared" si="13"/>
        <v>3.8593787311575464E-2</v>
      </c>
    </row>
    <row r="392" spans="1:5" x14ac:dyDescent="0.25">
      <c r="A392">
        <v>3</v>
      </c>
      <c r="B392">
        <v>-7.5999999999999998E-2</v>
      </c>
      <c r="C392">
        <f t="shared" si="12"/>
        <v>1.1828851979031141</v>
      </c>
      <c r="D392">
        <v>0</v>
      </c>
      <c r="E392">
        <f t="shared" si="13"/>
        <v>3.8593787311575464E-2</v>
      </c>
    </row>
    <row r="393" spans="1:5" x14ac:dyDescent="0.25">
      <c r="A393">
        <v>3</v>
      </c>
      <c r="B393">
        <v>-7.5999999999999998E-2</v>
      </c>
      <c r="C393">
        <f t="shared" si="12"/>
        <v>1.1828851979031141</v>
      </c>
      <c r="D393">
        <v>0</v>
      </c>
      <c r="E393">
        <f t="shared" si="13"/>
        <v>3.8593787311575464E-2</v>
      </c>
    </row>
    <row r="394" spans="1:5" x14ac:dyDescent="0.25">
      <c r="A394">
        <v>3</v>
      </c>
      <c r="B394">
        <v>-7.5075075075075104E-2</v>
      </c>
      <c r="C394">
        <f t="shared" si="12"/>
        <v>1.1853285057154908</v>
      </c>
      <c r="D394">
        <v>0</v>
      </c>
      <c r="E394">
        <f t="shared" si="13"/>
        <v>3.8593787311575464E-2</v>
      </c>
    </row>
    <row r="395" spans="1:5" x14ac:dyDescent="0.25">
      <c r="A395">
        <v>3</v>
      </c>
      <c r="B395">
        <v>-7.5075075075075104E-2</v>
      </c>
      <c r="C395">
        <f t="shared" si="12"/>
        <v>1.1853285057154908</v>
      </c>
      <c r="D395">
        <v>0</v>
      </c>
      <c r="E395">
        <f t="shared" si="13"/>
        <v>3.8593787311575464E-2</v>
      </c>
    </row>
    <row r="396" spans="1:5" x14ac:dyDescent="0.25">
      <c r="A396">
        <v>3</v>
      </c>
      <c r="B396">
        <v>-7.5075075075075104E-2</v>
      </c>
      <c r="C396">
        <f t="shared" si="12"/>
        <v>1.1853285057154908</v>
      </c>
      <c r="D396">
        <v>0</v>
      </c>
      <c r="E396">
        <f t="shared" si="13"/>
        <v>3.8593787311575464E-2</v>
      </c>
    </row>
    <row r="397" spans="1:5" x14ac:dyDescent="0.25">
      <c r="A397">
        <v>3</v>
      </c>
      <c r="B397">
        <v>-7.4999999999999997E-2</v>
      </c>
      <c r="C397">
        <f t="shared" si="12"/>
        <v>1.1855264715454013</v>
      </c>
      <c r="D397">
        <v>0</v>
      </c>
      <c r="E397">
        <f t="shared" si="13"/>
        <v>3.8593787311575464E-2</v>
      </c>
    </row>
    <row r="398" spans="1:5" x14ac:dyDescent="0.25">
      <c r="A398">
        <v>3</v>
      </c>
      <c r="B398">
        <v>-7.4850299401197598E-2</v>
      </c>
      <c r="C398">
        <f t="shared" si="12"/>
        <v>1.1859210582670727</v>
      </c>
      <c r="D398">
        <v>0</v>
      </c>
      <c r="E398">
        <f t="shared" si="13"/>
        <v>3.8593787311575464E-2</v>
      </c>
    </row>
    <row r="399" spans="1:5" x14ac:dyDescent="0.25">
      <c r="A399">
        <v>3</v>
      </c>
      <c r="B399">
        <v>-7.4850299401197598E-2</v>
      </c>
      <c r="C399">
        <f t="shared" si="12"/>
        <v>1.1859210582670727</v>
      </c>
      <c r="D399">
        <v>0</v>
      </c>
      <c r="E399">
        <f t="shared" si="13"/>
        <v>3.8593787311575464E-2</v>
      </c>
    </row>
    <row r="400" spans="1:5" x14ac:dyDescent="0.25">
      <c r="A400">
        <v>3</v>
      </c>
      <c r="B400">
        <v>-7.4850299401197598E-2</v>
      </c>
      <c r="C400">
        <f t="shared" si="12"/>
        <v>1.1859210582670727</v>
      </c>
      <c r="D400">
        <v>0</v>
      </c>
      <c r="E400">
        <f t="shared" si="13"/>
        <v>3.8593787311575464E-2</v>
      </c>
    </row>
    <row r="401" spans="1:5" x14ac:dyDescent="0.25">
      <c r="A401">
        <v>3</v>
      </c>
      <c r="B401">
        <v>-7.4766355140186896E-2</v>
      </c>
      <c r="C401">
        <f t="shared" si="12"/>
        <v>1.1861422287826797</v>
      </c>
      <c r="D401">
        <v>0</v>
      </c>
      <c r="E401">
        <f t="shared" si="13"/>
        <v>3.8593787311575464E-2</v>
      </c>
    </row>
    <row r="402" spans="1:5" x14ac:dyDescent="0.25">
      <c r="A402">
        <v>3</v>
      </c>
      <c r="B402">
        <v>-7.4766355140186896E-2</v>
      </c>
      <c r="C402">
        <f t="shared" si="12"/>
        <v>1.1861422287826797</v>
      </c>
      <c r="D402">
        <v>0</v>
      </c>
      <c r="E402">
        <f t="shared" si="13"/>
        <v>3.8593787311575464E-2</v>
      </c>
    </row>
    <row r="403" spans="1:5" x14ac:dyDescent="0.25">
      <c r="A403">
        <v>3</v>
      </c>
      <c r="B403">
        <v>-7.4766355140186896E-2</v>
      </c>
      <c r="C403">
        <f t="shared" si="12"/>
        <v>1.1861422287826797</v>
      </c>
      <c r="D403">
        <v>0</v>
      </c>
      <c r="E403">
        <f t="shared" si="13"/>
        <v>3.8593787311575464E-2</v>
      </c>
    </row>
    <row r="404" spans="1:5" x14ac:dyDescent="0.25">
      <c r="A404">
        <v>3</v>
      </c>
      <c r="B404">
        <v>-7.4666666666666701E-2</v>
      </c>
      <c r="C404">
        <f t="shared" si="12"/>
        <v>1.1864047941020022</v>
      </c>
      <c r="D404">
        <v>0</v>
      </c>
      <c r="E404">
        <f t="shared" si="13"/>
        <v>3.8593787311575464E-2</v>
      </c>
    </row>
    <row r="405" spans="1:5" x14ac:dyDescent="0.25">
      <c r="A405">
        <v>3</v>
      </c>
      <c r="B405">
        <v>-7.4666666666666701E-2</v>
      </c>
      <c r="C405">
        <f t="shared" si="12"/>
        <v>1.1864047941020022</v>
      </c>
      <c r="D405">
        <v>0</v>
      </c>
      <c r="E405">
        <f t="shared" si="13"/>
        <v>3.8593787311575464E-2</v>
      </c>
    </row>
    <row r="406" spans="1:5" x14ac:dyDescent="0.25">
      <c r="A406">
        <v>3</v>
      </c>
      <c r="B406">
        <v>-7.4666666666666701E-2</v>
      </c>
      <c r="C406">
        <f t="shared" si="12"/>
        <v>1.1864047941020022</v>
      </c>
      <c r="D406">
        <v>0</v>
      </c>
      <c r="E406">
        <f t="shared" si="13"/>
        <v>3.8593787311575464E-2</v>
      </c>
    </row>
    <row r="407" spans="1:5" x14ac:dyDescent="0.25">
      <c r="A407">
        <v>3</v>
      </c>
      <c r="B407">
        <v>-7.4666666666666701E-2</v>
      </c>
      <c r="C407">
        <f t="shared" si="12"/>
        <v>1.1864047941020022</v>
      </c>
      <c r="D407">
        <v>0</v>
      </c>
      <c r="E407">
        <f t="shared" si="13"/>
        <v>3.8593787311575464E-2</v>
      </c>
    </row>
    <row r="408" spans="1:5" x14ac:dyDescent="0.25">
      <c r="A408">
        <v>3</v>
      </c>
      <c r="B408">
        <v>-7.4666666666666701E-2</v>
      </c>
      <c r="C408">
        <f t="shared" si="12"/>
        <v>1.1864047941020022</v>
      </c>
      <c r="D408">
        <v>0</v>
      </c>
      <c r="E408">
        <f t="shared" si="13"/>
        <v>3.8593787311575464E-2</v>
      </c>
    </row>
    <row r="409" spans="1:5" x14ac:dyDescent="0.25">
      <c r="A409">
        <v>3</v>
      </c>
      <c r="B409">
        <v>-7.4666666666666701E-2</v>
      </c>
      <c r="C409">
        <f t="shared" si="12"/>
        <v>1.1864047941020022</v>
      </c>
      <c r="D409">
        <v>0</v>
      </c>
      <c r="E409">
        <f t="shared" si="13"/>
        <v>3.8593787311575464E-2</v>
      </c>
    </row>
    <row r="410" spans="1:5" x14ac:dyDescent="0.25">
      <c r="A410">
        <v>3</v>
      </c>
      <c r="B410">
        <v>-7.4666666666666701E-2</v>
      </c>
      <c r="C410">
        <f t="shared" si="12"/>
        <v>1.1864047941020022</v>
      </c>
      <c r="D410">
        <v>0</v>
      </c>
      <c r="E410">
        <f t="shared" si="13"/>
        <v>3.8593787311575464E-2</v>
      </c>
    </row>
    <row r="411" spans="1:5" x14ac:dyDescent="0.25">
      <c r="A411">
        <v>3</v>
      </c>
      <c r="B411">
        <v>-7.4592074592074606E-2</v>
      </c>
      <c r="C411">
        <f t="shared" si="12"/>
        <v>1.1866011972605273</v>
      </c>
      <c r="D411">
        <v>0</v>
      </c>
      <c r="E411">
        <f t="shared" si="13"/>
        <v>3.8593787311575464E-2</v>
      </c>
    </row>
    <row r="412" spans="1:5" x14ac:dyDescent="0.25">
      <c r="A412">
        <v>3</v>
      </c>
      <c r="B412">
        <v>-7.3999999999999996E-2</v>
      </c>
      <c r="C412">
        <f t="shared" si="12"/>
        <v>1.1881582663829053</v>
      </c>
      <c r="D412">
        <v>0</v>
      </c>
      <c r="E412">
        <f t="shared" si="13"/>
        <v>3.8593787311575464E-2</v>
      </c>
    </row>
    <row r="413" spans="1:5" x14ac:dyDescent="0.25">
      <c r="A413">
        <v>3</v>
      </c>
      <c r="B413">
        <v>-7.2429906542056097E-2</v>
      </c>
      <c r="C413">
        <f t="shared" si="12"/>
        <v>1.1922710911907539</v>
      </c>
      <c r="D413">
        <v>0</v>
      </c>
      <c r="E413">
        <f t="shared" si="13"/>
        <v>3.8593787311575464E-2</v>
      </c>
    </row>
    <row r="414" spans="1:5" x14ac:dyDescent="0.25">
      <c r="A414">
        <v>3</v>
      </c>
      <c r="B414">
        <v>-7.2429906542056097E-2</v>
      </c>
      <c r="C414">
        <f t="shared" si="12"/>
        <v>1.1922710911907539</v>
      </c>
      <c r="D414">
        <v>0</v>
      </c>
      <c r="E414">
        <f t="shared" si="13"/>
        <v>3.8593787311575464E-2</v>
      </c>
    </row>
    <row r="415" spans="1:5" x14ac:dyDescent="0.25">
      <c r="A415">
        <v>3</v>
      </c>
      <c r="B415">
        <v>-7.2072072072072099E-2</v>
      </c>
      <c r="C415">
        <f t="shared" si="12"/>
        <v>1.1932050943970707</v>
      </c>
      <c r="D415">
        <v>0</v>
      </c>
      <c r="E415">
        <f t="shared" si="13"/>
        <v>3.8593787311575464E-2</v>
      </c>
    </row>
    <row r="416" spans="1:5" x14ac:dyDescent="0.25">
      <c r="A416">
        <v>3</v>
      </c>
      <c r="B416">
        <v>-7.2072072072072099E-2</v>
      </c>
      <c r="C416">
        <f t="shared" si="12"/>
        <v>1.1932050943970707</v>
      </c>
      <c r="D416">
        <v>0</v>
      </c>
      <c r="E416">
        <f t="shared" si="13"/>
        <v>3.8593787311575464E-2</v>
      </c>
    </row>
    <row r="417" spans="1:5" x14ac:dyDescent="0.25">
      <c r="A417">
        <v>3</v>
      </c>
      <c r="B417">
        <v>-7.1999999999999995E-2</v>
      </c>
      <c r="C417">
        <f t="shared" si="12"/>
        <v>1.1933930628750524</v>
      </c>
      <c r="D417">
        <v>0</v>
      </c>
      <c r="E417">
        <f t="shared" si="13"/>
        <v>3.8593787311575464E-2</v>
      </c>
    </row>
    <row r="418" spans="1:5" x14ac:dyDescent="0.25">
      <c r="A418">
        <v>3</v>
      </c>
      <c r="B418">
        <v>-7.1999999999999995E-2</v>
      </c>
      <c r="C418">
        <f t="shared" si="12"/>
        <v>1.1933930628750524</v>
      </c>
      <c r="D418">
        <v>0</v>
      </c>
      <c r="E418">
        <f t="shared" si="13"/>
        <v>3.8593787311575464E-2</v>
      </c>
    </row>
    <row r="419" spans="1:5" x14ac:dyDescent="0.25">
      <c r="A419">
        <v>3</v>
      </c>
      <c r="B419">
        <v>-7.1999999999999995E-2</v>
      </c>
      <c r="C419">
        <f t="shared" si="12"/>
        <v>1.1933930628750524</v>
      </c>
      <c r="D419">
        <v>0</v>
      </c>
      <c r="E419">
        <f t="shared" si="13"/>
        <v>3.8593787311575464E-2</v>
      </c>
    </row>
    <row r="420" spans="1:5" x14ac:dyDescent="0.25">
      <c r="A420">
        <v>3</v>
      </c>
      <c r="B420">
        <v>-7.1856287425149698E-2</v>
      </c>
      <c r="C420">
        <f t="shared" si="12"/>
        <v>1.1937677231219623</v>
      </c>
      <c r="D420">
        <v>0</v>
      </c>
      <c r="E420">
        <f t="shared" si="13"/>
        <v>3.8593787311575464E-2</v>
      </c>
    </row>
    <row r="421" spans="1:5" x14ac:dyDescent="0.25">
      <c r="A421">
        <v>3</v>
      </c>
      <c r="B421">
        <v>-7.0422535211267595E-2</v>
      </c>
      <c r="C421">
        <f t="shared" si="12"/>
        <v>1.1974944519580466</v>
      </c>
      <c r="D421">
        <v>0</v>
      </c>
      <c r="E421">
        <f t="shared" si="13"/>
        <v>3.8593787311575464E-2</v>
      </c>
    </row>
    <row r="422" spans="1:5" x14ac:dyDescent="0.25">
      <c r="A422">
        <v>3</v>
      </c>
      <c r="B422">
        <v>-7.0000000000000007E-2</v>
      </c>
      <c r="C422">
        <f t="shared" si="12"/>
        <v>1.1985888756161405</v>
      </c>
      <c r="D422">
        <v>0</v>
      </c>
      <c r="E422">
        <f t="shared" si="13"/>
        <v>3.8593787311575464E-2</v>
      </c>
    </row>
    <row r="423" spans="1:5" x14ac:dyDescent="0.25">
      <c r="A423">
        <v>3</v>
      </c>
      <c r="B423">
        <v>-6.9930069930069894E-2</v>
      </c>
      <c r="C423">
        <f t="shared" si="12"/>
        <v>1.1987698333177466</v>
      </c>
      <c r="D423">
        <v>0</v>
      </c>
      <c r="E423">
        <f t="shared" si="13"/>
        <v>3.8593787311575464E-2</v>
      </c>
    </row>
    <row r="424" spans="1:5" x14ac:dyDescent="0.25">
      <c r="A424">
        <v>3</v>
      </c>
      <c r="B424">
        <v>-6.9930069930069894E-2</v>
      </c>
      <c r="C424">
        <f t="shared" si="12"/>
        <v>1.1987698333177466</v>
      </c>
      <c r="D424">
        <v>0</v>
      </c>
      <c r="E424">
        <f t="shared" si="13"/>
        <v>3.8593787311575464E-2</v>
      </c>
    </row>
    <row r="425" spans="1:5" x14ac:dyDescent="0.25">
      <c r="A425">
        <v>3</v>
      </c>
      <c r="B425">
        <v>-6.9930069930069894E-2</v>
      </c>
      <c r="C425">
        <f t="shared" si="12"/>
        <v>1.1987698333177466</v>
      </c>
      <c r="D425">
        <v>0</v>
      </c>
      <c r="E425">
        <f t="shared" si="13"/>
        <v>3.8593787311575464E-2</v>
      </c>
    </row>
    <row r="426" spans="1:5" x14ac:dyDescent="0.25">
      <c r="A426">
        <v>3</v>
      </c>
      <c r="B426">
        <v>-6.9930069930069894E-2</v>
      </c>
      <c r="C426">
        <f t="shared" si="12"/>
        <v>1.1987698333177466</v>
      </c>
      <c r="D426">
        <v>0</v>
      </c>
      <c r="E426">
        <f t="shared" si="13"/>
        <v>3.8593787311575464E-2</v>
      </c>
    </row>
    <row r="427" spans="1:5" x14ac:dyDescent="0.25">
      <c r="A427">
        <v>3</v>
      </c>
      <c r="B427">
        <v>-6.9333333333333302E-2</v>
      </c>
      <c r="C427">
        <f t="shared" si="12"/>
        <v>1.2003120275416668</v>
      </c>
      <c r="D427">
        <v>0</v>
      </c>
      <c r="E427">
        <f t="shared" si="13"/>
        <v>3.8593787311575464E-2</v>
      </c>
    </row>
    <row r="428" spans="1:5" x14ac:dyDescent="0.25">
      <c r="A428">
        <v>3</v>
      </c>
      <c r="B428">
        <v>-6.9333333333333302E-2</v>
      </c>
      <c r="C428">
        <f t="shared" si="12"/>
        <v>1.2003120275416668</v>
      </c>
      <c r="D428">
        <v>0</v>
      </c>
      <c r="E428">
        <f t="shared" si="13"/>
        <v>3.8593787311575464E-2</v>
      </c>
    </row>
    <row r="429" spans="1:5" x14ac:dyDescent="0.25">
      <c r="A429">
        <v>3</v>
      </c>
      <c r="B429">
        <v>-6.9333333333333302E-2</v>
      </c>
      <c r="C429">
        <f t="shared" si="12"/>
        <v>1.2003120275416668</v>
      </c>
      <c r="D429">
        <v>0</v>
      </c>
      <c r="E429">
        <f t="shared" si="13"/>
        <v>3.8593787311575464E-2</v>
      </c>
    </row>
    <row r="430" spans="1:5" x14ac:dyDescent="0.25">
      <c r="A430">
        <v>3</v>
      </c>
      <c r="B430">
        <v>-6.9333333333333302E-2</v>
      </c>
      <c r="C430">
        <f t="shared" si="12"/>
        <v>1.2003120275416668</v>
      </c>
      <c r="D430">
        <v>0</v>
      </c>
      <c r="E430">
        <f t="shared" si="13"/>
        <v>3.8593787311575464E-2</v>
      </c>
    </row>
    <row r="431" spans="1:5" x14ac:dyDescent="0.25">
      <c r="A431">
        <v>3</v>
      </c>
      <c r="B431">
        <v>-6.9069069069069094E-2</v>
      </c>
      <c r="C431">
        <f t="shared" si="12"/>
        <v>1.2009938523550712</v>
      </c>
      <c r="D431">
        <v>0</v>
      </c>
      <c r="E431">
        <f t="shared" si="13"/>
        <v>3.8593787311575464E-2</v>
      </c>
    </row>
    <row r="432" spans="1:5" x14ac:dyDescent="0.25">
      <c r="A432">
        <v>3</v>
      </c>
      <c r="B432">
        <v>-6.9069069069069094E-2</v>
      </c>
      <c r="C432">
        <f t="shared" si="12"/>
        <v>1.2009938523550712</v>
      </c>
      <c r="D432">
        <v>0</v>
      </c>
      <c r="E432">
        <f t="shared" si="13"/>
        <v>3.8593787311575464E-2</v>
      </c>
    </row>
    <row r="433" spans="1:5" x14ac:dyDescent="0.25">
      <c r="A433">
        <v>3</v>
      </c>
      <c r="B433">
        <v>-6.9069069069069094E-2</v>
      </c>
      <c r="C433">
        <f t="shared" si="12"/>
        <v>1.2009938523550712</v>
      </c>
      <c r="D433">
        <v>0</v>
      </c>
      <c r="E433">
        <f t="shared" si="13"/>
        <v>3.8593787311575464E-2</v>
      </c>
    </row>
    <row r="434" spans="1:5" x14ac:dyDescent="0.25">
      <c r="A434">
        <v>3</v>
      </c>
      <c r="B434">
        <v>-6.8862275449101798E-2</v>
      </c>
      <c r="C434">
        <f t="shared" si="12"/>
        <v>1.2015269106609847</v>
      </c>
      <c r="D434">
        <v>0</v>
      </c>
      <c r="E434">
        <f t="shared" si="13"/>
        <v>3.8593787311575464E-2</v>
      </c>
    </row>
    <row r="435" spans="1:5" x14ac:dyDescent="0.25">
      <c r="A435">
        <v>3</v>
      </c>
      <c r="B435">
        <v>-6.8000000000000005E-2</v>
      </c>
      <c r="C435">
        <f t="shared" si="12"/>
        <v>1.2037449957925208</v>
      </c>
      <c r="D435">
        <v>0</v>
      </c>
      <c r="E435">
        <f t="shared" si="13"/>
        <v>3.8593787311575464E-2</v>
      </c>
    </row>
    <row r="436" spans="1:5" x14ac:dyDescent="0.25">
      <c r="A436">
        <v>3</v>
      </c>
      <c r="B436">
        <v>-6.75990675990676E-2</v>
      </c>
      <c r="C436">
        <f t="shared" si="12"/>
        <v>1.204773785207313</v>
      </c>
      <c r="D436">
        <v>0</v>
      </c>
      <c r="E436">
        <f t="shared" si="13"/>
        <v>3.8593787311575464E-2</v>
      </c>
    </row>
    <row r="437" spans="1:5" x14ac:dyDescent="0.25">
      <c r="A437">
        <v>3</v>
      </c>
      <c r="B437">
        <v>-6.75990675990676E-2</v>
      </c>
      <c r="C437">
        <f t="shared" si="12"/>
        <v>1.204773785207313</v>
      </c>
      <c r="D437">
        <v>0</v>
      </c>
      <c r="E437">
        <f t="shared" si="13"/>
        <v>3.8593787311575464E-2</v>
      </c>
    </row>
    <row r="438" spans="1:5" x14ac:dyDescent="0.25">
      <c r="A438">
        <v>3</v>
      </c>
      <c r="B438">
        <v>-6.6666666666666693E-2</v>
      </c>
      <c r="C438">
        <f t="shared" si="12"/>
        <v>1.2071600091900268</v>
      </c>
      <c r="D438">
        <v>0</v>
      </c>
      <c r="E438">
        <f t="shared" si="13"/>
        <v>3.8593787311575464E-2</v>
      </c>
    </row>
    <row r="439" spans="1:5" x14ac:dyDescent="0.25">
      <c r="A439">
        <v>3</v>
      </c>
      <c r="B439">
        <v>-6.6666666666666693E-2</v>
      </c>
      <c r="C439">
        <f t="shared" si="12"/>
        <v>1.2071600091900268</v>
      </c>
      <c r="D439">
        <v>0</v>
      </c>
      <c r="E439">
        <f t="shared" si="13"/>
        <v>3.8593787311575464E-2</v>
      </c>
    </row>
    <row r="440" spans="1:5" x14ac:dyDescent="0.25">
      <c r="A440">
        <v>3</v>
      </c>
      <c r="B440">
        <v>-6.6666666666666693E-2</v>
      </c>
      <c r="C440">
        <f t="shared" si="12"/>
        <v>1.2071600091900268</v>
      </c>
      <c r="D440">
        <v>0</v>
      </c>
      <c r="E440">
        <f t="shared" si="13"/>
        <v>3.8593787311575464E-2</v>
      </c>
    </row>
    <row r="441" spans="1:5" x14ac:dyDescent="0.25">
      <c r="A441">
        <v>3</v>
      </c>
      <c r="B441">
        <v>-6.6666666666666693E-2</v>
      </c>
      <c r="C441">
        <f t="shared" si="12"/>
        <v>1.2071600091900268</v>
      </c>
      <c r="D441">
        <v>0</v>
      </c>
      <c r="E441">
        <f t="shared" si="13"/>
        <v>3.8593787311575464E-2</v>
      </c>
    </row>
    <row r="442" spans="1:5" x14ac:dyDescent="0.25">
      <c r="A442">
        <v>3</v>
      </c>
      <c r="B442">
        <v>-6.6666666666666693E-2</v>
      </c>
      <c r="C442">
        <f t="shared" si="12"/>
        <v>1.2071600091900268</v>
      </c>
      <c r="D442">
        <v>0</v>
      </c>
      <c r="E442">
        <f t="shared" si="13"/>
        <v>3.8593787311575464E-2</v>
      </c>
    </row>
    <row r="443" spans="1:5" x14ac:dyDescent="0.25">
      <c r="A443">
        <v>3</v>
      </c>
      <c r="B443">
        <v>-6.6666666666666693E-2</v>
      </c>
      <c r="C443">
        <f t="shared" si="12"/>
        <v>1.2071600091900268</v>
      </c>
      <c r="D443">
        <v>0</v>
      </c>
      <c r="E443">
        <f t="shared" si="13"/>
        <v>3.8593787311575464E-2</v>
      </c>
    </row>
    <row r="444" spans="1:5" x14ac:dyDescent="0.25">
      <c r="A444">
        <v>3</v>
      </c>
      <c r="B444">
        <v>-6.6666666666666693E-2</v>
      </c>
      <c r="C444">
        <f t="shared" si="12"/>
        <v>1.2071600091900268</v>
      </c>
      <c r="D444">
        <v>0</v>
      </c>
      <c r="E444">
        <f t="shared" si="13"/>
        <v>3.8593787311575464E-2</v>
      </c>
    </row>
    <row r="445" spans="1:5" x14ac:dyDescent="0.25">
      <c r="A445">
        <v>3</v>
      </c>
      <c r="B445">
        <v>-6.6666666666666693E-2</v>
      </c>
      <c r="C445">
        <f t="shared" si="12"/>
        <v>1.2071600091900268</v>
      </c>
      <c r="D445">
        <v>0</v>
      </c>
      <c r="E445">
        <f t="shared" si="13"/>
        <v>3.8593787311575464E-2</v>
      </c>
    </row>
    <row r="446" spans="1:5" x14ac:dyDescent="0.25">
      <c r="A446">
        <v>3</v>
      </c>
      <c r="B446">
        <v>-6.6666666666666693E-2</v>
      </c>
      <c r="C446">
        <f t="shared" si="12"/>
        <v>1.2071600091900268</v>
      </c>
      <c r="D446">
        <v>0</v>
      </c>
      <c r="E446">
        <f t="shared" si="13"/>
        <v>3.8593787311575464E-2</v>
      </c>
    </row>
    <row r="447" spans="1:5" x14ac:dyDescent="0.25">
      <c r="A447">
        <v>3</v>
      </c>
      <c r="B447">
        <v>-6.6666666666666693E-2</v>
      </c>
      <c r="C447">
        <f t="shared" si="12"/>
        <v>1.2071600091900268</v>
      </c>
      <c r="D447">
        <v>0</v>
      </c>
      <c r="E447">
        <f t="shared" si="13"/>
        <v>3.8593787311575464E-2</v>
      </c>
    </row>
    <row r="448" spans="1:5" x14ac:dyDescent="0.25">
      <c r="A448">
        <v>3</v>
      </c>
      <c r="B448">
        <v>-6.6666666666666693E-2</v>
      </c>
      <c r="C448">
        <f t="shared" si="12"/>
        <v>1.2071600091900268</v>
      </c>
      <c r="D448">
        <v>0</v>
      </c>
      <c r="E448">
        <f t="shared" si="13"/>
        <v>3.8593787311575464E-2</v>
      </c>
    </row>
    <row r="449" spans="1:5" x14ac:dyDescent="0.25">
      <c r="A449">
        <v>3</v>
      </c>
      <c r="B449">
        <v>-6.6066066066066104E-2</v>
      </c>
      <c r="C449">
        <f t="shared" si="12"/>
        <v>1.2086923824518139</v>
      </c>
      <c r="D449">
        <v>0</v>
      </c>
      <c r="E449">
        <f t="shared" si="13"/>
        <v>3.8593787311575464E-2</v>
      </c>
    </row>
    <row r="450" spans="1:5" x14ac:dyDescent="0.25">
      <c r="A450">
        <v>3</v>
      </c>
      <c r="B450">
        <v>-6.6066066066066104E-2</v>
      </c>
      <c r="C450">
        <f t="shared" ref="C450:C513" si="14">_xlfn.NORM.DIST(B450, I$10,I$13,FALSE)</f>
        <v>1.2086923824518139</v>
      </c>
      <c r="D450">
        <v>0</v>
      </c>
      <c r="E450">
        <f t="shared" si="13"/>
        <v>3.8593787311575464E-2</v>
      </c>
    </row>
    <row r="451" spans="1:5" x14ac:dyDescent="0.25">
      <c r="A451">
        <v>3</v>
      </c>
      <c r="B451">
        <v>-6.6066066066066104E-2</v>
      </c>
      <c r="C451">
        <f t="shared" si="14"/>
        <v>1.2086923824518139</v>
      </c>
      <c r="D451">
        <v>0</v>
      </c>
      <c r="E451">
        <f t="shared" ref="E451:E514" si="15">_xlfn.NORM.DIST(D451, I$4,I$7,FALSE)</f>
        <v>3.8593787311575464E-2</v>
      </c>
    </row>
    <row r="452" spans="1:5" x14ac:dyDescent="0.25">
      <c r="A452">
        <v>3</v>
      </c>
      <c r="B452">
        <v>-6.6000000000000003E-2</v>
      </c>
      <c r="C452">
        <f t="shared" si="14"/>
        <v>1.2088607177002348</v>
      </c>
      <c r="D452">
        <v>0</v>
      </c>
      <c r="E452">
        <f t="shared" si="15"/>
        <v>3.8593787311575464E-2</v>
      </c>
    </row>
    <row r="453" spans="1:5" x14ac:dyDescent="0.25">
      <c r="A453">
        <v>3</v>
      </c>
      <c r="B453">
        <v>-6.6000000000000003E-2</v>
      </c>
      <c r="C453">
        <f t="shared" si="14"/>
        <v>1.2088607177002348</v>
      </c>
      <c r="D453">
        <v>0</v>
      </c>
      <c r="E453">
        <f t="shared" si="15"/>
        <v>3.8593787311575464E-2</v>
      </c>
    </row>
    <row r="454" spans="1:5" x14ac:dyDescent="0.25">
      <c r="A454">
        <v>3</v>
      </c>
      <c r="B454">
        <v>-6.6000000000000003E-2</v>
      </c>
      <c r="C454">
        <f t="shared" si="14"/>
        <v>1.2088607177002348</v>
      </c>
      <c r="D454">
        <v>0</v>
      </c>
      <c r="E454">
        <f t="shared" si="15"/>
        <v>3.8593787311575464E-2</v>
      </c>
    </row>
    <row r="455" spans="1:5" x14ac:dyDescent="0.25">
      <c r="A455">
        <v>3</v>
      </c>
      <c r="B455">
        <v>-6.5934065934065894E-2</v>
      </c>
      <c r="C455">
        <f t="shared" si="14"/>
        <v>1.209028671900203</v>
      </c>
      <c r="D455">
        <v>0</v>
      </c>
      <c r="E455">
        <f t="shared" si="15"/>
        <v>3.8593787311575464E-2</v>
      </c>
    </row>
    <row r="456" spans="1:5" x14ac:dyDescent="0.25">
      <c r="A456">
        <v>3</v>
      </c>
      <c r="B456">
        <v>-6.5868263473053898E-2</v>
      </c>
      <c r="C456">
        <f t="shared" si="14"/>
        <v>1.2091962463012922</v>
      </c>
      <c r="D456">
        <v>0</v>
      </c>
      <c r="E456">
        <f t="shared" si="15"/>
        <v>3.8593787311575464E-2</v>
      </c>
    </row>
    <row r="457" spans="1:5" x14ac:dyDescent="0.25">
      <c r="A457">
        <v>3</v>
      </c>
      <c r="B457">
        <v>-6.5868263473053898E-2</v>
      </c>
      <c r="C457">
        <f t="shared" si="14"/>
        <v>1.2091962463012922</v>
      </c>
      <c r="D457">
        <v>0</v>
      </c>
      <c r="E457">
        <f t="shared" si="15"/>
        <v>3.8593787311575464E-2</v>
      </c>
    </row>
    <row r="458" spans="1:5" x14ac:dyDescent="0.25">
      <c r="A458">
        <v>3</v>
      </c>
      <c r="B458">
        <v>-6.5868263473053898E-2</v>
      </c>
      <c r="C458">
        <f t="shared" si="14"/>
        <v>1.2091962463012922</v>
      </c>
      <c r="D458">
        <v>0</v>
      </c>
      <c r="E458">
        <f t="shared" si="15"/>
        <v>3.8593787311575464E-2</v>
      </c>
    </row>
    <row r="459" spans="1:5" x14ac:dyDescent="0.25">
      <c r="A459">
        <v>3</v>
      </c>
      <c r="B459">
        <v>-6.5420560747663503E-2</v>
      </c>
      <c r="C459">
        <f t="shared" si="14"/>
        <v>1.2103351949401204</v>
      </c>
      <c r="D459">
        <v>0</v>
      </c>
      <c r="E459">
        <f t="shared" si="15"/>
        <v>3.8593787311575464E-2</v>
      </c>
    </row>
    <row r="460" spans="1:5" x14ac:dyDescent="0.25">
      <c r="A460">
        <v>3</v>
      </c>
      <c r="B460">
        <v>-6.5268065268065306E-2</v>
      </c>
      <c r="C460">
        <f t="shared" si="14"/>
        <v>1.2107226688626704</v>
      </c>
      <c r="D460">
        <v>0</v>
      </c>
      <c r="E460">
        <f t="shared" si="15"/>
        <v>3.8593787311575464E-2</v>
      </c>
    </row>
    <row r="461" spans="1:5" x14ac:dyDescent="0.25">
      <c r="A461">
        <v>3</v>
      </c>
      <c r="B461">
        <v>-6.5268065268065306E-2</v>
      </c>
      <c r="C461">
        <f t="shared" si="14"/>
        <v>1.2107226688626704</v>
      </c>
      <c r="D461">
        <v>0</v>
      </c>
      <c r="E461">
        <f t="shared" si="15"/>
        <v>3.8593787311575464E-2</v>
      </c>
    </row>
    <row r="462" spans="1:5" x14ac:dyDescent="0.25">
      <c r="A462">
        <v>3</v>
      </c>
      <c r="B462">
        <v>-6.4000000000000001E-2</v>
      </c>
      <c r="C462">
        <f t="shared" si="14"/>
        <v>1.2139353389048249</v>
      </c>
      <c r="D462">
        <v>0</v>
      </c>
      <c r="E462">
        <f t="shared" si="15"/>
        <v>3.8593787311575464E-2</v>
      </c>
    </row>
    <row r="463" spans="1:5" x14ac:dyDescent="0.25">
      <c r="A463">
        <v>3</v>
      </c>
      <c r="B463">
        <v>-6.4000000000000001E-2</v>
      </c>
      <c r="C463">
        <f t="shared" si="14"/>
        <v>1.2139353389048249</v>
      </c>
      <c r="D463">
        <v>0</v>
      </c>
      <c r="E463">
        <f t="shared" si="15"/>
        <v>3.8593787311575464E-2</v>
      </c>
    </row>
    <row r="464" spans="1:5" x14ac:dyDescent="0.25">
      <c r="A464">
        <v>3</v>
      </c>
      <c r="B464">
        <v>-6.3333333333333297E-2</v>
      </c>
      <c r="C464">
        <f t="shared" si="14"/>
        <v>1.2156176248991941</v>
      </c>
      <c r="D464">
        <v>0</v>
      </c>
      <c r="E464">
        <f t="shared" si="15"/>
        <v>3.8593787311575464E-2</v>
      </c>
    </row>
    <row r="465" spans="1:5" x14ac:dyDescent="0.25">
      <c r="A465">
        <v>3</v>
      </c>
      <c r="B465">
        <v>-6.3084112149532703E-2</v>
      </c>
      <c r="C465">
        <f t="shared" si="14"/>
        <v>1.2162453189648084</v>
      </c>
      <c r="D465">
        <v>0</v>
      </c>
      <c r="E465">
        <f t="shared" si="15"/>
        <v>3.8593787311575464E-2</v>
      </c>
    </row>
    <row r="466" spans="1:5" x14ac:dyDescent="0.25">
      <c r="A466">
        <v>3</v>
      </c>
      <c r="B466">
        <v>-6.3084112149532703E-2</v>
      </c>
      <c r="C466">
        <f t="shared" si="14"/>
        <v>1.2162453189648084</v>
      </c>
      <c r="D466">
        <v>0</v>
      </c>
      <c r="E466">
        <f t="shared" si="15"/>
        <v>3.8593787311575464E-2</v>
      </c>
    </row>
    <row r="467" spans="1:5" x14ac:dyDescent="0.25">
      <c r="A467">
        <v>3</v>
      </c>
      <c r="B467">
        <v>-6.3063063063063099E-2</v>
      </c>
      <c r="C467">
        <f t="shared" si="14"/>
        <v>1.216298303733589</v>
      </c>
      <c r="D467">
        <v>0</v>
      </c>
      <c r="E467">
        <f t="shared" si="15"/>
        <v>3.8593787311575464E-2</v>
      </c>
    </row>
    <row r="468" spans="1:5" x14ac:dyDescent="0.25">
      <c r="A468">
        <v>3</v>
      </c>
      <c r="B468">
        <v>-6.3063063063063099E-2</v>
      </c>
      <c r="C468">
        <f t="shared" si="14"/>
        <v>1.216298303733589</v>
      </c>
      <c r="D468">
        <v>0</v>
      </c>
      <c r="E468">
        <f t="shared" si="15"/>
        <v>3.8593787311575464E-2</v>
      </c>
    </row>
    <row r="469" spans="1:5" x14ac:dyDescent="0.25">
      <c r="A469">
        <v>3</v>
      </c>
      <c r="B469">
        <v>-6.3063063063063099E-2</v>
      </c>
      <c r="C469">
        <f t="shared" si="14"/>
        <v>1.216298303733589</v>
      </c>
      <c r="D469">
        <v>0</v>
      </c>
      <c r="E469">
        <f t="shared" si="15"/>
        <v>3.8593787311575464E-2</v>
      </c>
    </row>
    <row r="470" spans="1:5" x14ac:dyDescent="0.25">
      <c r="A470">
        <v>3</v>
      </c>
      <c r="B470">
        <v>-6.2874251497005998E-2</v>
      </c>
      <c r="C470">
        <f t="shared" si="14"/>
        <v>1.2167733715340368</v>
      </c>
      <c r="D470">
        <v>0</v>
      </c>
      <c r="E470">
        <f t="shared" si="15"/>
        <v>3.8593787311575464E-2</v>
      </c>
    </row>
    <row r="471" spans="1:5" x14ac:dyDescent="0.25">
      <c r="A471">
        <v>3</v>
      </c>
      <c r="B471">
        <v>-6.2874251497005998E-2</v>
      </c>
      <c r="C471">
        <f t="shared" si="14"/>
        <v>1.2167733715340368</v>
      </c>
      <c r="D471">
        <v>0</v>
      </c>
      <c r="E471">
        <f t="shared" si="15"/>
        <v>3.8593787311575464E-2</v>
      </c>
    </row>
    <row r="472" spans="1:5" x14ac:dyDescent="0.25">
      <c r="A472">
        <v>3</v>
      </c>
      <c r="B472">
        <v>-6.25E-2</v>
      </c>
      <c r="C472">
        <f t="shared" si="14"/>
        <v>1.2177139118430342</v>
      </c>
      <c r="D472">
        <v>0</v>
      </c>
      <c r="E472">
        <f t="shared" si="15"/>
        <v>3.8593787311575464E-2</v>
      </c>
    </row>
    <row r="473" spans="1:5" x14ac:dyDescent="0.25">
      <c r="A473">
        <v>3</v>
      </c>
      <c r="B473">
        <v>-6.2E-2</v>
      </c>
      <c r="C473">
        <f t="shared" si="14"/>
        <v>1.218968160400979</v>
      </c>
      <c r="D473">
        <v>0</v>
      </c>
      <c r="E473">
        <f t="shared" si="15"/>
        <v>3.8593787311575464E-2</v>
      </c>
    </row>
    <row r="474" spans="1:5" x14ac:dyDescent="0.25">
      <c r="A474">
        <v>3</v>
      </c>
      <c r="B474">
        <v>-6.1333333333333302E-2</v>
      </c>
      <c r="C474">
        <f t="shared" si="14"/>
        <v>1.2206363584403486</v>
      </c>
      <c r="D474">
        <v>0</v>
      </c>
      <c r="E474">
        <f t="shared" si="15"/>
        <v>3.8593787311575464E-2</v>
      </c>
    </row>
    <row r="475" spans="1:5" x14ac:dyDescent="0.25">
      <c r="A475">
        <v>3</v>
      </c>
      <c r="B475">
        <v>-6.1333333333333302E-2</v>
      </c>
      <c r="C475">
        <f t="shared" si="14"/>
        <v>1.2206363584403486</v>
      </c>
      <c r="D475">
        <v>0</v>
      </c>
      <c r="E475">
        <f t="shared" si="15"/>
        <v>3.8593787311575464E-2</v>
      </c>
    </row>
    <row r="476" spans="1:5" x14ac:dyDescent="0.25">
      <c r="A476">
        <v>3</v>
      </c>
      <c r="B476">
        <v>-6.0060060060060101E-2</v>
      </c>
      <c r="C476">
        <f t="shared" si="14"/>
        <v>1.2238092526493367</v>
      </c>
      <c r="D476">
        <v>0</v>
      </c>
      <c r="E476">
        <f t="shared" si="15"/>
        <v>3.8593787311575464E-2</v>
      </c>
    </row>
    <row r="477" spans="1:5" x14ac:dyDescent="0.25">
      <c r="A477">
        <v>3</v>
      </c>
      <c r="B477">
        <v>-6.0060060060060101E-2</v>
      </c>
      <c r="C477">
        <f t="shared" si="14"/>
        <v>1.2238092526493367</v>
      </c>
      <c r="D477">
        <v>0</v>
      </c>
      <c r="E477">
        <f t="shared" si="15"/>
        <v>3.8593787311575464E-2</v>
      </c>
    </row>
    <row r="478" spans="1:5" x14ac:dyDescent="0.25">
      <c r="A478">
        <v>3</v>
      </c>
      <c r="B478">
        <v>-0.06</v>
      </c>
      <c r="C478">
        <f t="shared" si="14"/>
        <v>1.2239584867719611</v>
      </c>
      <c r="D478">
        <v>0</v>
      </c>
      <c r="E478">
        <f t="shared" si="15"/>
        <v>3.8593787311575464E-2</v>
      </c>
    </row>
    <row r="479" spans="1:5" x14ac:dyDescent="0.25">
      <c r="A479">
        <v>3</v>
      </c>
      <c r="B479">
        <v>-5.9880239520958098E-2</v>
      </c>
      <c r="C479">
        <f t="shared" si="14"/>
        <v>1.2242559451247814</v>
      </c>
      <c r="D479">
        <v>0</v>
      </c>
      <c r="E479">
        <f t="shared" si="15"/>
        <v>3.8593787311575464E-2</v>
      </c>
    </row>
    <row r="480" spans="1:5" x14ac:dyDescent="0.25">
      <c r="A480">
        <v>3</v>
      </c>
      <c r="B480">
        <v>-5.9701492537313397E-2</v>
      </c>
      <c r="C480">
        <f t="shared" si="14"/>
        <v>1.2246996244513726</v>
      </c>
      <c r="D480">
        <v>0</v>
      </c>
      <c r="E480">
        <f t="shared" si="15"/>
        <v>3.8593787311575464E-2</v>
      </c>
    </row>
    <row r="481" spans="1:5" x14ac:dyDescent="0.25">
      <c r="A481">
        <v>3</v>
      </c>
      <c r="B481">
        <v>-5.86666666666667E-2</v>
      </c>
      <c r="C481">
        <f t="shared" si="14"/>
        <v>1.2272614208924499</v>
      </c>
      <c r="D481">
        <v>0</v>
      </c>
      <c r="E481">
        <f t="shared" si="15"/>
        <v>3.8593787311575464E-2</v>
      </c>
    </row>
    <row r="482" spans="1:5" x14ac:dyDescent="0.25">
      <c r="A482">
        <v>3</v>
      </c>
      <c r="B482">
        <v>-5.86666666666667E-2</v>
      </c>
      <c r="C482">
        <f t="shared" si="14"/>
        <v>1.2272614208924499</v>
      </c>
      <c r="D482">
        <v>0</v>
      </c>
      <c r="E482">
        <f t="shared" si="15"/>
        <v>3.8593787311575464E-2</v>
      </c>
    </row>
    <row r="483" spans="1:5" x14ac:dyDescent="0.25">
      <c r="A483">
        <v>3</v>
      </c>
      <c r="B483">
        <v>-5.86666666666667E-2</v>
      </c>
      <c r="C483">
        <f t="shared" si="14"/>
        <v>1.2272614208924499</v>
      </c>
      <c r="D483">
        <v>0</v>
      </c>
      <c r="E483">
        <f t="shared" si="15"/>
        <v>3.8593787311575464E-2</v>
      </c>
    </row>
    <row r="484" spans="1:5" x14ac:dyDescent="0.25">
      <c r="A484">
        <v>3</v>
      </c>
      <c r="B484">
        <v>-5.86666666666667E-2</v>
      </c>
      <c r="C484">
        <f t="shared" si="14"/>
        <v>1.2272614208924499</v>
      </c>
      <c r="D484">
        <v>0</v>
      </c>
      <c r="E484">
        <f t="shared" si="15"/>
        <v>3.8593787311575464E-2</v>
      </c>
    </row>
    <row r="485" spans="1:5" x14ac:dyDescent="0.25">
      <c r="A485">
        <v>3</v>
      </c>
      <c r="B485">
        <v>-5.8411214953271E-2</v>
      </c>
      <c r="C485">
        <f t="shared" si="14"/>
        <v>1.2278920180331945</v>
      </c>
      <c r="D485">
        <v>0</v>
      </c>
      <c r="E485">
        <f t="shared" si="15"/>
        <v>3.8593787311575464E-2</v>
      </c>
    </row>
    <row r="486" spans="1:5" x14ac:dyDescent="0.25">
      <c r="A486">
        <v>3</v>
      </c>
      <c r="B486">
        <v>-5.83333333333333E-2</v>
      </c>
      <c r="C486">
        <f t="shared" si="14"/>
        <v>1.2280841314058184</v>
      </c>
      <c r="D486">
        <v>0</v>
      </c>
      <c r="E486">
        <f t="shared" si="15"/>
        <v>3.8593787311575464E-2</v>
      </c>
    </row>
    <row r="487" spans="1:5" x14ac:dyDescent="0.25">
      <c r="A487">
        <v>3</v>
      </c>
      <c r="B487">
        <v>-5.82750582750583E-2</v>
      </c>
      <c r="C487">
        <f t="shared" si="14"/>
        <v>1.2282278371725077</v>
      </c>
      <c r="D487">
        <v>0</v>
      </c>
      <c r="E487">
        <f t="shared" si="15"/>
        <v>3.8593787311575464E-2</v>
      </c>
    </row>
    <row r="488" spans="1:5" x14ac:dyDescent="0.25">
      <c r="A488">
        <v>3</v>
      </c>
      <c r="B488">
        <v>-5.82750582750583E-2</v>
      </c>
      <c r="C488">
        <f t="shared" si="14"/>
        <v>1.2282278371725077</v>
      </c>
      <c r="D488">
        <v>0</v>
      </c>
      <c r="E488">
        <f t="shared" si="15"/>
        <v>3.8593787311575464E-2</v>
      </c>
    </row>
    <row r="489" spans="1:5" x14ac:dyDescent="0.25">
      <c r="A489">
        <v>3</v>
      </c>
      <c r="B489">
        <v>-5.8000000000000003E-2</v>
      </c>
      <c r="C489">
        <f t="shared" si="14"/>
        <v>1.2289056263487776</v>
      </c>
      <c r="D489">
        <v>0</v>
      </c>
      <c r="E489">
        <f t="shared" si="15"/>
        <v>3.8593787311575464E-2</v>
      </c>
    </row>
    <row r="490" spans="1:5" x14ac:dyDescent="0.25">
      <c r="A490">
        <v>3</v>
      </c>
      <c r="B490">
        <v>-5.7057057057057103E-2</v>
      </c>
      <c r="C490">
        <f t="shared" si="14"/>
        <v>1.2312228842668858</v>
      </c>
      <c r="D490">
        <v>0</v>
      </c>
      <c r="E490">
        <f t="shared" si="15"/>
        <v>3.8593787311575464E-2</v>
      </c>
    </row>
    <row r="491" spans="1:5" x14ac:dyDescent="0.25">
      <c r="A491">
        <v>3</v>
      </c>
      <c r="B491">
        <v>-5.7057057057057103E-2</v>
      </c>
      <c r="C491">
        <f t="shared" si="14"/>
        <v>1.2312228842668858</v>
      </c>
      <c r="D491">
        <v>0</v>
      </c>
      <c r="E491">
        <f t="shared" si="15"/>
        <v>3.8593787311575464E-2</v>
      </c>
    </row>
    <row r="492" spans="1:5" x14ac:dyDescent="0.25">
      <c r="A492">
        <v>3</v>
      </c>
      <c r="B492">
        <v>-5.7057057057057103E-2</v>
      </c>
      <c r="C492">
        <f t="shared" si="14"/>
        <v>1.2312228842668858</v>
      </c>
      <c r="D492">
        <v>0</v>
      </c>
      <c r="E492">
        <f t="shared" si="15"/>
        <v>3.8593787311575464E-2</v>
      </c>
    </row>
    <row r="493" spans="1:5" x14ac:dyDescent="0.25">
      <c r="A493">
        <v>3</v>
      </c>
      <c r="B493">
        <v>-5.7057057057057103E-2</v>
      </c>
      <c r="C493">
        <f t="shared" si="14"/>
        <v>1.2312228842668858</v>
      </c>
      <c r="D493">
        <v>0</v>
      </c>
      <c r="E493">
        <f t="shared" si="15"/>
        <v>3.8593787311575464E-2</v>
      </c>
    </row>
    <row r="494" spans="1:5" x14ac:dyDescent="0.25">
      <c r="A494">
        <v>3</v>
      </c>
      <c r="B494">
        <v>-5.7057057057057103E-2</v>
      </c>
      <c r="C494">
        <f t="shared" si="14"/>
        <v>1.2312228842668858</v>
      </c>
      <c r="D494">
        <v>0</v>
      </c>
      <c r="E494">
        <f t="shared" si="15"/>
        <v>3.8593787311575464E-2</v>
      </c>
    </row>
    <row r="495" spans="1:5" x14ac:dyDescent="0.25">
      <c r="A495">
        <v>3</v>
      </c>
      <c r="B495">
        <v>-5.6886227544910198E-2</v>
      </c>
      <c r="C495">
        <f t="shared" si="14"/>
        <v>1.2316416443114577</v>
      </c>
      <c r="D495">
        <v>0</v>
      </c>
      <c r="E495">
        <f t="shared" si="15"/>
        <v>3.8593787311575464E-2</v>
      </c>
    </row>
    <row r="496" spans="1:5" x14ac:dyDescent="0.25">
      <c r="A496">
        <v>3</v>
      </c>
      <c r="B496">
        <v>-5.6000000000000001E-2</v>
      </c>
      <c r="C496">
        <f t="shared" si="14"/>
        <v>1.2338088913690237</v>
      </c>
      <c r="D496">
        <v>0</v>
      </c>
      <c r="E496">
        <f t="shared" si="15"/>
        <v>3.8593787311575464E-2</v>
      </c>
    </row>
    <row r="497" spans="1:5" x14ac:dyDescent="0.25">
      <c r="A497">
        <v>3</v>
      </c>
      <c r="B497">
        <v>-5.6000000000000001E-2</v>
      </c>
      <c r="C497">
        <f t="shared" si="14"/>
        <v>1.2338088913690237</v>
      </c>
      <c r="D497">
        <v>0</v>
      </c>
      <c r="E497">
        <f t="shared" si="15"/>
        <v>3.8593787311575464E-2</v>
      </c>
    </row>
    <row r="498" spans="1:5" x14ac:dyDescent="0.25">
      <c r="A498">
        <v>3</v>
      </c>
      <c r="B498">
        <v>-5.6000000000000001E-2</v>
      </c>
      <c r="C498">
        <f t="shared" si="14"/>
        <v>1.2338088913690237</v>
      </c>
      <c r="D498">
        <v>1</v>
      </c>
      <c r="E498">
        <f t="shared" si="15"/>
        <v>4.0615477118338829E-2</v>
      </c>
    </row>
    <row r="499" spans="1:5" x14ac:dyDescent="0.25">
      <c r="A499">
        <v>3</v>
      </c>
      <c r="B499">
        <v>-5.6000000000000001E-2</v>
      </c>
      <c r="C499">
        <f t="shared" si="14"/>
        <v>1.2338088913690237</v>
      </c>
      <c r="D499">
        <v>1</v>
      </c>
      <c r="E499">
        <f t="shared" si="15"/>
        <v>4.0615477118338829E-2</v>
      </c>
    </row>
    <row r="500" spans="1:5" x14ac:dyDescent="0.25">
      <c r="A500">
        <v>3</v>
      </c>
      <c r="B500">
        <v>-5.6000000000000001E-2</v>
      </c>
      <c r="C500">
        <f t="shared" si="14"/>
        <v>1.2338088913690237</v>
      </c>
      <c r="D500">
        <v>1</v>
      </c>
      <c r="E500">
        <f t="shared" si="15"/>
        <v>4.0615477118338829E-2</v>
      </c>
    </row>
    <row r="501" spans="1:5" x14ac:dyDescent="0.25">
      <c r="A501">
        <v>3</v>
      </c>
      <c r="B501">
        <v>-5.5944055944055902E-2</v>
      </c>
      <c r="C501">
        <f t="shared" si="14"/>
        <v>1.2339454081860872</v>
      </c>
      <c r="D501">
        <v>1</v>
      </c>
      <c r="E501">
        <f t="shared" si="15"/>
        <v>4.0615477118338829E-2</v>
      </c>
    </row>
    <row r="502" spans="1:5" x14ac:dyDescent="0.25">
      <c r="A502">
        <v>3</v>
      </c>
      <c r="B502">
        <v>-5.5555555555555601E-2</v>
      </c>
      <c r="C502">
        <f t="shared" si="14"/>
        <v>1.2348924786872082</v>
      </c>
      <c r="D502">
        <v>1</v>
      </c>
      <c r="E502">
        <f t="shared" si="15"/>
        <v>4.0615477118338829E-2</v>
      </c>
    </row>
    <row r="503" spans="1:5" x14ac:dyDescent="0.25">
      <c r="A503">
        <v>3</v>
      </c>
      <c r="B503">
        <v>-5.4054054054054099E-2</v>
      </c>
      <c r="C503">
        <f t="shared" si="14"/>
        <v>1.2385368734858722</v>
      </c>
      <c r="D503">
        <v>1</v>
      </c>
      <c r="E503">
        <f t="shared" si="15"/>
        <v>4.0615477118338829E-2</v>
      </c>
    </row>
    <row r="504" spans="1:5" x14ac:dyDescent="0.25">
      <c r="A504">
        <v>3</v>
      </c>
      <c r="B504">
        <v>-5.4054054054054099E-2</v>
      </c>
      <c r="C504">
        <f t="shared" si="14"/>
        <v>1.2385368734858722</v>
      </c>
      <c r="D504">
        <v>1</v>
      </c>
      <c r="E504">
        <f t="shared" si="15"/>
        <v>4.0615477118338829E-2</v>
      </c>
    </row>
    <row r="505" spans="1:5" x14ac:dyDescent="0.25">
      <c r="A505">
        <v>3</v>
      </c>
      <c r="B505">
        <v>-5.4054054054054099E-2</v>
      </c>
      <c r="C505">
        <f t="shared" si="14"/>
        <v>1.2385368734858722</v>
      </c>
      <c r="D505">
        <v>1</v>
      </c>
      <c r="E505">
        <f t="shared" si="15"/>
        <v>4.0615477118338829E-2</v>
      </c>
    </row>
    <row r="506" spans="1:5" x14ac:dyDescent="0.25">
      <c r="A506">
        <v>3</v>
      </c>
      <c r="B506">
        <v>-5.4054054054054099E-2</v>
      </c>
      <c r="C506">
        <f t="shared" si="14"/>
        <v>1.2385368734858722</v>
      </c>
      <c r="D506">
        <v>1</v>
      </c>
      <c r="E506">
        <f t="shared" si="15"/>
        <v>4.0615477118338829E-2</v>
      </c>
    </row>
    <row r="507" spans="1:5" x14ac:dyDescent="0.25">
      <c r="A507">
        <v>3</v>
      </c>
      <c r="B507">
        <v>-5.4054054054054099E-2</v>
      </c>
      <c r="C507">
        <f t="shared" si="14"/>
        <v>1.2385368734858722</v>
      </c>
      <c r="D507">
        <v>1</v>
      </c>
      <c r="E507">
        <f t="shared" si="15"/>
        <v>4.0615477118338829E-2</v>
      </c>
    </row>
    <row r="508" spans="1:5" x14ac:dyDescent="0.25">
      <c r="A508">
        <v>3</v>
      </c>
      <c r="B508">
        <v>-5.4054054054054099E-2</v>
      </c>
      <c r="C508">
        <f t="shared" si="14"/>
        <v>1.2385368734858722</v>
      </c>
      <c r="D508">
        <v>1</v>
      </c>
      <c r="E508">
        <f t="shared" si="15"/>
        <v>4.0615477118338829E-2</v>
      </c>
    </row>
    <row r="509" spans="1:5" x14ac:dyDescent="0.25">
      <c r="A509">
        <v>3</v>
      </c>
      <c r="B509">
        <v>-5.4054054054054099E-2</v>
      </c>
      <c r="C509">
        <f t="shared" si="14"/>
        <v>1.2385368734858722</v>
      </c>
      <c r="D509">
        <v>1</v>
      </c>
      <c r="E509">
        <f t="shared" si="15"/>
        <v>4.0615477118338829E-2</v>
      </c>
    </row>
    <row r="510" spans="1:5" x14ac:dyDescent="0.25">
      <c r="A510">
        <v>3</v>
      </c>
      <c r="B510">
        <v>-5.3999999999999999E-2</v>
      </c>
      <c r="C510">
        <f t="shared" si="14"/>
        <v>1.238667598135367</v>
      </c>
      <c r="D510">
        <v>1</v>
      </c>
      <c r="E510">
        <f t="shared" si="15"/>
        <v>4.0615477118338829E-2</v>
      </c>
    </row>
    <row r="511" spans="1:5" x14ac:dyDescent="0.25">
      <c r="A511">
        <v>3</v>
      </c>
      <c r="B511">
        <v>-5.3999999999999999E-2</v>
      </c>
      <c r="C511">
        <f t="shared" si="14"/>
        <v>1.238667598135367</v>
      </c>
      <c r="D511">
        <v>1</v>
      </c>
      <c r="E511">
        <f t="shared" si="15"/>
        <v>4.0615477118338829E-2</v>
      </c>
    </row>
    <row r="512" spans="1:5" x14ac:dyDescent="0.25">
      <c r="A512">
        <v>3</v>
      </c>
      <c r="B512">
        <v>-5.3892215568862298E-2</v>
      </c>
      <c r="C512">
        <f t="shared" si="14"/>
        <v>1.2389281659990088</v>
      </c>
      <c r="D512">
        <v>1</v>
      </c>
      <c r="E512">
        <f t="shared" si="15"/>
        <v>4.0615477118338829E-2</v>
      </c>
    </row>
    <row r="513" spans="1:5" x14ac:dyDescent="0.25">
      <c r="A513">
        <v>3</v>
      </c>
      <c r="B513">
        <v>-5.3738317757009303E-2</v>
      </c>
      <c r="C513">
        <f t="shared" si="14"/>
        <v>1.2392999845929786</v>
      </c>
      <c r="D513">
        <v>1</v>
      </c>
      <c r="E513">
        <f t="shared" si="15"/>
        <v>4.0615477118338829E-2</v>
      </c>
    </row>
    <row r="514" spans="1:5" x14ac:dyDescent="0.25">
      <c r="A514">
        <v>3</v>
      </c>
      <c r="B514">
        <v>-5.3613053613053602E-2</v>
      </c>
      <c r="C514">
        <f t="shared" ref="C514:C577" si="16">_xlfn.NORM.DIST(B514, I$10,I$13,FALSE)</f>
        <v>1.2396024258554923</v>
      </c>
      <c r="D514">
        <v>1</v>
      </c>
      <c r="E514">
        <f t="shared" si="15"/>
        <v>4.0615477118338829E-2</v>
      </c>
    </row>
    <row r="515" spans="1:5" x14ac:dyDescent="0.25">
      <c r="A515">
        <v>3</v>
      </c>
      <c r="B515">
        <v>-5.3613053613053602E-2</v>
      </c>
      <c r="C515">
        <f t="shared" si="16"/>
        <v>1.2396024258554923</v>
      </c>
      <c r="D515">
        <v>1</v>
      </c>
      <c r="E515">
        <f t="shared" ref="E515:E578" si="17">_xlfn.NORM.DIST(D515, I$4,I$7,FALSE)</f>
        <v>4.0615477118338829E-2</v>
      </c>
    </row>
    <row r="516" spans="1:5" x14ac:dyDescent="0.25">
      <c r="A516">
        <v>3</v>
      </c>
      <c r="B516">
        <v>-5.3613053613053602E-2</v>
      </c>
      <c r="C516">
        <f t="shared" si="16"/>
        <v>1.2396024258554923</v>
      </c>
      <c r="D516">
        <v>1</v>
      </c>
      <c r="E516">
        <f t="shared" si="17"/>
        <v>4.0615477118338829E-2</v>
      </c>
    </row>
    <row r="517" spans="1:5" x14ac:dyDescent="0.25">
      <c r="A517">
        <v>3</v>
      </c>
      <c r="B517">
        <v>-5.3613053613053602E-2</v>
      </c>
      <c r="C517">
        <f t="shared" si="16"/>
        <v>1.2396024258554923</v>
      </c>
      <c r="D517">
        <v>1</v>
      </c>
      <c r="E517">
        <f t="shared" si="17"/>
        <v>4.0615477118338829E-2</v>
      </c>
    </row>
    <row r="518" spans="1:5" x14ac:dyDescent="0.25">
      <c r="A518">
        <v>3</v>
      </c>
      <c r="B518">
        <v>-5.3613053613053602E-2</v>
      </c>
      <c r="C518">
        <f t="shared" si="16"/>
        <v>1.2396024258554923</v>
      </c>
      <c r="D518">
        <v>1</v>
      </c>
      <c r="E518">
        <f t="shared" si="17"/>
        <v>4.0615477118338829E-2</v>
      </c>
    </row>
    <row r="519" spans="1:5" x14ac:dyDescent="0.25">
      <c r="A519">
        <v>3</v>
      </c>
      <c r="B519">
        <v>-5.3333333333333302E-2</v>
      </c>
      <c r="C519">
        <f t="shared" si="16"/>
        <v>1.2402771476586125</v>
      </c>
      <c r="D519">
        <v>1</v>
      </c>
      <c r="E519">
        <f t="shared" si="17"/>
        <v>4.0615477118338829E-2</v>
      </c>
    </row>
    <row r="520" spans="1:5" x14ac:dyDescent="0.25">
      <c r="A520">
        <v>3</v>
      </c>
      <c r="B520">
        <v>-5.3333333333333302E-2</v>
      </c>
      <c r="C520">
        <f t="shared" si="16"/>
        <v>1.2402771476586125</v>
      </c>
      <c r="D520">
        <v>1</v>
      </c>
      <c r="E520">
        <f t="shared" si="17"/>
        <v>4.0615477118338829E-2</v>
      </c>
    </row>
    <row r="521" spans="1:5" x14ac:dyDescent="0.25">
      <c r="A521">
        <v>3</v>
      </c>
      <c r="B521">
        <v>-5.3333333333333302E-2</v>
      </c>
      <c r="C521">
        <f t="shared" si="16"/>
        <v>1.2402771476586125</v>
      </c>
      <c r="D521">
        <v>1</v>
      </c>
      <c r="E521">
        <f t="shared" si="17"/>
        <v>4.0615477118338829E-2</v>
      </c>
    </row>
    <row r="522" spans="1:5" x14ac:dyDescent="0.25">
      <c r="A522">
        <v>3</v>
      </c>
      <c r="B522">
        <v>-5.3333333333333302E-2</v>
      </c>
      <c r="C522">
        <f t="shared" si="16"/>
        <v>1.2402771476586125</v>
      </c>
      <c r="D522">
        <v>1</v>
      </c>
      <c r="E522">
        <f t="shared" si="17"/>
        <v>4.0615477118338829E-2</v>
      </c>
    </row>
    <row r="523" spans="1:5" x14ac:dyDescent="0.25">
      <c r="A523">
        <v>3</v>
      </c>
      <c r="B523">
        <v>-5.1999999999999998E-2</v>
      </c>
      <c r="C523">
        <f t="shared" si="16"/>
        <v>1.2434810671736092</v>
      </c>
      <c r="D523">
        <v>1</v>
      </c>
      <c r="E523">
        <f t="shared" si="17"/>
        <v>4.0615477118338829E-2</v>
      </c>
    </row>
    <row r="524" spans="1:5" x14ac:dyDescent="0.25">
      <c r="A524">
        <v>3</v>
      </c>
      <c r="B524">
        <v>-5.1999999999999998E-2</v>
      </c>
      <c r="C524">
        <f t="shared" si="16"/>
        <v>1.2434810671736092</v>
      </c>
      <c r="D524">
        <v>1</v>
      </c>
      <c r="E524">
        <f t="shared" si="17"/>
        <v>4.0615477118338829E-2</v>
      </c>
    </row>
    <row r="525" spans="1:5" x14ac:dyDescent="0.25">
      <c r="A525">
        <v>3</v>
      </c>
      <c r="B525">
        <v>-5.1666666666666701E-2</v>
      </c>
      <c r="C525">
        <f t="shared" si="16"/>
        <v>1.2442788664329258</v>
      </c>
      <c r="D525">
        <v>1</v>
      </c>
      <c r="E525">
        <f t="shared" si="17"/>
        <v>4.0615477118338829E-2</v>
      </c>
    </row>
    <row r="526" spans="1:5" x14ac:dyDescent="0.25">
      <c r="A526">
        <v>3</v>
      </c>
      <c r="B526">
        <v>-5.1666666666666701E-2</v>
      </c>
      <c r="C526">
        <f t="shared" si="16"/>
        <v>1.2442788664329258</v>
      </c>
      <c r="D526">
        <v>1</v>
      </c>
      <c r="E526">
        <f t="shared" si="17"/>
        <v>4.0615477118338829E-2</v>
      </c>
    </row>
    <row r="527" spans="1:5" x14ac:dyDescent="0.25">
      <c r="A527">
        <v>3</v>
      </c>
      <c r="B527">
        <v>-5.1401869158878503E-2</v>
      </c>
      <c r="C527">
        <f t="shared" si="16"/>
        <v>1.2449117211458909</v>
      </c>
      <c r="D527">
        <v>1</v>
      </c>
      <c r="E527">
        <f t="shared" si="17"/>
        <v>4.0615477118338829E-2</v>
      </c>
    </row>
    <row r="528" spans="1:5" x14ac:dyDescent="0.25">
      <c r="A528">
        <v>3</v>
      </c>
      <c r="B528">
        <v>-5.1282051282051301E-2</v>
      </c>
      <c r="C528">
        <f t="shared" si="16"/>
        <v>1.2451978151981726</v>
      </c>
      <c r="D528">
        <v>1</v>
      </c>
      <c r="E528">
        <f t="shared" si="17"/>
        <v>4.0615477118338829E-2</v>
      </c>
    </row>
    <row r="529" spans="1:5" x14ac:dyDescent="0.25">
      <c r="A529">
        <v>3</v>
      </c>
      <c r="B529">
        <v>-5.1282051282051301E-2</v>
      </c>
      <c r="C529">
        <f t="shared" si="16"/>
        <v>1.2451978151981726</v>
      </c>
      <c r="D529">
        <v>1</v>
      </c>
      <c r="E529">
        <f t="shared" si="17"/>
        <v>4.0615477118338829E-2</v>
      </c>
    </row>
    <row r="530" spans="1:5" x14ac:dyDescent="0.25">
      <c r="A530">
        <v>3</v>
      </c>
      <c r="B530">
        <v>-5.1051051051051101E-2</v>
      </c>
      <c r="C530">
        <f t="shared" si="16"/>
        <v>1.2457489162464763</v>
      </c>
      <c r="D530">
        <v>1</v>
      </c>
      <c r="E530">
        <f t="shared" si="17"/>
        <v>4.0615477118338829E-2</v>
      </c>
    </row>
    <row r="531" spans="1:5" x14ac:dyDescent="0.25">
      <c r="A531">
        <v>3</v>
      </c>
      <c r="B531">
        <v>-5.1051051051051101E-2</v>
      </c>
      <c r="C531">
        <f t="shared" si="16"/>
        <v>1.2457489162464763</v>
      </c>
      <c r="D531">
        <v>1</v>
      </c>
      <c r="E531">
        <f t="shared" si="17"/>
        <v>4.0615477118338829E-2</v>
      </c>
    </row>
    <row r="532" spans="1:5" x14ac:dyDescent="0.25">
      <c r="A532">
        <v>3</v>
      </c>
      <c r="B532">
        <v>-5.0955414012738898E-2</v>
      </c>
      <c r="C532">
        <f t="shared" si="16"/>
        <v>1.245976898632202</v>
      </c>
      <c r="D532">
        <v>1</v>
      </c>
      <c r="E532">
        <f t="shared" si="17"/>
        <v>4.0615477118338829E-2</v>
      </c>
    </row>
    <row r="533" spans="1:5" x14ac:dyDescent="0.25">
      <c r="A533">
        <v>3</v>
      </c>
      <c r="B533">
        <v>-5.0898203592814398E-2</v>
      </c>
      <c r="C533">
        <f t="shared" si="16"/>
        <v>1.2461132279498712</v>
      </c>
      <c r="D533">
        <v>1</v>
      </c>
      <c r="E533">
        <f t="shared" si="17"/>
        <v>4.0615477118338829E-2</v>
      </c>
    </row>
    <row r="534" spans="1:5" x14ac:dyDescent="0.25">
      <c r="A534">
        <v>3</v>
      </c>
      <c r="B534">
        <v>-5.06666666666667E-2</v>
      </c>
      <c r="C534">
        <f t="shared" si="16"/>
        <v>1.2466645808967589</v>
      </c>
      <c r="D534">
        <v>1</v>
      </c>
      <c r="E534">
        <f t="shared" si="17"/>
        <v>4.0615477118338829E-2</v>
      </c>
    </row>
    <row r="535" spans="1:5" x14ac:dyDescent="0.25">
      <c r="A535">
        <v>3</v>
      </c>
      <c r="B535">
        <v>-5.06666666666667E-2</v>
      </c>
      <c r="C535">
        <f t="shared" si="16"/>
        <v>1.2466645808967589</v>
      </c>
      <c r="D535">
        <v>1</v>
      </c>
      <c r="E535">
        <f t="shared" si="17"/>
        <v>4.0615477118338829E-2</v>
      </c>
    </row>
    <row r="536" spans="1:5" x14ac:dyDescent="0.25">
      <c r="A536">
        <v>3</v>
      </c>
      <c r="B536">
        <v>-5.06666666666667E-2</v>
      </c>
      <c r="C536">
        <f t="shared" si="16"/>
        <v>1.2466645808967589</v>
      </c>
      <c r="D536">
        <v>1</v>
      </c>
      <c r="E536">
        <f t="shared" si="17"/>
        <v>4.0615477118338829E-2</v>
      </c>
    </row>
    <row r="537" spans="1:5" x14ac:dyDescent="0.25">
      <c r="A537">
        <v>3</v>
      </c>
      <c r="B537">
        <v>-5.06666666666667E-2</v>
      </c>
      <c r="C537">
        <f t="shared" si="16"/>
        <v>1.2466645808967589</v>
      </c>
      <c r="D537">
        <v>1</v>
      </c>
      <c r="E537">
        <f t="shared" si="17"/>
        <v>4.0615477118338829E-2</v>
      </c>
    </row>
    <row r="538" spans="1:5" x14ac:dyDescent="0.25">
      <c r="A538">
        <v>3</v>
      </c>
      <c r="B538">
        <v>-5.06666666666667E-2</v>
      </c>
      <c r="C538">
        <f t="shared" si="16"/>
        <v>1.2466645808967589</v>
      </c>
      <c r="D538">
        <v>1</v>
      </c>
      <c r="E538">
        <f t="shared" si="17"/>
        <v>4.0615477118338829E-2</v>
      </c>
    </row>
    <row r="539" spans="1:5" x14ac:dyDescent="0.25">
      <c r="A539">
        <v>3</v>
      </c>
      <c r="B539">
        <v>-0.05</v>
      </c>
      <c r="C539">
        <f t="shared" si="16"/>
        <v>1.248248623390283</v>
      </c>
      <c r="D539">
        <v>1</v>
      </c>
      <c r="E539">
        <f t="shared" si="17"/>
        <v>4.0615477118338829E-2</v>
      </c>
    </row>
    <row r="540" spans="1:5" x14ac:dyDescent="0.25">
      <c r="A540">
        <v>3</v>
      </c>
      <c r="B540">
        <v>-0.05</v>
      </c>
      <c r="C540">
        <f t="shared" si="16"/>
        <v>1.248248623390283</v>
      </c>
      <c r="D540">
        <v>1</v>
      </c>
      <c r="E540">
        <f t="shared" si="17"/>
        <v>4.0615477118338829E-2</v>
      </c>
    </row>
    <row r="541" spans="1:5" x14ac:dyDescent="0.25">
      <c r="A541">
        <v>3</v>
      </c>
      <c r="B541">
        <v>-4.8951048951049E-2</v>
      </c>
      <c r="C541">
        <f t="shared" si="16"/>
        <v>1.2507305093711358</v>
      </c>
      <c r="D541">
        <v>1</v>
      </c>
      <c r="E541">
        <f t="shared" si="17"/>
        <v>4.0615477118338829E-2</v>
      </c>
    </row>
    <row r="542" spans="1:5" x14ac:dyDescent="0.25">
      <c r="A542">
        <v>3</v>
      </c>
      <c r="B542">
        <v>-4.8951048951049E-2</v>
      </c>
      <c r="C542">
        <f t="shared" si="16"/>
        <v>1.2507305093711358</v>
      </c>
      <c r="D542">
        <v>1</v>
      </c>
      <c r="E542">
        <f t="shared" si="17"/>
        <v>4.0615477118338829E-2</v>
      </c>
    </row>
    <row r="543" spans="1:5" x14ac:dyDescent="0.25">
      <c r="A543">
        <v>3</v>
      </c>
      <c r="B543">
        <v>-4.8048048048047999E-2</v>
      </c>
      <c r="C543">
        <f t="shared" si="16"/>
        <v>1.2528567307330909</v>
      </c>
      <c r="D543">
        <v>1</v>
      </c>
      <c r="E543">
        <f t="shared" si="17"/>
        <v>4.0615477118338829E-2</v>
      </c>
    </row>
    <row r="544" spans="1:5" x14ac:dyDescent="0.25">
      <c r="A544">
        <v>3</v>
      </c>
      <c r="B544">
        <v>-4.8000000000000001E-2</v>
      </c>
      <c r="C544">
        <f t="shared" si="16"/>
        <v>1.2529695962297274</v>
      </c>
      <c r="D544">
        <v>1</v>
      </c>
      <c r="E544">
        <f t="shared" si="17"/>
        <v>4.0615477118338829E-2</v>
      </c>
    </row>
    <row r="545" spans="1:5" x14ac:dyDescent="0.25">
      <c r="A545">
        <v>3</v>
      </c>
      <c r="B545">
        <v>-4.8000000000000001E-2</v>
      </c>
      <c r="C545">
        <f t="shared" si="16"/>
        <v>1.2529695962297274</v>
      </c>
      <c r="D545">
        <v>1</v>
      </c>
      <c r="E545">
        <f t="shared" si="17"/>
        <v>4.0615477118338829E-2</v>
      </c>
    </row>
    <row r="546" spans="1:5" x14ac:dyDescent="0.25">
      <c r="A546">
        <v>3</v>
      </c>
      <c r="B546">
        <v>-4.8000000000000001E-2</v>
      </c>
      <c r="C546">
        <f t="shared" si="16"/>
        <v>1.2529695962297274</v>
      </c>
      <c r="D546">
        <v>1</v>
      </c>
      <c r="E546">
        <f t="shared" si="17"/>
        <v>4.0615477118338829E-2</v>
      </c>
    </row>
    <row r="547" spans="1:5" x14ac:dyDescent="0.25">
      <c r="A547">
        <v>3</v>
      </c>
      <c r="B547">
        <v>-4.8000000000000001E-2</v>
      </c>
      <c r="C547">
        <f t="shared" si="16"/>
        <v>1.2529695962297274</v>
      </c>
      <c r="D547">
        <v>1</v>
      </c>
      <c r="E547">
        <f t="shared" si="17"/>
        <v>4.0615477118338829E-2</v>
      </c>
    </row>
    <row r="548" spans="1:5" x14ac:dyDescent="0.25">
      <c r="A548">
        <v>3</v>
      </c>
      <c r="B548">
        <v>-4.7904191616766498E-2</v>
      </c>
      <c r="C548">
        <f t="shared" si="16"/>
        <v>1.2531945699694325</v>
      </c>
      <c r="D548">
        <v>1</v>
      </c>
      <c r="E548">
        <f t="shared" si="17"/>
        <v>4.0615477118338829E-2</v>
      </c>
    </row>
    <row r="549" spans="1:5" x14ac:dyDescent="0.25">
      <c r="A549">
        <v>3</v>
      </c>
      <c r="B549">
        <v>-4.7904191616766498E-2</v>
      </c>
      <c r="C549">
        <f t="shared" si="16"/>
        <v>1.2531945699694325</v>
      </c>
      <c r="D549">
        <v>1</v>
      </c>
      <c r="E549">
        <f t="shared" si="17"/>
        <v>4.0615477118338829E-2</v>
      </c>
    </row>
    <row r="550" spans="1:5" x14ac:dyDescent="0.25">
      <c r="A550">
        <v>3</v>
      </c>
      <c r="B550">
        <v>-4.67289719626168E-2</v>
      </c>
      <c r="C550">
        <f t="shared" si="16"/>
        <v>1.2559453272516168</v>
      </c>
      <c r="D550">
        <v>1</v>
      </c>
      <c r="E550">
        <f t="shared" si="17"/>
        <v>4.0615477118338829E-2</v>
      </c>
    </row>
    <row r="551" spans="1:5" x14ac:dyDescent="0.25">
      <c r="A551">
        <v>3</v>
      </c>
      <c r="B551">
        <v>-4.6666666666666697E-2</v>
      </c>
      <c r="C551">
        <f t="shared" si="16"/>
        <v>1.2560907027836974</v>
      </c>
      <c r="D551">
        <v>1</v>
      </c>
      <c r="E551">
        <f t="shared" si="17"/>
        <v>4.0615477118338829E-2</v>
      </c>
    </row>
    <row r="552" spans="1:5" x14ac:dyDescent="0.25">
      <c r="A552">
        <v>3</v>
      </c>
      <c r="B552">
        <v>-4.6620046620046603E-2</v>
      </c>
      <c r="C552">
        <f t="shared" si="16"/>
        <v>1.2561994500084201</v>
      </c>
      <c r="D552">
        <v>1</v>
      </c>
      <c r="E552">
        <f t="shared" si="17"/>
        <v>4.0615477118338829E-2</v>
      </c>
    </row>
    <row r="553" spans="1:5" x14ac:dyDescent="0.25">
      <c r="A553">
        <v>3</v>
      </c>
      <c r="B553">
        <v>-4.6620046620046603E-2</v>
      </c>
      <c r="C553">
        <f t="shared" si="16"/>
        <v>1.2561994500084201</v>
      </c>
      <c r="D553">
        <v>1</v>
      </c>
      <c r="E553">
        <f t="shared" si="17"/>
        <v>4.0615477118338829E-2</v>
      </c>
    </row>
    <row r="554" spans="1:5" x14ac:dyDescent="0.25">
      <c r="A554">
        <v>3</v>
      </c>
      <c r="B554">
        <v>-4.6511627906976702E-2</v>
      </c>
      <c r="C554">
        <f t="shared" si="16"/>
        <v>1.2564522502793152</v>
      </c>
      <c r="D554">
        <v>1</v>
      </c>
      <c r="E554">
        <f t="shared" si="17"/>
        <v>4.0615477118338829E-2</v>
      </c>
    </row>
    <row r="555" spans="1:5" x14ac:dyDescent="0.25">
      <c r="A555">
        <v>3</v>
      </c>
      <c r="B555">
        <v>-4.5999999999999999E-2</v>
      </c>
      <c r="C555">
        <f t="shared" si="16"/>
        <v>1.2576433198305927</v>
      </c>
      <c r="D555">
        <v>1</v>
      </c>
      <c r="E555">
        <f t="shared" si="17"/>
        <v>4.0615477118338829E-2</v>
      </c>
    </row>
    <row r="556" spans="1:5" x14ac:dyDescent="0.25">
      <c r="A556">
        <v>3</v>
      </c>
      <c r="B556">
        <v>-4.5999999999999999E-2</v>
      </c>
      <c r="C556">
        <f t="shared" si="16"/>
        <v>1.2576433198305927</v>
      </c>
      <c r="D556">
        <v>1</v>
      </c>
      <c r="E556">
        <f t="shared" si="17"/>
        <v>4.0615477118338829E-2</v>
      </c>
    </row>
    <row r="557" spans="1:5" x14ac:dyDescent="0.25">
      <c r="A557">
        <v>3</v>
      </c>
      <c r="B557">
        <v>-4.5333333333333302E-2</v>
      </c>
      <c r="C557">
        <f t="shared" si="16"/>
        <v>1.2591906134752087</v>
      </c>
      <c r="D557">
        <v>1</v>
      </c>
      <c r="E557">
        <f t="shared" si="17"/>
        <v>4.0615477118338829E-2</v>
      </c>
    </row>
    <row r="558" spans="1:5" x14ac:dyDescent="0.25">
      <c r="A558">
        <v>3</v>
      </c>
      <c r="B558">
        <v>-4.5333333333333302E-2</v>
      </c>
      <c r="C558">
        <f t="shared" si="16"/>
        <v>1.2591906134752087</v>
      </c>
      <c r="D558">
        <v>1</v>
      </c>
      <c r="E558">
        <f t="shared" si="17"/>
        <v>4.0615477118338829E-2</v>
      </c>
    </row>
    <row r="559" spans="1:5" x14ac:dyDescent="0.25">
      <c r="A559">
        <v>3</v>
      </c>
      <c r="B559">
        <v>-4.5333333333333302E-2</v>
      </c>
      <c r="C559">
        <f t="shared" si="16"/>
        <v>1.2591906134752087</v>
      </c>
      <c r="D559">
        <v>1</v>
      </c>
      <c r="E559">
        <f t="shared" si="17"/>
        <v>4.0615477118338829E-2</v>
      </c>
    </row>
    <row r="560" spans="1:5" x14ac:dyDescent="0.25">
      <c r="A560">
        <v>3</v>
      </c>
      <c r="B560">
        <v>-4.5045045045045001E-2</v>
      </c>
      <c r="C560">
        <f t="shared" si="16"/>
        <v>1.2598580585720549</v>
      </c>
      <c r="D560">
        <v>1</v>
      </c>
      <c r="E560">
        <f t="shared" si="17"/>
        <v>4.0615477118338829E-2</v>
      </c>
    </row>
    <row r="561" spans="1:5" x14ac:dyDescent="0.25">
      <c r="A561">
        <v>3</v>
      </c>
      <c r="B561">
        <v>-4.5045045045045001E-2</v>
      </c>
      <c r="C561">
        <f t="shared" si="16"/>
        <v>1.2598580585720549</v>
      </c>
      <c r="D561">
        <v>1</v>
      </c>
      <c r="E561">
        <f t="shared" si="17"/>
        <v>4.0615477118338829E-2</v>
      </c>
    </row>
    <row r="562" spans="1:5" x14ac:dyDescent="0.25">
      <c r="A562">
        <v>3</v>
      </c>
      <c r="B562">
        <v>-4.5045045045045001E-2</v>
      </c>
      <c r="C562">
        <f t="shared" si="16"/>
        <v>1.2598580585720549</v>
      </c>
      <c r="D562">
        <v>1</v>
      </c>
      <c r="E562">
        <f t="shared" si="17"/>
        <v>4.0615477118338829E-2</v>
      </c>
    </row>
    <row r="563" spans="1:5" x14ac:dyDescent="0.25">
      <c r="A563">
        <v>3</v>
      </c>
      <c r="B563">
        <v>-4.5045045045045001E-2</v>
      </c>
      <c r="C563">
        <f t="shared" si="16"/>
        <v>1.2598580585720549</v>
      </c>
      <c r="D563">
        <v>1</v>
      </c>
      <c r="E563">
        <f t="shared" si="17"/>
        <v>4.0615477118338829E-2</v>
      </c>
    </row>
    <row r="564" spans="1:5" x14ac:dyDescent="0.25">
      <c r="A564">
        <v>3</v>
      </c>
      <c r="B564">
        <v>-4.5045045045045001E-2</v>
      </c>
      <c r="C564">
        <f t="shared" si="16"/>
        <v>1.2598580585720549</v>
      </c>
      <c r="D564">
        <v>1</v>
      </c>
      <c r="E564">
        <f t="shared" si="17"/>
        <v>4.0615477118338829E-2</v>
      </c>
    </row>
    <row r="565" spans="1:5" x14ac:dyDescent="0.25">
      <c r="A565">
        <v>3</v>
      </c>
      <c r="B565">
        <v>-4.5045045045045001E-2</v>
      </c>
      <c r="C565">
        <f t="shared" si="16"/>
        <v>1.2598580585720549</v>
      </c>
      <c r="D565">
        <v>1</v>
      </c>
      <c r="E565">
        <f t="shared" si="17"/>
        <v>4.0615477118338829E-2</v>
      </c>
    </row>
    <row r="566" spans="1:5" x14ac:dyDescent="0.25">
      <c r="A566">
        <v>3</v>
      </c>
      <c r="B566">
        <v>-4.4910179640718598E-2</v>
      </c>
      <c r="C566">
        <f t="shared" si="16"/>
        <v>1.2601699550856129</v>
      </c>
      <c r="D566">
        <v>1</v>
      </c>
      <c r="E566">
        <f t="shared" si="17"/>
        <v>4.0615477118338829E-2</v>
      </c>
    </row>
    <row r="567" spans="1:5" x14ac:dyDescent="0.25">
      <c r="A567">
        <v>3</v>
      </c>
      <c r="B567">
        <v>-4.4392523364486E-2</v>
      </c>
      <c r="C567">
        <f t="shared" si="16"/>
        <v>1.2613650732065653</v>
      </c>
      <c r="D567">
        <v>1</v>
      </c>
      <c r="E567">
        <f t="shared" si="17"/>
        <v>4.0615477118338829E-2</v>
      </c>
    </row>
    <row r="568" spans="1:5" x14ac:dyDescent="0.25">
      <c r="A568">
        <v>3</v>
      </c>
      <c r="B568">
        <v>-4.4392523364486E-2</v>
      </c>
      <c r="C568">
        <f t="shared" si="16"/>
        <v>1.2613650732065653</v>
      </c>
      <c r="D568">
        <v>1</v>
      </c>
      <c r="E568">
        <f t="shared" si="17"/>
        <v>4.0615477118338829E-2</v>
      </c>
    </row>
    <row r="569" spans="1:5" x14ac:dyDescent="0.25">
      <c r="A569">
        <v>3</v>
      </c>
      <c r="B569">
        <v>-4.4392523364486E-2</v>
      </c>
      <c r="C569">
        <f t="shared" si="16"/>
        <v>1.2613650732065653</v>
      </c>
      <c r="D569">
        <v>1</v>
      </c>
      <c r="E569">
        <f t="shared" si="17"/>
        <v>4.0615477118338829E-2</v>
      </c>
    </row>
    <row r="570" spans="1:5" x14ac:dyDescent="0.25">
      <c r="A570">
        <v>3</v>
      </c>
      <c r="B570">
        <v>-4.4289044289044302E-2</v>
      </c>
      <c r="C570">
        <f t="shared" si="16"/>
        <v>1.2616035875570935</v>
      </c>
      <c r="D570">
        <v>1</v>
      </c>
      <c r="E570">
        <f t="shared" si="17"/>
        <v>4.0615477118338829E-2</v>
      </c>
    </row>
    <row r="571" spans="1:5" x14ac:dyDescent="0.25">
      <c r="A571">
        <v>3</v>
      </c>
      <c r="B571">
        <v>-4.4289044289044302E-2</v>
      </c>
      <c r="C571">
        <f t="shared" si="16"/>
        <v>1.2616035875570935</v>
      </c>
      <c r="D571">
        <v>1</v>
      </c>
      <c r="E571">
        <f t="shared" si="17"/>
        <v>4.0615477118338829E-2</v>
      </c>
    </row>
    <row r="572" spans="1:5" x14ac:dyDescent="0.25">
      <c r="A572">
        <v>3</v>
      </c>
      <c r="B572">
        <v>-4.3999999999999997E-2</v>
      </c>
      <c r="C572">
        <f t="shared" si="16"/>
        <v>1.2622691331817235</v>
      </c>
      <c r="D572">
        <v>1</v>
      </c>
      <c r="E572">
        <f t="shared" si="17"/>
        <v>4.0615477118338829E-2</v>
      </c>
    </row>
    <row r="573" spans="1:5" x14ac:dyDescent="0.25">
      <c r="A573">
        <v>3</v>
      </c>
      <c r="B573">
        <v>-4.26666666666667E-2</v>
      </c>
      <c r="C573">
        <f t="shared" si="16"/>
        <v>1.2653260677796299</v>
      </c>
      <c r="D573">
        <v>1</v>
      </c>
      <c r="E573">
        <f t="shared" si="17"/>
        <v>4.0615477118338829E-2</v>
      </c>
    </row>
    <row r="574" spans="1:5" x14ac:dyDescent="0.25">
      <c r="A574">
        <v>3</v>
      </c>
      <c r="B574">
        <v>-4.26666666666667E-2</v>
      </c>
      <c r="C574">
        <f t="shared" si="16"/>
        <v>1.2653260677796299</v>
      </c>
      <c r="D574">
        <v>1</v>
      </c>
      <c r="E574">
        <f t="shared" si="17"/>
        <v>4.0615477118338829E-2</v>
      </c>
    </row>
    <row r="575" spans="1:5" x14ac:dyDescent="0.25">
      <c r="A575">
        <v>3</v>
      </c>
      <c r="B575">
        <v>-4.26666666666667E-2</v>
      </c>
      <c r="C575">
        <f t="shared" si="16"/>
        <v>1.2653260677796299</v>
      </c>
      <c r="D575">
        <v>1</v>
      </c>
      <c r="E575">
        <f t="shared" si="17"/>
        <v>4.0615477118338829E-2</v>
      </c>
    </row>
    <row r="576" spans="1:5" x14ac:dyDescent="0.25">
      <c r="A576">
        <v>3</v>
      </c>
      <c r="B576">
        <v>-4.26666666666667E-2</v>
      </c>
      <c r="C576">
        <f t="shared" si="16"/>
        <v>1.2653260677796299</v>
      </c>
      <c r="D576">
        <v>1</v>
      </c>
      <c r="E576">
        <f t="shared" si="17"/>
        <v>4.0615477118338829E-2</v>
      </c>
    </row>
    <row r="577" spans="1:5" x14ac:dyDescent="0.25">
      <c r="A577">
        <v>3</v>
      </c>
      <c r="B577">
        <v>-4.26666666666667E-2</v>
      </c>
      <c r="C577">
        <f t="shared" si="16"/>
        <v>1.2653260677796299</v>
      </c>
      <c r="D577">
        <v>1</v>
      </c>
      <c r="E577">
        <f t="shared" si="17"/>
        <v>4.0615477118338829E-2</v>
      </c>
    </row>
    <row r="578" spans="1:5" x14ac:dyDescent="0.25">
      <c r="A578">
        <v>3</v>
      </c>
      <c r="B578">
        <v>-4.26666666666667E-2</v>
      </c>
      <c r="C578">
        <f t="shared" ref="C578:C641" si="18">_xlfn.NORM.DIST(B578, I$10,I$13,FALSE)</f>
        <v>1.2653260677796299</v>
      </c>
      <c r="D578">
        <v>1</v>
      </c>
      <c r="E578">
        <f t="shared" si="17"/>
        <v>4.0615477118338829E-2</v>
      </c>
    </row>
    <row r="579" spans="1:5" x14ac:dyDescent="0.25">
      <c r="A579">
        <v>3</v>
      </c>
      <c r="B579">
        <v>-4.2056074766355103E-2</v>
      </c>
      <c r="C579">
        <f t="shared" si="18"/>
        <v>1.2667187138345068</v>
      </c>
      <c r="D579">
        <v>1</v>
      </c>
      <c r="E579">
        <f t="shared" ref="E579:E642" si="19">_xlfn.NORM.DIST(D579, I$4,I$7,FALSE)</f>
        <v>4.0615477118338829E-2</v>
      </c>
    </row>
    <row r="580" spans="1:5" x14ac:dyDescent="0.25">
      <c r="A580">
        <v>3</v>
      </c>
      <c r="B580">
        <v>-4.2042042042041997E-2</v>
      </c>
      <c r="C580">
        <f t="shared" si="18"/>
        <v>1.2667506660225756</v>
      </c>
      <c r="D580">
        <v>1</v>
      </c>
      <c r="E580">
        <f t="shared" si="19"/>
        <v>4.0615477118338829E-2</v>
      </c>
    </row>
    <row r="581" spans="1:5" x14ac:dyDescent="0.25">
      <c r="A581">
        <v>3</v>
      </c>
      <c r="B581">
        <v>-4.2042042042041997E-2</v>
      </c>
      <c r="C581">
        <f t="shared" si="18"/>
        <v>1.2667506660225756</v>
      </c>
      <c r="D581">
        <v>1</v>
      </c>
      <c r="E581">
        <f t="shared" si="19"/>
        <v>4.0615477118338829E-2</v>
      </c>
    </row>
    <row r="582" spans="1:5" x14ac:dyDescent="0.25">
      <c r="A582">
        <v>3</v>
      </c>
      <c r="B582">
        <v>-4.2042042042041997E-2</v>
      </c>
      <c r="C582">
        <f t="shared" si="18"/>
        <v>1.2667506660225756</v>
      </c>
      <c r="D582">
        <v>1</v>
      </c>
      <c r="E582">
        <f t="shared" si="19"/>
        <v>4.0615477118338829E-2</v>
      </c>
    </row>
    <row r="583" spans="1:5" x14ac:dyDescent="0.25">
      <c r="A583">
        <v>3</v>
      </c>
      <c r="B583">
        <v>-4.2042042042041997E-2</v>
      </c>
      <c r="C583">
        <f t="shared" si="18"/>
        <v>1.2667506660225756</v>
      </c>
      <c r="D583">
        <v>1</v>
      </c>
      <c r="E583">
        <f t="shared" si="19"/>
        <v>4.0615477118338829E-2</v>
      </c>
    </row>
    <row r="584" spans="1:5" x14ac:dyDescent="0.25">
      <c r="A584">
        <v>3</v>
      </c>
      <c r="B584">
        <v>-4.1958041958042001E-2</v>
      </c>
      <c r="C584">
        <f t="shared" si="18"/>
        <v>1.2669418816116271</v>
      </c>
      <c r="D584">
        <v>1</v>
      </c>
      <c r="E584">
        <f t="shared" si="19"/>
        <v>4.0615477118338829E-2</v>
      </c>
    </row>
    <row r="585" spans="1:5" x14ac:dyDescent="0.25">
      <c r="A585">
        <v>3</v>
      </c>
      <c r="B585">
        <v>-4.1958041958042001E-2</v>
      </c>
      <c r="C585">
        <f t="shared" si="18"/>
        <v>1.2669418816116271</v>
      </c>
      <c r="D585">
        <v>1</v>
      </c>
      <c r="E585">
        <f t="shared" si="19"/>
        <v>4.0615477118338829E-2</v>
      </c>
    </row>
    <row r="586" spans="1:5" x14ac:dyDescent="0.25">
      <c r="A586">
        <v>3</v>
      </c>
      <c r="B586">
        <v>-4.1958041958042001E-2</v>
      </c>
      <c r="C586">
        <f t="shared" si="18"/>
        <v>1.2669418816116271</v>
      </c>
      <c r="D586">
        <v>1</v>
      </c>
      <c r="E586">
        <f t="shared" si="19"/>
        <v>4.0615477118338829E-2</v>
      </c>
    </row>
    <row r="587" spans="1:5" x14ac:dyDescent="0.25">
      <c r="A587">
        <v>3</v>
      </c>
      <c r="B587">
        <v>-4.1958041958042001E-2</v>
      </c>
      <c r="C587">
        <f t="shared" si="18"/>
        <v>1.2669418816116271</v>
      </c>
      <c r="D587">
        <v>1</v>
      </c>
      <c r="E587">
        <f t="shared" si="19"/>
        <v>4.0615477118338829E-2</v>
      </c>
    </row>
    <row r="588" spans="1:5" x14ac:dyDescent="0.25">
      <c r="A588">
        <v>3</v>
      </c>
      <c r="B588">
        <v>-4.1916167664670698E-2</v>
      </c>
      <c r="C588">
        <f t="shared" si="18"/>
        <v>1.2670371707217125</v>
      </c>
      <c r="D588">
        <v>1</v>
      </c>
      <c r="E588">
        <f t="shared" si="19"/>
        <v>4.0615477118338829E-2</v>
      </c>
    </row>
    <row r="589" spans="1:5" x14ac:dyDescent="0.25">
      <c r="A589">
        <v>3</v>
      </c>
      <c r="B589">
        <v>-4.1916167664670698E-2</v>
      </c>
      <c r="C589">
        <f t="shared" si="18"/>
        <v>1.2670371707217125</v>
      </c>
      <c r="D589">
        <v>1</v>
      </c>
      <c r="E589">
        <f t="shared" si="19"/>
        <v>4.0615477118338829E-2</v>
      </c>
    </row>
    <row r="590" spans="1:5" x14ac:dyDescent="0.25">
      <c r="A590">
        <v>3</v>
      </c>
      <c r="B590">
        <v>-4.1916167664670698E-2</v>
      </c>
      <c r="C590">
        <f t="shared" si="18"/>
        <v>1.2670371707217125</v>
      </c>
      <c r="D590">
        <v>1</v>
      </c>
      <c r="E590">
        <f t="shared" si="19"/>
        <v>4.0615477118338829E-2</v>
      </c>
    </row>
    <row r="591" spans="1:5" x14ac:dyDescent="0.25">
      <c r="A591">
        <v>3</v>
      </c>
      <c r="B591">
        <v>-4.1916167664670698E-2</v>
      </c>
      <c r="C591">
        <f t="shared" si="18"/>
        <v>1.2670371707217125</v>
      </c>
      <c r="D591">
        <v>1</v>
      </c>
      <c r="E591">
        <f t="shared" si="19"/>
        <v>4.0615477118338829E-2</v>
      </c>
    </row>
    <row r="592" spans="1:5" x14ac:dyDescent="0.25">
      <c r="A592">
        <v>3</v>
      </c>
      <c r="B592">
        <v>-4.1666666666666699E-2</v>
      </c>
      <c r="C592">
        <f t="shared" si="18"/>
        <v>1.2676044872973002</v>
      </c>
      <c r="D592">
        <v>1</v>
      </c>
      <c r="E592">
        <f t="shared" si="19"/>
        <v>4.0615477118338829E-2</v>
      </c>
    </row>
    <row r="593" spans="1:5" x14ac:dyDescent="0.25">
      <c r="A593">
        <v>3</v>
      </c>
      <c r="B593">
        <v>-4.1333333333333298E-2</v>
      </c>
      <c r="C593">
        <f t="shared" si="18"/>
        <v>1.2683612241645674</v>
      </c>
      <c r="D593">
        <v>1</v>
      </c>
      <c r="E593">
        <f t="shared" si="19"/>
        <v>4.0615477118338829E-2</v>
      </c>
    </row>
    <row r="594" spans="1:5" x14ac:dyDescent="0.25">
      <c r="A594">
        <v>3</v>
      </c>
      <c r="B594">
        <v>-0.04</v>
      </c>
      <c r="C594">
        <f t="shared" si="18"/>
        <v>1.2713744102716893</v>
      </c>
      <c r="D594">
        <v>1</v>
      </c>
      <c r="E594">
        <f t="shared" si="19"/>
        <v>4.0615477118338829E-2</v>
      </c>
    </row>
    <row r="595" spans="1:5" x14ac:dyDescent="0.25">
      <c r="A595">
        <v>3</v>
      </c>
      <c r="B595">
        <v>-0.04</v>
      </c>
      <c r="C595">
        <f t="shared" si="18"/>
        <v>1.2713744102716893</v>
      </c>
      <c r="D595">
        <v>1</v>
      </c>
      <c r="E595">
        <f t="shared" si="19"/>
        <v>4.0615477118338829E-2</v>
      </c>
    </row>
    <row r="596" spans="1:5" x14ac:dyDescent="0.25">
      <c r="A596">
        <v>3</v>
      </c>
      <c r="B596">
        <v>-0.04</v>
      </c>
      <c r="C596">
        <f t="shared" si="18"/>
        <v>1.2713744102716893</v>
      </c>
      <c r="D596">
        <v>1</v>
      </c>
      <c r="E596">
        <f t="shared" si="19"/>
        <v>4.0615477118338829E-2</v>
      </c>
    </row>
    <row r="597" spans="1:5" x14ac:dyDescent="0.25">
      <c r="A597">
        <v>3</v>
      </c>
      <c r="B597">
        <v>-0.04</v>
      </c>
      <c r="C597">
        <f t="shared" si="18"/>
        <v>1.2713744102716893</v>
      </c>
      <c r="D597">
        <v>1</v>
      </c>
      <c r="E597">
        <f t="shared" si="19"/>
        <v>4.0615477118338829E-2</v>
      </c>
    </row>
    <row r="598" spans="1:5" x14ac:dyDescent="0.25">
      <c r="A598">
        <v>3</v>
      </c>
      <c r="B598">
        <v>-0.04</v>
      </c>
      <c r="C598">
        <f t="shared" si="18"/>
        <v>1.2713744102716893</v>
      </c>
      <c r="D598">
        <v>1</v>
      </c>
      <c r="E598">
        <f t="shared" si="19"/>
        <v>4.0615477118338829E-2</v>
      </c>
    </row>
    <row r="599" spans="1:5" x14ac:dyDescent="0.25">
      <c r="A599">
        <v>3</v>
      </c>
      <c r="B599">
        <v>-0.04</v>
      </c>
      <c r="C599">
        <f t="shared" si="18"/>
        <v>1.2713744102716893</v>
      </c>
      <c r="D599">
        <v>1</v>
      </c>
      <c r="E599">
        <f t="shared" si="19"/>
        <v>4.0615477118338829E-2</v>
      </c>
    </row>
    <row r="600" spans="1:5" x14ac:dyDescent="0.25">
      <c r="A600">
        <v>3</v>
      </c>
      <c r="B600">
        <v>-3.9719626168224297E-2</v>
      </c>
      <c r="C600">
        <f t="shared" si="18"/>
        <v>1.2720052105475563</v>
      </c>
      <c r="D600">
        <v>1</v>
      </c>
      <c r="E600">
        <f t="shared" si="19"/>
        <v>4.0615477118338829E-2</v>
      </c>
    </row>
    <row r="601" spans="1:5" x14ac:dyDescent="0.25">
      <c r="A601">
        <v>3</v>
      </c>
      <c r="B601">
        <v>-3.9627039627039597E-2</v>
      </c>
      <c r="C601">
        <f t="shared" si="18"/>
        <v>1.2722133012464985</v>
      </c>
      <c r="D601">
        <v>1</v>
      </c>
      <c r="E601">
        <f t="shared" si="19"/>
        <v>4.0615477118338829E-2</v>
      </c>
    </row>
    <row r="602" spans="1:5" x14ac:dyDescent="0.25">
      <c r="A602">
        <v>3</v>
      </c>
      <c r="B602">
        <v>-3.9039039039038999E-2</v>
      </c>
      <c r="C602">
        <f t="shared" si="18"/>
        <v>1.2735323451599585</v>
      </c>
      <c r="D602">
        <v>1</v>
      </c>
      <c r="E602">
        <f t="shared" si="19"/>
        <v>4.0615477118338829E-2</v>
      </c>
    </row>
    <row r="603" spans="1:5" x14ac:dyDescent="0.25">
      <c r="A603">
        <v>3</v>
      </c>
      <c r="B603">
        <v>-3.9039039039038999E-2</v>
      </c>
      <c r="C603">
        <f t="shared" si="18"/>
        <v>1.2735323451599585</v>
      </c>
      <c r="D603">
        <v>1</v>
      </c>
      <c r="E603">
        <f t="shared" si="19"/>
        <v>4.0615477118338829E-2</v>
      </c>
    </row>
    <row r="604" spans="1:5" x14ac:dyDescent="0.25">
      <c r="A604">
        <v>3</v>
      </c>
      <c r="B604">
        <v>-3.9039039039038999E-2</v>
      </c>
      <c r="C604">
        <f t="shared" si="18"/>
        <v>1.2735323451599585</v>
      </c>
      <c r="D604">
        <v>1</v>
      </c>
      <c r="E604">
        <f t="shared" si="19"/>
        <v>4.0615477118338829E-2</v>
      </c>
    </row>
    <row r="605" spans="1:5" x14ac:dyDescent="0.25">
      <c r="A605">
        <v>3</v>
      </c>
      <c r="B605">
        <v>-3.9039039039038999E-2</v>
      </c>
      <c r="C605">
        <f t="shared" si="18"/>
        <v>1.2735323451599585</v>
      </c>
      <c r="D605">
        <v>1</v>
      </c>
      <c r="E605">
        <f t="shared" si="19"/>
        <v>4.0615477118338829E-2</v>
      </c>
    </row>
    <row r="606" spans="1:5" x14ac:dyDescent="0.25">
      <c r="A606">
        <v>3</v>
      </c>
      <c r="B606">
        <v>-3.9039039039038999E-2</v>
      </c>
      <c r="C606">
        <f t="shared" si="18"/>
        <v>1.2735323451599585</v>
      </c>
      <c r="D606">
        <v>1</v>
      </c>
      <c r="E606">
        <f t="shared" si="19"/>
        <v>4.0615477118338829E-2</v>
      </c>
    </row>
    <row r="607" spans="1:5" x14ac:dyDescent="0.25">
      <c r="A607">
        <v>3</v>
      </c>
      <c r="B607">
        <v>-3.8333333333333303E-2</v>
      </c>
      <c r="C607">
        <f t="shared" si="18"/>
        <v>1.2751097063205434</v>
      </c>
      <c r="D607">
        <v>1</v>
      </c>
      <c r="E607">
        <f t="shared" si="19"/>
        <v>4.0615477118338829E-2</v>
      </c>
    </row>
    <row r="608" spans="1:5" x14ac:dyDescent="0.25">
      <c r="A608">
        <v>3</v>
      </c>
      <c r="B608">
        <v>-3.7999999999999999E-2</v>
      </c>
      <c r="C608">
        <f t="shared" si="18"/>
        <v>1.275852577632431</v>
      </c>
      <c r="D608">
        <v>1</v>
      </c>
      <c r="E608">
        <f t="shared" si="19"/>
        <v>4.0615477118338829E-2</v>
      </c>
    </row>
    <row r="609" spans="1:5" x14ac:dyDescent="0.25">
      <c r="A609">
        <v>3</v>
      </c>
      <c r="B609">
        <v>-3.7999999999999999E-2</v>
      </c>
      <c r="C609">
        <f t="shared" si="18"/>
        <v>1.275852577632431</v>
      </c>
      <c r="D609">
        <v>1</v>
      </c>
      <c r="E609">
        <f t="shared" si="19"/>
        <v>4.0615477118338829E-2</v>
      </c>
    </row>
    <row r="610" spans="1:5" x14ac:dyDescent="0.25">
      <c r="A610">
        <v>3</v>
      </c>
      <c r="B610">
        <v>-3.7999999999999999E-2</v>
      </c>
      <c r="C610">
        <f t="shared" si="18"/>
        <v>1.275852577632431</v>
      </c>
      <c r="D610">
        <v>1</v>
      </c>
      <c r="E610">
        <f t="shared" si="19"/>
        <v>4.0615477118338829E-2</v>
      </c>
    </row>
    <row r="611" spans="1:5" x14ac:dyDescent="0.25">
      <c r="A611">
        <v>3</v>
      </c>
      <c r="B611">
        <v>-3.7333333333333302E-2</v>
      </c>
      <c r="C611">
        <f t="shared" si="18"/>
        <v>1.2773341087117314</v>
      </c>
      <c r="D611">
        <v>1</v>
      </c>
      <c r="E611">
        <f t="shared" si="19"/>
        <v>4.0615477118338829E-2</v>
      </c>
    </row>
    <row r="612" spans="1:5" x14ac:dyDescent="0.25">
      <c r="A612">
        <v>3</v>
      </c>
      <c r="B612">
        <v>-3.7333333333333302E-2</v>
      </c>
      <c r="C612">
        <f t="shared" si="18"/>
        <v>1.2773341087117314</v>
      </c>
      <c r="D612">
        <v>1</v>
      </c>
      <c r="E612">
        <f t="shared" si="19"/>
        <v>4.0615477118338829E-2</v>
      </c>
    </row>
    <row r="613" spans="1:5" x14ac:dyDescent="0.25">
      <c r="A613">
        <v>3</v>
      </c>
      <c r="B613">
        <v>-3.7296037296037303E-2</v>
      </c>
      <c r="C613">
        <f t="shared" si="18"/>
        <v>1.277416825346869</v>
      </c>
      <c r="D613">
        <v>1</v>
      </c>
      <c r="E613">
        <f t="shared" si="19"/>
        <v>4.0615477118338829E-2</v>
      </c>
    </row>
    <row r="614" spans="1:5" x14ac:dyDescent="0.25">
      <c r="A614">
        <v>3</v>
      </c>
      <c r="B614">
        <v>-3.7296037296037303E-2</v>
      </c>
      <c r="C614">
        <f t="shared" si="18"/>
        <v>1.277416825346869</v>
      </c>
      <c r="D614">
        <v>1</v>
      </c>
      <c r="E614">
        <f t="shared" si="19"/>
        <v>4.0615477118338829E-2</v>
      </c>
    </row>
    <row r="615" spans="1:5" x14ac:dyDescent="0.25">
      <c r="A615">
        <v>3</v>
      </c>
      <c r="B615">
        <v>-3.6363636363636397E-2</v>
      </c>
      <c r="C615">
        <f t="shared" si="18"/>
        <v>1.2794789974306844</v>
      </c>
      <c r="D615">
        <v>1</v>
      </c>
      <c r="E615">
        <f t="shared" si="19"/>
        <v>4.0615477118338829E-2</v>
      </c>
    </row>
    <row r="616" spans="1:5" x14ac:dyDescent="0.25">
      <c r="A616">
        <v>3</v>
      </c>
      <c r="B616">
        <v>-3.6036036036036001E-2</v>
      </c>
      <c r="C616">
        <f t="shared" si="18"/>
        <v>1.2802009150502787</v>
      </c>
      <c r="D616">
        <v>1</v>
      </c>
      <c r="E616">
        <f t="shared" si="19"/>
        <v>4.0615477118338829E-2</v>
      </c>
    </row>
    <row r="617" spans="1:5" x14ac:dyDescent="0.25">
      <c r="A617">
        <v>3</v>
      </c>
      <c r="B617">
        <v>-3.6036036036036001E-2</v>
      </c>
      <c r="C617">
        <f t="shared" si="18"/>
        <v>1.2802009150502787</v>
      </c>
      <c r="D617">
        <v>1</v>
      </c>
      <c r="E617">
        <f t="shared" si="19"/>
        <v>4.0615477118338829E-2</v>
      </c>
    </row>
    <row r="618" spans="1:5" x14ac:dyDescent="0.25">
      <c r="A618">
        <v>3</v>
      </c>
      <c r="B618">
        <v>-3.5999999999999997E-2</v>
      </c>
      <c r="C618">
        <f t="shared" si="18"/>
        <v>1.2802802422938597</v>
      </c>
      <c r="D618">
        <v>1</v>
      </c>
      <c r="E618">
        <f t="shared" si="19"/>
        <v>4.0615477118338829E-2</v>
      </c>
    </row>
    <row r="619" spans="1:5" x14ac:dyDescent="0.25">
      <c r="A619">
        <v>3</v>
      </c>
      <c r="B619">
        <v>-3.5999999999999997E-2</v>
      </c>
      <c r="C619">
        <f t="shared" si="18"/>
        <v>1.2802802422938597</v>
      </c>
      <c r="D619">
        <v>1</v>
      </c>
      <c r="E619">
        <f t="shared" si="19"/>
        <v>4.0615477118338829E-2</v>
      </c>
    </row>
    <row r="620" spans="1:5" x14ac:dyDescent="0.25">
      <c r="A620">
        <v>3</v>
      </c>
      <c r="B620">
        <v>-3.5999999999999997E-2</v>
      </c>
      <c r="C620">
        <f t="shared" si="18"/>
        <v>1.2802802422938597</v>
      </c>
      <c r="D620">
        <v>1</v>
      </c>
      <c r="E620">
        <f t="shared" si="19"/>
        <v>4.0615477118338829E-2</v>
      </c>
    </row>
    <row r="621" spans="1:5" x14ac:dyDescent="0.25">
      <c r="A621">
        <v>3</v>
      </c>
      <c r="B621">
        <v>-3.59281437125748E-2</v>
      </c>
      <c r="C621">
        <f t="shared" si="18"/>
        <v>1.2804383722068311</v>
      </c>
      <c r="D621">
        <v>1</v>
      </c>
      <c r="E621">
        <f t="shared" si="19"/>
        <v>4.0615477118338829E-2</v>
      </c>
    </row>
    <row r="622" spans="1:5" x14ac:dyDescent="0.25">
      <c r="A622">
        <v>3</v>
      </c>
      <c r="B622">
        <v>-3.50467289719626E-2</v>
      </c>
      <c r="C622">
        <f t="shared" si="18"/>
        <v>1.2823726676534899</v>
      </c>
      <c r="D622">
        <v>1</v>
      </c>
      <c r="E622">
        <f t="shared" si="19"/>
        <v>4.0615477118338829E-2</v>
      </c>
    </row>
    <row r="623" spans="1:5" x14ac:dyDescent="0.25">
      <c r="A623">
        <v>3</v>
      </c>
      <c r="B623">
        <v>-3.5000000000000003E-2</v>
      </c>
      <c r="C623">
        <f t="shared" si="18"/>
        <v>1.2824749376239637</v>
      </c>
      <c r="D623">
        <v>1</v>
      </c>
      <c r="E623">
        <f t="shared" si="19"/>
        <v>4.0615477118338829E-2</v>
      </c>
    </row>
    <row r="624" spans="1:5" x14ac:dyDescent="0.25">
      <c r="A624">
        <v>3</v>
      </c>
      <c r="B624">
        <v>-3.4965034965035002E-2</v>
      </c>
      <c r="C624">
        <f t="shared" si="18"/>
        <v>1.2825514429371994</v>
      </c>
      <c r="D624">
        <v>1</v>
      </c>
      <c r="E624">
        <f t="shared" si="19"/>
        <v>4.0615477118338829E-2</v>
      </c>
    </row>
    <row r="625" spans="1:5" x14ac:dyDescent="0.25">
      <c r="A625">
        <v>3</v>
      </c>
      <c r="B625">
        <v>-3.4965034965035002E-2</v>
      </c>
      <c r="C625">
        <f t="shared" si="18"/>
        <v>1.2825514429371994</v>
      </c>
      <c r="D625">
        <v>1</v>
      </c>
      <c r="E625">
        <f t="shared" si="19"/>
        <v>4.0615477118338829E-2</v>
      </c>
    </row>
    <row r="626" spans="1:5" x14ac:dyDescent="0.25">
      <c r="A626">
        <v>3</v>
      </c>
      <c r="B626">
        <v>-3.46666666666667E-2</v>
      </c>
      <c r="C626">
        <f t="shared" si="18"/>
        <v>1.2832036481365874</v>
      </c>
      <c r="D626">
        <v>1</v>
      </c>
      <c r="E626">
        <f t="shared" si="19"/>
        <v>4.0615477118338829E-2</v>
      </c>
    </row>
    <row r="627" spans="1:5" x14ac:dyDescent="0.25">
      <c r="A627">
        <v>3</v>
      </c>
      <c r="B627">
        <v>-3.46666666666667E-2</v>
      </c>
      <c r="C627">
        <f t="shared" si="18"/>
        <v>1.2832036481365874</v>
      </c>
      <c r="D627">
        <v>1</v>
      </c>
      <c r="E627">
        <f t="shared" si="19"/>
        <v>4.0615477118338829E-2</v>
      </c>
    </row>
    <row r="628" spans="1:5" x14ac:dyDescent="0.25">
      <c r="A628">
        <v>3</v>
      </c>
      <c r="B628">
        <v>-3.46666666666667E-2</v>
      </c>
      <c r="C628">
        <f t="shared" si="18"/>
        <v>1.2832036481365874</v>
      </c>
      <c r="D628">
        <v>1</v>
      </c>
      <c r="E628">
        <f t="shared" si="19"/>
        <v>4.0615477118338829E-2</v>
      </c>
    </row>
    <row r="629" spans="1:5" x14ac:dyDescent="0.25">
      <c r="A629">
        <v>3</v>
      </c>
      <c r="B629">
        <v>-3.46666666666667E-2</v>
      </c>
      <c r="C629">
        <f t="shared" si="18"/>
        <v>1.2832036481365874</v>
      </c>
      <c r="D629">
        <v>1</v>
      </c>
      <c r="E629">
        <f t="shared" si="19"/>
        <v>4.0615477118338829E-2</v>
      </c>
    </row>
    <row r="630" spans="1:5" x14ac:dyDescent="0.25">
      <c r="A630">
        <v>3</v>
      </c>
      <c r="B630">
        <v>-3.46666666666667E-2</v>
      </c>
      <c r="C630">
        <f t="shared" si="18"/>
        <v>1.2832036481365874</v>
      </c>
      <c r="D630">
        <v>1</v>
      </c>
      <c r="E630">
        <f t="shared" si="19"/>
        <v>4.0615477118338829E-2</v>
      </c>
    </row>
    <row r="631" spans="1:5" x14ac:dyDescent="0.25">
      <c r="A631">
        <v>3</v>
      </c>
      <c r="B631">
        <v>-3.46666666666667E-2</v>
      </c>
      <c r="C631">
        <f t="shared" si="18"/>
        <v>1.2832036481365874</v>
      </c>
      <c r="D631">
        <v>1</v>
      </c>
      <c r="E631">
        <f t="shared" si="19"/>
        <v>4.0615477118338829E-2</v>
      </c>
    </row>
    <row r="632" spans="1:5" x14ac:dyDescent="0.25">
      <c r="A632">
        <v>3</v>
      </c>
      <c r="B632">
        <v>-3.3333333333333298E-2</v>
      </c>
      <c r="C632">
        <f t="shared" si="18"/>
        <v>1.2861041396739583</v>
      </c>
      <c r="D632">
        <v>1</v>
      </c>
      <c r="E632">
        <f t="shared" si="19"/>
        <v>4.0615477118338829E-2</v>
      </c>
    </row>
    <row r="633" spans="1:5" x14ac:dyDescent="0.25">
      <c r="A633">
        <v>3</v>
      </c>
      <c r="B633">
        <v>-3.3033033033033003E-2</v>
      </c>
      <c r="C633">
        <f t="shared" si="18"/>
        <v>1.2867542229156168</v>
      </c>
      <c r="D633">
        <v>1</v>
      </c>
      <c r="E633">
        <f t="shared" si="19"/>
        <v>4.0615477118338829E-2</v>
      </c>
    </row>
    <row r="634" spans="1:5" x14ac:dyDescent="0.25">
      <c r="A634">
        <v>3</v>
      </c>
      <c r="B634">
        <v>-3.3033033033033003E-2</v>
      </c>
      <c r="C634">
        <f t="shared" si="18"/>
        <v>1.2867542229156168</v>
      </c>
      <c r="D634">
        <v>1</v>
      </c>
      <c r="E634">
        <f t="shared" si="19"/>
        <v>4.0615477118338829E-2</v>
      </c>
    </row>
    <row r="635" spans="1:5" x14ac:dyDescent="0.25">
      <c r="A635">
        <v>3</v>
      </c>
      <c r="B635">
        <v>-3.3033033033033003E-2</v>
      </c>
      <c r="C635">
        <f t="shared" si="18"/>
        <v>1.2867542229156168</v>
      </c>
      <c r="D635">
        <v>1</v>
      </c>
      <c r="E635">
        <f t="shared" si="19"/>
        <v>4.0615477118338829E-2</v>
      </c>
    </row>
    <row r="636" spans="1:5" x14ac:dyDescent="0.25">
      <c r="A636">
        <v>3</v>
      </c>
      <c r="B636">
        <v>-3.3033033033033003E-2</v>
      </c>
      <c r="C636">
        <f t="shared" si="18"/>
        <v>1.2867542229156168</v>
      </c>
      <c r="D636">
        <v>1</v>
      </c>
      <c r="E636">
        <f t="shared" si="19"/>
        <v>4.0615477118338829E-2</v>
      </c>
    </row>
    <row r="637" spans="1:5" x14ac:dyDescent="0.25">
      <c r="A637">
        <v>3</v>
      </c>
      <c r="B637">
        <v>-3.29341317365269E-2</v>
      </c>
      <c r="C637">
        <f t="shared" si="18"/>
        <v>1.2869680653235303</v>
      </c>
      <c r="D637">
        <v>1</v>
      </c>
      <c r="E637">
        <f t="shared" si="19"/>
        <v>4.0615477118338829E-2</v>
      </c>
    </row>
    <row r="638" spans="1:5" x14ac:dyDescent="0.25">
      <c r="A638">
        <v>3</v>
      </c>
      <c r="B638">
        <v>-3.29341317365269E-2</v>
      </c>
      <c r="C638">
        <f t="shared" si="18"/>
        <v>1.2869680653235303</v>
      </c>
      <c r="D638">
        <v>1</v>
      </c>
      <c r="E638">
        <f t="shared" si="19"/>
        <v>4.0615477118338829E-2</v>
      </c>
    </row>
    <row r="639" spans="1:5" x14ac:dyDescent="0.25">
      <c r="A639">
        <v>3</v>
      </c>
      <c r="B639">
        <v>-3.29341317365269E-2</v>
      </c>
      <c r="C639">
        <f t="shared" si="18"/>
        <v>1.2869680653235303</v>
      </c>
      <c r="D639">
        <v>1</v>
      </c>
      <c r="E639">
        <f t="shared" si="19"/>
        <v>4.0615477118338829E-2</v>
      </c>
    </row>
    <row r="640" spans="1:5" x14ac:dyDescent="0.25">
      <c r="A640">
        <v>3</v>
      </c>
      <c r="B640">
        <v>-3.27102803738318E-2</v>
      </c>
      <c r="C640">
        <f t="shared" si="18"/>
        <v>1.2874516016420812</v>
      </c>
      <c r="D640">
        <v>1</v>
      </c>
      <c r="E640">
        <f t="shared" si="19"/>
        <v>4.0615477118338829E-2</v>
      </c>
    </row>
    <row r="641" spans="1:5" x14ac:dyDescent="0.25">
      <c r="A641">
        <v>3</v>
      </c>
      <c r="B641">
        <v>-3.27102803738318E-2</v>
      </c>
      <c r="C641">
        <f t="shared" si="18"/>
        <v>1.2874516016420812</v>
      </c>
      <c r="D641">
        <v>1</v>
      </c>
      <c r="E641">
        <f t="shared" si="19"/>
        <v>4.0615477118338829E-2</v>
      </c>
    </row>
    <row r="642" spans="1:5" x14ac:dyDescent="0.25">
      <c r="A642">
        <v>3</v>
      </c>
      <c r="B642">
        <v>-3.2000000000000001E-2</v>
      </c>
      <c r="C642">
        <f t="shared" ref="C642:C705" si="20">_xlfn.NORM.DIST(B642, I$10,I$13,FALSE)</f>
        <v>1.2889815314995003</v>
      </c>
      <c r="D642">
        <v>1</v>
      </c>
      <c r="E642">
        <f t="shared" si="19"/>
        <v>4.0615477118338829E-2</v>
      </c>
    </row>
    <row r="643" spans="1:5" x14ac:dyDescent="0.25">
      <c r="A643">
        <v>3</v>
      </c>
      <c r="B643">
        <v>-3.2000000000000001E-2</v>
      </c>
      <c r="C643">
        <f t="shared" si="20"/>
        <v>1.2889815314995003</v>
      </c>
      <c r="D643">
        <v>1</v>
      </c>
      <c r="E643">
        <f t="shared" ref="E643:E706" si="21">_xlfn.NORM.DIST(D643, I$4,I$7,FALSE)</f>
        <v>4.0615477118338829E-2</v>
      </c>
    </row>
    <row r="644" spans="1:5" x14ac:dyDescent="0.25">
      <c r="A644">
        <v>3</v>
      </c>
      <c r="B644">
        <v>-3.2000000000000001E-2</v>
      </c>
      <c r="C644">
        <f t="shared" si="20"/>
        <v>1.2889815314995003</v>
      </c>
      <c r="D644">
        <v>1</v>
      </c>
      <c r="E644">
        <f t="shared" si="21"/>
        <v>4.0615477118338829E-2</v>
      </c>
    </row>
    <row r="645" spans="1:5" x14ac:dyDescent="0.25">
      <c r="A645">
        <v>3</v>
      </c>
      <c r="B645">
        <v>-3.2000000000000001E-2</v>
      </c>
      <c r="C645">
        <f t="shared" si="20"/>
        <v>1.2889815314995003</v>
      </c>
      <c r="D645">
        <v>1</v>
      </c>
      <c r="E645">
        <f t="shared" si="21"/>
        <v>4.0615477118338829E-2</v>
      </c>
    </row>
    <row r="646" spans="1:5" x14ac:dyDescent="0.25">
      <c r="A646">
        <v>3</v>
      </c>
      <c r="B646">
        <v>-3.2000000000000001E-2</v>
      </c>
      <c r="C646">
        <f t="shared" si="20"/>
        <v>1.2889815314995003</v>
      </c>
      <c r="D646">
        <v>1</v>
      </c>
      <c r="E646">
        <f t="shared" si="21"/>
        <v>4.0615477118338829E-2</v>
      </c>
    </row>
    <row r="647" spans="1:5" x14ac:dyDescent="0.25">
      <c r="A647">
        <v>3</v>
      </c>
      <c r="B647">
        <v>-3.2000000000000001E-2</v>
      </c>
      <c r="C647">
        <f t="shared" si="20"/>
        <v>1.2889815314995003</v>
      </c>
      <c r="D647">
        <v>1</v>
      </c>
      <c r="E647">
        <f t="shared" si="21"/>
        <v>4.0615477118338829E-2</v>
      </c>
    </row>
    <row r="648" spans="1:5" x14ac:dyDescent="0.25">
      <c r="A648">
        <v>3</v>
      </c>
      <c r="B648">
        <v>-3.2000000000000001E-2</v>
      </c>
      <c r="C648">
        <f t="shared" si="20"/>
        <v>1.2889815314995003</v>
      </c>
      <c r="D648">
        <v>1</v>
      </c>
      <c r="E648">
        <f t="shared" si="21"/>
        <v>4.0615477118338829E-2</v>
      </c>
    </row>
    <row r="649" spans="1:5" x14ac:dyDescent="0.25">
      <c r="A649">
        <v>3</v>
      </c>
      <c r="B649">
        <v>-3.2000000000000001E-2</v>
      </c>
      <c r="C649">
        <f t="shared" si="20"/>
        <v>1.2889815314995003</v>
      </c>
      <c r="D649">
        <v>1</v>
      </c>
      <c r="E649">
        <f t="shared" si="21"/>
        <v>4.0615477118338829E-2</v>
      </c>
    </row>
    <row r="650" spans="1:5" x14ac:dyDescent="0.25">
      <c r="A650">
        <v>3</v>
      </c>
      <c r="B650">
        <v>-3.2000000000000001E-2</v>
      </c>
      <c r="C650">
        <f t="shared" si="20"/>
        <v>1.2889815314995003</v>
      </c>
      <c r="D650">
        <v>1</v>
      </c>
      <c r="E650">
        <f t="shared" si="21"/>
        <v>4.0615477118338829E-2</v>
      </c>
    </row>
    <row r="651" spans="1:5" x14ac:dyDescent="0.25">
      <c r="A651">
        <v>3</v>
      </c>
      <c r="B651">
        <v>-3.03738317757009E-2</v>
      </c>
      <c r="C651">
        <f t="shared" si="20"/>
        <v>1.2924593395654354</v>
      </c>
      <c r="D651">
        <v>1</v>
      </c>
      <c r="E651">
        <f t="shared" si="21"/>
        <v>4.0615477118338829E-2</v>
      </c>
    </row>
    <row r="652" spans="1:5" x14ac:dyDescent="0.25">
      <c r="A652">
        <v>3</v>
      </c>
      <c r="B652">
        <v>-3.03738317757009E-2</v>
      </c>
      <c r="C652">
        <f t="shared" si="20"/>
        <v>1.2924593395654354</v>
      </c>
      <c r="D652">
        <v>1</v>
      </c>
      <c r="E652">
        <f t="shared" si="21"/>
        <v>4.0615477118338829E-2</v>
      </c>
    </row>
    <row r="653" spans="1:5" x14ac:dyDescent="0.25">
      <c r="A653">
        <v>3</v>
      </c>
      <c r="B653">
        <v>-3.03030303030303E-2</v>
      </c>
      <c r="C653">
        <f t="shared" si="20"/>
        <v>1.2926099673380718</v>
      </c>
      <c r="D653">
        <v>1</v>
      </c>
      <c r="E653">
        <f t="shared" si="21"/>
        <v>4.0615477118338829E-2</v>
      </c>
    </row>
    <row r="654" spans="1:5" x14ac:dyDescent="0.25">
      <c r="A654">
        <v>3</v>
      </c>
      <c r="B654">
        <v>-3.03030303030303E-2</v>
      </c>
      <c r="C654">
        <f t="shared" si="20"/>
        <v>1.2926099673380718</v>
      </c>
      <c r="D654">
        <v>1</v>
      </c>
      <c r="E654">
        <f t="shared" si="21"/>
        <v>4.0615477118338829E-2</v>
      </c>
    </row>
    <row r="655" spans="1:5" x14ac:dyDescent="0.25">
      <c r="A655">
        <v>3</v>
      </c>
      <c r="B655">
        <v>-3.0120481927710802E-2</v>
      </c>
      <c r="C655">
        <f t="shared" si="20"/>
        <v>1.2929980269618109</v>
      </c>
      <c r="D655">
        <v>1</v>
      </c>
      <c r="E655">
        <f t="shared" si="21"/>
        <v>4.0615477118338829E-2</v>
      </c>
    </row>
    <row r="656" spans="1:5" x14ac:dyDescent="0.25">
      <c r="A656">
        <v>3</v>
      </c>
      <c r="B656">
        <v>-3.0030030030029999E-2</v>
      </c>
      <c r="C656">
        <f t="shared" si="20"/>
        <v>1.2931901452889942</v>
      </c>
      <c r="D656">
        <v>1</v>
      </c>
      <c r="E656">
        <f t="shared" si="21"/>
        <v>4.0615477118338829E-2</v>
      </c>
    </row>
    <row r="657" spans="1:5" x14ac:dyDescent="0.25">
      <c r="A657">
        <v>3</v>
      </c>
      <c r="B657">
        <v>-3.0030030030029999E-2</v>
      </c>
      <c r="C657">
        <f t="shared" si="20"/>
        <v>1.2931901452889942</v>
      </c>
      <c r="D657">
        <v>1</v>
      </c>
      <c r="E657">
        <f t="shared" si="21"/>
        <v>4.0615477118338829E-2</v>
      </c>
    </row>
    <row r="658" spans="1:5" x14ac:dyDescent="0.25">
      <c r="A658">
        <v>3</v>
      </c>
      <c r="B658">
        <v>-0.03</v>
      </c>
      <c r="C658">
        <f t="shared" si="20"/>
        <v>1.2932539046082108</v>
      </c>
      <c r="D658">
        <v>1</v>
      </c>
      <c r="E658">
        <f t="shared" si="21"/>
        <v>4.0615477118338829E-2</v>
      </c>
    </row>
    <row r="659" spans="1:5" x14ac:dyDescent="0.25">
      <c r="A659">
        <v>3</v>
      </c>
      <c r="B659">
        <v>-0.03</v>
      </c>
      <c r="C659">
        <f t="shared" si="20"/>
        <v>1.2932539046082108</v>
      </c>
      <c r="D659">
        <v>1</v>
      </c>
      <c r="E659">
        <f t="shared" si="21"/>
        <v>4.0615477118338829E-2</v>
      </c>
    </row>
    <row r="660" spans="1:5" x14ac:dyDescent="0.25">
      <c r="A660">
        <v>3</v>
      </c>
      <c r="B660">
        <v>-2.9940119760479E-2</v>
      </c>
      <c r="C660">
        <f t="shared" si="20"/>
        <v>1.2933810057803665</v>
      </c>
      <c r="D660">
        <v>1</v>
      </c>
      <c r="E660">
        <f t="shared" si="21"/>
        <v>4.0615477118338829E-2</v>
      </c>
    </row>
    <row r="661" spans="1:5" x14ac:dyDescent="0.25">
      <c r="A661">
        <v>3</v>
      </c>
      <c r="B661">
        <v>-2.9333333333333302E-2</v>
      </c>
      <c r="C661">
        <f t="shared" si="20"/>
        <v>1.2946662803047562</v>
      </c>
      <c r="D661">
        <v>1</v>
      </c>
      <c r="E661">
        <f t="shared" si="21"/>
        <v>4.0615477118338829E-2</v>
      </c>
    </row>
    <row r="662" spans="1:5" x14ac:dyDescent="0.25">
      <c r="A662">
        <v>3</v>
      </c>
      <c r="B662">
        <v>-2.9333333333333302E-2</v>
      </c>
      <c r="C662">
        <f t="shared" si="20"/>
        <v>1.2946662803047562</v>
      </c>
      <c r="D662">
        <v>1</v>
      </c>
      <c r="E662">
        <f t="shared" si="21"/>
        <v>4.0615477118338829E-2</v>
      </c>
    </row>
    <row r="663" spans="1:5" x14ac:dyDescent="0.25">
      <c r="A663">
        <v>3</v>
      </c>
      <c r="B663">
        <v>-2.9333333333333302E-2</v>
      </c>
      <c r="C663">
        <f t="shared" si="20"/>
        <v>1.2946662803047562</v>
      </c>
      <c r="D663">
        <v>1</v>
      </c>
      <c r="E663">
        <f t="shared" si="21"/>
        <v>4.0615477118338829E-2</v>
      </c>
    </row>
    <row r="664" spans="1:5" x14ac:dyDescent="0.25">
      <c r="A664">
        <v>3</v>
      </c>
      <c r="B664">
        <v>-2.9333333333333302E-2</v>
      </c>
      <c r="C664">
        <f t="shared" si="20"/>
        <v>1.2946662803047562</v>
      </c>
      <c r="D664">
        <v>1</v>
      </c>
      <c r="E664">
        <f t="shared" si="21"/>
        <v>4.0615477118338829E-2</v>
      </c>
    </row>
    <row r="665" spans="1:5" x14ac:dyDescent="0.25">
      <c r="A665">
        <v>3</v>
      </c>
      <c r="B665">
        <v>-2.9333333333333302E-2</v>
      </c>
      <c r="C665">
        <f t="shared" si="20"/>
        <v>1.2946662803047562</v>
      </c>
      <c r="D665">
        <v>1</v>
      </c>
      <c r="E665">
        <f t="shared" si="21"/>
        <v>4.0615477118338829E-2</v>
      </c>
    </row>
    <row r="666" spans="1:5" x14ac:dyDescent="0.25">
      <c r="A666">
        <v>3</v>
      </c>
      <c r="B666">
        <v>-2.80373831775701E-2</v>
      </c>
      <c r="C666">
        <f t="shared" si="20"/>
        <v>1.2973948955815633</v>
      </c>
      <c r="D666">
        <v>1</v>
      </c>
      <c r="E666">
        <f t="shared" si="21"/>
        <v>4.0615477118338829E-2</v>
      </c>
    </row>
    <row r="667" spans="1:5" x14ac:dyDescent="0.25">
      <c r="A667">
        <v>3</v>
      </c>
      <c r="B667">
        <v>-2.80373831775701E-2</v>
      </c>
      <c r="C667">
        <f t="shared" si="20"/>
        <v>1.2973948955815633</v>
      </c>
      <c r="D667">
        <v>1</v>
      </c>
      <c r="E667">
        <f t="shared" si="21"/>
        <v>4.0615477118338829E-2</v>
      </c>
    </row>
    <row r="668" spans="1:5" x14ac:dyDescent="0.25">
      <c r="A668">
        <v>3</v>
      </c>
      <c r="B668">
        <v>-2.8000000000000001E-2</v>
      </c>
      <c r="C668">
        <f t="shared" si="20"/>
        <v>1.2974732724458096</v>
      </c>
      <c r="D668">
        <v>1</v>
      </c>
      <c r="E668">
        <f t="shared" si="21"/>
        <v>4.0615477118338829E-2</v>
      </c>
    </row>
    <row r="669" spans="1:5" x14ac:dyDescent="0.25">
      <c r="A669">
        <v>3</v>
      </c>
      <c r="B669">
        <v>-2.7972027972028E-2</v>
      </c>
      <c r="C669">
        <f t="shared" si="20"/>
        <v>1.2975319058196149</v>
      </c>
      <c r="D669">
        <v>1</v>
      </c>
      <c r="E669">
        <f t="shared" si="21"/>
        <v>4.0615477118338829E-2</v>
      </c>
    </row>
    <row r="670" spans="1:5" x14ac:dyDescent="0.25">
      <c r="A670">
        <v>3</v>
      </c>
      <c r="B670">
        <v>-2.7972027972028E-2</v>
      </c>
      <c r="C670">
        <f t="shared" si="20"/>
        <v>1.2975319058196149</v>
      </c>
      <c r="D670">
        <v>1</v>
      </c>
      <c r="E670">
        <f t="shared" si="21"/>
        <v>4.0615477118338829E-2</v>
      </c>
    </row>
    <row r="671" spans="1:5" x14ac:dyDescent="0.25">
      <c r="A671">
        <v>3</v>
      </c>
      <c r="B671">
        <v>-2.7027027027027001E-2</v>
      </c>
      <c r="C671">
        <f t="shared" si="20"/>
        <v>1.299506589158141</v>
      </c>
      <c r="D671">
        <v>1</v>
      </c>
      <c r="E671">
        <f t="shared" si="21"/>
        <v>4.0615477118338829E-2</v>
      </c>
    </row>
    <row r="672" spans="1:5" x14ac:dyDescent="0.25">
      <c r="A672">
        <v>3</v>
      </c>
      <c r="B672">
        <v>-2.7027027027027001E-2</v>
      </c>
      <c r="C672">
        <f t="shared" si="20"/>
        <v>1.299506589158141</v>
      </c>
      <c r="D672">
        <v>1</v>
      </c>
      <c r="E672">
        <f t="shared" si="21"/>
        <v>4.0615477118338829E-2</v>
      </c>
    </row>
    <row r="673" spans="1:5" x14ac:dyDescent="0.25">
      <c r="A673">
        <v>3</v>
      </c>
      <c r="B673">
        <v>-2.7027027027027001E-2</v>
      </c>
      <c r="C673">
        <f t="shared" si="20"/>
        <v>1.299506589158141</v>
      </c>
      <c r="D673">
        <v>1</v>
      </c>
      <c r="E673">
        <f t="shared" si="21"/>
        <v>4.0615477118338829E-2</v>
      </c>
    </row>
    <row r="674" spans="1:5" x14ac:dyDescent="0.25">
      <c r="A674">
        <v>3</v>
      </c>
      <c r="B674">
        <v>-2.7027027027027001E-2</v>
      </c>
      <c r="C674">
        <f t="shared" si="20"/>
        <v>1.299506589158141</v>
      </c>
      <c r="D674">
        <v>1</v>
      </c>
      <c r="E674">
        <f t="shared" si="21"/>
        <v>4.0615477118338829E-2</v>
      </c>
    </row>
    <row r="675" spans="1:5" x14ac:dyDescent="0.25">
      <c r="A675">
        <v>3</v>
      </c>
      <c r="B675">
        <v>-2.7027027027027001E-2</v>
      </c>
      <c r="C675">
        <f t="shared" si="20"/>
        <v>1.299506589158141</v>
      </c>
      <c r="D675">
        <v>1</v>
      </c>
      <c r="E675">
        <f t="shared" si="21"/>
        <v>4.0615477118338829E-2</v>
      </c>
    </row>
    <row r="676" spans="1:5" x14ac:dyDescent="0.25">
      <c r="A676">
        <v>3</v>
      </c>
      <c r="B676">
        <v>-2.7027027027027001E-2</v>
      </c>
      <c r="C676">
        <f t="shared" si="20"/>
        <v>1.299506589158141</v>
      </c>
      <c r="D676">
        <v>1</v>
      </c>
      <c r="E676">
        <f t="shared" si="21"/>
        <v>4.0615477118338829E-2</v>
      </c>
    </row>
    <row r="677" spans="1:5" x14ac:dyDescent="0.25">
      <c r="A677">
        <v>3</v>
      </c>
      <c r="B677">
        <v>-2.69461077844311E-2</v>
      </c>
      <c r="C677">
        <f t="shared" si="20"/>
        <v>1.2996751202745971</v>
      </c>
      <c r="D677">
        <v>1</v>
      </c>
      <c r="E677">
        <f t="shared" si="21"/>
        <v>4.0615477118338829E-2</v>
      </c>
    </row>
    <row r="678" spans="1:5" x14ac:dyDescent="0.25">
      <c r="A678">
        <v>3</v>
      </c>
      <c r="B678">
        <v>-2.69461077844311E-2</v>
      </c>
      <c r="C678">
        <f t="shared" si="20"/>
        <v>1.2996751202745971</v>
      </c>
      <c r="D678">
        <v>1</v>
      </c>
      <c r="E678">
        <f t="shared" si="21"/>
        <v>4.0615477118338829E-2</v>
      </c>
    </row>
    <row r="679" spans="1:5" x14ac:dyDescent="0.25">
      <c r="A679">
        <v>3</v>
      </c>
      <c r="B679">
        <v>-2.6737967914438499E-2</v>
      </c>
      <c r="C679">
        <f t="shared" si="20"/>
        <v>1.3001082090281555</v>
      </c>
      <c r="D679">
        <v>1</v>
      </c>
      <c r="E679">
        <f t="shared" si="21"/>
        <v>4.0615477118338829E-2</v>
      </c>
    </row>
    <row r="680" spans="1:5" x14ac:dyDescent="0.25">
      <c r="A680">
        <v>3</v>
      </c>
      <c r="B680">
        <v>-2.66666666666667E-2</v>
      </c>
      <c r="C680">
        <f t="shared" si="20"/>
        <v>1.3002564352366486</v>
      </c>
      <c r="D680">
        <v>1</v>
      </c>
      <c r="E680">
        <f t="shared" si="21"/>
        <v>4.0615477118338829E-2</v>
      </c>
    </row>
    <row r="681" spans="1:5" x14ac:dyDescent="0.25">
      <c r="A681">
        <v>3</v>
      </c>
      <c r="B681">
        <v>-2.66666666666667E-2</v>
      </c>
      <c r="C681">
        <f t="shared" si="20"/>
        <v>1.3002564352366486</v>
      </c>
      <c r="D681">
        <v>1</v>
      </c>
      <c r="E681">
        <f t="shared" si="21"/>
        <v>4.0615477118338829E-2</v>
      </c>
    </row>
    <row r="682" spans="1:5" x14ac:dyDescent="0.25">
      <c r="A682">
        <v>3</v>
      </c>
      <c r="B682">
        <v>-2.66666666666667E-2</v>
      </c>
      <c r="C682">
        <f t="shared" si="20"/>
        <v>1.3002564352366486</v>
      </c>
      <c r="D682">
        <v>1</v>
      </c>
      <c r="E682">
        <f t="shared" si="21"/>
        <v>4.0615477118338829E-2</v>
      </c>
    </row>
    <row r="683" spans="1:5" x14ac:dyDescent="0.25">
      <c r="A683">
        <v>3</v>
      </c>
      <c r="B683">
        <v>-2.5999999999999999E-2</v>
      </c>
      <c r="C683">
        <f t="shared" si="20"/>
        <v>1.3016390245400495</v>
      </c>
      <c r="D683">
        <v>1</v>
      </c>
      <c r="E683">
        <f t="shared" si="21"/>
        <v>4.0615477118338829E-2</v>
      </c>
    </row>
    <row r="684" spans="1:5" x14ac:dyDescent="0.25">
      <c r="A684">
        <v>3</v>
      </c>
      <c r="B684">
        <v>-2.5999999999999999E-2</v>
      </c>
      <c r="C684">
        <f t="shared" si="20"/>
        <v>1.3016390245400495</v>
      </c>
      <c r="D684">
        <v>1</v>
      </c>
      <c r="E684">
        <f t="shared" si="21"/>
        <v>4.0615477118338829E-2</v>
      </c>
    </row>
    <row r="685" spans="1:5" x14ac:dyDescent="0.25">
      <c r="A685">
        <v>3</v>
      </c>
      <c r="B685">
        <v>-2.57009345794393E-2</v>
      </c>
      <c r="C685">
        <f t="shared" si="20"/>
        <v>1.3022572953760512</v>
      </c>
      <c r="D685">
        <v>1</v>
      </c>
      <c r="E685">
        <f t="shared" si="21"/>
        <v>4.0615477118338829E-2</v>
      </c>
    </row>
    <row r="686" spans="1:5" x14ac:dyDescent="0.25">
      <c r="A686">
        <v>3</v>
      </c>
      <c r="B686">
        <v>-2.5641025641025599E-2</v>
      </c>
      <c r="C686">
        <f t="shared" si="20"/>
        <v>1.3023810017735071</v>
      </c>
      <c r="D686">
        <v>1</v>
      </c>
      <c r="E686">
        <f t="shared" si="21"/>
        <v>4.0615477118338829E-2</v>
      </c>
    </row>
    <row r="687" spans="1:5" x14ac:dyDescent="0.25">
      <c r="A687">
        <v>3</v>
      </c>
      <c r="B687">
        <v>-2.5333333333333301E-2</v>
      </c>
      <c r="C687">
        <f t="shared" si="20"/>
        <v>1.303015589361886</v>
      </c>
      <c r="D687">
        <v>1</v>
      </c>
      <c r="E687">
        <f t="shared" si="21"/>
        <v>4.0615477118338829E-2</v>
      </c>
    </row>
    <row r="688" spans="1:5" x14ac:dyDescent="0.25">
      <c r="A688">
        <v>3</v>
      </c>
      <c r="B688">
        <v>-2.5000000000000001E-2</v>
      </c>
      <c r="C688">
        <f t="shared" si="20"/>
        <v>1.3037016056469191</v>
      </c>
      <c r="D688">
        <v>1</v>
      </c>
      <c r="E688">
        <f t="shared" si="21"/>
        <v>4.0615477118338829E-2</v>
      </c>
    </row>
    <row r="689" spans="1:5" x14ac:dyDescent="0.25">
      <c r="A689">
        <v>3</v>
      </c>
      <c r="B689">
        <v>-2.4024024024024E-2</v>
      </c>
      <c r="C689">
        <f t="shared" si="20"/>
        <v>1.3057014930972366</v>
      </c>
      <c r="D689">
        <v>1</v>
      </c>
      <c r="E689">
        <f t="shared" si="21"/>
        <v>4.0615477118338829E-2</v>
      </c>
    </row>
    <row r="690" spans="1:5" x14ac:dyDescent="0.25">
      <c r="A690">
        <v>3</v>
      </c>
      <c r="B690">
        <v>-2.4024024024024E-2</v>
      </c>
      <c r="C690">
        <f t="shared" si="20"/>
        <v>1.3057014930972366</v>
      </c>
      <c r="D690">
        <v>1</v>
      </c>
      <c r="E690">
        <f t="shared" si="21"/>
        <v>4.0615477118338829E-2</v>
      </c>
    </row>
    <row r="691" spans="1:5" x14ac:dyDescent="0.25">
      <c r="A691">
        <v>3</v>
      </c>
      <c r="B691">
        <v>-2.4024024024024E-2</v>
      </c>
      <c r="C691">
        <f t="shared" si="20"/>
        <v>1.3057014930972366</v>
      </c>
      <c r="D691">
        <v>1</v>
      </c>
      <c r="E691">
        <f t="shared" si="21"/>
        <v>4.0615477118338829E-2</v>
      </c>
    </row>
    <row r="692" spans="1:5" x14ac:dyDescent="0.25">
      <c r="A692">
        <v>3</v>
      </c>
      <c r="B692">
        <v>-2.4024024024024E-2</v>
      </c>
      <c r="C692">
        <f t="shared" si="20"/>
        <v>1.3057014930972366</v>
      </c>
      <c r="D692">
        <v>1</v>
      </c>
      <c r="E692">
        <f t="shared" si="21"/>
        <v>4.0615477118338829E-2</v>
      </c>
    </row>
    <row r="693" spans="1:5" x14ac:dyDescent="0.25">
      <c r="A693">
        <v>3</v>
      </c>
      <c r="B693">
        <v>-2.4E-2</v>
      </c>
      <c r="C693">
        <f t="shared" si="20"/>
        <v>1.3057505567824017</v>
      </c>
      <c r="D693">
        <v>1</v>
      </c>
      <c r="E693">
        <f t="shared" si="21"/>
        <v>4.0615477118338829E-2</v>
      </c>
    </row>
    <row r="694" spans="1:5" x14ac:dyDescent="0.25">
      <c r="A694">
        <v>3</v>
      </c>
      <c r="B694">
        <v>-2.4E-2</v>
      </c>
      <c r="C694">
        <f t="shared" si="20"/>
        <v>1.3057505567824017</v>
      </c>
      <c r="D694">
        <v>1</v>
      </c>
      <c r="E694">
        <f t="shared" si="21"/>
        <v>4.0615477118338829E-2</v>
      </c>
    </row>
    <row r="695" spans="1:5" x14ac:dyDescent="0.25">
      <c r="A695">
        <v>3</v>
      </c>
      <c r="B695">
        <v>-2.4E-2</v>
      </c>
      <c r="C695">
        <f t="shared" si="20"/>
        <v>1.3057505567824017</v>
      </c>
      <c r="D695">
        <v>1</v>
      </c>
      <c r="E695">
        <f t="shared" si="21"/>
        <v>4.0615477118338829E-2</v>
      </c>
    </row>
    <row r="696" spans="1:5" x14ac:dyDescent="0.25">
      <c r="A696">
        <v>3</v>
      </c>
      <c r="B696">
        <v>-2.4E-2</v>
      </c>
      <c r="C696">
        <f t="shared" si="20"/>
        <v>1.3057505567824017</v>
      </c>
      <c r="D696">
        <v>1</v>
      </c>
      <c r="E696">
        <f t="shared" si="21"/>
        <v>4.0615477118338829E-2</v>
      </c>
    </row>
    <row r="697" spans="1:5" x14ac:dyDescent="0.25">
      <c r="A697">
        <v>3</v>
      </c>
      <c r="B697">
        <v>-2.4E-2</v>
      </c>
      <c r="C697">
        <f t="shared" si="20"/>
        <v>1.3057505567824017</v>
      </c>
      <c r="D697">
        <v>1</v>
      </c>
      <c r="E697">
        <f t="shared" si="21"/>
        <v>4.0615477118338829E-2</v>
      </c>
    </row>
    <row r="698" spans="1:5" x14ac:dyDescent="0.25">
      <c r="A698">
        <v>3</v>
      </c>
      <c r="B698">
        <v>-2.4E-2</v>
      </c>
      <c r="C698">
        <f t="shared" si="20"/>
        <v>1.3057505567824017</v>
      </c>
      <c r="D698">
        <v>1</v>
      </c>
      <c r="E698">
        <f t="shared" si="21"/>
        <v>4.0615477118338829E-2</v>
      </c>
    </row>
    <row r="699" spans="1:5" x14ac:dyDescent="0.25">
      <c r="A699">
        <v>3</v>
      </c>
      <c r="B699">
        <v>-2.4E-2</v>
      </c>
      <c r="C699">
        <f t="shared" si="20"/>
        <v>1.3057505567824017</v>
      </c>
      <c r="D699">
        <v>1</v>
      </c>
      <c r="E699">
        <f t="shared" si="21"/>
        <v>4.0615477118338829E-2</v>
      </c>
    </row>
    <row r="700" spans="1:5" x14ac:dyDescent="0.25">
      <c r="A700">
        <v>3</v>
      </c>
      <c r="B700">
        <v>-2.4E-2</v>
      </c>
      <c r="C700">
        <f t="shared" si="20"/>
        <v>1.3057505567824017</v>
      </c>
      <c r="D700">
        <v>1</v>
      </c>
      <c r="E700">
        <f t="shared" si="21"/>
        <v>4.0615477118338829E-2</v>
      </c>
    </row>
    <row r="701" spans="1:5" x14ac:dyDescent="0.25">
      <c r="A701">
        <v>3</v>
      </c>
      <c r="B701">
        <v>-2.39520958083832E-2</v>
      </c>
      <c r="C701">
        <f t="shared" si="20"/>
        <v>1.3058483667466443</v>
      </c>
      <c r="D701">
        <v>1</v>
      </c>
      <c r="E701">
        <f t="shared" si="21"/>
        <v>4.0615477118338829E-2</v>
      </c>
    </row>
    <row r="702" spans="1:5" x14ac:dyDescent="0.25">
      <c r="A702">
        <v>3</v>
      </c>
      <c r="B702">
        <v>-2.39520958083832E-2</v>
      </c>
      <c r="C702">
        <f t="shared" si="20"/>
        <v>1.3058483667466443</v>
      </c>
      <c r="D702">
        <v>1</v>
      </c>
      <c r="E702">
        <f t="shared" si="21"/>
        <v>4.0615477118338829E-2</v>
      </c>
    </row>
    <row r="703" spans="1:5" x14ac:dyDescent="0.25">
      <c r="A703">
        <v>3</v>
      </c>
      <c r="B703">
        <v>-2.39520958083832E-2</v>
      </c>
      <c r="C703">
        <f t="shared" si="20"/>
        <v>1.3058483667466443</v>
      </c>
      <c r="D703">
        <v>1</v>
      </c>
      <c r="E703">
        <f t="shared" si="21"/>
        <v>4.0615477118338829E-2</v>
      </c>
    </row>
    <row r="704" spans="1:5" x14ac:dyDescent="0.25">
      <c r="A704">
        <v>3</v>
      </c>
      <c r="B704">
        <v>-2.1999999999999999E-2</v>
      </c>
      <c r="C704">
        <f t="shared" si="20"/>
        <v>1.3098072715737699</v>
      </c>
      <c r="D704">
        <v>1</v>
      </c>
      <c r="E704">
        <f t="shared" si="21"/>
        <v>4.0615477118338829E-2</v>
      </c>
    </row>
    <row r="705" spans="1:5" x14ac:dyDescent="0.25">
      <c r="A705">
        <v>3</v>
      </c>
      <c r="B705">
        <v>-2.1333333333333301E-2</v>
      </c>
      <c r="C705">
        <f t="shared" si="20"/>
        <v>1.3111472258486794</v>
      </c>
      <c r="D705">
        <v>1</v>
      </c>
      <c r="E705">
        <f t="shared" si="21"/>
        <v>4.0615477118338829E-2</v>
      </c>
    </row>
    <row r="706" spans="1:5" x14ac:dyDescent="0.25">
      <c r="A706">
        <v>3</v>
      </c>
      <c r="B706">
        <v>-2.1333333333333301E-2</v>
      </c>
      <c r="C706">
        <f t="shared" ref="C706:C769" si="22">_xlfn.NORM.DIST(B706, I$10,I$13,FALSE)</f>
        <v>1.3111472258486794</v>
      </c>
      <c r="D706">
        <v>1</v>
      </c>
      <c r="E706">
        <f t="shared" si="21"/>
        <v>4.0615477118338829E-2</v>
      </c>
    </row>
    <row r="707" spans="1:5" x14ac:dyDescent="0.25">
      <c r="A707">
        <v>3</v>
      </c>
      <c r="B707">
        <v>-2.1333333333333301E-2</v>
      </c>
      <c r="C707">
        <f t="shared" si="22"/>
        <v>1.3111472258486794</v>
      </c>
      <c r="D707">
        <v>1</v>
      </c>
      <c r="E707">
        <f t="shared" ref="E707:E770" si="23">_xlfn.NORM.DIST(D707, I$4,I$7,FALSE)</f>
        <v>4.0615477118338829E-2</v>
      </c>
    </row>
    <row r="708" spans="1:5" x14ac:dyDescent="0.25">
      <c r="A708">
        <v>3</v>
      </c>
      <c r="B708">
        <v>-2.10280373831776E-2</v>
      </c>
      <c r="C708">
        <f t="shared" si="22"/>
        <v>1.311758788596497</v>
      </c>
      <c r="D708">
        <v>1</v>
      </c>
      <c r="E708">
        <f t="shared" si="23"/>
        <v>4.0615477118338829E-2</v>
      </c>
    </row>
    <row r="709" spans="1:5" x14ac:dyDescent="0.25">
      <c r="A709">
        <v>3</v>
      </c>
      <c r="B709">
        <v>-2.10280373831776E-2</v>
      </c>
      <c r="C709">
        <f t="shared" si="22"/>
        <v>1.311758788596497</v>
      </c>
      <c r="D709">
        <v>1</v>
      </c>
      <c r="E709">
        <f t="shared" si="23"/>
        <v>4.0615477118338829E-2</v>
      </c>
    </row>
    <row r="710" spans="1:5" x14ac:dyDescent="0.25">
      <c r="A710">
        <v>3</v>
      </c>
      <c r="B710">
        <v>-2.10280373831776E-2</v>
      </c>
      <c r="C710">
        <f t="shared" si="22"/>
        <v>1.311758788596497</v>
      </c>
      <c r="D710">
        <v>1</v>
      </c>
      <c r="E710">
        <f t="shared" si="23"/>
        <v>4.0615477118338829E-2</v>
      </c>
    </row>
    <row r="711" spans="1:5" x14ac:dyDescent="0.25">
      <c r="A711">
        <v>3</v>
      </c>
      <c r="B711">
        <v>-2.1021021021020998E-2</v>
      </c>
      <c r="C711">
        <f t="shared" si="22"/>
        <v>1.3117728283857701</v>
      </c>
      <c r="D711">
        <v>1</v>
      </c>
      <c r="E711">
        <f t="shared" si="23"/>
        <v>4.0615477118338829E-2</v>
      </c>
    </row>
    <row r="712" spans="1:5" x14ac:dyDescent="0.25">
      <c r="A712">
        <v>3</v>
      </c>
      <c r="B712">
        <v>-2.1021021021020998E-2</v>
      </c>
      <c r="C712">
        <f t="shared" si="22"/>
        <v>1.3117728283857701</v>
      </c>
      <c r="D712">
        <v>1</v>
      </c>
      <c r="E712">
        <f t="shared" si="23"/>
        <v>4.0615477118338829E-2</v>
      </c>
    </row>
    <row r="713" spans="1:5" x14ac:dyDescent="0.25">
      <c r="A713">
        <v>3</v>
      </c>
      <c r="B713">
        <v>-2.1021021021020998E-2</v>
      </c>
      <c r="C713">
        <f t="shared" si="22"/>
        <v>1.3117728283857701</v>
      </c>
      <c r="D713">
        <v>1</v>
      </c>
      <c r="E713">
        <f t="shared" si="23"/>
        <v>4.0615477118338829E-2</v>
      </c>
    </row>
    <row r="714" spans="1:5" x14ac:dyDescent="0.25">
      <c r="A714">
        <v>3</v>
      </c>
      <c r="B714">
        <v>-2.0979020979021001E-2</v>
      </c>
      <c r="C714">
        <f t="shared" si="22"/>
        <v>1.3118568564272981</v>
      </c>
      <c r="D714">
        <v>1</v>
      </c>
      <c r="E714">
        <f t="shared" si="23"/>
        <v>4.0615477118338829E-2</v>
      </c>
    </row>
    <row r="715" spans="1:5" x14ac:dyDescent="0.25">
      <c r="A715">
        <v>3</v>
      </c>
      <c r="B715">
        <v>-2.0979020979021001E-2</v>
      </c>
      <c r="C715">
        <f t="shared" si="22"/>
        <v>1.3118568564272981</v>
      </c>
      <c r="D715">
        <v>1</v>
      </c>
      <c r="E715">
        <f t="shared" si="23"/>
        <v>4.0615477118338829E-2</v>
      </c>
    </row>
    <row r="716" spans="1:5" x14ac:dyDescent="0.25">
      <c r="A716">
        <v>3</v>
      </c>
      <c r="B716">
        <v>-2.0979020979021001E-2</v>
      </c>
      <c r="C716">
        <f t="shared" si="22"/>
        <v>1.3118568564272981</v>
      </c>
      <c r="D716">
        <v>1</v>
      </c>
      <c r="E716">
        <f t="shared" si="23"/>
        <v>4.0615477118338829E-2</v>
      </c>
    </row>
    <row r="717" spans="1:5" x14ac:dyDescent="0.25">
      <c r="A717">
        <v>3</v>
      </c>
      <c r="B717">
        <v>-2.09580838323353E-2</v>
      </c>
      <c r="C717">
        <f t="shared" si="22"/>
        <v>1.3118987354819349</v>
      </c>
      <c r="D717">
        <v>1</v>
      </c>
      <c r="E717">
        <f t="shared" si="23"/>
        <v>4.0615477118338829E-2</v>
      </c>
    </row>
    <row r="718" spans="1:5" x14ac:dyDescent="0.25">
      <c r="A718">
        <v>3</v>
      </c>
      <c r="B718">
        <v>-2.09580838323353E-2</v>
      </c>
      <c r="C718">
        <f t="shared" si="22"/>
        <v>1.3118987354819349</v>
      </c>
      <c r="D718">
        <v>1</v>
      </c>
      <c r="E718">
        <f t="shared" si="23"/>
        <v>4.0615477118338829E-2</v>
      </c>
    </row>
    <row r="719" spans="1:5" x14ac:dyDescent="0.25">
      <c r="A719">
        <v>3</v>
      </c>
      <c r="B719">
        <v>-2.09580838323353E-2</v>
      </c>
      <c r="C719">
        <f t="shared" si="22"/>
        <v>1.3118987354819349</v>
      </c>
      <c r="D719">
        <v>1</v>
      </c>
      <c r="E719">
        <f t="shared" si="23"/>
        <v>4.0615477118338829E-2</v>
      </c>
    </row>
    <row r="720" spans="1:5" x14ac:dyDescent="0.25">
      <c r="A720">
        <v>3</v>
      </c>
      <c r="B720">
        <v>-1.86915887850467E-2</v>
      </c>
      <c r="C720">
        <f t="shared" si="22"/>
        <v>1.3163959938951777</v>
      </c>
      <c r="D720">
        <v>1</v>
      </c>
      <c r="E720">
        <f t="shared" si="23"/>
        <v>4.0615477118338829E-2</v>
      </c>
    </row>
    <row r="721" spans="1:5" x14ac:dyDescent="0.25">
      <c r="A721">
        <v>3</v>
      </c>
      <c r="B721">
        <v>-1.8666666666666699E-2</v>
      </c>
      <c r="C721">
        <f t="shared" si="22"/>
        <v>1.316445044371314</v>
      </c>
      <c r="D721">
        <v>1</v>
      </c>
      <c r="E721">
        <f t="shared" si="23"/>
        <v>4.0615477118338829E-2</v>
      </c>
    </row>
    <row r="722" spans="1:5" x14ac:dyDescent="0.25">
      <c r="A722">
        <v>3</v>
      </c>
      <c r="B722">
        <v>-1.8666666666666699E-2</v>
      </c>
      <c r="C722">
        <f t="shared" si="22"/>
        <v>1.316445044371314</v>
      </c>
      <c r="D722">
        <v>1</v>
      </c>
      <c r="E722">
        <f t="shared" si="23"/>
        <v>4.0615477118338829E-2</v>
      </c>
    </row>
    <row r="723" spans="1:5" x14ac:dyDescent="0.25">
      <c r="A723">
        <v>3</v>
      </c>
      <c r="B723">
        <v>-1.8666666666666699E-2</v>
      </c>
      <c r="C723">
        <f t="shared" si="22"/>
        <v>1.316445044371314</v>
      </c>
      <c r="D723">
        <v>1</v>
      </c>
      <c r="E723">
        <f t="shared" si="23"/>
        <v>4.0615477118338829E-2</v>
      </c>
    </row>
    <row r="724" spans="1:5" x14ac:dyDescent="0.25">
      <c r="A724">
        <v>3</v>
      </c>
      <c r="B724">
        <v>-1.8666666666666699E-2</v>
      </c>
      <c r="C724">
        <f t="shared" si="22"/>
        <v>1.316445044371314</v>
      </c>
      <c r="D724">
        <v>1</v>
      </c>
      <c r="E724">
        <f t="shared" si="23"/>
        <v>4.0615477118338829E-2</v>
      </c>
    </row>
    <row r="725" spans="1:5" x14ac:dyDescent="0.25">
      <c r="A725">
        <v>3</v>
      </c>
      <c r="B725">
        <v>-1.8666666666666699E-2</v>
      </c>
      <c r="C725">
        <f t="shared" si="22"/>
        <v>1.316445044371314</v>
      </c>
      <c r="D725">
        <v>1</v>
      </c>
      <c r="E725">
        <f t="shared" si="23"/>
        <v>4.0615477118338829E-2</v>
      </c>
    </row>
    <row r="726" spans="1:5" x14ac:dyDescent="0.25">
      <c r="A726">
        <v>3</v>
      </c>
      <c r="B726">
        <v>-1.8018018018018001E-2</v>
      </c>
      <c r="C726">
        <f t="shared" si="22"/>
        <v>1.317718600113672</v>
      </c>
      <c r="D726">
        <v>1</v>
      </c>
      <c r="E726">
        <f t="shared" si="23"/>
        <v>4.0615477118338829E-2</v>
      </c>
    </row>
    <row r="727" spans="1:5" x14ac:dyDescent="0.25">
      <c r="A727">
        <v>3</v>
      </c>
      <c r="B727">
        <v>-1.8018018018018001E-2</v>
      </c>
      <c r="C727">
        <f t="shared" si="22"/>
        <v>1.317718600113672</v>
      </c>
      <c r="D727">
        <v>1</v>
      </c>
      <c r="E727">
        <f t="shared" si="23"/>
        <v>4.0615477118338829E-2</v>
      </c>
    </row>
    <row r="728" spans="1:5" x14ac:dyDescent="0.25">
      <c r="A728">
        <v>3</v>
      </c>
      <c r="B728">
        <v>-1.8018018018018001E-2</v>
      </c>
      <c r="C728">
        <f t="shared" si="22"/>
        <v>1.317718600113672</v>
      </c>
      <c r="D728">
        <v>1</v>
      </c>
      <c r="E728">
        <f t="shared" si="23"/>
        <v>4.0615477118338829E-2</v>
      </c>
    </row>
    <row r="729" spans="1:5" x14ac:dyDescent="0.25">
      <c r="A729">
        <v>3</v>
      </c>
      <c r="B729">
        <v>-1.8018018018018001E-2</v>
      </c>
      <c r="C729">
        <f t="shared" si="22"/>
        <v>1.317718600113672</v>
      </c>
      <c r="D729">
        <v>1</v>
      </c>
      <c r="E729">
        <f t="shared" si="23"/>
        <v>4.0615477118338829E-2</v>
      </c>
    </row>
    <row r="730" spans="1:5" x14ac:dyDescent="0.25">
      <c r="A730">
        <v>3</v>
      </c>
      <c r="B730">
        <v>-1.8018018018018001E-2</v>
      </c>
      <c r="C730">
        <f t="shared" si="22"/>
        <v>1.317718600113672</v>
      </c>
      <c r="D730">
        <v>1</v>
      </c>
      <c r="E730">
        <f t="shared" si="23"/>
        <v>4.0615477118338829E-2</v>
      </c>
    </row>
    <row r="731" spans="1:5" x14ac:dyDescent="0.25">
      <c r="A731">
        <v>3</v>
      </c>
      <c r="B731">
        <v>-1.79640718562874E-2</v>
      </c>
      <c r="C731">
        <f t="shared" si="22"/>
        <v>1.317824250199231</v>
      </c>
      <c r="D731">
        <v>1</v>
      </c>
      <c r="E731">
        <f t="shared" si="23"/>
        <v>4.0615477118338829E-2</v>
      </c>
    </row>
    <row r="732" spans="1:5" x14ac:dyDescent="0.25">
      <c r="A732">
        <v>3</v>
      </c>
      <c r="B732">
        <v>-1.79640718562874E-2</v>
      </c>
      <c r="C732">
        <f t="shared" si="22"/>
        <v>1.317824250199231</v>
      </c>
      <c r="D732">
        <v>1</v>
      </c>
      <c r="E732">
        <f t="shared" si="23"/>
        <v>4.0615477118338829E-2</v>
      </c>
    </row>
    <row r="733" spans="1:5" x14ac:dyDescent="0.25">
      <c r="A733">
        <v>3</v>
      </c>
      <c r="B733">
        <v>-1.79640718562874E-2</v>
      </c>
      <c r="C733">
        <f t="shared" si="22"/>
        <v>1.317824250199231</v>
      </c>
      <c r="D733">
        <v>1</v>
      </c>
      <c r="E733">
        <f t="shared" si="23"/>
        <v>4.0615477118338829E-2</v>
      </c>
    </row>
    <row r="734" spans="1:5" x14ac:dyDescent="0.25">
      <c r="A734">
        <v>3</v>
      </c>
      <c r="B734">
        <v>-1.79640718562874E-2</v>
      </c>
      <c r="C734">
        <f t="shared" si="22"/>
        <v>1.317824250199231</v>
      </c>
      <c r="D734">
        <v>1</v>
      </c>
      <c r="E734">
        <f t="shared" si="23"/>
        <v>4.0615477118338829E-2</v>
      </c>
    </row>
    <row r="735" spans="1:5" x14ac:dyDescent="0.25">
      <c r="A735">
        <v>3</v>
      </c>
      <c r="B735">
        <v>-1.7333333333333301E-2</v>
      </c>
      <c r="C735">
        <f t="shared" si="22"/>
        <v>1.3190564536823202</v>
      </c>
      <c r="D735">
        <v>1</v>
      </c>
      <c r="E735">
        <f t="shared" si="23"/>
        <v>4.0615477118338829E-2</v>
      </c>
    </row>
    <row r="736" spans="1:5" x14ac:dyDescent="0.25">
      <c r="A736">
        <v>3</v>
      </c>
      <c r="B736">
        <v>-1.7333333333333301E-2</v>
      </c>
      <c r="C736">
        <f t="shared" si="22"/>
        <v>1.3190564536823202</v>
      </c>
      <c r="D736">
        <v>1</v>
      </c>
      <c r="E736">
        <f t="shared" si="23"/>
        <v>4.0615477118338829E-2</v>
      </c>
    </row>
    <row r="737" spans="1:5" x14ac:dyDescent="0.25">
      <c r="A737">
        <v>3</v>
      </c>
      <c r="B737">
        <v>-1.6666666666666701E-2</v>
      </c>
      <c r="C737">
        <f t="shared" si="22"/>
        <v>1.3203527087537692</v>
      </c>
      <c r="D737">
        <v>1</v>
      </c>
      <c r="E737">
        <f t="shared" si="23"/>
        <v>4.0615477118338829E-2</v>
      </c>
    </row>
    <row r="738" spans="1:5" x14ac:dyDescent="0.25">
      <c r="A738">
        <v>3</v>
      </c>
      <c r="B738">
        <v>-1.63551401869159E-2</v>
      </c>
      <c r="C738">
        <f t="shared" si="22"/>
        <v>1.3209562673418886</v>
      </c>
      <c r="D738">
        <v>1</v>
      </c>
      <c r="E738">
        <f t="shared" si="23"/>
        <v>4.0615477118338829E-2</v>
      </c>
    </row>
    <row r="739" spans="1:5" x14ac:dyDescent="0.25">
      <c r="A739">
        <v>3</v>
      </c>
      <c r="B739">
        <v>-1.6317016317016299E-2</v>
      </c>
      <c r="C739">
        <f t="shared" si="22"/>
        <v>1.3210300344073171</v>
      </c>
      <c r="D739">
        <v>1</v>
      </c>
      <c r="E739">
        <f t="shared" si="23"/>
        <v>4.0615477118338829E-2</v>
      </c>
    </row>
    <row r="740" spans="1:5" x14ac:dyDescent="0.25">
      <c r="A740">
        <v>3</v>
      </c>
      <c r="B740">
        <v>-1.6317016317016299E-2</v>
      </c>
      <c r="C740">
        <f t="shared" si="22"/>
        <v>1.3210300344073171</v>
      </c>
      <c r="D740">
        <v>1</v>
      </c>
      <c r="E740">
        <f t="shared" si="23"/>
        <v>4.0615477118338829E-2</v>
      </c>
    </row>
    <row r="741" spans="1:5" x14ac:dyDescent="0.25">
      <c r="A741">
        <v>3</v>
      </c>
      <c r="B741">
        <v>-1.6E-2</v>
      </c>
      <c r="C741">
        <f t="shared" si="22"/>
        <v>1.3216426359178874</v>
      </c>
      <c r="D741">
        <v>1</v>
      </c>
      <c r="E741">
        <f t="shared" si="23"/>
        <v>4.0615477118338829E-2</v>
      </c>
    </row>
    <row r="742" spans="1:5" x14ac:dyDescent="0.25">
      <c r="A742">
        <v>3</v>
      </c>
      <c r="B742">
        <v>-1.6E-2</v>
      </c>
      <c r="C742">
        <f t="shared" si="22"/>
        <v>1.3216426359178874</v>
      </c>
      <c r="D742">
        <v>1</v>
      </c>
      <c r="E742">
        <f t="shared" si="23"/>
        <v>4.0615477118338829E-2</v>
      </c>
    </row>
    <row r="743" spans="1:5" x14ac:dyDescent="0.25">
      <c r="A743">
        <v>3</v>
      </c>
      <c r="B743">
        <v>-1.6E-2</v>
      </c>
      <c r="C743">
        <f t="shared" si="22"/>
        <v>1.3216426359178874</v>
      </c>
      <c r="D743">
        <v>1</v>
      </c>
      <c r="E743">
        <f t="shared" si="23"/>
        <v>4.0615477118338829E-2</v>
      </c>
    </row>
    <row r="744" spans="1:5" x14ac:dyDescent="0.25">
      <c r="A744">
        <v>3</v>
      </c>
      <c r="B744">
        <v>-1.5015015015014999E-2</v>
      </c>
      <c r="C744">
        <f t="shared" si="22"/>
        <v>1.3235368482718721</v>
      </c>
      <c r="D744">
        <v>1</v>
      </c>
      <c r="E744">
        <f t="shared" si="23"/>
        <v>4.0615477118338829E-2</v>
      </c>
    </row>
    <row r="745" spans="1:5" x14ac:dyDescent="0.25">
      <c r="A745">
        <v>3</v>
      </c>
      <c r="B745">
        <v>-1.5015015015014999E-2</v>
      </c>
      <c r="C745">
        <f t="shared" si="22"/>
        <v>1.3235368482718721</v>
      </c>
      <c r="D745">
        <v>1</v>
      </c>
      <c r="E745">
        <f t="shared" si="23"/>
        <v>4.0615477118338829E-2</v>
      </c>
    </row>
    <row r="746" spans="1:5" x14ac:dyDescent="0.25">
      <c r="A746">
        <v>3</v>
      </c>
      <c r="B746">
        <v>-1.5015015015014999E-2</v>
      </c>
      <c r="C746">
        <f t="shared" si="22"/>
        <v>1.3235368482718721</v>
      </c>
      <c r="D746">
        <v>1</v>
      </c>
      <c r="E746">
        <f t="shared" si="23"/>
        <v>4.0615477118338829E-2</v>
      </c>
    </row>
    <row r="747" spans="1:5" x14ac:dyDescent="0.25">
      <c r="A747">
        <v>3</v>
      </c>
      <c r="B747">
        <v>-1.49700598802395E-2</v>
      </c>
      <c r="C747">
        <f t="shared" si="22"/>
        <v>1.3236229691246317</v>
      </c>
      <c r="D747">
        <v>1</v>
      </c>
      <c r="E747">
        <f t="shared" si="23"/>
        <v>4.0615477118338829E-2</v>
      </c>
    </row>
    <row r="748" spans="1:5" x14ac:dyDescent="0.25">
      <c r="A748">
        <v>3</v>
      </c>
      <c r="B748">
        <v>-1.49700598802395E-2</v>
      </c>
      <c r="C748">
        <f t="shared" si="22"/>
        <v>1.3236229691246317</v>
      </c>
      <c r="D748">
        <v>1</v>
      </c>
      <c r="E748">
        <f t="shared" si="23"/>
        <v>4.0615477118338829E-2</v>
      </c>
    </row>
    <row r="749" spans="1:5" x14ac:dyDescent="0.25">
      <c r="A749">
        <v>3</v>
      </c>
      <c r="B749">
        <v>-1.4492753623188401E-2</v>
      </c>
      <c r="C749">
        <f t="shared" si="22"/>
        <v>1.3245355571061903</v>
      </c>
      <c r="D749">
        <v>1</v>
      </c>
      <c r="E749">
        <f t="shared" si="23"/>
        <v>4.0615477118338829E-2</v>
      </c>
    </row>
    <row r="750" spans="1:5" x14ac:dyDescent="0.25">
      <c r="A750">
        <v>3</v>
      </c>
      <c r="B750">
        <v>-1.4018691588785E-2</v>
      </c>
      <c r="C750">
        <f t="shared" si="22"/>
        <v>1.3254386969961556</v>
      </c>
      <c r="D750">
        <v>1</v>
      </c>
      <c r="E750">
        <f t="shared" si="23"/>
        <v>4.0615477118338829E-2</v>
      </c>
    </row>
    <row r="751" spans="1:5" x14ac:dyDescent="0.25">
      <c r="A751">
        <v>3</v>
      </c>
      <c r="B751">
        <v>-1.4E-2</v>
      </c>
      <c r="C751">
        <f t="shared" si="22"/>
        <v>1.3254742401331892</v>
      </c>
      <c r="D751">
        <v>1</v>
      </c>
      <c r="E751">
        <f t="shared" si="23"/>
        <v>4.0615477118338829E-2</v>
      </c>
    </row>
    <row r="752" spans="1:5" x14ac:dyDescent="0.25">
      <c r="A752">
        <v>3</v>
      </c>
      <c r="B752">
        <v>-1.4E-2</v>
      </c>
      <c r="C752">
        <f t="shared" si="22"/>
        <v>1.3254742401331892</v>
      </c>
      <c r="D752">
        <v>2</v>
      </c>
      <c r="E752">
        <f t="shared" si="23"/>
        <v>4.2223641135053967E-2</v>
      </c>
    </row>
    <row r="753" spans="1:5" x14ac:dyDescent="0.25">
      <c r="A753">
        <v>3</v>
      </c>
      <c r="B753">
        <v>-1.3986013986014E-2</v>
      </c>
      <c r="C753">
        <f t="shared" si="22"/>
        <v>1.3255008320511188</v>
      </c>
      <c r="D753">
        <v>2</v>
      </c>
      <c r="E753">
        <f t="shared" si="23"/>
        <v>4.2223641135053967E-2</v>
      </c>
    </row>
    <row r="754" spans="1:5" x14ac:dyDescent="0.25">
      <c r="A754">
        <v>3</v>
      </c>
      <c r="B754">
        <v>-1.3986013986014E-2</v>
      </c>
      <c r="C754">
        <f t="shared" si="22"/>
        <v>1.3255008320511188</v>
      </c>
      <c r="D754">
        <v>2</v>
      </c>
      <c r="E754">
        <f t="shared" si="23"/>
        <v>4.2223641135053967E-2</v>
      </c>
    </row>
    <row r="755" spans="1:5" x14ac:dyDescent="0.25">
      <c r="A755">
        <v>3</v>
      </c>
      <c r="B755">
        <v>-1.3698630136986301E-2</v>
      </c>
      <c r="C755">
        <f t="shared" si="22"/>
        <v>1.3260466163024995</v>
      </c>
      <c r="D755">
        <v>2</v>
      </c>
      <c r="E755">
        <f t="shared" si="23"/>
        <v>4.2223641135053967E-2</v>
      </c>
    </row>
    <row r="756" spans="1:5" x14ac:dyDescent="0.25">
      <c r="A756">
        <v>3</v>
      </c>
      <c r="B756">
        <v>-1.3333333333333299E-2</v>
      </c>
      <c r="C756">
        <f t="shared" si="22"/>
        <v>1.3267386462827997</v>
      </c>
      <c r="D756">
        <v>2</v>
      </c>
      <c r="E756">
        <f t="shared" si="23"/>
        <v>4.2223641135053967E-2</v>
      </c>
    </row>
    <row r="757" spans="1:5" x14ac:dyDescent="0.25">
      <c r="A757">
        <v>3</v>
      </c>
      <c r="B757">
        <v>-1.3333333333333299E-2</v>
      </c>
      <c r="C757">
        <f t="shared" si="22"/>
        <v>1.3267386462827997</v>
      </c>
      <c r="D757">
        <v>2</v>
      </c>
      <c r="E757">
        <f t="shared" si="23"/>
        <v>4.2223641135053967E-2</v>
      </c>
    </row>
    <row r="758" spans="1:5" x14ac:dyDescent="0.25">
      <c r="A758">
        <v>3</v>
      </c>
      <c r="B758">
        <v>-1.3333333333333299E-2</v>
      </c>
      <c r="C758">
        <f t="shared" si="22"/>
        <v>1.3267386462827997</v>
      </c>
      <c r="D758">
        <v>2</v>
      </c>
      <c r="E758">
        <f t="shared" si="23"/>
        <v>4.2223641135053967E-2</v>
      </c>
    </row>
    <row r="759" spans="1:5" x14ac:dyDescent="0.25">
      <c r="A759">
        <v>3</v>
      </c>
      <c r="B759">
        <v>-1.3333333333333299E-2</v>
      </c>
      <c r="C759">
        <f t="shared" si="22"/>
        <v>1.3267386462827997</v>
      </c>
      <c r="D759">
        <v>2</v>
      </c>
      <c r="E759">
        <f t="shared" si="23"/>
        <v>4.2223641135053967E-2</v>
      </c>
    </row>
    <row r="760" spans="1:5" x14ac:dyDescent="0.25">
      <c r="A760">
        <v>3</v>
      </c>
      <c r="B760">
        <v>-1.3333333333333299E-2</v>
      </c>
      <c r="C760">
        <f t="shared" si="22"/>
        <v>1.3267386462827997</v>
      </c>
      <c r="D760">
        <v>2</v>
      </c>
      <c r="E760">
        <f t="shared" si="23"/>
        <v>4.2223641135053967E-2</v>
      </c>
    </row>
    <row r="761" spans="1:5" x14ac:dyDescent="0.25">
      <c r="A761">
        <v>3</v>
      </c>
      <c r="B761">
        <v>-1.3333333333333299E-2</v>
      </c>
      <c r="C761">
        <f t="shared" si="22"/>
        <v>1.3267386462827997</v>
      </c>
      <c r="D761">
        <v>2</v>
      </c>
      <c r="E761">
        <f t="shared" si="23"/>
        <v>4.2223641135053967E-2</v>
      </c>
    </row>
    <row r="762" spans="1:5" x14ac:dyDescent="0.25">
      <c r="A762">
        <v>3</v>
      </c>
      <c r="B762">
        <v>-1.3333333333333299E-2</v>
      </c>
      <c r="C762">
        <f t="shared" si="22"/>
        <v>1.3267386462827997</v>
      </c>
      <c r="D762">
        <v>2</v>
      </c>
      <c r="E762">
        <f t="shared" si="23"/>
        <v>4.2223641135053967E-2</v>
      </c>
    </row>
    <row r="763" spans="1:5" x14ac:dyDescent="0.25">
      <c r="A763">
        <v>3</v>
      </c>
      <c r="B763">
        <v>-1.2012012012012E-2</v>
      </c>
      <c r="C763">
        <f t="shared" si="22"/>
        <v>1.329225648827459</v>
      </c>
      <c r="D763">
        <v>2</v>
      </c>
      <c r="E763">
        <f t="shared" si="23"/>
        <v>4.2223641135053967E-2</v>
      </c>
    </row>
    <row r="764" spans="1:5" x14ac:dyDescent="0.25">
      <c r="A764">
        <v>3</v>
      </c>
      <c r="B764">
        <v>-1.2012012012012E-2</v>
      </c>
      <c r="C764">
        <f t="shared" si="22"/>
        <v>1.329225648827459</v>
      </c>
      <c r="D764">
        <v>2</v>
      </c>
      <c r="E764">
        <f t="shared" si="23"/>
        <v>4.2223641135053967E-2</v>
      </c>
    </row>
    <row r="765" spans="1:5" x14ac:dyDescent="0.25">
      <c r="A765">
        <v>3</v>
      </c>
      <c r="B765">
        <v>-1.2012012012012E-2</v>
      </c>
      <c r="C765">
        <f t="shared" si="22"/>
        <v>1.329225648827459</v>
      </c>
      <c r="D765">
        <v>2</v>
      </c>
      <c r="E765">
        <f t="shared" si="23"/>
        <v>4.2223641135053967E-2</v>
      </c>
    </row>
    <row r="766" spans="1:5" x14ac:dyDescent="0.25">
      <c r="A766">
        <v>3</v>
      </c>
      <c r="B766">
        <v>-1.2E-2</v>
      </c>
      <c r="C766">
        <f t="shared" si="22"/>
        <v>1.3292481415552022</v>
      </c>
      <c r="D766">
        <v>2</v>
      </c>
      <c r="E766">
        <f t="shared" si="23"/>
        <v>4.2223641135053967E-2</v>
      </c>
    </row>
    <row r="767" spans="1:5" x14ac:dyDescent="0.25">
      <c r="A767">
        <v>3</v>
      </c>
      <c r="B767">
        <v>-1.16822429906542E-2</v>
      </c>
      <c r="C767">
        <f t="shared" si="22"/>
        <v>1.3298423843166001</v>
      </c>
      <c r="D767">
        <v>2</v>
      </c>
      <c r="E767">
        <f t="shared" si="23"/>
        <v>4.2223641135053967E-2</v>
      </c>
    </row>
    <row r="768" spans="1:5" x14ac:dyDescent="0.25">
      <c r="A768">
        <v>3</v>
      </c>
      <c r="B768">
        <v>-1.16822429906542E-2</v>
      </c>
      <c r="C768">
        <f t="shared" si="22"/>
        <v>1.3298423843166001</v>
      </c>
      <c r="D768">
        <v>2</v>
      </c>
      <c r="E768">
        <f t="shared" si="23"/>
        <v>4.2223641135053967E-2</v>
      </c>
    </row>
    <row r="769" spans="1:5" x14ac:dyDescent="0.25">
      <c r="A769">
        <v>3</v>
      </c>
      <c r="B769">
        <v>-1.16822429906542E-2</v>
      </c>
      <c r="C769">
        <f t="shared" si="22"/>
        <v>1.3298423843166001</v>
      </c>
      <c r="D769">
        <v>2</v>
      </c>
      <c r="E769">
        <f t="shared" si="23"/>
        <v>4.2223641135053967E-2</v>
      </c>
    </row>
    <row r="770" spans="1:5" x14ac:dyDescent="0.25">
      <c r="A770">
        <v>3</v>
      </c>
      <c r="B770">
        <v>-1.16822429906542E-2</v>
      </c>
      <c r="C770">
        <f t="shared" ref="C770:C833" si="24">_xlfn.NORM.DIST(B770, I$10,I$13,FALSE)</f>
        <v>1.3298423843166001</v>
      </c>
      <c r="D770">
        <v>2</v>
      </c>
      <c r="E770">
        <f t="shared" si="23"/>
        <v>4.2223641135053967E-2</v>
      </c>
    </row>
    <row r="771" spans="1:5" x14ac:dyDescent="0.25">
      <c r="A771">
        <v>3</v>
      </c>
      <c r="B771">
        <v>-1.0666666666666699E-2</v>
      </c>
      <c r="C771">
        <f t="shared" si="24"/>
        <v>1.3317317440744703</v>
      </c>
      <c r="D771">
        <v>2</v>
      </c>
      <c r="E771">
        <f t="shared" ref="E771:E834" si="25">_xlfn.NORM.DIST(D771, I$4,I$7,FALSE)</f>
        <v>4.2223641135053967E-2</v>
      </c>
    </row>
    <row r="772" spans="1:5" x14ac:dyDescent="0.25">
      <c r="A772">
        <v>3</v>
      </c>
      <c r="B772">
        <v>-1.0666666666666699E-2</v>
      </c>
      <c r="C772">
        <f t="shared" si="24"/>
        <v>1.3317317440744703</v>
      </c>
      <c r="D772">
        <v>2</v>
      </c>
      <c r="E772">
        <f t="shared" si="25"/>
        <v>4.2223641135053967E-2</v>
      </c>
    </row>
    <row r="773" spans="1:5" x14ac:dyDescent="0.25">
      <c r="A773">
        <v>3</v>
      </c>
      <c r="B773">
        <v>-1.0666666666666699E-2</v>
      </c>
      <c r="C773">
        <f t="shared" si="24"/>
        <v>1.3317317440744703</v>
      </c>
      <c r="D773">
        <v>2</v>
      </c>
      <c r="E773">
        <f t="shared" si="25"/>
        <v>4.2223641135053967E-2</v>
      </c>
    </row>
    <row r="774" spans="1:5" x14ac:dyDescent="0.25">
      <c r="A774">
        <v>3</v>
      </c>
      <c r="B774">
        <v>-1.0666666666666699E-2</v>
      </c>
      <c r="C774">
        <f t="shared" si="24"/>
        <v>1.3317317440744703</v>
      </c>
      <c r="D774">
        <v>2</v>
      </c>
      <c r="E774">
        <f t="shared" si="25"/>
        <v>4.2223641135053967E-2</v>
      </c>
    </row>
    <row r="775" spans="1:5" x14ac:dyDescent="0.25">
      <c r="A775">
        <v>3</v>
      </c>
      <c r="B775">
        <v>-1.0666666666666699E-2</v>
      </c>
      <c r="C775">
        <f t="shared" si="24"/>
        <v>1.3317317440744703</v>
      </c>
      <c r="D775">
        <v>2</v>
      </c>
      <c r="E775">
        <f t="shared" si="25"/>
        <v>4.2223641135053967E-2</v>
      </c>
    </row>
    <row r="776" spans="1:5" x14ac:dyDescent="0.25">
      <c r="A776">
        <v>3</v>
      </c>
      <c r="B776">
        <v>-1.0666666666666699E-2</v>
      </c>
      <c r="C776">
        <f t="shared" si="24"/>
        <v>1.3317317440744703</v>
      </c>
      <c r="D776">
        <v>2</v>
      </c>
      <c r="E776">
        <f t="shared" si="25"/>
        <v>4.2223641135053967E-2</v>
      </c>
    </row>
    <row r="777" spans="1:5" x14ac:dyDescent="0.25">
      <c r="A777">
        <v>3</v>
      </c>
      <c r="B777">
        <v>-1.0666666666666699E-2</v>
      </c>
      <c r="C777">
        <f t="shared" si="24"/>
        <v>1.3317317440744703</v>
      </c>
      <c r="D777">
        <v>2</v>
      </c>
      <c r="E777">
        <f t="shared" si="25"/>
        <v>4.2223641135053967E-2</v>
      </c>
    </row>
    <row r="778" spans="1:5" x14ac:dyDescent="0.25">
      <c r="A778">
        <v>3</v>
      </c>
      <c r="B778">
        <v>-1.0666666666666699E-2</v>
      </c>
      <c r="C778">
        <f t="shared" si="24"/>
        <v>1.3317317440744703</v>
      </c>
      <c r="D778">
        <v>2</v>
      </c>
      <c r="E778">
        <f t="shared" si="25"/>
        <v>4.2223641135053967E-2</v>
      </c>
    </row>
    <row r="779" spans="1:5" x14ac:dyDescent="0.25">
      <c r="A779">
        <v>3</v>
      </c>
      <c r="B779">
        <v>-1.0666666666666699E-2</v>
      </c>
      <c r="C779">
        <f t="shared" si="24"/>
        <v>1.3317317440744703</v>
      </c>
      <c r="D779">
        <v>2</v>
      </c>
      <c r="E779">
        <f t="shared" si="25"/>
        <v>4.2223641135053967E-2</v>
      </c>
    </row>
    <row r="780" spans="1:5" x14ac:dyDescent="0.25">
      <c r="A780">
        <v>3</v>
      </c>
      <c r="B780">
        <v>-1.0666666666666699E-2</v>
      </c>
      <c r="C780">
        <f t="shared" si="24"/>
        <v>1.3317317440744703</v>
      </c>
      <c r="D780">
        <v>2</v>
      </c>
      <c r="E780">
        <f t="shared" si="25"/>
        <v>4.2223641135053967E-2</v>
      </c>
    </row>
    <row r="781" spans="1:5" x14ac:dyDescent="0.25">
      <c r="A781">
        <v>3</v>
      </c>
      <c r="B781">
        <v>-1.0638297872340399E-2</v>
      </c>
      <c r="C781">
        <f t="shared" si="24"/>
        <v>1.3317843041715727</v>
      </c>
      <c r="D781">
        <v>2</v>
      </c>
      <c r="E781">
        <f t="shared" si="25"/>
        <v>4.2223641135053967E-2</v>
      </c>
    </row>
    <row r="782" spans="1:5" x14ac:dyDescent="0.25">
      <c r="A782">
        <v>3</v>
      </c>
      <c r="B782">
        <v>-0.01</v>
      </c>
      <c r="C782">
        <f t="shared" si="24"/>
        <v>1.332963784629545</v>
      </c>
      <c r="D782">
        <v>2</v>
      </c>
      <c r="E782">
        <f t="shared" si="25"/>
        <v>4.2223641135053967E-2</v>
      </c>
    </row>
    <row r="783" spans="1:5" x14ac:dyDescent="0.25">
      <c r="A783">
        <v>3</v>
      </c>
      <c r="B783">
        <v>-9.3457943925233603E-3</v>
      </c>
      <c r="C783">
        <f t="shared" si="24"/>
        <v>1.3341664444607415</v>
      </c>
      <c r="D783">
        <v>2</v>
      </c>
      <c r="E783">
        <f t="shared" si="25"/>
        <v>4.2223641135053967E-2</v>
      </c>
    </row>
    <row r="784" spans="1:5" x14ac:dyDescent="0.25">
      <c r="A784">
        <v>3</v>
      </c>
      <c r="B784">
        <v>-9.3457943925233603E-3</v>
      </c>
      <c r="C784">
        <f t="shared" si="24"/>
        <v>1.3341664444607415</v>
      </c>
      <c r="D784">
        <v>2</v>
      </c>
      <c r="E784">
        <f t="shared" si="25"/>
        <v>4.2223641135053967E-2</v>
      </c>
    </row>
    <row r="785" spans="1:5" x14ac:dyDescent="0.25">
      <c r="A785">
        <v>3</v>
      </c>
      <c r="B785">
        <v>-9.3240093240093205E-3</v>
      </c>
      <c r="C785">
        <f t="shared" si="24"/>
        <v>1.3342063845986649</v>
      </c>
      <c r="D785">
        <v>2</v>
      </c>
      <c r="E785">
        <f t="shared" si="25"/>
        <v>4.2223641135053967E-2</v>
      </c>
    </row>
    <row r="786" spans="1:5" x14ac:dyDescent="0.25">
      <c r="A786">
        <v>3</v>
      </c>
      <c r="B786">
        <v>-9.0090090090090107E-3</v>
      </c>
      <c r="C786">
        <f t="shared" si="24"/>
        <v>1.3347831147826072</v>
      </c>
      <c r="D786">
        <v>2</v>
      </c>
      <c r="E786">
        <f t="shared" si="25"/>
        <v>4.2223641135053967E-2</v>
      </c>
    </row>
    <row r="787" spans="1:5" x14ac:dyDescent="0.25">
      <c r="A787">
        <v>3</v>
      </c>
      <c r="B787">
        <v>-9.0090090090090107E-3</v>
      </c>
      <c r="C787">
        <f t="shared" si="24"/>
        <v>1.3347831147826072</v>
      </c>
      <c r="D787">
        <v>2</v>
      </c>
      <c r="E787">
        <f t="shared" si="25"/>
        <v>4.2223641135053967E-2</v>
      </c>
    </row>
    <row r="788" spans="1:5" x14ac:dyDescent="0.25">
      <c r="A788">
        <v>3</v>
      </c>
      <c r="B788">
        <v>-9.0090090090090107E-3</v>
      </c>
      <c r="C788">
        <f t="shared" si="24"/>
        <v>1.3347831147826072</v>
      </c>
      <c r="D788">
        <v>2</v>
      </c>
      <c r="E788">
        <f t="shared" si="25"/>
        <v>4.2223641135053967E-2</v>
      </c>
    </row>
    <row r="789" spans="1:5" x14ac:dyDescent="0.25">
      <c r="A789">
        <v>3</v>
      </c>
      <c r="B789">
        <v>-8.9820359281437105E-3</v>
      </c>
      <c r="C789">
        <f t="shared" si="24"/>
        <v>1.3348324313780076</v>
      </c>
      <c r="D789">
        <v>2</v>
      </c>
      <c r="E789">
        <f t="shared" si="25"/>
        <v>4.2223641135053967E-2</v>
      </c>
    </row>
    <row r="790" spans="1:5" x14ac:dyDescent="0.25">
      <c r="A790">
        <v>3</v>
      </c>
      <c r="B790">
        <v>-8.9820359281437105E-3</v>
      </c>
      <c r="C790">
        <f t="shared" si="24"/>
        <v>1.3348324313780076</v>
      </c>
      <c r="D790">
        <v>2</v>
      </c>
      <c r="E790">
        <f t="shared" si="25"/>
        <v>4.2223641135053967E-2</v>
      </c>
    </row>
    <row r="791" spans="1:5" x14ac:dyDescent="0.25">
      <c r="A791">
        <v>3</v>
      </c>
      <c r="B791">
        <v>-8.9820359281437105E-3</v>
      </c>
      <c r="C791">
        <f t="shared" si="24"/>
        <v>1.3348324313780076</v>
      </c>
      <c r="D791">
        <v>2</v>
      </c>
      <c r="E791">
        <f t="shared" si="25"/>
        <v>4.2223641135053967E-2</v>
      </c>
    </row>
    <row r="792" spans="1:5" x14ac:dyDescent="0.25">
      <c r="A792">
        <v>3</v>
      </c>
      <c r="B792">
        <v>-8.9820359281437105E-3</v>
      </c>
      <c r="C792">
        <f t="shared" si="24"/>
        <v>1.3348324313780076</v>
      </c>
      <c r="D792">
        <v>2</v>
      </c>
      <c r="E792">
        <f t="shared" si="25"/>
        <v>4.2223641135053967E-2</v>
      </c>
    </row>
    <row r="793" spans="1:5" x14ac:dyDescent="0.25">
      <c r="A793">
        <v>3</v>
      </c>
      <c r="B793">
        <v>-8.9820359281437105E-3</v>
      </c>
      <c r="C793">
        <f t="shared" si="24"/>
        <v>1.3348324313780076</v>
      </c>
      <c r="D793">
        <v>2</v>
      </c>
      <c r="E793">
        <f t="shared" si="25"/>
        <v>4.2223641135053967E-2</v>
      </c>
    </row>
    <row r="794" spans="1:5" x14ac:dyDescent="0.25">
      <c r="A794">
        <v>3</v>
      </c>
      <c r="B794">
        <v>-8.9820359281437105E-3</v>
      </c>
      <c r="C794">
        <f t="shared" si="24"/>
        <v>1.3348324313780076</v>
      </c>
      <c r="D794">
        <v>2</v>
      </c>
      <c r="E794">
        <f t="shared" si="25"/>
        <v>4.2223641135053967E-2</v>
      </c>
    </row>
    <row r="795" spans="1:5" x14ac:dyDescent="0.25">
      <c r="A795">
        <v>3</v>
      </c>
      <c r="B795">
        <v>-8.3333333333333297E-3</v>
      </c>
      <c r="C795">
        <f t="shared" si="24"/>
        <v>1.3360152553257572</v>
      </c>
      <c r="D795">
        <v>2</v>
      </c>
      <c r="E795">
        <f t="shared" si="25"/>
        <v>4.2223641135053967E-2</v>
      </c>
    </row>
    <row r="796" spans="1:5" x14ac:dyDescent="0.25">
      <c r="A796">
        <v>3</v>
      </c>
      <c r="B796">
        <v>-8.0000000000000002E-3</v>
      </c>
      <c r="C796">
        <f t="shared" si="24"/>
        <v>1.336620621294311</v>
      </c>
      <c r="D796">
        <v>2</v>
      </c>
      <c r="E796">
        <f t="shared" si="25"/>
        <v>4.2223641135053967E-2</v>
      </c>
    </row>
    <row r="797" spans="1:5" x14ac:dyDescent="0.25">
      <c r="A797">
        <v>3</v>
      </c>
      <c r="B797">
        <v>-8.0000000000000002E-3</v>
      </c>
      <c r="C797">
        <f t="shared" si="24"/>
        <v>1.336620621294311</v>
      </c>
      <c r="D797">
        <v>2</v>
      </c>
      <c r="E797">
        <f t="shared" si="25"/>
        <v>4.2223641135053967E-2</v>
      </c>
    </row>
    <row r="798" spans="1:5" x14ac:dyDescent="0.25">
      <c r="A798">
        <v>3</v>
      </c>
      <c r="B798">
        <v>-8.0000000000000002E-3</v>
      </c>
      <c r="C798">
        <f t="shared" si="24"/>
        <v>1.336620621294311</v>
      </c>
      <c r="D798">
        <v>2</v>
      </c>
      <c r="E798">
        <f t="shared" si="25"/>
        <v>4.2223641135053967E-2</v>
      </c>
    </row>
    <row r="799" spans="1:5" x14ac:dyDescent="0.25">
      <c r="A799">
        <v>3</v>
      </c>
      <c r="B799">
        <v>-8.0000000000000002E-3</v>
      </c>
      <c r="C799">
        <f t="shared" si="24"/>
        <v>1.336620621294311</v>
      </c>
      <c r="D799">
        <v>2</v>
      </c>
      <c r="E799">
        <f t="shared" si="25"/>
        <v>4.2223641135053967E-2</v>
      </c>
    </row>
    <row r="800" spans="1:5" x14ac:dyDescent="0.25">
      <c r="A800">
        <v>3</v>
      </c>
      <c r="B800">
        <v>-8.0000000000000002E-3</v>
      </c>
      <c r="C800">
        <f t="shared" si="24"/>
        <v>1.336620621294311</v>
      </c>
      <c r="D800">
        <v>2</v>
      </c>
      <c r="E800">
        <f t="shared" si="25"/>
        <v>4.2223641135053967E-2</v>
      </c>
    </row>
    <row r="801" spans="1:5" x14ac:dyDescent="0.25">
      <c r="A801">
        <v>3</v>
      </c>
      <c r="B801">
        <v>-8.0000000000000002E-3</v>
      </c>
      <c r="C801">
        <f t="shared" si="24"/>
        <v>1.336620621294311</v>
      </c>
      <c r="D801">
        <v>2</v>
      </c>
      <c r="E801">
        <f t="shared" si="25"/>
        <v>4.2223641135053967E-2</v>
      </c>
    </row>
    <row r="802" spans="1:5" x14ac:dyDescent="0.25">
      <c r="A802">
        <v>3</v>
      </c>
      <c r="B802">
        <v>-8.0000000000000002E-3</v>
      </c>
      <c r="C802">
        <f t="shared" si="24"/>
        <v>1.336620621294311</v>
      </c>
      <c r="D802">
        <v>2</v>
      </c>
      <c r="E802">
        <f t="shared" si="25"/>
        <v>4.2223641135053967E-2</v>
      </c>
    </row>
    <row r="803" spans="1:5" x14ac:dyDescent="0.25">
      <c r="A803">
        <v>3</v>
      </c>
      <c r="B803">
        <v>-8.0000000000000002E-3</v>
      </c>
      <c r="C803">
        <f t="shared" si="24"/>
        <v>1.336620621294311</v>
      </c>
      <c r="D803">
        <v>2</v>
      </c>
      <c r="E803">
        <f t="shared" si="25"/>
        <v>4.2223641135053967E-2</v>
      </c>
    </row>
    <row r="804" spans="1:5" x14ac:dyDescent="0.25">
      <c r="A804">
        <v>3</v>
      </c>
      <c r="B804">
        <v>-8.0000000000000002E-3</v>
      </c>
      <c r="C804">
        <f t="shared" si="24"/>
        <v>1.336620621294311</v>
      </c>
      <c r="D804">
        <v>2</v>
      </c>
      <c r="E804">
        <f t="shared" si="25"/>
        <v>4.2223641135053967E-2</v>
      </c>
    </row>
    <row r="805" spans="1:5" x14ac:dyDescent="0.25">
      <c r="A805">
        <v>3</v>
      </c>
      <c r="B805">
        <v>-8.0000000000000002E-3</v>
      </c>
      <c r="C805">
        <f t="shared" si="24"/>
        <v>1.336620621294311</v>
      </c>
      <c r="D805">
        <v>2</v>
      </c>
      <c r="E805">
        <f t="shared" si="25"/>
        <v>4.2223641135053967E-2</v>
      </c>
    </row>
    <row r="806" spans="1:5" x14ac:dyDescent="0.25">
      <c r="A806">
        <v>3</v>
      </c>
      <c r="B806">
        <v>-7.0093457943925198E-3</v>
      </c>
      <c r="C806">
        <f t="shared" si="24"/>
        <v>1.3384100065809568</v>
      </c>
      <c r="D806">
        <v>2</v>
      </c>
      <c r="E806">
        <f t="shared" si="25"/>
        <v>4.2223641135053967E-2</v>
      </c>
    </row>
    <row r="807" spans="1:5" x14ac:dyDescent="0.25">
      <c r="A807">
        <v>3</v>
      </c>
      <c r="B807">
        <v>-6.9930069930069904E-3</v>
      </c>
      <c r="C807">
        <f t="shared" si="24"/>
        <v>1.3384393963845598</v>
      </c>
      <c r="D807">
        <v>2</v>
      </c>
      <c r="E807">
        <f t="shared" si="25"/>
        <v>4.2223641135053967E-2</v>
      </c>
    </row>
    <row r="808" spans="1:5" x14ac:dyDescent="0.25">
      <c r="A808">
        <v>3</v>
      </c>
      <c r="B808">
        <v>-6.9930069930069904E-3</v>
      </c>
      <c r="C808">
        <f t="shared" si="24"/>
        <v>1.3384393963845598</v>
      </c>
      <c r="D808">
        <v>2</v>
      </c>
      <c r="E808">
        <f t="shared" si="25"/>
        <v>4.2223641135053967E-2</v>
      </c>
    </row>
    <row r="809" spans="1:5" x14ac:dyDescent="0.25">
      <c r="A809">
        <v>3</v>
      </c>
      <c r="B809">
        <v>-6.6666666666666697E-3</v>
      </c>
      <c r="C809">
        <f t="shared" si="24"/>
        <v>1.3390255749773106</v>
      </c>
      <c r="D809">
        <v>2</v>
      </c>
      <c r="E809">
        <f t="shared" si="25"/>
        <v>4.2223641135053967E-2</v>
      </c>
    </row>
    <row r="810" spans="1:5" x14ac:dyDescent="0.25">
      <c r="A810">
        <v>3</v>
      </c>
      <c r="B810">
        <v>-6.0060060060060103E-3</v>
      </c>
      <c r="C810">
        <f t="shared" si="24"/>
        <v>1.3402073972164645</v>
      </c>
      <c r="D810">
        <v>2</v>
      </c>
      <c r="E810">
        <f t="shared" si="25"/>
        <v>4.2223641135053967E-2</v>
      </c>
    </row>
    <row r="811" spans="1:5" x14ac:dyDescent="0.25">
      <c r="A811">
        <v>3</v>
      </c>
      <c r="B811">
        <v>-6.0060060060060103E-3</v>
      </c>
      <c r="C811">
        <f t="shared" si="24"/>
        <v>1.3402073972164645</v>
      </c>
      <c r="D811">
        <v>2</v>
      </c>
      <c r="E811">
        <f t="shared" si="25"/>
        <v>4.2223641135053967E-2</v>
      </c>
    </row>
    <row r="812" spans="1:5" x14ac:dyDescent="0.25">
      <c r="A812">
        <v>3</v>
      </c>
      <c r="B812">
        <v>-6.0000000000000001E-3</v>
      </c>
      <c r="C812">
        <f t="shared" si="24"/>
        <v>1.3402181111146507</v>
      </c>
      <c r="D812">
        <v>2</v>
      </c>
      <c r="E812">
        <f t="shared" si="25"/>
        <v>4.2223641135053967E-2</v>
      </c>
    </row>
    <row r="813" spans="1:5" x14ac:dyDescent="0.25">
      <c r="A813">
        <v>3</v>
      </c>
      <c r="B813">
        <v>-6.0000000000000001E-3</v>
      </c>
      <c r="C813">
        <f t="shared" si="24"/>
        <v>1.3402181111146507</v>
      </c>
      <c r="D813">
        <v>2</v>
      </c>
      <c r="E813">
        <f t="shared" si="25"/>
        <v>4.2223641135053967E-2</v>
      </c>
    </row>
    <row r="814" spans="1:5" x14ac:dyDescent="0.25">
      <c r="A814">
        <v>3</v>
      </c>
      <c r="B814">
        <v>-5.9880239520958096E-3</v>
      </c>
      <c r="C814">
        <f t="shared" si="24"/>
        <v>1.3402394731440008</v>
      </c>
      <c r="D814">
        <v>2</v>
      </c>
      <c r="E814">
        <f t="shared" si="25"/>
        <v>4.2223641135053967E-2</v>
      </c>
    </row>
    <row r="815" spans="1:5" x14ac:dyDescent="0.25">
      <c r="A815">
        <v>3</v>
      </c>
      <c r="B815">
        <v>-5.9880239520958096E-3</v>
      </c>
      <c r="C815">
        <f t="shared" si="24"/>
        <v>1.3402394731440008</v>
      </c>
      <c r="D815">
        <v>2</v>
      </c>
      <c r="E815">
        <f t="shared" si="25"/>
        <v>4.2223641135053967E-2</v>
      </c>
    </row>
    <row r="816" spans="1:5" x14ac:dyDescent="0.25">
      <c r="A816">
        <v>3</v>
      </c>
      <c r="B816">
        <v>-5.3333333333333297E-3</v>
      </c>
      <c r="C816">
        <f t="shared" si="24"/>
        <v>1.3414039939071232</v>
      </c>
      <c r="D816">
        <v>2</v>
      </c>
      <c r="E816">
        <f t="shared" si="25"/>
        <v>4.2223641135053967E-2</v>
      </c>
    </row>
    <row r="817" spans="1:5" x14ac:dyDescent="0.25">
      <c r="A817">
        <v>3</v>
      </c>
      <c r="B817">
        <v>-5.3333333333333297E-3</v>
      </c>
      <c r="C817">
        <f t="shared" si="24"/>
        <v>1.3414039939071232</v>
      </c>
      <c r="D817">
        <v>2</v>
      </c>
      <c r="E817">
        <f t="shared" si="25"/>
        <v>4.2223641135053967E-2</v>
      </c>
    </row>
    <row r="818" spans="1:5" x14ac:dyDescent="0.25">
      <c r="A818">
        <v>3</v>
      </c>
      <c r="B818">
        <v>-5.3333333333333297E-3</v>
      </c>
      <c r="C818">
        <f t="shared" si="24"/>
        <v>1.3414039939071232</v>
      </c>
      <c r="D818">
        <v>2</v>
      </c>
      <c r="E818">
        <f t="shared" si="25"/>
        <v>4.2223641135053967E-2</v>
      </c>
    </row>
    <row r="819" spans="1:5" x14ac:dyDescent="0.25">
      <c r="A819">
        <v>3</v>
      </c>
      <c r="B819">
        <v>-5.3333333333333297E-3</v>
      </c>
      <c r="C819">
        <f t="shared" si="24"/>
        <v>1.3414039939071232</v>
      </c>
      <c r="D819">
        <v>2</v>
      </c>
      <c r="E819">
        <f t="shared" si="25"/>
        <v>4.2223641135053967E-2</v>
      </c>
    </row>
    <row r="820" spans="1:5" x14ac:dyDescent="0.25">
      <c r="A820">
        <v>3</v>
      </c>
      <c r="B820">
        <v>-5.3333333333333297E-3</v>
      </c>
      <c r="C820">
        <f t="shared" si="24"/>
        <v>1.3414039939071232</v>
      </c>
      <c r="D820">
        <v>2</v>
      </c>
      <c r="E820">
        <f t="shared" si="25"/>
        <v>4.2223641135053967E-2</v>
      </c>
    </row>
    <row r="821" spans="1:5" x14ac:dyDescent="0.25">
      <c r="A821">
        <v>3</v>
      </c>
      <c r="B821">
        <v>-5.0000000000000001E-3</v>
      </c>
      <c r="C821">
        <f t="shared" si="24"/>
        <v>1.3419944341905512</v>
      </c>
      <c r="D821">
        <v>2</v>
      </c>
      <c r="E821">
        <f t="shared" si="25"/>
        <v>4.2223641135053967E-2</v>
      </c>
    </row>
    <row r="822" spans="1:5" x14ac:dyDescent="0.25">
      <c r="A822">
        <v>3</v>
      </c>
      <c r="B822">
        <v>-4.6728971962616802E-3</v>
      </c>
      <c r="C822">
        <f t="shared" si="24"/>
        <v>1.3425722141164631</v>
      </c>
      <c r="D822">
        <v>2</v>
      </c>
      <c r="E822">
        <f t="shared" si="25"/>
        <v>4.2223641135053967E-2</v>
      </c>
    </row>
    <row r="823" spans="1:5" x14ac:dyDescent="0.25">
      <c r="A823">
        <v>3</v>
      </c>
      <c r="B823">
        <v>-4.6620046620046603E-3</v>
      </c>
      <c r="C823">
        <f t="shared" si="24"/>
        <v>1.3425914265022254</v>
      </c>
      <c r="D823">
        <v>2</v>
      </c>
      <c r="E823">
        <f t="shared" si="25"/>
        <v>4.2223641135053967E-2</v>
      </c>
    </row>
    <row r="824" spans="1:5" x14ac:dyDescent="0.25">
      <c r="A824">
        <v>3</v>
      </c>
      <c r="B824">
        <v>-4.6620046620046603E-3</v>
      </c>
      <c r="C824">
        <f t="shared" si="24"/>
        <v>1.3425914265022254</v>
      </c>
      <c r="D824">
        <v>2</v>
      </c>
      <c r="E824">
        <f t="shared" si="25"/>
        <v>4.2223641135053967E-2</v>
      </c>
    </row>
    <row r="825" spans="1:5" x14ac:dyDescent="0.25">
      <c r="A825">
        <v>3</v>
      </c>
      <c r="B825">
        <v>-4.0000000000000001E-3</v>
      </c>
      <c r="C825">
        <f t="shared" si="24"/>
        <v>1.3437557214157458</v>
      </c>
      <c r="D825">
        <v>2</v>
      </c>
      <c r="E825">
        <f t="shared" si="25"/>
        <v>4.2223641135053967E-2</v>
      </c>
    </row>
    <row r="826" spans="1:5" x14ac:dyDescent="0.25">
      <c r="A826">
        <v>3</v>
      </c>
      <c r="B826">
        <v>-3.3333333333333301E-3</v>
      </c>
      <c r="C826">
        <f t="shared" si="24"/>
        <v>1.3449215273564765</v>
      </c>
      <c r="D826">
        <v>2</v>
      </c>
      <c r="E826">
        <f t="shared" si="25"/>
        <v>4.2223641135053967E-2</v>
      </c>
    </row>
    <row r="827" spans="1:5" x14ac:dyDescent="0.25">
      <c r="A827">
        <v>3</v>
      </c>
      <c r="B827">
        <v>-3.0030030030029999E-3</v>
      </c>
      <c r="C827">
        <f t="shared" si="24"/>
        <v>1.3454966863091911</v>
      </c>
      <c r="D827">
        <v>2</v>
      </c>
      <c r="E827">
        <f t="shared" si="25"/>
        <v>4.2223641135053967E-2</v>
      </c>
    </row>
    <row r="828" spans="1:5" x14ac:dyDescent="0.25">
      <c r="A828">
        <v>3</v>
      </c>
      <c r="B828">
        <v>-3.0030030030029999E-3</v>
      </c>
      <c r="C828">
        <f t="shared" si="24"/>
        <v>1.3454966863091911</v>
      </c>
      <c r="D828">
        <v>2</v>
      </c>
      <c r="E828">
        <f t="shared" si="25"/>
        <v>4.2223641135053967E-2</v>
      </c>
    </row>
    <row r="829" spans="1:5" x14ac:dyDescent="0.25">
      <c r="A829">
        <v>3</v>
      </c>
      <c r="B829">
        <v>-3.0030030030029999E-3</v>
      </c>
      <c r="C829">
        <f t="shared" si="24"/>
        <v>1.3454966863091911</v>
      </c>
      <c r="D829">
        <v>2</v>
      </c>
      <c r="E829">
        <f t="shared" si="25"/>
        <v>4.2223641135053967E-2</v>
      </c>
    </row>
    <row r="830" spans="1:5" x14ac:dyDescent="0.25">
      <c r="A830">
        <v>3</v>
      </c>
      <c r="B830">
        <v>-2.9940119760479E-3</v>
      </c>
      <c r="C830">
        <f t="shared" si="24"/>
        <v>1.3455123180289008</v>
      </c>
      <c r="D830">
        <v>2</v>
      </c>
      <c r="E830">
        <f t="shared" si="25"/>
        <v>4.2223641135053967E-2</v>
      </c>
    </row>
    <row r="831" spans="1:5" x14ac:dyDescent="0.25">
      <c r="A831">
        <v>3</v>
      </c>
      <c r="B831">
        <v>-2.9940119760479E-3</v>
      </c>
      <c r="C831">
        <f t="shared" si="24"/>
        <v>1.3455123180289008</v>
      </c>
      <c r="D831">
        <v>2</v>
      </c>
      <c r="E831">
        <f t="shared" si="25"/>
        <v>4.2223641135053967E-2</v>
      </c>
    </row>
    <row r="832" spans="1:5" x14ac:dyDescent="0.25">
      <c r="A832">
        <v>3</v>
      </c>
      <c r="B832">
        <v>-2.9940119760479E-3</v>
      </c>
      <c r="C832">
        <f t="shared" si="24"/>
        <v>1.3455123180289008</v>
      </c>
      <c r="D832">
        <v>2</v>
      </c>
      <c r="E832">
        <f t="shared" si="25"/>
        <v>4.2223641135053967E-2</v>
      </c>
    </row>
    <row r="833" spans="1:5" x14ac:dyDescent="0.25">
      <c r="A833">
        <v>3</v>
      </c>
      <c r="B833">
        <v>-2.9940119760479E-3</v>
      </c>
      <c r="C833">
        <f t="shared" si="24"/>
        <v>1.3455123180289008</v>
      </c>
      <c r="D833">
        <v>2</v>
      </c>
      <c r="E833">
        <f t="shared" si="25"/>
        <v>4.2223641135053967E-2</v>
      </c>
    </row>
    <row r="834" spans="1:5" x14ac:dyDescent="0.25">
      <c r="A834">
        <v>3</v>
      </c>
      <c r="B834">
        <v>-2.9940119760479E-3</v>
      </c>
      <c r="C834">
        <f t="shared" ref="C834:C897" si="26">_xlfn.NORM.DIST(B834, I$10,I$13,FALSE)</f>
        <v>1.3455123180289008</v>
      </c>
      <c r="D834">
        <v>2</v>
      </c>
      <c r="E834">
        <f t="shared" si="25"/>
        <v>4.2223641135053967E-2</v>
      </c>
    </row>
    <row r="835" spans="1:5" x14ac:dyDescent="0.25">
      <c r="A835">
        <v>3</v>
      </c>
      <c r="B835">
        <v>-2.9940119760479E-3</v>
      </c>
      <c r="C835">
        <f t="shared" si="26"/>
        <v>1.3455123180289008</v>
      </c>
      <c r="D835">
        <v>2</v>
      </c>
      <c r="E835">
        <f t="shared" ref="E835:E898" si="27">_xlfn.NORM.DIST(D835, I$4,I$7,FALSE)</f>
        <v>4.2223641135053967E-2</v>
      </c>
    </row>
    <row r="836" spans="1:5" x14ac:dyDescent="0.25">
      <c r="A836">
        <v>3</v>
      </c>
      <c r="B836">
        <v>-2.9940119760479E-3</v>
      </c>
      <c r="C836">
        <f t="shared" si="26"/>
        <v>1.3455123180289008</v>
      </c>
      <c r="D836">
        <v>2</v>
      </c>
      <c r="E836">
        <f t="shared" si="27"/>
        <v>4.2223641135053967E-2</v>
      </c>
    </row>
    <row r="837" spans="1:5" x14ac:dyDescent="0.25">
      <c r="A837">
        <v>3</v>
      </c>
      <c r="B837">
        <v>-2.66666666666667E-3</v>
      </c>
      <c r="C837">
        <f t="shared" si="26"/>
        <v>1.3460806024025664</v>
      </c>
      <c r="D837">
        <v>2</v>
      </c>
      <c r="E837">
        <f t="shared" si="27"/>
        <v>4.2223641135053967E-2</v>
      </c>
    </row>
    <row r="838" spans="1:5" x14ac:dyDescent="0.25">
      <c r="A838">
        <v>3</v>
      </c>
      <c r="B838">
        <v>-2.66666666666667E-3</v>
      </c>
      <c r="C838">
        <f t="shared" si="26"/>
        <v>1.3460806024025664</v>
      </c>
      <c r="D838">
        <v>2</v>
      </c>
      <c r="E838">
        <f t="shared" si="27"/>
        <v>4.2223641135053967E-2</v>
      </c>
    </row>
    <row r="839" spans="1:5" x14ac:dyDescent="0.25">
      <c r="A839">
        <v>3</v>
      </c>
      <c r="B839">
        <v>-2.66666666666667E-3</v>
      </c>
      <c r="C839">
        <f t="shared" si="26"/>
        <v>1.3460806024025664</v>
      </c>
      <c r="D839">
        <v>2</v>
      </c>
      <c r="E839">
        <f t="shared" si="27"/>
        <v>4.2223641135053967E-2</v>
      </c>
    </row>
    <row r="840" spans="1:5" x14ac:dyDescent="0.25">
      <c r="A840">
        <v>3</v>
      </c>
      <c r="B840">
        <v>-2.3364485981308401E-3</v>
      </c>
      <c r="C840">
        <f t="shared" si="26"/>
        <v>1.3466522250811825</v>
      </c>
      <c r="D840">
        <v>2</v>
      </c>
      <c r="E840">
        <f t="shared" si="27"/>
        <v>4.2223641135053967E-2</v>
      </c>
    </row>
    <row r="841" spans="1:5" x14ac:dyDescent="0.25">
      <c r="A841">
        <v>3</v>
      </c>
      <c r="B841">
        <v>-2.3364485981308401E-3</v>
      </c>
      <c r="C841">
        <f t="shared" si="26"/>
        <v>1.3466522250811825</v>
      </c>
      <c r="D841">
        <v>2</v>
      </c>
      <c r="E841">
        <f t="shared" si="27"/>
        <v>4.2223641135053967E-2</v>
      </c>
    </row>
    <row r="842" spans="1:5" x14ac:dyDescent="0.25">
      <c r="A842">
        <v>3</v>
      </c>
      <c r="B842">
        <v>-2.3310023310023301E-3</v>
      </c>
      <c r="C842">
        <f t="shared" si="26"/>
        <v>1.3466616389248922</v>
      </c>
      <c r="D842">
        <v>2</v>
      </c>
      <c r="E842">
        <f t="shared" si="27"/>
        <v>4.2223641135053967E-2</v>
      </c>
    </row>
    <row r="843" spans="1:5" x14ac:dyDescent="0.25">
      <c r="A843">
        <v>3</v>
      </c>
      <c r="B843">
        <v>-2E-3</v>
      </c>
      <c r="C843">
        <f t="shared" si="26"/>
        <v>1.3472329274141384</v>
      </c>
      <c r="D843">
        <v>2</v>
      </c>
      <c r="E843">
        <f t="shared" si="27"/>
        <v>4.2223641135053967E-2</v>
      </c>
    </row>
    <row r="844" spans="1:5" x14ac:dyDescent="0.25">
      <c r="A844">
        <v>3</v>
      </c>
      <c r="B844">
        <v>0</v>
      </c>
      <c r="C844">
        <f t="shared" si="26"/>
        <v>1.3506492123473601</v>
      </c>
      <c r="D844">
        <v>2</v>
      </c>
      <c r="E844">
        <f t="shared" si="27"/>
        <v>4.2223641135053967E-2</v>
      </c>
    </row>
    <row r="845" spans="1:5" x14ac:dyDescent="0.25">
      <c r="A845">
        <v>3</v>
      </c>
      <c r="B845">
        <v>0</v>
      </c>
      <c r="C845">
        <f t="shared" si="26"/>
        <v>1.3506492123473601</v>
      </c>
      <c r="D845">
        <v>2</v>
      </c>
      <c r="E845">
        <f t="shared" si="27"/>
        <v>4.2223641135053967E-2</v>
      </c>
    </row>
    <row r="846" spans="1:5" x14ac:dyDescent="0.25">
      <c r="A846">
        <v>3</v>
      </c>
      <c r="B846">
        <v>0</v>
      </c>
      <c r="C846">
        <f t="shared" si="26"/>
        <v>1.3506492123473601</v>
      </c>
      <c r="D846">
        <v>2</v>
      </c>
      <c r="E846">
        <f t="shared" si="27"/>
        <v>4.2223641135053967E-2</v>
      </c>
    </row>
    <row r="847" spans="1:5" x14ac:dyDescent="0.25">
      <c r="A847">
        <v>3</v>
      </c>
      <c r="B847">
        <v>0</v>
      </c>
      <c r="C847">
        <f t="shared" si="26"/>
        <v>1.3506492123473601</v>
      </c>
      <c r="D847">
        <v>2</v>
      </c>
      <c r="E847">
        <f t="shared" si="27"/>
        <v>4.2223641135053967E-2</v>
      </c>
    </row>
    <row r="848" spans="1:5" x14ac:dyDescent="0.25">
      <c r="A848">
        <v>3</v>
      </c>
      <c r="B848">
        <v>0</v>
      </c>
      <c r="C848">
        <f t="shared" si="26"/>
        <v>1.3506492123473601</v>
      </c>
      <c r="D848">
        <v>2</v>
      </c>
      <c r="E848">
        <f t="shared" si="27"/>
        <v>4.2223641135053967E-2</v>
      </c>
    </row>
    <row r="849" spans="1:5" x14ac:dyDescent="0.25">
      <c r="A849">
        <v>3</v>
      </c>
      <c r="B849">
        <v>0</v>
      </c>
      <c r="C849">
        <f t="shared" si="26"/>
        <v>1.3506492123473601</v>
      </c>
      <c r="D849">
        <v>2</v>
      </c>
      <c r="E849">
        <f t="shared" si="27"/>
        <v>4.2223641135053967E-2</v>
      </c>
    </row>
    <row r="850" spans="1:5" x14ac:dyDescent="0.25">
      <c r="A850">
        <v>3</v>
      </c>
      <c r="B850">
        <v>0</v>
      </c>
      <c r="C850">
        <f t="shared" si="26"/>
        <v>1.3506492123473601</v>
      </c>
      <c r="D850">
        <v>2</v>
      </c>
      <c r="E850">
        <f t="shared" si="27"/>
        <v>4.2223641135053967E-2</v>
      </c>
    </row>
    <row r="851" spans="1:5" x14ac:dyDescent="0.25">
      <c r="A851">
        <v>3</v>
      </c>
      <c r="B851">
        <v>0</v>
      </c>
      <c r="C851">
        <f t="shared" si="26"/>
        <v>1.3506492123473601</v>
      </c>
      <c r="D851">
        <v>2</v>
      </c>
      <c r="E851">
        <f t="shared" si="27"/>
        <v>4.2223641135053967E-2</v>
      </c>
    </row>
    <row r="852" spans="1:5" x14ac:dyDescent="0.25">
      <c r="A852">
        <v>3</v>
      </c>
      <c r="B852">
        <v>0</v>
      </c>
      <c r="C852">
        <f t="shared" si="26"/>
        <v>1.3506492123473601</v>
      </c>
      <c r="D852">
        <v>2</v>
      </c>
      <c r="E852">
        <f t="shared" si="27"/>
        <v>4.2223641135053967E-2</v>
      </c>
    </row>
    <row r="853" spans="1:5" x14ac:dyDescent="0.25">
      <c r="A853">
        <v>3</v>
      </c>
      <c r="B853">
        <v>0</v>
      </c>
      <c r="C853">
        <f t="shared" si="26"/>
        <v>1.3506492123473601</v>
      </c>
      <c r="D853">
        <v>2</v>
      </c>
      <c r="E853">
        <f t="shared" si="27"/>
        <v>4.2223641135053967E-2</v>
      </c>
    </row>
    <row r="854" spans="1:5" x14ac:dyDescent="0.25">
      <c r="A854">
        <v>3</v>
      </c>
      <c r="B854">
        <v>0</v>
      </c>
      <c r="C854">
        <f t="shared" si="26"/>
        <v>1.3506492123473601</v>
      </c>
      <c r="D854">
        <v>2</v>
      </c>
      <c r="E854">
        <f t="shared" si="27"/>
        <v>4.2223641135053967E-2</v>
      </c>
    </row>
    <row r="855" spans="1:5" x14ac:dyDescent="0.25">
      <c r="A855">
        <v>3</v>
      </c>
      <c r="B855">
        <v>0</v>
      </c>
      <c r="C855">
        <f t="shared" si="26"/>
        <v>1.3506492123473601</v>
      </c>
      <c r="D855">
        <v>2</v>
      </c>
      <c r="E855">
        <f t="shared" si="27"/>
        <v>4.2223641135053967E-2</v>
      </c>
    </row>
    <row r="856" spans="1:5" x14ac:dyDescent="0.25">
      <c r="A856">
        <v>3</v>
      </c>
      <c r="B856">
        <v>0</v>
      </c>
      <c r="C856">
        <f t="shared" si="26"/>
        <v>1.3506492123473601</v>
      </c>
      <c r="D856">
        <v>2</v>
      </c>
      <c r="E856">
        <f t="shared" si="27"/>
        <v>4.2223641135053967E-2</v>
      </c>
    </row>
    <row r="857" spans="1:5" x14ac:dyDescent="0.25">
      <c r="A857">
        <v>3</v>
      </c>
      <c r="B857">
        <v>0</v>
      </c>
      <c r="C857">
        <f t="shared" si="26"/>
        <v>1.3506492123473601</v>
      </c>
      <c r="D857">
        <v>2</v>
      </c>
      <c r="E857">
        <f t="shared" si="27"/>
        <v>4.2223641135053967E-2</v>
      </c>
    </row>
    <row r="858" spans="1:5" x14ac:dyDescent="0.25">
      <c r="A858">
        <v>3</v>
      </c>
      <c r="B858">
        <v>0</v>
      </c>
      <c r="C858">
        <f t="shared" si="26"/>
        <v>1.3506492123473601</v>
      </c>
      <c r="D858">
        <v>2</v>
      </c>
      <c r="E858">
        <f t="shared" si="27"/>
        <v>4.2223641135053967E-2</v>
      </c>
    </row>
    <row r="859" spans="1:5" x14ac:dyDescent="0.25">
      <c r="A859">
        <v>3</v>
      </c>
      <c r="B859">
        <v>0</v>
      </c>
      <c r="C859">
        <f t="shared" si="26"/>
        <v>1.3506492123473601</v>
      </c>
      <c r="D859">
        <v>2</v>
      </c>
      <c r="E859">
        <f t="shared" si="27"/>
        <v>4.2223641135053967E-2</v>
      </c>
    </row>
    <row r="860" spans="1:5" x14ac:dyDescent="0.25">
      <c r="A860">
        <v>3</v>
      </c>
      <c r="B860">
        <v>0</v>
      </c>
      <c r="C860">
        <f t="shared" si="26"/>
        <v>1.3506492123473601</v>
      </c>
      <c r="D860">
        <v>2</v>
      </c>
      <c r="E860">
        <f t="shared" si="27"/>
        <v>4.2223641135053967E-2</v>
      </c>
    </row>
    <row r="861" spans="1:5" x14ac:dyDescent="0.25">
      <c r="A861">
        <v>3</v>
      </c>
      <c r="B861">
        <v>0</v>
      </c>
      <c r="C861">
        <f t="shared" si="26"/>
        <v>1.3506492123473601</v>
      </c>
      <c r="D861">
        <v>2</v>
      </c>
      <c r="E861">
        <f t="shared" si="27"/>
        <v>4.2223641135053967E-2</v>
      </c>
    </row>
    <row r="862" spans="1:5" x14ac:dyDescent="0.25">
      <c r="A862">
        <v>3</v>
      </c>
      <c r="B862">
        <v>0</v>
      </c>
      <c r="C862">
        <f t="shared" si="26"/>
        <v>1.3506492123473601</v>
      </c>
      <c r="D862">
        <v>2</v>
      </c>
      <c r="E862">
        <f t="shared" si="27"/>
        <v>4.2223641135053967E-2</v>
      </c>
    </row>
    <row r="863" spans="1:5" x14ac:dyDescent="0.25">
      <c r="A863">
        <v>3</v>
      </c>
      <c r="B863">
        <v>0</v>
      </c>
      <c r="C863">
        <f t="shared" si="26"/>
        <v>1.3506492123473601</v>
      </c>
      <c r="D863">
        <v>2</v>
      </c>
      <c r="E863">
        <f t="shared" si="27"/>
        <v>4.2223641135053967E-2</v>
      </c>
    </row>
    <row r="864" spans="1:5" x14ac:dyDescent="0.25">
      <c r="A864">
        <v>3</v>
      </c>
      <c r="B864">
        <v>0</v>
      </c>
      <c r="C864">
        <f t="shared" si="26"/>
        <v>1.3506492123473601</v>
      </c>
      <c r="D864">
        <v>2</v>
      </c>
      <c r="E864">
        <f t="shared" si="27"/>
        <v>4.2223641135053967E-2</v>
      </c>
    </row>
    <row r="865" spans="1:5" x14ac:dyDescent="0.25">
      <c r="A865">
        <v>3</v>
      </c>
      <c r="B865">
        <v>0</v>
      </c>
      <c r="C865">
        <f t="shared" si="26"/>
        <v>1.3506492123473601</v>
      </c>
      <c r="D865">
        <v>2</v>
      </c>
      <c r="E865">
        <f t="shared" si="27"/>
        <v>4.2223641135053967E-2</v>
      </c>
    </row>
    <row r="866" spans="1:5" x14ac:dyDescent="0.25">
      <c r="A866">
        <v>3</v>
      </c>
      <c r="B866">
        <v>0</v>
      </c>
      <c r="C866">
        <f t="shared" si="26"/>
        <v>1.3506492123473601</v>
      </c>
      <c r="D866">
        <v>2</v>
      </c>
      <c r="E866">
        <f t="shared" si="27"/>
        <v>4.2223641135053967E-2</v>
      </c>
    </row>
    <row r="867" spans="1:5" x14ac:dyDescent="0.25">
      <c r="A867">
        <v>3</v>
      </c>
      <c r="B867">
        <v>0</v>
      </c>
      <c r="C867">
        <f t="shared" si="26"/>
        <v>1.3506492123473601</v>
      </c>
      <c r="D867">
        <v>2</v>
      </c>
      <c r="E867">
        <f t="shared" si="27"/>
        <v>4.2223641135053967E-2</v>
      </c>
    </row>
    <row r="868" spans="1:5" x14ac:dyDescent="0.25">
      <c r="A868">
        <v>3</v>
      </c>
      <c r="B868">
        <v>0</v>
      </c>
      <c r="C868">
        <f t="shared" si="26"/>
        <v>1.3506492123473601</v>
      </c>
      <c r="D868">
        <v>2</v>
      </c>
      <c r="E868">
        <f t="shared" si="27"/>
        <v>4.2223641135053967E-2</v>
      </c>
    </row>
    <row r="869" spans="1:5" x14ac:dyDescent="0.25">
      <c r="A869">
        <v>3</v>
      </c>
      <c r="B869">
        <v>1.33333333333333E-3</v>
      </c>
      <c r="C869">
        <f t="shared" si="26"/>
        <v>1.3528926390936027</v>
      </c>
      <c r="D869">
        <v>2</v>
      </c>
      <c r="E869">
        <f t="shared" si="27"/>
        <v>4.2223641135053967E-2</v>
      </c>
    </row>
    <row r="870" spans="1:5" x14ac:dyDescent="0.25">
      <c r="A870">
        <v>3</v>
      </c>
      <c r="B870">
        <v>1.66666666666667E-3</v>
      </c>
      <c r="C870">
        <f t="shared" si="26"/>
        <v>1.3534492123461359</v>
      </c>
      <c r="D870">
        <v>2</v>
      </c>
      <c r="E870">
        <f t="shared" si="27"/>
        <v>4.2223641135053967E-2</v>
      </c>
    </row>
    <row r="871" spans="1:5" x14ac:dyDescent="0.25">
      <c r="A871">
        <v>3</v>
      </c>
      <c r="B871">
        <v>2E-3</v>
      </c>
      <c r="C871">
        <f t="shared" si="26"/>
        <v>1.354004067601825</v>
      </c>
      <c r="D871">
        <v>2</v>
      </c>
      <c r="E871">
        <f t="shared" si="27"/>
        <v>4.2223641135053967E-2</v>
      </c>
    </row>
    <row r="872" spans="1:5" x14ac:dyDescent="0.25">
      <c r="A872">
        <v>3</v>
      </c>
      <c r="B872">
        <v>2E-3</v>
      </c>
      <c r="C872">
        <f t="shared" si="26"/>
        <v>1.354004067601825</v>
      </c>
      <c r="D872">
        <v>2</v>
      </c>
      <c r="E872">
        <f t="shared" si="27"/>
        <v>4.2223641135053967E-2</v>
      </c>
    </row>
    <row r="873" spans="1:5" x14ac:dyDescent="0.25">
      <c r="A873">
        <v>3</v>
      </c>
      <c r="B873">
        <v>2.3310023310023301E-3</v>
      </c>
      <c r="C873">
        <f t="shared" si="26"/>
        <v>1.3545533404619747</v>
      </c>
      <c r="D873">
        <v>2</v>
      </c>
      <c r="E873">
        <f t="shared" si="27"/>
        <v>4.2223641135053967E-2</v>
      </c>
    </row>
    <row r="874" spans="1:5" x14ac:dyDescent="0.25">
      <c r="A874">
        <v>3</v>
      </c>
      <c r="B874">
        <v>2.3310023310023301E-3</v>
      </c>
      <c r="C874">
        <f t="shared" si="26"/>
        <v>1.3545533404619747</v>
      </c>
      <c r="D874">
        <v>2</v>
      </c>
      <c r="E874">
        <f t="shared" si="27"/>
        <v>4.2223641135053967E-2</v>
      </c>
    </row>
    <row r="875" spans="1:5" x14ac:dyDescent="0.25">
      <c r="A875">
        <v>3</v>
      </c>
      <c r="B875">
        <v>2.3364485981308401E-3</v>
      </c>
      <c r="C875">
        <f t="shared" si="26"/>
        <v>1.354562363924793</v>
      </c>
      <c r="D875">
        <v>2</v>
      </c>
      <c r="E875">
        <f t="shared" si="27"/>
        <v>4.2223641135053967E-2</v>
      </c>
    </row>
    <row r="876" spans="1:5" x14ac:dyDescent="0.25">
      <c r="A876">
        <v>3</v>
      </c>
      <c r="B876">
        <v>2.3364485981308401E-3</v>
      </c>
      <c r="C876">
        <f t="shared" si="26"/>
        <v>1.354562363924793</v>
      </c>
      <c r="D876">
        <v>2</v>
      </c>
      <c r="E876">
        <f t="shared" si="27"/>
        <v>4.2223641135053967E-2</v>
      </c>
    </row>
    <row r="877" spans="1:5" x14ac:dyDescent="0.25">
      <c r="A877">
        <v>3</v>
      </c>
      <c r="B877">
        <v>2.66666666666667E-3</v>
      </c>
      <c r="C877">
        <f t="shared" si="26"/>
        <v>1.3551086149278764</v>
      </c>
      <c r="D877">
        <v>2</v>
      </c>
      <c r="E877">
        <f t="shared" si="27"/>
        <v>4.2223641135053967E-2</v>
      </c>
    </row>
    <row r="878" spans="1:5" x14ac:dyDescent="0.25">
      <c r="A878">
        <v>3</v>
      </c>
      <c r="B878">
        <v>2.66666666666667E-3</v>
      </c>
      <c r="C878">
        <f t="shared" si="26"/>
        <v>1.3551086149278764</v>
      </c>
      <c r="D878">
        <v>2</v>
      </c>
      <c r="E878">
        <f t="shared" si="27"/>
        <v>4.2223641135053967E-2</v>
      </c>
    </row>
    <row r="879" spans="1:5" x14ac:dyDescent="0.25">
      <c r="A879">
        <v>3</v>
      </c>
      <c r="B879">
        <v>2.66666666666667E-3</v>
      </c>
      <c r="C879">
        <f t="shared" si="26"/>
        <v>1.3551086149278764</v>
      </c>
      <c r="D879">
        <v>2</v>
      </c>
      <c r="E879">
        <f t="shared" si="27"/>
        <v>4.2223641135053967E-2</v>
      </c>
    </row>
    <row r="880" spans="1:5" x14ac:dyDescent="0.25">
      <c r="A880">
        <v>3</v>
      </c>
      <c r="B880">
        <v>2.66666666666667E-3</v>
      </c>
      <c r="C880">
        <f t="shared" si="26"/>
        <v>1.3551086149278764</v>
      </c>
      <c r="D880">
        <v>2</v>
      </c>
      <c r="E880">
        <f t="shared" si="27"/>
        <v>4.2223641135053967E-2</v>
      </c>
    </row>
    <row r="881" spans="1:5" x14ac:dyDescent="0.25">
      <c r="A881">
        <v>3</v>
      </c>
      <c r="B881">
        <v>2.9940119760479E-3</v>
      </c>
      <c r="C881">
        <f t="shared" si="26"/>
        <v>1.3556484430194107</v>
      </c>
      <c r="D881">
        <v>2</v>
      </c>
      <c r="E881">
        <f t="shared" si="27"/>
        <v>4.2223641135053967E-2</v>
      </c>
    </row>
    <row r="882" spans="1:5" x14ac:dyDescent="0.25">
      <c r="A882">
        <v>3</v>
      </c>
      <c r="B882">
        <v>3.0030030030029999E-3</v>
      </c>
      <c r="C882">
        <f t="shared" si="26"/>
        <v>1.3556632467099354</v>
      </c>
      <c r="D882">
        <v>2</v>
      </c>
      <c r="E882">
        <f t="shared" si="27"/>
        <v>4.2223641135053967E-2</v>
      </c>
    </row>
    <row r="883" spans="1:5" x14ac:dyDescent="0.25">
      <c r="A883">
        <v>3</v>
      </c>
      <c r="B883">
        <v>3.0030030030029999E-3</v>
      </c>
      <c r="C883">
        <f t="shared" si="26"/>
        <v>1.3556632467099354</v>
      </c>
      <c r="D883">
        <v>2</v>
      </c>
      <c r="E883">
        <f t="shared" si="27"/>
        <v>4.2223641135053967E-2</v>
      </c>
    </row>
    <row r="884" spans="1:5" x14ac:dyDescent="0.25">
      <c r="A884">
        <v>3</v>
      </c>
      <c r="B884">
        <v>3.0030030030029999E-3</v>
      </c>
      <c r="C884">
        <f t="shared" si="26"/>
        <v>1.3556632467099354</v>
      </c>
      <c r="D884">
        <v>2</v>
      </c>
      <c r="E884">
        <f t="shared" si="27"/>
        <v>4.2223641135053967E-2</v>
      </c>
    </row>
    <row r="885" spans="1:5" x14ac:dyDescent="0.25">
      <c r="A885">
        <v>3</v>
      </c>
      <c r="B885">
        <v>3.0030030030029999E-3</v>
      </c>
      <c r="C885">
        <f t="shared" si="26"/>
        <v>1.3556632467099354</v>
      </c>
      <c r="D885">
        <v>2</v>
      </c>
      <c r="E885">
        <f t="shared" si="27"/>
        <v>4.2223641135053967E-2</v>
      </c>
    </row>
    <row r="886" spans="1:5" x14ac:dyDescent="0.25">
      <c r="A886">
        <v>3</v>
      </c>
      <c r="B886">
        <v>3.0030030030029999E-3</v>
      </c>
      <c r="C886">
        <f t="shared" si="26"/>
        <v>1.3556632467099354</v>
      </c>
      <c r="D886">
        <v>2</v>
      </c>
      <c r="E886">
        <f t="shared" si="27"/>
        <v>4.2223641135053967E-2</v>
      </c>
    </row>
    <row r="887" spans="1:5" x14ac:dyDescent="0.25">
      <c r="A887">
        <v>3</v>
      </c>
      <c r="B887">
        <v>3.0030030030029999E-3</v>
      </c>
      <c r="C887">
        <f t="shared" si="26"/>
        <v>1.3556632467099354</v>
      </c>
      <c r="D887">
        <v>2</v>
      </c>
      <c r="E887">
        <f t="shared" si="27"/>
        <v>4.2223641135053967E-2</v>
      </c>
    </row>
    <row r="888" spans="1:5" x14ac:dyDescent="0.25">
      <c r="A888">
        <v>3</v>
      </c>
      <c r="B888">
        <v>4.0000000000000001E-3</v>
      </c>
      <c r="C888">
        <f t="shared" si="26"/>
        <v>1.3572969928389376</v>
      </c>
      <c r="D888">
        <v>2</v>
      </c>
      <c r="E888">
        <f t="shared" si="27"/>
        <v>4.2223641135053967E-2</v>
      </c>
    </row>
    <row r="889" spans="1:5" x14ac:dyDescent="0.25">
      <c r="A889">
        <v>3</v>
      </c>
      <c r="B889">
        <v>4.0000000000000001E-3</v>
      </c>
      <c r="C889">
        <f t="shared" si="26"/>
        <v>1.3572969928389376</v>
      </c>
      <c r="D889">
        <v>2</v>
      </c>
      <c r="E889">
        <f t="shared" si="27"/>
        <v>4.2223641135053967E-2</v>
      </c>
    </row>
    <row r="890" spans="1:5" x14ac:dyDescent="0.25">
      <c r="A890">
        <v>3</v>
      </c>
      <c r="B890">
        <v>4.6620046620046603E-3</v>
      </c>
      <c r="C890">
        <f t="shared" si="26"/>
        <v>1.3583732322301529</v>
      </c>
      <c r="D890">
        <v>2</v>
      </c>
      <c r="E890">
        <f t="shared" si="27"/>
        <v>4.2223641135053967E-2</v>
      </c>
    </row>
    <row r="891" spans="1:5" x14ac:dyDescent="0.25">
      <c r="A891">
        <v>3</v>
      </c>
      <c r="B891">
        <v>5.3333333333333297E-3</v>
      </c>
      <c r="C891">
        <f t="shared" si="26"/>
        <v>1.3594576274827936</v>
      </c>
      <c r="D891">
        <v>2</v>
      </c>
      <c r="E891">
        <f t="shared" si="27"/>
        <v>4.2223641135053967E-2</v>
      </c>
    </row>
    <row r="892" spans="1:5" x14ac:dyDescent="0.25">
      <c r="A892">
        <v>3</v>
      </c>
      <c r="B892">
        <v>5.3333333333333297E-3</v>
      </c>
      <c r="C892">
        <f t="shared" si="26"/>
        <v>1.3594576274827936</v>
      </c>
      <c r="D892">
        <v>2</v>
      </c>
      <c r="E892">
        <f t="shared" si="27"/>
        <v>4.2223641135053967E-2</v>
      </c>
    </row>
    <row r="893" spans="1:5" x14ac:dyDescent="0.25">
      <c r="A893">
        <v>3</v>
      </c>
      <c r="B893">
        <v>5.3333333333333297E-3</v>
      </c>
      <c r="C893">
        <f t="shared" si="26"/>
        <v>1.3594576274827936</v>
      </c>
      <c r="D893">
        <v>2</v>
      </c>
      <c r="E893">
        <f t="shared" si="27"/>
        <v>4.2223641135053967E-2</v>
      </c>
    </row>
    <row r="894" spans="1:5" x14ac:dyDescent="0.25">
      <c r="A894">
        <v>3</v>
      </c>
      <c r="B894">
        <v>5.3333333333333297E-3</v>
      </c>
      <c r="C894">
        <f t="shared" si="26"/>
        <v>1.3594576274827936</v>
      </c>
      <c r="D894">
        <v>2</v>
      </c>
      <c r="E894">
        <f t="shared" si="27"/>
        <v>4.2223641135053967E-2</v>
      </c>
    </row>
    <row r="895" spans="1:5" x14ac:dyDescent="0.25">
      <c r="A895">
        <v>3</v>
      </c>
      <c r="B895">
        <v>5.3333333333333297E-3</v>
      </c>
      <c r="C895">
        <f t="shared" si="26"/>
        <v>1.3594576274827936</v>
      </c>
      <c r="D895">
        <v>2</v>
      </c>
      <c r="E895">
        <f t="shared" si="27"/>
        <v>4.2223641135053967E-2</v>
      </c>
    </row>
    <row r="896" spans="1:5" x14ac:dyDescent="0.25">
      <c r="A896">
        <v>3</v>
      </c>
      <c r="B896">
        <v>5.3333333333333297E-3</v>
      </c>
      <c r="C896">
        <f t="shared" si="26"/>
        <v>1.3594576274827936</v>
      </c>
      <c r="D896">
        <v>2</v>
      </c>
      <c r="E896">
        <f t="shared" si="27"/>
        <v>4.2223641135053967E-2</v>
      </c>
    </row>
    <row r="897" spans="1:5" x14ac:dyDescent="0.25">
      <c r="A897">
        <v>3</v>
      </c>
      <c r="B897">
        <v>5.9880239520958096E-3</v>
      </c>
      <c r="C897">
        <f t="shared" si="26"/>
        <v>1.3605083385218537</v>
      </c>
      <c r="D897">
        <v>2</v>
      </c>
      <c r="E897">
        <f t="shared" si="27"/>
        <v>4.2223641135053967E-2</v>
      </c>
    </row>
    <row r="898" spans="1:5" x14ac:dyDescent="0.25">
      <c r="A898">
        <v>3</v>
      </c>
      <c r="B898">
        <v>6.0000000000000001E-3</v>
      </c>
      <c r="C898">
        <f t="shared" ref="C898:C961" si="28">_xlfn.NORM.DIST(B898, I$10,I$13,FALSE)</f>
        <v>1.360527496119371</v>
      </c>
      <c r="D898">
        <v>2</v>
      </c>
      <c r="E898">
        <f t="shared" si="27"/>
        <v>4.2223641135053967E-2</v>
      </c>
    </row>
    <row r="899" spans="1:5" x14ac:dyDescent="0.25">
      <c r="A899">
        <v>3</v>
      </c>
      <c r="B899">
        <v>6.0060060060060103E-3</v>
      </c>
      <c r="C899">
        <f t="shared" si="28"/>
        <v>1.3605371028340627</v>
      </c>
      <c r="D899">
        <v>2</v>
      </c>
      <c r="E899">
        <f t="shared" ref="E899:E962" si="29">_xlfn.NORM.DIST(D899, I$4,I$7,FALSE)</f>
        <v>4.2223641135053967E-2</v>
      </c>
    </row>
    <row r="900" spans="1:5" x14ac:dyDescent="0.25">
      <c r="A900">
        <v>3</v>
      </c>
      <c r="B900">
        <v>6.6666666666666697E-3</v>
      </c>
      <c r="C900">
        <f t="shared" si="28"/>
        <v>1.361590375198781</v>
      </c>
      <c r="D900">
        <v>2</v>
      </c>
      <c r="E900">
        <f t="shared" si="29"/>
        <v>4.2223641135053967E-2</v>
      </c>
    </row>
    <row r="901" spans="1:5" x14ac:dyDescent="0.25">
      <c r="A901">
        <v>3</v>
      </c>
      <c r="B901">
        <v>6.9930069930069904E-3</v>
      </c>
      <c r="C901">
        <f t="shared" si="28"/>
        <v>1.3621081121493217</v>
      </c>
      <c r="D901">
        <v>2</v>
      </c>
      <c r="E901">
        <f t="shared" si="29"/>
        <v>4.2223641135053967E-2</v>
      </c>
    </row>
    <row r="902" spans="1:5" x14ac:dyDescent="0.25">
      <c r="A902">
        <v>3</v>
      </c>
      <c r="B902">
        <v>8.0000000000000002E-3</v>
      </c>
      <c r="C902">
        <f t="shared" si="28"/>
        <v>1.363695094025476</v>
      </c>
      <c r="D902">
        <v>2</v>
      </c>
      <c r="E902">
        <f t="shared" si="29"/>
        <v>4.2223641135053967E-2</v>
      </c>
    </row>
    <row r="903" spans="1:5" x14ac:dyDescent="0.25">
      <c r="A903">
        <v>3</v>
      </c>
      <c r="B903">
        <v>8.0000000000000002E-3</v>
      </c>
      <c r="C903">
        <f t="shared" si="28"/>
        <v>1.363695094025476</v>
      </c>
      <c r="D903">
        <v>2</v>
      </c>
      <c r="E903">
        <f t="shared" si="29"/>
        <v>4.2223641135053967E-2</v>
      </c>
    </row>
    <row r="904" spans="1:5" x14ac:dyDescent="0.25">
      <c r="A904">
        <v>3</v>
      </c>
      <c r="B904">
        <v>8.0000000000000002E-3</v>
      </c>
      <c r="C904">
        <f t="shared" si="28"/>
        <v>1.363695094025476</v>
      </c>
      <c r="D904">
        <v>2</v>
      </c>
      <c r="E904">
        <f t="shared" si="29"/>
        <v>4.2223641135053967E-2</v>
      </c>
    </row>
    <row r="905" spans="1:5" x14ac:dyDescent="0.25">
      <c r="A905">
        <v>3</v>
      </c>
      <c r="B905">
        <v>8.0000000000000002E-3</v>
      </c>
      <c r="C905">
        <f t="shared" si="28"/>
        <v>1.363695094025476</v>
      </c>
      <c r="D905">
        <v>2</v>
      </c>
      <c r="E905">
        <f t="shared" si="29"/>
        <v>4.2223641135053967E-2</v>
      </c>
    </row>
    <row r="906" spans="1:5" x14ac:dyDescent="0.25">
      <c r="A906">
        <v>3</v>
      </c>
      <c r="B906">
        <v>8.0000000000000002E-3</v>
      </c>
      <c r="C906">
        <f t="shared" si="28"/>
        <v>1.363695094025476</v>
      </c>
      <c r="D906">
        <v>2</v>
      </c>
      <c r="E906">
        <f t="shared" si="29"/>
        <v>4.2223641135053967E-2</v>
      </c>
    </row>
    <row r="907" spans="1:5" x14ac:dyDescent="0.25">
      <c r="A907">
        <v>3</v>
      </c>
      <c r="B907">
        <v>8.0000000000000002E-3</v>
      </c>
      <c r="C907">
        <f t="shared" si="28"/>
        <v>1.363695094025476</v>
      </c>
      <c r="D907">
        <v>2</v>
      </c>
      <c r="E907">
        <f t="shared" si="29"/>
        <v>4.2223641135053967E-2</v>
      </c>
    </row>
    <row r="908" spans="1:5" x14ac:dyDescent="0.25">
      <c r="A908">
        <v>3</v>
      </c>
      <c r="B908">
        <v>8.0000000000000002E-3</v>
      </c>
      <c r="C908">
        <f t="shared" si="28"/>
        <v>1.363695094025476</v>
      </c>
      <c r="D908">
        <v>2</v>
      </c>
      <c r="E908">
        <f t="shared" si="29"/>
        <v>4.2223641135053967E-2</v>
      </c>
    </row>
    <row r="909" spans="1:5" x14ac:dyDescent="0.25">
      <c r="A909">
        <v>3</v>
      </c>
      <c r="B909">
        <v>8.0000000000000002E-3</v>
      </c>
      <c r="C909">
        <f t="shared" si="28"/>
        <v>1.363695094025476</v>
      </c>
      <c r="D909">
        <v>2</v>
      </c>
      <c r="E909">
        <f t="shared" si="29"/>
        <v>4.2223641135053967E-2</v>
      </c>
    </row>
    <row r="910" spans="1:5" x14ac:dyDescent="0.25">
      <c r="A910">
        <v>3</v>
      </c>
      <c r="B910">
        <v>8.9820359281437105E-3</v>
      </c>
      <c r="C910">
        <f t="shared" si="28"/>
        <v>1.3652272698190762</v>
      </c>
      <c r="D910">
        <v>2</v>
      </c>
      <c r="E910">
        <f t="shared" si="29"/>
        <v>4.2223641135053967E-2</v>
      </c>
    </row>
    <row r="911" spans="1:5" x14ac:dyDescent="0.25">
      <c r="A911">
        <v>3</v>
      </c>
      <c r="B911">
        <v>8.9820359281437105E-3</v>
      </c>
      <c r="C911">
        <f t="shared" si="28"/>
        <v>1.3652272698190762</v>
      </c>
      <c r="D911">
        <v>2</v>
      </c>
      <c r="E911">
        <f t="shared" si="29"/>
        <v>4.2223641135053967E-2</v>
      </c>
    </row>
    <row r="912" spans="1:5" x14ac:dyDescent="0.25">
      <c r="A912">
        <v>3</v>
      </c>
      <c r="B912">
        <v>8.9820359281437105E-3</v>
      </c>
      <c r="C912">
        <f t="shared" si="28"/>
        <v>1.3652272698190762</v>
      </c>
      <c r="D912">
        <v>2</v>
      </c>
      <c r="E912">
        <f t="shared" si="29"/>
        <v>4.2223641135053967E-2</v>
      </c>
    </row>
    <row r="913" spans="1:5" x14ac:dyDescent="0.25">
      <c r="A913">
        <v>3</v>
      </c>
      <c r="B913">
        <v>9.0090090090090107E-3</v>
      </c>
      <c r="C913">
        <f t="shared" si="28"/>
        <v>1.3652691371599146</v>
      </c>
      <c r="D913">
        <v>2</v>
      </c>
      <c r="E913">
        <f t="shared" si="29"/>
        <v>4.2223641135053967E-2</v>
      </c>
    </row>
    <row r="914" spans="1:5" x14ac:dyDescent="0.25">
      <c r="A914">
        <v>3</v>
      </c>
      <c r="B914">
        <v>9.0090090090090107E-3</v>
      </c>
      <c r="C914">
        <f t="shared" si="28"/>
        <v>1.3652691371599146</v>
      </c>
      <c r="D914">
        <v>2</v>
      </c>
      <c r="E914">
        <f t="shared" si="29"/>
        <v>4.2223641135053967E-2</v>
      </c>
    </row>
    <row r="915" spans="1:5" x14ac:dyDescent="0.25">
      <c r="A915">
        <v>3</v>
      </c>
      <c r="B915">
        <v>9.0090090090090107E-3</v>
      </c>
      <c r="C915">
        <f t="shared" si="28"/>
        <v>1.3652691371599146</v>
      </c>
      <c r="D915">
        <v>2</v>
      </c>
      <c r="E915">
        <f t="shared" si="29"/>
        <v>4.2223641135053967E-2</v>
      </c>
    </row>
    <row r="916" spans="1:5" x14ac:dyDescent="0.25">
      <c r="A916">
        <v>3</v>
      </c>
      <c r="B916">
        <v>9.3240093240093205E-3</v>
      </c>
      <c r="C916">
        <f t="shared" si="28"/>
        <v>1.3657572205151545</v>
      </c>
      <c r="D916">
        <v>2</v>
      </c>
      <c r="E916">
        <f t="shared" si="29"/>
        <v>4.2223641135053967E-2</v>
      </c>
    </row>
    <row r="917" spans="1:5" x14ac:dyDescent="0.25">
      <c r="A917">
        <v>3</v>
      </c>
      <c r="B917">
        <v>9.3240093240093205E-3</v>
      </c>
      <c r="C917">
        <f t="shared" si="28"/>
        <v>1.3657572205151545</v>
      </c>
      <c r="D917">
        <v>2</v>
      </c>
      <c r="E917">
        <f t="shared" si="29"/>
        <v>4.2223641135053967E-2</v>
      </c>
    </row>
    <row r="918" spans="1:5" x14ac:dyDescent="0.25">
      <c r="A918">
        <v>3</v>
      </c>
      <c r="B918">
        <v>9.3240093240093205E-3</v>
      </c>
      <c r="C918">
        <f t="shared" si="28"/>
        <v>1.3657572205151545</v>
      </c>
      <c r="D918">
        <v>2</v>
      </c>
      <c r="E918">
        <f t="shared" si="29"/>
        <v>4.2223641135053967E-2</v>
      </c>
    </row>
    <row r="919" spans="1:5" x14ac:dyDescent="0.25">
      <c r="A919">
        <v>3</v>
      </c>
      <c r="B919">
        <v>9.3240093240093205E-3</v>
      </c>
      <c r="C919">
        <f t="shared" si="28"/>
        <v>1.3657572205151545</v>
      </c>
      <c r="D919">
        <v>2</v>
      </c>
      <c r="E919">
        <f t="shared" si="29"/>
        <v>4.2223641135053967E-2</v>
      </c>
    </row>
    <row r="920" spans="1:5" x14ac:dyDescent="0.25">
      <c r="A920">
        <v>3</v>
      </c>
      <c r="B920">
        <v>0.01</v>
      </c>
      <c r="C920">
        <f t="shared" si="28"/>
        <v>1.3667993117817769</v>
      </c>
      <c r="D920">
        <v>2</v>
      </c>
      <c r="E920">
        <f t="shared" si="29"/>
        <v>4.2223641135053967E-2</v>
      </c>
    </row>
    <row r="921" spans="1:5" x14ac:dyDescent="0.25">
      <c r="A921">
        <v>3</v>
      </c>
      <c r="B921">
        <v>0.01</v>
      </c>
      <c r="C921">
        <f t="shared" si="28"/>
        <v>1.3667993117817769</v>
      </c>
      <c r="D921">
        <v>2</v>
      </c>
      <c r="E921">
        <f t="shared" si="29"/>
        <v>4.2223641135053967E-2</v>
      </c>
    </row>
    <row r="922" spans="1:5" x14ac:dyDescent="0.25">
      <c r="A922">
        <v>3</v>
      </c>
      <c r="B922">
        <v>1.0666666666666699E-2</v>
      </c>
      <c r="C922">
        <f t="shared" si="28"/>
        <v>1.3678198857557662</v>
      </c>
      <c r="D922">
        <v>2</v>
      </c>
      <c r="E922">
        <f t="shared" si="29"/>
        <v>4.2223641135053967E-2</v>
      </c>
    </row>
    <row r="923" spans="1:5" x14ac:dyDescent="0.25">
      <c r="A923">
        <v>3</v>
      </c>
      <c r="B923">
        <v>1.0666666666666699E-2</v>
      </c>
      <c r="C923">
        <f t="shared" si="28"/>
        <v>1.3678198857557662</v>
      </c>
      <c r="D923">
        <v>2</v>
      </c>
      <c r="E923">
        <f t="shared" si="29"/>
        <v>4.2223641135053967E-2</v>
      </c>
    </row>
    <row r="924" spans="1:5" x14ac:dyDescent="0.25">
      <c r="A924">
        <v>3</v>
      </c>
      <c r="B924">
        <v>1.0666666666666699E-2</v>
      </c>
      <c r="C924">
        <f t="shared" si="28"/>
        <v>1.3678198857557662</v>
      </c>
      <c r="D924">
        <v>2</v>
      </c>
      <c r="E924">
        <f t="shared" si="29"/>
        <v>4.2223641135053967E-2</v>
      </c>
    </row>
    <row r="925" spans="1:5" x14ac:dyDescent="0.25">
      <c r="A925">
        <v>3</v>
      </c>
      <c r="B925">
        <v>1.0666666666666699E-2</v>
      </c>
      <c r="C925">
        <f t="shared" si="28"/>
        <v>1.3678198857557662</v>
      </c>
      <c r="D925">
        <v>2</v>
      </c>
      <c r="E925">
        <f t="shared" si="29"/>
        <v>4.2223641135053967E-2</v>
      </c>
    </row>
    <row r="926" spans="1:5" x14ac:dyDescent="0.25">
      <c r="A926">
        <v>3</v>
      </c>
      <c r="B926">
        <v>1.0666666666666699E-2</v>
      </c>
      <c r="C926">
        <f t="shared" si="28"/>
        <v>1.3678198857557662</v>
      </c>
      <c r="D926">
        <v>2</v>
      </c>
      <c r="E926">
        <f t="shared" si="29"/>
        <v>4.2223641135053967E-2</v>
      </c>
    </row>
    <row r="927" spans="1:5" x14ac:dyDescent="0.25">
      <c r="A927">
        <v>3</v>
      </c>
      <c r="B927">
        <v>1.1655011655011699E-2</v>
      </c>
      <c r="C927">
        <f t="shared" si="28"/>
        <v>1.3693198136789726</v>
      </c>
      <c r="D927">
        <v>2</v>
      </c>
      <c r="E927">
        <f t="shared" si="29"/>
        <v>4.2223641135053967E-2</v>
      </c>
    </row>
    <row r="928" spans="1:5" x14ac:dyDescent="0.25">
      <c r="A928">
        <v>3</v>
      </c>
      <c r="B928">
        <v>1.1655011655011699E-2</v>
      </c>
      <c r="C928">
        <f t="shared" si="28"/>
        <v>1.3693198136789726</v>
      </c>
      <c r="D928">
        <v>2</v>
      </c>
      <c r="E928">
        <f t="shared" si="29"/>
        <v>4.2223641135053967E-2</v>
      </c>
    </row>
    <row r="929" spans="1:5" x14ac:dyDescent="0.25">
      <c r="A929">
        <v>3</v>
      </c>
      <c r="B929">
        <v>1.1655011655011699E-2</v>
      </c>
      <c r="C929">
        <f t="shared" si="28"/>
        <v>1.3693198136789726</v>
      </c>
      <c r="D929">
        <v>2</v>
      </c>
      <c r="E929">
        <f t="shared" si="29"/>
        <v>4.2223641135053967E-2</v>
      </c>
    </row>
    <row r="930" spans="1:5" x14ac:dyDescent="0.25">
      <c r="A930">
        <v>3</v>
      </c>
      <c r="B930">
        <v>1.19760479041916E-2</v>
      </c>
      <c r="C930">
        <f t="shared" si="28"/>
        <v>1.3698036512725735</v>
      </c>
      <c r="D930">
        <v>2</v>
      </c>
      <c r="E930">
        <f t="shared" si="29"/>
        <v>4.2223641135053967E-2</v>
      </c>
    </row>
    <row r="931" spans="1:5" x14ac:dyDescent="0.25">
      <c r="A931">
        <v>3</v>
      </c>
      <c r="B931">
        <v>1.19760479041916E-2</v>
      </c>
      <c r="C931">
        <f t="shared" si="28"/>
        <v>1.3698036512725735</v>
      </c>
      <c r="D931">
        <v>2</v>
      </c>
      <c r="E931">
        <f t="shared" si="29"/>
        <v>4.2223641135053967E-2</v>
      </c>
    </row>
    <row r="932" spans="1:5" x14ac:dyDescent="0.25">
      <c r="A932">
        <v>3</v>
      </c>
      <c r="B932">
        <v>1.19760479041916E-2</v>
      </c>
      <c r="C932">
        <f t="shared" si="28"/>
        <v>1.3698036512725735</v>
      </c>
      <c r="D932">
        <v>2</v>
      </c>
      <c r="E932">
        <f t="shared" si="29"/>
        <v>4.2223641135053967E-2</v>
      </c>
    </row>
    <row r="933" spans="1:5" x14ac:dyDescent="0.25">
      <c r="A933">
        <v>3</v>
      </c>
      <c r="B933">
        <v>1.2012012012012E-2</v>
      </c>
      <c r="C933">
        <f t="shared" si="28"/>
        <v>1.3698577500538502</v>
      </c>
      <c r="D933">
        <v>2</v>
      </c>
      <c r="E933">
        <f t="shared" si="29"/>
        <v>4.2223641135053967E-2</v>
      </c>
    </row>
    <row r="934" spans="1:5" x14ac:dyDescent="0.25">
      <c r="A934">
        <v>3</v>
      </c>
      <c r="B934">
        <v>1.2012012012012E-2</v>
      </c>
      <c r="C934">
        <f t="shared" si="28"/>
        <v>1.3698577500538502</v>
      </c>
      <c r="D934">
        <v>2</v>
      </c>
      <c r="E934">
        <f t="shared" si="29"/>
        <v>4.2223641135053967E-2</v>
      </c>
    </row>
    <row r="935" spans="1:5" x14ac:dyDescent="0.25">
      <c r="A935">
        <v>3</v>
      </c>
      <c r="B935">
        <v>1.2012012012012E-2</v>
      </c>
      <c r="C935">
        <f t="shared" si="28"/>
        <v>1.3698577500538502</v>
      </c>
      <c r="D935">
        <v>2</v>
      </c>
      <c r="E935">
        <f t="shared" si="29"/>
        <v>4.2223641135053967E-2</v>
      </c>
    </row>
    <row r="936" spans="1:5" x14ac:dyDescent="0.25">
      <c r="A936">
        <v>3</v>
      </c>
      <c r="B936">
        <v>1.3333333333333299E-2</v>
      </c>
      <c r="C936">
        <f t="shared" si="28"/>
        <v>1.371830901560863</v>
      </c>
      <c r="D936">
        <v>2</v>
      </c>
      <c r="E936">
        <f t="shared" si="29"/>
        <v>4.2223641135053967E-2</v>
      </c>
    </row>
    <row r="937" spans="1:5" x14ac:dyDescent="0.25">
      <c r="A937">
        <v>3</v>
      </c>
      <c r="B937">
        <v>1.3333333333333299E-2</v>
      </c>
      <c r="C937">
        <f t="shared" si="28"/>
        <v>1.371830901560863</v>
      </c>
      <c r="D937">
        <v>2</v>
      </c>
      <c r="E937">
        <f t="shared" si="29"/>
        <v>4.2223641135053967E-2</v>
      </c>
    </row>
    <row r="938" spans="1:5" x14ac:dyDescent="0.25">
      <c r="A938">
        <v>3</v>
      </c>
      <c r="B938">
        <v>1.3333333333333299E-2</v>
      </c>
      <c r="C938">
        <f t="shared" si="28"/>
        <v>1.371830901560863</v>
      </c>
      <c r="D938">
        <v>2</v>
      </c>
      <c r="E938">
        <f t="shared" si="29"/>
        <v>4.2223641135053967E-2</v>
      </c>
    </row>
    <row r="939" spans="1:5" x14ac:dyDescent="0.25">
      <c r="A939">
        <v>3</v>
      </c>
      <c r="B939">
        <v>1.3333333333333299E-2</v>
      </c>
      <c r="C939">
        <f t="shared" si="28"/>
        <v>1.371830901560863</v>
      </c>
      <c r="D939">
        <v>2</v>
      </c>
      <c r="E939">
        <f t="shared" si="29"/>
        <v>4.2223641135053967E-2</v>
      </c>
    </row>
    <row r="940" spans="1:5" x14ac:dyDescent="0.25">
      <c r="A940">
        <v>3</v>
      </c>
      <c r="B940">
        <v>1.3333333333333299E-2</v>
      </c>
      <c r="C940">
        <f t="shared" si="28"/>
        <v>1.371830901560863</v>
      </c>
      <c r="D940">
        <v>2</v>
      </c>
      <c r="E940">
        <f t="shared" si="29"/>
        <v>4.2223641135053967E-2</v>
      </c>
    </row>
    <row r="941" spans="1:5" x14ac:dyDescent="0.25">
      <c r="A941">
        <v>3</v>
      </c>
      <c r="B941">
        <v>1.3333333333333299E-2</v>
      </c>
      <c r="C941">
        <f t="shared" si="28"/>
        <v>1.371830901560863</v>
      </c>
      <c r="D941">
        <v>2</v>
      </c>
      <c r="E941">
        <f t="shared" si="29"/>
        <v>4.2223641135053967E-2</v>
      </c>
    </row>
    <row r="942" spans="1:5" x14ac:dyDescent="0.25">
      <c r="A942">
        <v>3</v>
      </c>
      <c r="B942">
        <v>1.3986013986014E-2</v>
      </c>
      <c r="C942">
        <f t="shared" si="28"/>
        <v>1.3727951643001945</v>
      </c>
      <c r="D942">
        <v>2</v>
      </c>
      <c r="E942">
        <f t="shared" si="29"/>
        <v>4.2223641135053967E-2</v>
      </c>
    </row>
    <row r="943" spans="1:5" x14ac:dyDescent="0.25">
      <c r="A943">
        <v>3</v>
      </c>
      <c r="B943">
        <v>1.3986013986014E-2</v>
      </c>
      <c r="C943">
        <f t="shared" si="28"/>
        <v>1.3727951643001945</v>
      </c>
      <c r="D943">
        <v>2</v>
      </c>
      <c r="E943">
        <f t="shared" si="29"/>
        <v>4.2223641135053967E-2</v>
      </c>
    </row>
    <row r="944" spans="1:5" x14ac:dyDescent="0.25">
      <c r="A944">
        <v>3</v>
      </c>
      <c r="B944">
        <v>1.4E-2</v>
      </c>
      <c r="C944">
        <f t="shared" si="28"/>
        <v>1.3728157516631625</v>
      </c>
      <c r="D944">
        <v>2</v>
      </c>
      <c r="E944">
        <f t="shared" si="29"/>
        <v>4.2223641135053967E-2</v>
      </c>
    </row>
    <row r="945" spans="1:5" x14ac:dyDescent="0.25">
      <c r="A945">
        <v>3</v>
      </c>
      <c r="B945">
        <v>1.4E-2</v>
      </c>
      <c r="C945">
        <f t="shared" si="28"/>
        <v>1.3728157516631625</v>
      </c>
      <c r="D945">
        <v>2</v>
      </c>
      <c r="E945">
        <f t="shared" si="29"/>
        <v>4.2223641135053967E-2</v>
      </c>
    </row>
    <row r="946" spans="1:5" x14ac:dyDescent="0.25">
      <c r="A946">
        <v>3</v>
      </c>
      <c r="B946">
        <v>1.4E-2</v>
      </c>
      <c r="C946">
        <f t="shared" si="28"/>
        <v>1.3728157516631625</v>
      </c>
      <c r="D946">
        <v>2</v>
      </c>
      <c r="E946">
        <f t="shared" si="29"/>
        <v>4.2223641135053967E-2</v>
      </c>
    </row>
    <row r="947" spans="1:5" x14ac:dyDescent="0.25">
      <c r="A947">
        <v>3</v>
      </c>
      <c r="B947">
        <v>1.4E-2</v>
      </c>
      <c r="C947">
        <f t="shared" si="28"/>
        <v>1.3728157516631625</v>
      </c>
      <c r="D947">
        <v>2</v>
      </c>
      <c r="E947">
        <f t="shared" si="29"/>
        <v>4.2223641135053967E-2</v>
      </c>
    </row>
    <row r="948" spans="1:5" x14ac:dyDescent="0.25">
      <c r="A948">
        <v>3</v>
      </c>
      <c r="B948">
        <v>1.4018691588785E-2</v>
      </c>
      <c r="C948">
        <f t="shared" si="28"/>
        <v>1.3728432606717127</v>
      </c>
      <c r="D948">
        <v>2</v>
      </c>
      <c r="E948">
        <f t="shared" si="29"/>
        <v>4.2223641135053967E-2</v>
      </c>
    </row>
    <row r="949" spans="1:5" x14ac:dyDescent="0.25">
      <c r="A949">
        <v>3</v>
      </c>
      <c r="B949">
        <v>1.4018691588785E-2</v>
      </c>
      <c r="C949">
        <f t="shared" si="28"/>
        <v>1.3728432606717127</v>
      </c>
      <c r="D949">
        <v>2</v>
      </c>
      <c r="E949">
        <f t="shared" si="29"/>
        <v>4.2223641135053967E-2</v>
      </c>
    </row>
    <row r="950" spans="1:5" x14ac:dyDescent="0.25">
      <c r="A950">
        <v>3</v>
      </c>
      <c r="B950">
        <v>1.49700598802395E-2</v>
      </c>
      <c r="C950">
        <f t="shared" si="28"/>
        <v>1.3742359415284666</v>
      </c>
      <c r="D950">
        <v>2</v>
      </c>
      <c r="E950">
        <f t="shared" si="29"/>
        <v>4.2223641135053967E-2</v>
      </c>
    </row>
    <row r="951" spans="1:5" x14ac:dyDescent="0.25">
      <c r="A951">
        <v>3</v>
      </c>
      <c r="B951">
        <v>1.49700598802395E-2</v>
      </c>
      <c r="C951">
        <f t="shared" si="28"/>
        <v>1.3742359415284666</v>
      </c>
      <c r="D951">
        <v>2</v>
      </c>
      <c r="E951">
        <f t="shared" si="29"/>
        <v>4.2223641135053967E-2</v>
      </c>
    </row>
    <row r="952" spans="1:5" x14ac:dyDescent="0.25">
      <c r="A952">
        <v>3</v>
      </c>
      <c r="B952">
        <v>1.49700598802395E-2</v>
      </c>
      <c r="C952">
        <f t="shared" si="28"/>
        <v>1.3742359415284666</v>
      </c>
      <c r="D952">
        <v>2</v>
      </c>
      <c r="E952">
        <f t="shared" si="29"/>
        <v>4.2223641135053967E-2</v>
      </c>
    </row>
    <row r="953" spans="1:5" x14ac:dyDescent="0.25">
      <c r="A953">
        <v>3</v>
      </c>
      <c r="B953">
        <v>1.5015015015014999E-2</v>
      </c>
      <c r="C953">
        <f t="shared" si="28"/>
        <v>1.3743013867091678</v>
      </c>
      <c r="D953">
        <v>2</v>
      </c>
      <c r="E953">
        <f t="shared" si="29"/>
        <v>4.2223641135053967E-2</v>
      </c>
    </row>
    <row r="954" spans="1:5" x14ac:dyDescent="0.25">
      <c r="A954">
        <v>3</v>
      </c>
      <c r="B954">
        <v>1.5015015015014999E-2</v>
      </c>
      <c r="C954">
        <f t="shared" si="28"/>
        <v>1.3743013867091678</v>
      </c>
      <c r="D954">
        <v>2</v>
      </c>
      <c r="E954">
        <f t="shared" si="29"/>
        <v>4.2223641135053967E-2</v>
      </c>
    </row>
    <row r="955" spans="1:5" x14ac:dyDescent="0.25">
      <c r="A955">
        <v>3</v>
      </c>
      <c r="B955">
        <v>1.5015015015014999E-2</v>
      </c>
      <c r="C955">
        <f t="shared" si="28"/>
        <v>1.3743013867091678</v>
      </c>
      <c r="D955">
        <v>2</v>
      </c>
      <c r="E955">
        <f t="shared" si="29"/>
        <v>4.2223641135053967E-2</v>
      </c>
    </row>
    <row r="956" spans="1:5" x14ac:dyDescent="0.25">
      <c r="A956">
        <v>3</v>
      </c>
      <c r="B956">
        <v>1.6E-2</v>
      </c>
      <c r="C956">
        <f t="shared" si="28"/>
        <v>1.3757270685049845</v>
      </c>
      <c r="D956">
        <v>2</v>
      </c>
      <c r="E956">
        <f t="shared" si="29"/>
        <v>4.2223641135053967E-2</v>
      </c>
    </row>
    <row r="957" spans="1:5" x14ac:dyDescent="0.25">
      <c r="A957">
        <v>3</v>
      </c>
      <c r="B957">
        <v>1.6E-2</v>
      </c>
      <c r="C957">
        <f t="shared" si="28"/>
        <v>1.3757270685049845</v>
      </c>
      <c r="D957">
        <v>2</v>
      </c>
      <c r="E957">
        <f t="shared" si="29"/>
        <v>4.2223641135053967E-2</v>
      </c>
    </row>
    <row r="958" spans="1:5" x14ac:dyDescent="0.25">
      <c r="A958">
        <v>3</v>
      </c>
      <c r="B958">
        <v>1.6E-2</v>
      </c>
      <c r="C958">
        <f t="shared" si="28"/>
        <v>1.3757270685049845</v>
      </c>
      <c r="D958">
        <v>2</v>
      </c>
      <c r="E958">
        <f t="shared" si="29"/>
        <v>4.2223641135053967E-2</v>
      </c>
    </row>
    <row r="959" spans="1:5" x14ac:dyDescent="0.25">
      <c r="A959">
        <v>3</v>
      </c>
      <c r="B959">
        <v>1.6E-2</v>
      </c>
      <c r="C959">
        <f t="shared" si="28"/>
        <v>1.3757270685049845</v>
      </c>
      <c r="D959">
        <v>2</v>
      </c>
      <c r="E959">
        <f t="shared" si="29"/>
        <v>4.2223641135053967E-2</v>
      </c>
    </row>
    <row r="960" spans="1:5" x14ac:dyDescent="0.25">
      <c r="A960">
        <v>3</v>
      </c>
      <c r="B960">
        <v>1.6E-2</v>
      </c>
      <c r="C960">
        <f t="shared" si="28"/>
        <v>1.3757270685049845</v>
      </c>
      <c r="D960">
        <v>2</v>
      </c>
      <c r="E960">
        <f t="shared" si="29"/>
        <v>4.2223641135053967E-2</v>
      </c>
    </row>
    <row r="961" spans="1:5" x14ac:dyDescent="0.25">
      <c r="A961">
        <v>3</v>
      </c>
      <c r="B961">
        <v>1.6E-2</v>
      </c>
      <c r="C961">
        <f t="shared" si="28"/>
        <v>1.3757270685049845</v>
      </c>
      <c r="D961">
        <v>2</v>
      </c>
      <c r="E961">
        <f t="shared" si="29"/>
        <v>4.2223641135053967E-2</v>
      </c>
    </row>
    <row r="962" spans="1:5" x14ac:dyDescent="0.25">
      <c r="A962">
        <v>3</v>
      </c>
      <c r="B962">
        <v>1.6E-2</v>
      </c>
      <c r="C962">
        <f t="shared" ref="C962:C1025" si="30">_xlfn.NORM.DIST(B962, I$10,I$13,FALSE)</f>
        <v>1.3757270685049845</v>
      </c>
      <c r="D962">
        <v>2</v>
      </c>
      <c r="E962">
        <f t="shared" si="29"/>
        <v>4.2223641135053967E-2</v>
      </c>
    </row>
    <row r="963" spans="1:5" x14ac:dyDescent="0.25">
      <c r="A963">
        <v>3</v>
      </c>
      <c r="B963">
        <v>1.6E-2</v>
      </c>
      <c r="C963">
        <f t="shared" si="30"/>
        <v>1.3757270685049845</v>
      </c>
      <c r="D963">
        <v>2</v>
      </c>
      <c r="E963">
        <f t="shared" ref="E963:E1026" si="31">_xlfn.NORM.DIST(D963, I$4,I$7,FALSE)</f>
        <v>4.2223641135053967E-2</v>
      </c>
    </row>
    <row r="964" spans="1:5" x14ac:dyDescent="0.25">
      <c r="A964">
        <v>3</v>
      </c>
      <c r="B964">
        <v>1.6317016317016299E-2</v>
      </c>
      <c r="C964">
        <f t="shared" si="30"/>
        <v>1.3761825615937113</v>
      </c>
      <c r="D964">
        <v>2</v>
      </c>
      <c r="E964">
        <f t="shared" si="31"/>
        <v>4.2223641135053967E-2</v>
      </c>
    </row>
    <row r="965" spans="1:5" x14ac:dyDescent="0.25">
      <c r="A965">
        <v>3</v>
      </c>
      <c r="B965">
        <v>1.63551401869159E-2</v>
      </c>
      <c r="C965">
        <f t="shared" si="30"/>
        <v>1.3762372280434518</v>
      </c>
      <c r="D965">
        <v>2</v>
      </c>
      <c r="E965">
        <f t="shared" si="31"/>
        <v>4.2223641135053967E-2</v>
      </c>
    </row>
    <row r="966" spans="1:5" x14ac:dyDescent="0.25">
      <c r="A966">
        <v>3</v>
      </c>
      <c r="B966">
        <v>1.63551401869159E-2</v>
      </c>
      <c r="C966">
        <f t="shared" si="30"/>
        <v>1.3762372280434518</v>
      </c>
      <c r="D966">
        <v>2</v>
      </c>
      <c r="E966">
        <f t="shared" si="31"/>
        <v>4.2223641135053967E-2</v>
      </c>
    </row>
    <row r="967" spans="1:5" x14ac:dyDescent="0.25">
      <c r="A967">
        <v>3</v>
      </c>
      <c r="B967">
        <v>1.7999999999999999E-2</v>
      </c>
      <c r="C967">
        <f t="shared" si="30"/>
        <v>1.3785731948574074</v>
      </c>
      <c r="D967">
        <v>2</v>
      </c>
      <c r="E967">
        <f t="shared" si="31"/>
        <v>4.2223641135053967E-2</v>
      </c>
    </row>
    <row r="968" spans="1:5" x14ac:dyDescent="0.25">
      <c r="A968">
        <v>3</v>
      </c>
      <c r="B968">
        <v>1.7999999999999999E-2</v>
      </c>
      <c r="C968">
        <f t="shared" si="30"/>
        <v>1.3785731948574074</v>
      </c>
      <c r="D968">
        <v>2</v>
      </c>
      <c r="E968">
        <f t="shared" si="31"/>
        <v>4.2223641135053967E-2</v>
      </c>
    </row>
    <row r="969" spans="1:5" x14ac:dyDescent="0.25">
      <c r="A969">
        <v>3</v>
      </c>
      <c r="B969">
        <v>1.7999999999999999E-2</v>
      </c>
      <c r="C969">
        <f t="shared" si="30"/>
        <v>1.3785731948574074</v>
      </c>
      <c r="D969">
        <v>2</v>
      </c>
      <c r="E969">
        <f t="shared" si="31"/>
        <v>4.2223641135053967E-2</v>
      </c>
    </row>
    <row r="970" spans="1:5" x14ac:dyDescent="0.25">
      <c r="A970">
        <v>3</v>
      </c>
      <c r="B970">
        <v>1.7999999999999999E-2</v>
      </c>
      <c r="C970">
        <f t="shared" si="30"/>
        <v>1.3785731948574074</v>
      </c>
      <c r="D970">
        <v>2</v>
      </c>
      <c r="E970">
        <f t="shared" si="31"/>
        <v>4.2223641135053967E-2</v>
      </c>
    </row>
    <row r="971" spans="1:5" x14ac:dyDescent="0.25">
      <c r="A971">
        <v>3</v>
      </c>
      <c r="B971">
        <v>1.8018018018018001E-2</v>
      </c>
      <c r="C971">
        <f t="shared" si="30"/>
        <v>1.3785985380237358</v>
      </c>
      <c r="D971">
        <v>2</v>
      </c>
      <c r="E971">
        <f t="shared" si="31"/>
        <v>4.2223641135053967E-2</v>
      </c>
    </row>
    <row r="972" spans="1:5" x14ac:dyDescent="0.25">
      <c r="A972">
        <v>3</v>
      </c>
      <c r="B972">
        <v>1.8018018018018001E-2</v>
      </c>
      <c r="C972">
        <f t="shared" si="30"/>
        <v>1.3785985380237358</v>
      </c>
      <c r="D972">
        <v>2</v>
      </c>
      <c r="E972">
        <f t="shared" si="31"/>
        <v>4.2223641135053967E-2</v>
      </c>
    </row>
    <row r="973" spans="1:5" x14ac:dyDescent="0.25">
      <c r="A973">
        <v>3</v>
      </c>
      <c r="B973">
        <v>1.8018018018018001E-2</v>
      </c>
      <c r="C973">
        <f t="shared" si="30"/>
        <v>1.3785985380237358</v>
      </c>
      <c r="D973">
        <v>2</v>
      </c>
      <c r="E973">
        <f t="shared" si="31"/>
        <v>4.2223641135053967E-2</v>
      </c>
    </row>
    <row r="974" spans="1:5" x14ac:dyDescent="0.25">
      <c r="A974">
        <v>3</v>
      </c>
      <c r="B974">
        <v>1.8018018018018001E-2</v>
      </c>
      <c r="C974">
        <f t="shared" si="30"/>
        <v>1.3785985380237358</v>
      </c>
      <c r="D974">
        <v>2</v>
      </c>
      <c r="E974">
        <f t="shared" si="31"/>
        <v>4.2223641135053967E-2</v>
      </c>
    </row>
    <row r="975" spans="1:5" x14ac:dyDescent="0.25">
      <c r="A975">
        <v>3</v>
      </c>
      <c r="B975">
        <v>1.8018018018018001E-2</v>
      </c>
      <c r="C975">
        <f t="shared" si="30"/>
        <v>1.3785985380237358</v>
      </c>
      <c r="D975">
        <v>2</v>
      </c>
      <c r="E975">
        <f t="shared" si="31"/>
        <v>4.2223641135053967E-2</v>
      </c>
    </row>
    <row r="976" spans="1:5" x14ac:dyDescent="0.25">
      <c r="A976">
        <v>3</v>
      </c>
      <c r="B976">
        <v>1.8018018018018001E-2</v>
      </c>
      <c r="C976">
        <f t="shared" si="30"/>
        <v>1.3785985380237358</v>
      </c>
      <c r="D976">
        <v>2</v>
      </c>
      <c r="E976">
        <f t="shared" si="31"/>
        <v>4.2223641135053967E-2</v>
      </c>
    </row>
    <row r="977" spans="1:5" x14ac:dyDescent="0.25">
      <c r="A977">
        <v>3</v>
      </c>
      <c r="B977">
        <v>1.8018018018018001E-2</v>
      </c>
      <c r="C977">
        <f t="shared" si="30"/>
        <v>1.3785985380237358</v>
      </c>
      <c r="D977">
        <v>2</v>
      </c>
      <c r="E977">
        <f t="shared" si="31"/>
        <v>4.2223641135053967E-2</v>
      </c>
    </row>
    <row r="978" spans="1:5" x14ac:dyDescent="0.25">
      <c r="A978">
        <v>3</v>
      </c>
      <c r="B978">
        <v>1.8333333333333299E-2</v>
      </c>
      <c r="C978">
        <f t="shared" si="30"/>
        <v>1.3790411809686707</v>
      </c>
      <c r="D978">
        <v>2</v>
      </c>
      <c r="E978">
        <f t="shared" si="31"/>
        <v>4.2223641135053967E-2</v>
      </c>
    </row>
    <row r="979" spans="1:5" x14ac:dyDescent="0.25">
      <c r="A979">
        <v>3</v>
      </c>
      <c r="B979">
        <v>1.8333333333333299E-2</v>
      </c>
      <c r="C979">
        <f t="shared" si="30"/>
        <v>1.3790411809686707</v>
      </c>
      <c r="D979">
        <v>2</v>
      </c>
      <c r="E979">
        <f t="shared" si="31"/>
        <v>4.2223641135053967E-2</v>
      </c>
    </row>
    <row r="980" spans="1:5" x14ac:dyDescent="0.25">
      <c r="A980">
        <v>3</v>
      </c>
      <c r="B980">
        <v>1.8666666666666699E-2</v>
      </c>
      <c r="C980">
        <f t="shared" si="30"/>
        <v>1.3795073423075002</v>
      </c>
      <c r="D980">
        <v>2</v>
      </c>
      <c r="E980">
        <f t="shared" si="31"/>
        <v>4.2223641135053967E-2</v>
      </c>
    </row>
    <row r="981" spans="1:5" x14ac:dyDescent="0.25">
      <c r="A981">
        <v>3</v>
      </c>
      <c r="B981">
        <v>1.8666666666666699E-2</v>
      </c>
      <c r="C981">
        <f t="shared" si="30"/>
        <v>1.3795073423075002</v>
      </c>
      <c r="D981">
        <v>2</v>
      </c>
      <c r="E981">
        <f t="shared" si="31"/>
        <v>4.2223641135053967E-2</v>
      </c>
    </row>
    <row r="982" spans="1:5" x14ac:dyDescent="0.25">
      <c r="A982">
        <v>3</v>
      </c>
      <c r="B982">
        <v>1.8666666666666699E-2</v>
      </c>
      <c r="C982">
        <f t="shared" si="30"/>
        <v>1.3795073423075002</v>
      </c>
      <c r="D982">
        <v>2</v>
      </c>
      <c r="E982">
        <f t="shared" si="31"/>
        <v>4.2223641135053967E-2</v>
      </c>
    </row>
    <row r="983" spans="1:5" x14ac:dyDescent="0.25">
      <c r="A983">
        <v>3</v>
      </c>
      <c r="B983">
        <v>1.8666666666666699E-2</v>
      </c>
      <c r="C983">
        <f t="shared" si="30"/>
        <v>1.3795073423075002</v>
      </c>
      <c r="D983">
        <v>2</v>
      </c>
      <c r="E983">
        <f t="shared" si="31"/>
        <v>4.2223641135053967E-2</v>
      </c>
    </row>
    <row r="984" spans="1:5" x14ac:dyDescent="0.25">
      <c r="A984">
        <v>3</v>
      </c>
      <c r="B984">
        <v>1.86915887850467E-2</v>
      </c>
      <c r="C984">
        <f t="shared" si="30"/>
        <v>1.3795421221212298</v>
      </c>
      <c r="D984">
        <v>2</v>
      </c>
      <c r="E984">
        <f t="shared" si="31"/>
        <v>4.2223641135053967E-2</v>
      </c>
    </row>
    <row r="985" spans="1:5" x14ac:dyDescent="0.25">
      <c r="A985">
        <v>3</v>
      </c>
      <c r="B985">
        <v>0.02</v>
      </c>
      <c r="C985">
        <f t="shared" si="30"/>
        <v>1.3813537008933556</v>
      </c>
      <c r="D985">
        <v>2</v>
      </c>
      <c r="E985">
        <f t="shared" si="31"/>
        <v>4.2223641135053967E-2</v>
      </c>
    </row>
    <row r="986" spans="1:5" x14ac:dyDescent="0.25">
      <c r="A986">
        <v>3</v>
      </c>
      <c r="B986">
        <v>2.09580838323353E-2</v>
      </c>
      <c r="C986">
        <f t="shared" si="30"/>
        <v>1.3826623096205479</v>
      </c>
      <c r="D986">
        <v>2</v>
      </c>
      <c r="E986">
        <f t="shared" si="31"/>
        <v>4.2223641135053967E-2</v>
      </c>
    </row>
    <row r="987" spans="1:5" x14ac:dyDescent="0.25">
      <c r="A987">
        <v>3</v>
      </c>
      <c r="B987">
        <v>2.09580838323353E-2</v>
      </c>
      <c r="C987">
        <f t="shared" si="30"/>
        <v>1.3826623096205479</v>
      </c>
      <c r="D987">
        <v>2</v>
      </c>
      <c r="E987">
        <f t="shared" si="31"/>
        <v>4.2223641135053967E-2</v>
      </c>
    </row>
    <row r="988" spans="1:5" x14ac:dyDescent="0.25">
      <c r="A988">
        <v>3</v>
      </c>
      <c r="B988">
        <v>2.09580838323353E-2</v>
      </c>
      <c r="C988">
        <f t="shared" si="30"/>
        <v>1.3826623096205479</v>
      </c>
      <c r="D988">
        <v>2</v>
      </c>
      <c r="E988">
        <f t="shared" si="31"/>
        <v>4.2223641135053967E-2</v>
      </c>
    </row>
    <row r="989" spans="1:5" x14ac:dyDescent="0.25">
      <c r="A989">
        <v>3</v>
      </c>
      <c r="B989">
        <v>2.0979020979021001E-2</v>
      </c>
      <c r="C989">
        <f t="shared" si="30"/>
        <v>1.3826907372823538</v>
      </c>
      <c r="D989">
        <v>2</v>
      </c>
      <c r="E989">
        <f t="shared" si="31"/>
        <v>4.2223641135053967E-2</v>
      </c>
    </row>
    <row r="990" spans="1:5" x14ac:dyDescent="0.25">
      <c r="A990">
        <v>3</v>
      </c>
      <c r="B990">
        <v>2.0979020979021001E-2</v>
      </c>
      <c r="C990">
        <f t="shared" si="30"/>
        <v>1.3826907372823538</v>
      </c>
      <c r="D990">
        <v>2</v>
      </c>
      <c r="E990">
        <f t="shared" si="31"/>
        <v>4.2223641135053967E-2</v>
      </c>
    </row>
    <row r="991" spans="1:5" x14ac:dyDescent="0.25">
      <c r="A991">
        <v>3</v>
      </c>
      <c r="B991">
        <v>2.1021021021020998E-2</v>
      </c>
      <c r="C991">
        <f t="shared" si="30"/>
        <v>1.3827477414538092</v>
      </c>
      <c r="D991">
        <v>2</v>
      </c>
      <c r="E991">
        <f t="shared" si="31"/>
        <v>4.2223641135053967E-2</v>
      </c>
    </row>
    <row r="992" spans="1:5" x14ac:dyDescent="0.25">
      <c r="A992">
        <v>3</v>
      </c>
      <c r="B992">
        <v>2.1021021021020998E-2</v>
      </c>
      <c r="C992">
        <f t="shared" si="30"/>
        <v>1.3827477414538092</v>
      </c>
      <c r="D992">
        <v>2</v>
      </c>
      <c r="E992">
        <f t="shared" si="31"/>
        <v>4.2223641135053967E-2</v>
      </c>
    </row>
    <row r="993" spans="1:5" x14ac:dyDescent="0.25">
      <c r="A993">
        <v>3</v>
      </c>
      <c r="B993">
        <v>2.1021021021020998E-2</v>
      </c>
      <c r="C993">
        <f t="shared" si="30"/>
        <v>1.3827477414538092</v>
      </c>
      <c r="D993">
        <v>2</v>
      </c>
      <c r="E993">
        <f t="shared" si="31"/>
        <v>4.2223641135053967E-2</v>
      </c>
    </row>
    <row r="994" spans="1:5" x14ac:dyDescent="0.25">
      <c r="A994">
        <v>3</v>
      </c>
      <c r="B994">
        <v>2.1021021021020998E-2</v>
      </c>
      <c r="C994">
        <f t="shared" si="30"/>
        <v>1.3827477414538092</v>
      </c>
      <c r="D994">
        <v>2</v>
      </c>
      <c r="E994">
        <f t="shared" si="31"/>
        <v>4.2223641135053967E-2</v>
      </c>
    </row>
    <row r="995" spans="1:5" x14ac:dyDescent="0.25">
      <c r="A995">
        <v>3</v>
      </c>
      <c r="B995">
        <v>2.1021021021020998E-2</v>
      </c>
      <c r="C995">
        <f t="shared" si="30"/>
        <v>1.3827477414538092</v>
      </c>
      <c r="D995">
        <v>2</v>
      </c>
      <c r="E995">
        <f t="shared" si="31"/>
        <v>4.2223641135053967E-2</v>
      </c>
    </row>
    <row r="996" spans="1:5" x14ac:dyDescent="0.25">
      <c r="A996">
        <v>3</v>
      </c>
      <c r="B996">
        <v>2.1021021021020998E-2</v>
      </c>
      <c r="C996">
        <f t="shared" si="30"/>
        <v>1.3827477414538092</v>
      </c>
      <c r="D996">
        <v>2</v>
      </c>
      <c r="E996">
        <f t="shared" si="31"/>
        <v>4.2223641135053967E-2</v>
      </c>
    </row>
    <row r="997" spans="1:5" x14ac:dyDescent="0.25">
      <c r="A997">
        <v>3</v>
      </c>
      <c r="B997">
        <v>2.1333333333333301E-2</v>
      </c>
      <c r="C997">
        <f t="shared" si="30"/>
        <v>1.3831707078092437</v>
      </c>
      <c r="D997">
        <v>2</v>
      </c>
      <c r="E997">
        <f t="shared" si="31"/>
        <v>4.2223641135053967E-2</v>
      </c>
    </row>
    <row r="998" spans="1:5" x14ac:dyDescent="0.25">
      <c r="A998">
        <v>3</v>
      </c>
      <c r="B998">
        <v>2.1333333333333301E-2</v>
      </c>
      <c r="C998">
        <f t="shared" si="30"/>
        <v>1.3831707078092437</v>
      </c>
      <c r="D998">
        <v>2</v>
      </c>
      <c r="E998">
        <f t="shared" si="31"/>
        <v>4.2223641135053967E-2</v>
      </c>
    </row>
    <row r="999" spans="1:5" x14ac:dyDescent="0.25">
      <c r="A999">
        <v>3</v>
      </c>
      <c r="B999">
        <v>2.1333333333333301E-2</v>
      </c>
      <c r="C999">
        <f t="shared" si="30"/>
        <v>1.3831707078092437</v>
      </c>
      <c r="D999">
        <v>3</v>
      </c>
      <c r="E999">
        <f t="shared" si="31"/>
        <v>4.3362046056062392E-2</v>
      </c>
    </row>
    <row r="1000" spans="1:5" x14ac:dyDescent="0.25">
      <c r="A1000">
        <v>3</v>
      </c>
      <c r="B1000">
        <v>2.1333333333333301E-2</v>
      </c>
      <c r="C1000">
        <f t="shared" si="30"/>
        <v>1.3831707078092437</v>
      </c>
      <c r="D1000">
        <v>3</v>
      </c>
      <c r="E1000">
        <f t="shared" si="31"/>
        <v>4.3362046056062392E-2</v>
      </c>
    </row>
    <row r="1001" spans="1:5" x14ac:dyDescent="0.25">
      <c r="A1001">
        <v>3</v>
      </c>
      <c r="B1001">
        <v>2.1333333333333301E-2</v>
      </c>
      <c r="C1001">
        <f t="shared" si="30"/>
        <v>1.3831707078092437</v>
      </c>
      <c r="D1001">
        <v>3</v>
      </c>
      <c r="E1001">
        <f t="shared" si="31"/>
        <v>4.3362046056062392E-2</v>
      </c>
    </row>
    <row r="1002" spans="1:5" x14ac:dyDescent="0.25">
      <c r="A1002">
        <v>3</v>
      </c>
      <c r="B1002">
        <v>2.1333333333333301E-2</v>
      </c>
      <c r="C1002">
        <f t="shared" si="30"/>
        <v>1.3831707078092437</v>
      </c>
      <c r="D1002">
        <v>3</v>
      </c>
      <c r="E1002">
        <f t="shared" si="31"/>
        <v>4.3362046056062392E-2</v>
      </c>
    </row>
    <row r="1003" spans="1:5" x14ac:dyDescent="0.25">
      <c r="A1003">
        <v>3</v>
      </c>
      <c r="B1003">
        <v>2.1333333333333301E-2</v>
      </c>
      <c r="C1003">
        <f t="shared" si="30"/>
        <v>1.3831707078092437</v>
      </c>
      <c r="D1003">
        <v>3</v>
      </c>
      <c r="E1003">
        <f t="shared" si="31"/>
        <v>4.3362046056062392E-2</v>
      </c>
    </row>
    <row r="1004" spans="1:5" x14ac:dyDescent="0.25">
      <c r="A1004">
        <v>3</v>
      </c>
      <c r="B1004">
        <v>2.1666666666666699E-2</v>
      </c>
      <c r="C1004">
        <f t="shared" si="30"/>
        <v>1.3836203589701299</v>
      </c>
      <c r="D1004">
        <v>3</v>
      </c>
      <c r="E1004">
        <f t="shared" si="31"/>
        <v>4.3362046056062392E-2</v>
      </c>
    </row>
    <row r="1005" spans="1:5" x14ac:dyDescent="0.25">
      <c r="A1005">
        <v>3</v>
      </c>
      <c r="B1005">
        <v>2.3310023310023301E-2</v>
      </c>
      <c r="C1005">
        <f t="shared" si="30"/>
        <v>1.3858101790376323</v>
      </c>
      <c r="D1005">
        <v>3</v>
      </c>
      <c r="E1005">
        <f t="shared" si="31"/>
        <v>4.3362046056062392E-2</v>
      </c>
    </row>
    <row r="1006" spans="1:5" x14ac:dyDescent="0.25">
      <c r="A1006">
        <v>3</v>
      </c>
      <c r="B1006">
        <v>2.3310023310023301E-2</v>
      </c>
      <c r="C1006">
        <f t="shared" si="30"/>
        <v>1.3858101790376323</v>
      </c>
      <c r="D1006">
        <v>3</v>
      </c>
      <c r="E1006">
        <f t="shared" si="31"/>
        <v>4.3362046056062392E-2</v>
      </c>
    </row>
    <row r="1007" spans="1:5" x14ac:dyDescent="0.25">
      <c r="A1007">
        <v>3</v>
      </c>
      <c r="B1007">
        <v>2.33644859813084E-2</v>
      </c>
      <c r="C1007">
        <f t="shared" si="30"/>
        <v>1.3858819822024089</v>
      </c>
      <c r="D1007">
        <v>3</v>
      </c>
      <c r="E1007">
        <f t="shared" si="31"/>
        <v>4.3362046056062392E-2</v>
      </c>
    </row>
    <row r="1008" spans="1:5" x14ac:dyDescent="0.25">
      <c r="A1008">
        <v>3</v>
      </c>
      <c r="B1008">
        <v>2.39520958083832E-2</v>
      </c>
      <c r="C1008">
        <f t="shared" si="30"/>
        <v>1.3866535338378649</v>
      </c>
      <c r="D1008">
        <v>3</v>
      </c>
      <c r="E1008">
        <f t="shared" si="31"/>
        <v>4.3362046056062392E-2</v>
      </c>
    </row>
    <row r="1009" spans="1:5" x14ac:dyDescent="0.25">
      <c r="A1009">
        <v>3</v>
      </c>
      <c r="B1009">
        <v>2.39520958083832E-2</v>
      </c>
      <c r="C1009">
        <f t="shared" si="30"/>
        <v>1.3866535338378649</v>
      </c>
      <c r="D1009">
        <v>3</v>
      </c>
      <c r="E1009">
        <f t="shared" si="31"/>
        <v>4.3362046056062392E-2</v>
      </c>
    </row>
    <row r="1010" spans="1:5" x14ac:dyDescent="0.25">
      <c r="A1010">
        <v>3</v>
      </c>
      <c r="B1010">
        <v>2.4E-2</v>
      </c>
      <c r="C1010">
        <f t="shared" si="30"/>
        <v>1.3867161794267109</v>
      </c>
      <c r="D1010">
        <v>3</v>
      </c>
      <c r="E1010">
        <f t="shared" si="31"/>
        <v>4.3362046056062392E-2</v>
      </c>
    </row>
    <row r="1011" spans="1:5" x14ac:dyDescent="0.25">
      <c r="A1011">
        <v>3</v>
      </c>
      <c r="B1011">
        <v>2.4E-2</v>
      </c>
      <c r="C1011">
        <f t="shared" si="30"/>
        <v>1.3867161794267109</v>
      </c>
      <c r="D1011">
        <v>3</v>
      </c>
      <c r="E1011">
        <f t="shared" si="31"/>
        <v>4.3362046056062392E-2</v>
      </c>
    </row>
    <row r="1012" spans="1:5" x14ac:dyDescent="0.25">
      <c r="A1012">
        <v>3</v>
      </c>
      <c r="B1012">
        <v>2.4E-2</v>
      </c>
      <c r="C1012">
        <f t="shared" si="30"/>
        <v>1.3867161794267109</v>
      </c>
      <c r="D1012">
        <v>3</v>
      </c>
      <c r="E1012">
        <f t="shared" si="31"/>
        <v>4.3362046056062392E-2</v>
      </c>
    </row>
    <row r="1013" spans="1:5" x14ac:dyDescent="0.25">
      <c r="A1013">
        <v>3</v>
      </c>
      <c r="B1013">
        <v>2.4E-2</v>
      </c>
      <c r="C1013">
        <f t="shared" si="30"/>
        <v>1.3867161794267109</v>
      </c>
      <c r="D1013">
        <v>3</v>
      </c>
      <c r="E1013">
        <f t="shared" si="31"/>
        <v>4.3362046056062392E-2</v>
      </c>
    </row>
    <row r="1014" spans="1:5" x14ac:dyDescent="0.25">
      <c r="A1014">
        <v>3</v>
      </c>
      <c r="B1014">
        <v>2.4E-2</v>
      </c>
      <c r="C1014">
        <f t="shared" si="30"/>
        <v>1.3867161794267109</v>
      </c>
      <c r="D1014">
        <v>3</v>
      </c>
      <c r="E1014">
        <f t="shared" si="31"/>
        <v>4.3362046056062392E-2</v>
      </c>
    </row>
    <row r="1015" spans="1:5" x14ac:dyDescent="0.25">
      <c r="A1015">
        <v>3</v>
      </c>
      <c r="B1015">
        <v>2.4E-2</v>
      </c>
      <c r="C1015">
        <f t="shared" si="30"/>
        <v>1.3867161794267109</v>
      </c>
      <c r="D1015">
        <v>3</v>
      </c>
      <c r="E1015">
        <f t="shared" si="31"/>
        <v>4.3362046056062392E-2</v>
      </c>
    </row>
    <row r="1016" spans="1:5" x14ac:dyDescent="0.25">
      <c r="A1016">
        <v>3</v>
      </c>
      <c r="B1016">
        <v>2.4E-2</v>
      </c>
      <c r="C1016">
        <f t="shared" si="30"/>
        <v>1.3867161794267109</v>
      </c>
      <c r="D1016">
        <v>3</v>
      </c>
      <c r="E1016">
        <f t="shared" si="31"/>
        <v>4.3362046056062392E-2</v>
      </c>
    </row>
    <row r="1017" spans="1:5" x14ac:dyDescent="0.25">
      <c r="A1017">
        <v>3</v>
      </c>
      <c r="B1017">
        <v>2.4E-2</v>
      </c>
      <c r="C1017">
        <f t="shared" si="30"/>
        <v>1.3867161794267109</v>
      </c>
      <c r="D1017">
        <v>3</v>
      </c>
      <c r="E1017">
        <f t="shared" si="31"/>
        <v>4.3362046056062392E-2</v>
      </c>
    </row>
    <row r="1018" spans="1:5" x14ac:dyDescent="0.25">
      <c r="A1018">
        <v>3</v>
      </c>
      <c r="B1018">
        <v>2.4E-2</v>
      </c>
      <c r="C1018">
        <f t="shared" si="30"/>
        <v>1.3867161794267109</v>
      </c>
      <c r="D1018">
        <v>3</v>
      </c>
      <c r="E1018">
        <f t="shared" si="31"/>
        <v>4.3362046056062392E-2</v>
      </c>
    </row>
    <row r="1019" spans="1:5" x14ac:dyDescent="0.25">
      <c r="A1019">
        <v>3</v>
      </c>
      <c r="B1019">
        <v>2.4E-2</v>
      </c>
      <c r="C1019">
        <f t="shared" si="30"/>
        <v>1.3867161794267109</v>
      </c>
      <c r="D1019">
        <v>3</v>
      </c>
      <c r="E1019">
        <f t="shared" si="31"/>
        <v>4.3362046056062392E-2</v>
      </c>
    </row>
    <row r="1020" spans="1:5" x14ac:dyDescent="0.25">
      <c r="A1020">
        <v>3</v>
      </c>
      <c r="B1020">
        <v>2.4024024024024E-2</v>
      </c>
      <c r="C1020">
        <f t="shared" si="30"/>
        <v>1.386747581843361</v>
      </c>
      <c r="D1020">
        <v>3</v>
      </c>
      <c r="E1020">
        <f t="shared" si="31"/>
        <v>4.3362046056062392E-2</v>
      </c>
    </row>
    <row r="1021" spans="1:5" x14ac:dyDescent="0.25">
      <c r="A1021">
        <v>3</v>
      </c>
      <c r="B1021">
        <v>2.4024024024024E-2</v>
      </c>
      <c r="C1021">
        <f t="shared" si="30"/>
        <v>1.386747581843361</v>
      </c>
      <c r="D1021">
        <v>3</v>
      </c>
      <c r="E1021">
        <f t="shared" si="31"/>
        <v>4.3362046056062392E-2</v>
      </c>
    </row>
    <row r="1022" spans="1:5" x14ac:dyDescent="0.25">
      <c r="A1022">
        <v>3</v>
      </c>
      <c r="B1022">
        <v>2.4024024024024E-2</v>
      </c>
      <c r="C1022">
        <f t="shared" si="30"/>
        <v>1.386747581843361</v>
      </c>
      <c r="D1022">
        <v>3</v>
      </c>
      <c r="E1022">
        <f t="shared" si="31"/>
        <v>4.3362046056062392E-2</v>
      </c>
    </row>
    <row r="1023" spans="1:5" x14ac:dyDescent="0.25">
      <c r="A1023">
        <v>3</v>
      </c>
      <c r="B1023">
        <v>2.5000000000000001E-2</v>
      </c>
      <c r="C1023">
        <f t="shared" si="30"/>
        <v>1.3880151407671029</v>
      </c>
      <c r="D1023">
        <v>3</v>
      </c>
      <c r="E1023">
        <f t="shared" si="31"/>
        <v>4.3362046056062392E-2</v>
      </c>
    </row>
    <row r="1024" spans="1:5" x14ac:dyDescent="0.25">
      <c r="A1024">
        <v>3</v>
      </c>
      <c r="B1024">
        <v>2.5641025641025599E-2</v>
      </c>
      <c r="C1024">
        <f t="shared" si="30"/>
        <v>1.3888389946428958</v>
      </c>
      <c r="D1024">
        <v>3</v>
      </c>
      <c r="E1024">
        <f t="shared" si="31"/>
        <v>4.3362046056062392E-2</v>
      </c>
    </row>
    <row r="1025" spans="1:5" x14ac:dyDescent="0.25">
      <c r="A1025">
        <v>3</v>
      </c>
      <c r="B1025">
        <v>2.5641025641025599E-2</v>
      </c>
      <c r="C1025">
        <f t="shared" si="30"/>
        <v>1.3888389946428958</v>
      </c>
      <c r="D1025">
        <v>3</v>
      </c>
      <c r="E1025">
        <f t="shared" si="31"/>
        <v>4.3362046056062392E-2</v>
      </c>
    </row>
    <row r="1026" spans="1:5" x14ac:dyDescent="0.25">
      <c r="A1026">
        <v>3</v>
      </c>
      <c r="B1026">
        <v>2.57009345794393E-2</v>
      </c>
      <c r="C1026">
        <f t="shared" ref="C1026:C1089" si="32">_xlfn.NORM.DIST(B1026, I$10,I$13,FALSE)</f>
        <v>1.3889156379186081</v>
      </c>
      <c r="D1026">
        <v>3</v>
      </c>
      <c r="E1026">
        <f t="shared" si="31"/>
        <v>4.3362046056062392E-2</v>
      </c>
    </row>
    <row r="1027" spans="1:5" x14ac:dyDescent="0.25">
      <c r="A1027">
        <v>3</v>
      </c>
      <c r="B1027">
        <v>2.57009345794393E-2</v>
      </c>
      <c r="C1027">
        <f t="shared" si="32"/>
        <v>1.3889156379186081</v>
      </c>
      <c r="D1027">
        <v>3</v>
      </c>
      <c r="E1027">
        <f t="shared" ref="E1027:E1090" si="33">_xlfn.NORM.DIST(D1027, I$4,I$7,FALSE)</f>
        <v>4.3362046056062392E-2</v>
      </c>
    </row>
    <row r="1028" spans="1:5" x14ac:dyDescent="0.25">
      <c r="A1028">
        <v>3</v>
      </c>
      <c r="B1028">
        <v>2.66666666666667E-2</v>
      </c>
      <c r="C1028">
        <f t="shared" si="32"/>
        <v>1.3901428015938559</v>
      </c>
      <c r="D1028">
        <v>3</v>
      </c>
      <c r="E1028">
        <f t="shared" si="33"/>
        <v>4.3362046056062392E-2</v>
      </c>
    </row>
    <row r="1029" spans="1:5" x14ac:dyDescent="0.25">
      <c r="A1029">
        <v>3</v>
      </c>
      <c r="B1029">
        <v>2.66666666666667E-2</v>
      </c>
      <c r="C1029">
        <f t="shared" si="32"/>
        <v>1.3901428015938559</v>
      </c>
      <c r="D1029">
        <v>3</v>
      </c>
      <c r="E1029">
        <f t="shared" si="33"/>
        <v>4.3362046056062392E-2</v>
      </c>
    </row>
    <row r="1030" spans="1:5" x14ac:dyDescent="0.25">
      <c r="A1030">
        <v>3</v>
      </c>
      <c r="B1030">
        <v>2.66666666666667E-2</v>
      </c>
      <c r="C1030">
        <f t="shared" si="32"/>
        <v>1.3901428015938559</v>
      </c>
      <c r="D1030">
        <v>3</v>
      </c>
      <c r="E1030">
        <f t="shared" si="33"/>
        <v>4.3362046056062392E-2</v>
      </c>
    </row>
    <row r="1031" spans="1:5" x14ac:dyDescent="0.25">
      <c r="A1031">
        <v>3</v>
      </c>
      <c r="B1031">
        <v>2.66666666666667E-2</v>
      </c>
      <c r="C1031">
        <f t="shared" si="32"/>
        <v>1.3901428015938559</v>
      </c>
      <c r="D1031">
        <v>3</v>
      </c>
      <c r="E1031">
        <f t="shared" si="33"/>
        <v>4.3362046056062392E-2</v>
      </c>
    </row>
    <row r="1032" spans="1:5" x14ac:dyDescent="0.25">
      <c r="A1032">
        <v>3</v>
      </c>
      <c r="B1032">
        <v>2.69461077844311E-2</v>
      </c>
      <c r="C1032">
        <f t="shared" si="32"/>
        <v>1.3904949612299307</v>
      </c>
      <c r="D1032">
        <v>3</v>
      </c>
      <c r="E1032">
        <f t="shared" si="33"/>
        <v>4.3362046056062392E-2</v>
      </c>
    </row>
    <row r="1033" spans="1:5" x14ac:dyDescent="0.25">
      <c r="A1033">
        <v>3</v>
      </c>
      <c r="B1033">
        <v>2.69461077844311E-2</v>
      </c>
      <c r="C1033">
        <f t="shared" si="32"/>
        <v>1.3904949612299307</v>
      </c>
      <c r="D1033">
        <v>3</v>
      </c>
      <c r="E1033">
        <f t="shared" si="33"/>
        <v>4.3362046056062392E-2</v>
      </c>
    </row>
    <row r="1034" spans="1:5" x14ac:dyDescent="0.25">
      <c r="A1034">
        <v>3</v>
      </c>
      <c r="B1034">
        <v>2.69461077844311E-2</v>
      </c>
      <c r="C1034">
        <f t="shared" si="32"/>
        <v>1.3904949612299307</v>
      </c>
      <c r="D1034">
        <v>3</v>
      </c>
      <c r="E1034">
        <f t="shared" si="33"/>
        <v>4.3362046056062392E-2</v>
      </c>
    </row>
    <row r="1035" spans="1:5" x14ac:dyDescent="0.25">
      <c r="A1035">
        <v>3</v>
      </c>
      <c r="B1035">
        <v>2.69461077844311E-2</v>
      </c>
      <c r="C1035">
        <f t="shared" si="32"/>
        <v>1.3904949612299307</v>
      </c>
      <c r="D1035">
        <v>3</v>
      </c>
      <c r="E1035">
        <f t="shared" si="33"/>
        <v>4.3362046056062392E-2</v>
      </c>
    </row>
    <row r="1036" spans="1:5" x14ac:dyDescent="0.25">
      <c r="A1036">
        <v>3</v>
      </c>
      <c r="B1036">
        <v>2.69461077844311E-2</v>
      </c>
      <c r="C1036">
        <f t="shared" si="32"/>
        <v>1.3904949612299307</v>
      </c>
      <c r="D1036">
        <v>3</v>
      </c>
      <c r="E1036">
        <f t="shared" si="33"/>
        <v>4.3362046056062392E-2</v>
      </c>
    </row>
    <row r="1037" spans="1:5" x14ac:dyDescent="0.25">
      <c r="A1037">
        <v>3</v>
      </c>
      <c r="B1037">
        <v>2.69461077844311E-2</v>
      </c>
      <c r="C1037">
        <f t="shared" si="32"/>
        <v>1.3904949612299307</v>
      </c>
      <c r="D1037">
        <v>3</v>
      </c>
      <c r="E1037">
        <f t="shared" si="33"/>
        <v>4.3362046056062392E-2</v>
      </c>
    </row>
    <row r="1038" spans="1:5" x14ac:dyDescent="0.25">
      <c r="A1038">
        <v>3</v>
      </c>
      <c r="B1038">
        <v>2.7027027027027001E-2</v>
      </c>
      <c r="C1038">
        <f t="shared" si="32"/>
        <v>1.3905966922282629</v>
      </c>
      <c r="D1038">
        <v>3</v>
      </c>
      <c r="E1038">
        <f t="shared" si="33"/>
        <v>4.3362046056062392E-2</v>
      </c>
    </row>
    <row r="1039" spans="1:5" x14ac:dyDescent="0.25">
      <c r="A1039">
        <v>3</v>
      </c>
      <c r="B1039">
        <v>2.7027027027027001E-2</v>
      </c>
      <c r="C1039">
        <f t="shared" si="32"/>
        <v>1.3905966922282629</v>
      </c>
      <c r="D1039">
        <v>3</v>
      </c>
      <c r="E1039">
        <f t="shared" si="33"/>
        <v>4.3362046056062392E-2</v>
      </c>
    </row>
    <row r="1040" spans="1:5" x14ac:dyDescent="0.25">
      <c r="A1040">
        <v>3</v>
      </c>
      <c r="B1040">
        <v>2.7027027027027001E-2</v>
      </c>
      <c r="C1040">
        <f t="shared" si="32"/>
        <v>1.3905966922282629</v>
      </c>
      <c r="D1040">
        <v>3</v>
      </c>
      <c r="E1040">
        <f t="shared" si="33"/>
        <v>4.3362046056062392E-2</v>
      </c>
    </row>
    <row r="1041" spans="1:5" x14ac:dyDescent="0.25">
      <c r="A1041">
        <v>3</v>
      </c>
      <c r="B1041">
        <v>2.7027027027027001E-2</v>
      </c>
      <c r="C1041">
        <f t="shared" si="32"/>
        <v>1.3905966922282629</v>
      </c>
      <c r="D1041">
        <v>3</v>
      </c>
      <c r="E1041">
        <f t="shared" si="33"/>
        <v>4.3362046056062392E-2</v>
      </c>
    </row>
    <row r="1042" spans="1:5" x14ac:dyDescent="0.25">
      <c r="A1042">
        <v>3</v>
      </c>
      <c r="B1042">
        <v>2.7027027027027001E-2</v>
      </c>
      <c r="C1042">
        <f t="shared" si="32"/>
        <v>1.3905966922282629</v>
      </c>
      <c r="D1042">
        <v>3</v>
      </c>
      <c r="E1042">
        <f t="shared" si="33"/>
        <v>4.3362046056062392E-2</v>
      </c>
    </row>
    <row r="1043" spans="1:5" x14ac:dyDescent="0.25">
      <c r="A1043">
        <v>3</v>
      </c>
      <c r="B1043">
        <v>2.7027027027027001E-2</v>
      </c>
      <c r="C1043">
        <f t="shared" si="32"/>
        <v>1.3905966922282629</v>
      </c>
      <c r="D1043">
        <v>3</v>
      </c>
      <c r="E1043">
        <f t="shared" si="33"/>
        <v>4.3362046056062392E-2</v>
      </c>
    </row>
    <row r="1044" spans="1:5" x14ac:dyDescent="0.25">
      <c r="A1044">
        <v>3</v>
      </c>
      <c r="B1044">
        <v>2.7027027027027001E-2</v>
      </c>
      <c r="C1044">
        <f t="shared" si="32"/>
        <v>1.3905966922282629</v>
      </c>
      <c r="D1044">
        <v>3</v>
      </c>
      <c r="E1044">
        <f t="shared" si="33"/>
        <v>4.3362046056062392E-2</v>
      </c>
    </row>
    <row r="1045" spans="1:5" x14ac:dyDescent="0.25">
      <c r="A1045">
        <v>3</v>
      </c>
      <c r="B1045">
        <v>2.7972027972028E-2</v>
      </c>
      <c r="C1045">
        <f t="shared" si="32"/>
        <v>1.3917765596153391</v>
      </c>
      <c r="D1045">
        <v>3</v>
      </c>
      <c r="E1045">
        <f t="shared" si="33"/>
        <v>4.3362046056062392E-2</v>
      </c>
    </row>
    <row r="1046" spans="1:5" x14ac:dyDescent="0.25">
      <c r="A1046">
        <v>3</v>
      </c>
      <c r="B1046">
        <v>2.8000000000000001E-2</v>
      </c>
      <c r="C1046">
        <f t="shared" si="32"/>
        <v>1.3918112538329355</v>
      </c>
      <c r="D1046">
        <v>3</v>
      </c>
      <c r="E1046">
        <f t="shared" si="33"/>
        <v>4.3362046056062392E-2</v>
      </c>
    </row>
    <row r="1047" spans="1:5" x14ac:dyDescent="0.25">
      <c r="A1047">
        <v>3</v>
      </c>
      <c r="B1047">
        <v>2.8000000000000001E-2</v>
      </c>
      <c r="C1047">
        <f t="shared" si="32"/>
        <v>1.3918112538329355</v>
      </c>
      <c r="D1047">
        <v>3</v>
      </c>
      <c r="E1047">
        <f t="shared" si="33"/>
        <v>4.3362046056062392E-2</v>
      </c>
    </row>
    <row r="1048" spans="1:5" x14ac:dyDescent="0.25">
      <c r="A1048">
        <v>3</v>
      </c>
      <c r="B1048">
        <v>2.9333333333333302E-2</v>
      </c>
      <c r="C1048">
        <f t="shared" si="32"/>
        <v>1.3934496491912136</v>
      </c>
      <c r="D1048">
        <v>3</v>
      </c>
      <c r="E1048">
        <f t="shared" si="33"/>
        <v>4.3362046056062392E-2</v>
      </c>
    </row>
    <row r="1049" spans="1:5" x14ac:dyDescent="0.25">
      <c r="A1049">
        <v>3</v>
      </c>
      <c r="B1049">
        <v>2.9333333333333302E-2</v>
      </c>
      <c r="C1049">
        <f t="shared" si="32"/>
        <v>1.3934496491912136</v>
      </c>
      <c r="D1049">
        <v>3</v>
      </c>
      <c r="E1049">
        <f t="shared" si="33"/>
        <v>4.3362046056062392E-2</v>
      </c>
    </row>
    <row r="1050" spans="1:5" x14ac:dyDescent="0.25">
      <c r="A1050">
        <v>3</v>
      </c>
      <c r="B1050">
        <v>2.9333333333333302E-2</v>
      </c>
      <c r="C1050">
        <f t="shared" si="32"/>
        <v>1.3934496491912136</v>
      </c>
      <c r="D1050">
        <v>3</v>
      </c>
      <c r="E1050">
        <f t="shared" si="33"/>
        <v>4.3362046056062392E-2</v>
      </c>
    </row>
    <row r="1051" spans="1:5" x14ac:dyDescent="0.25">
      <c r="A1051">
        <v>3</v>
      </c>
      <c r="B1051">
        <v>2.9333333333333302E-2</v>
      </c>
      <c r="C1051">
        <f t="shared" si="32"/>
        <v>1.3934496491912136</v>
      </c>
      <c r="D1051">
        <v>3</v>
      </c>
      <c r="E1051">
        <f t="shared" si="33"/>
        <v>4.3362046056062392E-2</v>
      </c>
    </row>
    <row r="1052" spans="1:5" x14ac:dyDescent="0.25">
      <c r="A1052">
        <v>3</v>
      </c>
      <c r="B1052">
        <v>2.9333333333333302E-2</v>
      </c>
      <c r="C1052">
        <f t="shared" si="32"/>
        <v>1.3934496491912136</v>
      </c>
      <c r="D1052">
        <v>3</v>
      </c>
      <c r="E1052">
        <f t="shared" si="33"/>
        <v>4.3362046056062392E-2</v>
      </c>
    </row>
    <row r="1053" spans="1:5" x14ac:dyDescent="0.25">
      <c r="A1053">
        <v>3</v>
      </c>
      <c r="B1053">
        <v>2.9333333333333302E-2</v>
      </c>
      <c r="C1053">
        <f t="shared" si="32"/>
        <v>1.3934496491912136</v>
      </c>
      <c r="D1053">
        <v>3</v>
      </c>
      <c r="E1053">
        <f t="shared" si="33"/>
        <v>4.3362046056062392E-2</v>
      </c>
    </row>
    <row r="1054" spans="1:5" x14ac:dyDescent="0.25">
      <c r="A1054">
        <v>3</v>
      </c>
      <c r="B1054">
        <v>2.9333333333333302E-2</v>
      </c>
      <c r="C1054">
        <f t="shared" si="32"/>
        <v>1.3934496491912136</v>
      </c>
      <c r="D1054">
        <v>3</v>
      </c>
      <c r="E1054">
        <f t="shared" si="33"/>
        <v>4.3362046056062392E-2</v>
      </c>
    </row>
    <row r="1055" spans="1:5" x14ac:dyDescent="0.25">
      <c r="A1055">
        <v>3</v>
      </c>
      <c r="B1055">
        <v>2.9333333333333302E-2</v>
      </c>
      <c r="C1055">
        <f t="shared" si="32"/>
        <v>1.3934496491912136</v>
      </c>
      <c r="D1055">
        <v>3</v>
      </c>
      <c r="E1055">
        <f t="shared" si="33"/>
        <v>4.3362046056062392E-2</v>
      </c>
    </row>
    <row r="1056" spans="1:5" x14ac:dyDescent="0.25">
      <c r="A1056">
        <v>3</v>
      </c>
      <c r="B1056">
        <v>2.9940119760479E-2</v>
      </c>
      <c r="C1056">
        <f t="shared" si="32"/>
        <v>1.3941852843607703</v>
      </c>
      <c r="D1056">
        <v>3</v>
      </c>
      <c r="E1056">
        <f t="shared" si="33"/>
        <v>4.3362046056062392E-2</v>
      </c>
    </row>
    <row r="1057" spans="1:5" x14ac:dyDescent="0.25">
      <c r="A1057">
        <v>3</v>
      </c>
      <c r="B1057">
        <v>2.9940119760479E-2</v>
      </c>
      <c r="C1057">
        <f t="shared" si="32"/>
        <v>1.3941852843607703</v>
      </c>
      <c r="D1057">
        <v>3</v>
      </c>
      <c r="E1057">
        <f t="shared" si="33"/>
        <v>4.3362046056062392E-2</v>
      </c>
    </row>
    <row r="1058" spans="1:5" x14ac:dyDescent="0.25">
      <c r="A1058">
        <v>3</v>
      </c>
      <c r="B1058">
        <v>2.9940119760479E-2</v>
      </c>
      <c r="C1058">
        <f t="shared" si="32"/>
        <v>1.3941852843607703</v>
      </c>
      <c r="D1058">
        <v>3</v>
      </c>
      <c r="E1058">
        <f t="shared" si="33"/>
        <v>4.3362046056062392E-2</v>
      </c>
    </row>
    <row r="1059" spans="1:5" x14ac:dyDescent="0.25">
      <c r="A1059">
        <v>3</v>
      </c>
      <c r="B1059">
        <v>2.9940119760479E-2</v>
      </c>
      <c r="C1059">
        <f t="shared" si="32"/>
        <v>1.3941852843607703</v>
      </c>
      <c r="D1059">
        <v>3</v>
      </c>
      <c r="E1059">
        <f t="shared" si="33"/>
        <v>4.3362046056062392E-2</v>
      </c>
    </row>
    <row r="1060" spans="1:5" x14ac:dyDescent="0.25">
      <c r="A1060">
        <v>3</v>
      </c>
      <c r="B1060">
        <v>2.9940119760479E-2</v>
      </c>
      <c r="C1060">
        <f t="shared" si="32"/>
        <v>1.3941852843607703</v>
      </c>
      <c r="D1060">
        <v>3</v>
      </c>
      <c r="E1060">
        <f t="shared" si="33"/>
        <v>4.3362046056062392E-2</v>
      </c>
    </row>
    <row r="1061" spans="1:5" x14ac:dyDescent="0.25">
      <c r="A1061">
        <v>3</v>
      </c>
      <c r="B1061">
        <v>2.9940119760479E-2</v>
      </c>
      <c r="C1061">
        <f t="shared" si="32"/>
        <v>1.3941852843607703</v>
      </c>
      <c r="D1061">
        <v>3</v>
      </c>
      <c r="E1061">
        <f t="shared" si="33"/>
        <v>4.3362046056062392E-2</v>
      </c>
    </row>
    <row r="1062" spans="1:5" x14ac:dyDescent="0.25">
      <c r="A1062">
        <v>3</v>
      </c>
      <c r="B1062">
        <v>2.9940119760479E-2</v>
      </c>
      <c r="C1062">
        <f t="shared" si="32"/>
        <v>1.3941852843607703</v>
      </c>
      <c r="D1062">
        <v>3</v>
      </c>
      <c r="E1062">
        <f t="shared" si="33"/>
        <v>4.3362046056062392E-2</v>
      </c>
    </row>
    <row r="1063" spans="1:5" x14ac:dyDescent="0.25">
      <c r="A1063">
        <v>3</v>
      </c>
      <c r="B1063">
        <v>0.03</v>
      </c>
      <c r="C1063">
        <f t="shared" si="32"/>
        <v>1.3942575408343678</v>
      </c>
      <c r="D1063">
        <v>3</v>
      </c>
      <c r="E1063">
        <f t="shared" si="33"/>
        <v>4.3362046056062392E-2</v>
      </c>
    </row>
    <row r="1064" spans="1:5" x14ac:dyDescent="0.25">
      <c r="A1064">
        <v>3</v>
      </c>
      <c r="B1064">
        <v>3.0030030030029999E-2</v>
      </c>
      <c r="C1064">
        <f t="shared" si="32"/>
        <v>1.3942937546146821</v>
      </c>
      <c r="D1064">
        <v>3</v>
      </c>
      <c r="E1064">
        <f t="shared" si="33"/>
        <v>4.3362046056062392E-2</v>
      </c>
    </row>
    <row r="1065" spans="1:5" x14ac:dyDescent="0.25">
      <c r="A1065">
        <v>3</v>
      </c>
      <c r="B1065">
        <v>3.0030030030029999E-2</v>
      </c>
      <c r="C1065">
        <f t="shared" si="32"/>
        <v>1.3942937546146821</v>
      </c>
      <c r="D1065">
        <v>3</v>
      </c>
      <c r="E1065">
        <f t="shared" si="33"/>
        <v>4.3362046056062392E-2</v>
      </c>
    </row>
    <row r="1066" spans="1:5" x14ac:dyDescent="0.25">
      <c r="A1066">
        <v>3</v>
      </c>
      <c r="B1066">
        <v>3.0030030030029999E-2</v>
      </c>
      <c r="C1066">
        <f t="shared" si="32"/>
        <v>1.3942937546146821</v>
      </c>
      <c r="D1066">
        <v>3</v>
      </c>
      <c r="E1066">
        <f t="shared" si="33"/>
        <v>4.3362046056062392E-2</v>
      </c>
    </row>
    <row r="1067" spans="1:5" x14ac:dyDescent="0.25">
      <c r="A1067">
        <v>3</v>
      </c>
      <c r="B1067">
        <v>3.03030303030303E-2</v>
      </c>
      <c r="C1067">
        <f t="shared" si="32"/>
        <v>1.3946222673989046</v>
      </c>
      <c r="D1067">
        <v>3</v>
      </c>
      <c r="E1067">
        <f t="shared" si="33"/>
        <v>4.3362046056062392E-2</v>
      </c>
    </row>
    <row r="1068" spans="1:5" x14ac:dyDescent="0.25">
      <c r="A1068">
        <v>3</v>
      </c>
      <c r="B1068">
        <v>3.03030303030303E-2</v>
      </c>
      <c r="C1068">
        <f t="shared" si="32"/>
        <v>1.3946222673989046</v>
      </c>
      <c r="D1068">
        <v>3</v>
      </c>
      <c r="E1068">
        <f t="shared" si="33"/>
        <v>4.3362046056062392E-2</v>
      </c>
    </row>
    <row r="1069" spans="1:5" x14ac:dyDescent="0.25">
      <c r="A1069">
        <v>3</v>
      </c>
      <c r="B1069">
        <v>3.03030303030303E-2</v>
      </c>
      <c r="C1069">
        <f t="shared" si="32"/>
        <v>1.3946222673989046</v>
      </c>
      <c r="D1069">
        <v>3</v>
      </c>
      <c r="E1069">
        <f t="shared" si="33"/>
        <v>4.3362046056062392E-2</v>
      </c>
    </row>
    <row r="1070" spans="1:5" x14ac:dyDescent="0.25">
      <c r="A1070">
        <v>3</v>
      </c>
      <c r="B1070">
        <v>3.03030303030303E-2</v>
      </c>
      <c r="C1070">
        <f t="shared" si="32"/>
        <v>1.3946222673989046</v>
      </c>
      <c r="D1070">
        <v>3</v>
      </c>
      <c r="E1070">
        <f t="shared" si="33"/>
        <v>4.3362046056062392E-2</v>
      </c>
    </row>
    <row r="1071" spans="1:5" x14ac:dyDescent="0.25">
      <c r="A1071">
        <v>3</v>
      </c>
      <c r="B1071">
        <v>3.03030303030303E-2</v>
      </c>
      <c r="C1071">
        <f t="shared" si="32"/>
        <v>1.3946222673989046</v>
      </c>
      <c r="D1071">
        <v>3</v>
      </c>
      <c r="E1071">
        <f t="shared" si="33"/>
        <v>4.3362046056062392E-2</v>
      </c>
    </row>
    <row r="1072" spans="1:5" x14ac:dyDescent="0.25">
      <c r="A1072">
        <v>3</v>
      </c>
      <c r="B1072">
        <v>3.03030303030303E-2</v>
      </c>
      <c r="C1072">
        <f t="shared" si="32"/>
        <v>1.3946222673989046</v>
      </c>
      <c r="D1072">
        <v>3</v>
      </c>
      <c r="E1072">
        <f t="shared" si="33"/>
        <v>4.3362046056062392E-2</v>
      </c>
    </row>
    <row r="1073" spans="1:5" x14ac:dyDescent="0.25">
      <c r="A1073">
        <v>3</v>
      </c>
      <c r="B1073">
        <v>3.03738317757009E-2</v>
      </c>
      <c r="C1073">
        <f t="shared" si="32"/>
        <v>1.3947072587700931</v>
      </c>
      <c r="D1073">
        <v>3</v>
      </c>
      <c r="E1073">
        <f t="shared" si="33"/>
        <v>4.3362046056062392E-2</v>
      </c>
    </row>
    <row r="1074" spans="1:5" x14ac:dyDescent="0.25">
      <c r="A1074">
        <v>3</v>
      </c>
      <c r="B1074">
        <v>3.1666666666666697E-2</v>
      </c>
      <c r="C1074">
        <f t="shared" si="32"/>
        <v>1.3962441844916673</v>
      </c>
      <c r="D1074">
        <v>3</v>
      </c>
      <c r="E1074">
        <f t="shared" si="33"/>
        <v>4.3362046056062392E-2</v>
      </c>
    </row>
    <row r="1075" spans="1:5" x14ac:dyDescent="0.25">
      <c r="A1075">
        <v>3</v>
      </c>
      <c r="B1075">
        <v>3.2000000000000001E-2</v>
      </c>
      <c r="C1075">
        <f t="shared" si="32"/>
        <v>1.3966358279620756</v>
      </c>
      <c r="D1075">
        <v>3</v>
      </c>
      <c r="E1075">
        <f t="shared" si="33"/>
        <v>4.3362046056062392E-2</v>
      </c>
    </row>
    <row r="1076" spans="1:5" x14ac:dyDescent="0.25">
      <c r="A1076">
        <v>3</v>
      </c>
      <c r="B1076">
        <v>3.2000000000000001E-2</v>
      </c>
      <c r="C1076">
        <f t="shared" si="32"/>
        <v>1.3966358279620756</v>
      </c>
      <c r="D1076">
        <v>3</v>
      </c>
      <c r="E1076">
        <f t="shared" si="33"/>
        <v>4.3362046056062392E-2</v>
      </c>
    </row>
    <row r="1077" spans="1:5" x14ac:dyDescent="0.25">
      <c r="A1077">
        <v>3</v>
      </c>
      <c r="B1077">
        <v>3.27102803738318E-2</v>
      </c>
      <c r="C1077">
        <f t="shared" si="32"/>
        <v>1.3974640215578218</v>
      </c>
      <c r="D1077">
        <v>3</v>
      </c>
      <c r="E1077">
        <f t="shared" si="33"/>
        <v>4.3362046056062392E-2</v>
      </c>
    </row>
    <row r="1078" spans="1:5" x14ac:dyDescent="0.25">
      <c r="A1078">
        <v>3</v>
      </c>
      <c r="B1078">
        <v>3.29341317365269E-2</v>
      </c>
      <c r="C1078">
        <f t="shared" si="32"/>
        <v>1.3977232449042367</v>
      </c>
      <c r="D1078">
        <v>3</v>
      </c>
      <c r="E1078">
        <f t="shared" si="33"/>
        <v>4.3362046056062392E-2</v>
      </c>
    </row>
    <row r="1079" spans="1:5" x14ac:dyDescent="0.25">
      <c r="A1079">
        <v>3</v>
      </c>
      <c r="B1079">
        <v>3.29341317365269E-2</v>
      </c>
      <c r="C1079">
        <f t="shared" si="32"/>
        <v>1.3977232449042367</v>
      </c>
      <c r="D1079">
        <v>3</v>
      </c>
      <c r="E1079">
        <f t="shared" si="33"/>
        <v>4.3362046056062392E-2</v>
      </c>
    </row>
    <row r="1080" spans="1:5" x14ac:dyDescent="0.25">
      <c r="A1080">
        <v>3</v>
      </c>
      <c r="B1080">
        <v>3.3033033033033003E-2</v>
      </c>
      <c r="C1080">
        <f t="shared" si="32"/>
        <v>1.3978375007310679</v>
      </c>
      <c r="D1080">
        <v>3</v>
      </c>
      <c r="E1080">
        <f t="shared" si="33"/>
        <v>4.3362046056062392E-2</v>
      </c>
    </row>
    <row r="1081" spans="1:5" x14ac:dyDescent="0.25">
      <c r="A1081">
        <v>3</v>
      </c>
      <c r="B1081">
        <v>3.3033033033033003E-2</v>
      </c>
      <c r="C1081">
        <f t="shared" si="32"/>
        <v>1.3978375007310679</v>
      </c>
      <c r="D1081">
        <v>3</v>
      </c>
      <c r="E1081">
        <f t="shared" si="33"/>
        <v>4.3362046056062392E-2</v>
      </c>
    </row>
    <row r="1082" spans="1:5" x14ac:dyDescent="0.25">
      <c r="A1082">
        <v>3</v>
      </c>
      <c r="B1082">
        <v>3.3033033033033003E-2</v>
      </c>
      <c r="C1082">
        <f t="shared" si="32"/>
        <v>1.3978375007310679</v>
      </c>
      <c r="D1082">
        <v>3</v>
      </c>
      <c r="E1082">
        <f t="shared" si="33"/>
        <v>4.3362046056062392E-2</v>
      </c>
    </row>
    <row r="1083" spans="1:5" x14ac:dyDescent="0.25">
      <c r="A1083">
        <v>3</v>
      </c>
      <c r="B1083">
        <v>3.3033033033033003E-2</v>
      </c>
      <c r="C1083">
        <f t="shared" si="32"/>
        <v>1.3978375007310679</v>
      </c>
      <c r="D1083">
        <v>3</v>
      </c>
      <c r="E1083">
        <f t="shared" si="33"/>
        <v>4.3362046056062392E-2</v>
      </c>
    </row>
    <row r="1084" spans="1:5" x14ac:dyDescent="0.25">
      <c r="A1084">
        <v>3</v>
      </c>
      <c r="B1084">
        <v>3.3033033033033003E-2</v>
      </c>
      <c r="C1084">
        <f t="shared" si="32"/>
        <v>1.3978375007310679</v>
      </c>
      <c r="D1084">
        <v>3</v>
      </c>
      <c r="E1084">
        <f t="shared" si="33"/>
        <v>4.3362046056062392E-2</v>
      </c>
    </row>
    <row r="1085" spans="1:5" x14ac:dyDescent="0.25">
      <c r="A1085">
        <v>3</v>
      </c>
      <c r="B1085">
        <v>3.4000000000000002E-2</v>
      </c>
      <c r="C1085">
        <f t="shared" si="32"/>
        <v>1.3989457527932392</v>
      </c>
      <c r="D1085">
        <v>3</v>
      </c>
      <c r="E1085">
        <f t="shared" si="33"/>
        <v>4.3362046056062392E-2</v>
      </c>
    </row>
    <row r="1086" spans="1:5" x14ac:dyDescent="0.25">
      <c r="A1086">
        <v>3</v>
      </c>
      <c r="B1086">
        <v>3.4000000000000002E-2</v>
      </c>
      <c r="C1086">
        <f t="shared" si="32"/>
        <v>1.3989457527932392</v>
      </c>
      <c r="D1086">
        <v>3</v>
      </c>
      <c r="E1086">
        <f t="shared" si="33"/>
        <v>4.3362046056062392E-2</v>
      </c>
    </row>
    <row r="1087" spans="1:5" x14ac:dyDescent="0.25">
      <c r="A1087">
        <v>3</v>
      </c>
      <c r="B1087">
        <v>3.4000000000000002E-2</v>
      </c>
      <c r="C1087">
        <f t="shared" si="32"/>
        <v>1.3989457527932392</v>
      </c>
      <c r="D1087">
        <v>3</v>
      </c>
      <c r="E1087">
        <f t="shared" si="33"/>
        <v>4.3362046056062392E-2</v>
      </c>
    </row>
    <row r="1088" spans="1:5" x14ac:dyDescent="0.25">
      <c r="A1088">
        <v>3</v>
      </c>
      <c r="B1088">
        <v>3.4000000000000002E-2</v>
      </c>
      <c r="C1088">
        <f t="shared" si="32"/>
        <v>1.3989457527932392</v>
      </c>
      <c r="D1088">
        <v>3</v>
      </c>
      <c r="E1088">
        <f t="shared" si="33"/>
        <v>4.3362046056062392E-2</v>
      </c>
    </row>
    <row r="1089" spans="1:5" x14ac:dyDescent="0.25">
      <c r="A1089">
        <v>3</v>
      </c>
      <c r="B1089">
        <v>3.4000000000000002E-2</v>
      </c>
      <c r="C1089">
        <f t="shared" si="32"/>
        <v>1.3989457527932392</v>
      </c>
      <c r="D1089">
        <v>3</v>
      </c>
      <c r="E1089">
        <f t="shared" si="33"/>
        <v>4.3362046056062392E-2</v>
      </c>
    </row>
    <row r="1090" spans="1:5" x14ac:dyDescent="0.25">
      <c r="A1090">
        <v>3</v>
      </c>
      <c r="B1090">
        <v>3.46666666666667E-2</v>
      </c>
      <c r="C1090">
        <f t="shared" ref="C1090:C1153" si="34">_xlfn.NORM.DIST(B1090, I$10,I$13,FALSE)</f>
        <v>1.399700474915458</v>
      </c>
      <c r="D1090">
        <v>3</v>
      </c>
      <c r="E1090">
        <f t="shared" si="33"/>
        <v>4.3362046056062392E-2</v>
      </c>
    </row>
    <row r="1091" spans="1:5" x14ac:dyDescent="0.25">
      <c r="A1091">
        <v>3</v>
      </c>
      <c r="B1091">
        <v>3.46666666666667E-2</v>
      </c>
      <c r="C1091">
        <f t="shared" si="34"/>
        <v>1.399700474915458</v>
      </c>
      <c r="D1091">
        <v>3</v>
      </c>
      <c r="E1091">
        <f t="shared" ref="E1091:E1154" si="35">_xlfn.NORM.DIST(D1091, I$4,I$7,FALSE)</f>
        <v>4.3362046056062392E-2</v>
      </c>
    </row>
    <row r="1092" spans="1:5" x14ac:dyDescent="0.25">
      <c r="A1092">
        <v>3</v>
      </c>
      <c r="B1092">
        <v>3.46666666666667E-2</v>
      </c>
      <c r="C1092">
        <f t="shared" si="34"/>
        <v>1.399700474915458</v>
      </c>
      <c r="D1092">
        <v>3</v>
      </c>
      <c r="E1092">
        <f t="shared" si="35"/>
        <v>4.3362046056062392E-2</v>
      </c>
    </row>
    <row r="1093" spans="1:5" x14ac:dyDescent="0.25">
      <c r="A1093">
        <v>3</v>
      </c>
      <c r="B1093">
        <v>3.4965034965035002E-2</v>
      </c>
      <c r="C1093">
        <f t="shared" si="34"/>
        <v>1.4000357760551345</v>
      </c>
      <c r="D1093">
        <v>3</v>
      </c>
      <c r="E1093">
        <f t="shared" si="35"/>
        <v>4.3362046056062392E-2</v>
      </c>
    </row>
    <row r="1094" spans="1:5" x14ac:dyDescent="0.25">
      <c r="A1094">
        <v>3</v>
      </c>
      <c r="B1094">
        <v>3.4965034965035002E-2</v>
      </c>
      <c r="C1094">
        <f t="shared" si="34"/>
        <v>1.4000357760551345</v>
      </c>
      <c r="D1094">
        <v>3</v>
      </c>
      <c r="E1094">
        <f t="shared" si="35"/>
        <v>4.3362046056062392E-2</v>
      </c>
    </row>
    <row r="1095" spans="1:5" x14ac:dyDescent="0.25">
      <c r="A1095">
        <v>3</v>
      </c>
      <c r="B1095">
        <v>3.4965034965035002E-2</v>
      </c>
      <c r="C1095">
        <f t="shared" si="34"/>
        <v>1.4000357760551345</v>
      </c>
      <c r="D1095">
        <v>3</v>
      </c>
      <c r="E1095">
        <f t="shared" si="35"/>
        <v>4.3362046056062392E-2</v>
      </c>
    </row>
    <row r="1096" spans="1:5" x14ac:dyDescent="0.25">
      <c r="A1096">
        <v>3</v>
      </c>
      <c r="B1096">
        <v>3.5000000000000003E-2</v>
      </c>
      <c r="C1096">
        <f t="shared" si="34"/>
        <v>1.4000749688268319</v>
      </c>
      <c r="D1096">
        <v>3</v>
      </c>
      <c r="E1096">
        <f t="shared" si="35"/>
        <v>4.3362046056062392E-2</v>
      </c>
    </row>
    <row r="1097" spans="1:5" x14ac:dyDescent="0.25">
      <c r="A1097">
        <v>3</v>
      </c>
      <c r="B1097">
        <v>3.50467289719626E-2</v>
      </c>
      <c r="C1097">
        <f t="shared" si="34"/>
        <v>1.4001273150790245</v>
      </c>
      <c r="D1097">
        <v>3</v>
      </c>
      <c r="E1097">
        <f t="shared" si="35"/>
        <v>4.3362046056062392E-2</v>
      </c>
    </row>
    <row r="1098" spans="1:5" x14ac:dyDescent="0.25">
      <c r="A1098">
        <v>3</v>
      </c>
      <c r="B1098">
        <v>3.59281437125748E-2</v>
      </c>
      <c r="C1098">
        <f t="shared" si="34"/>
        <v>1.401107634358969</v>
      </c>
      <c r="D1098">
        <v>3</v>
      </c>
      <c r="E1098">
        <f t="shared" si="35"/>
        <v>4.3362046056062392E-2</v>
      </c>
    </row>
    <row r="1099" spans="1:5" x14ac:dyDescent="0.25">
      <c r="A1099">
        <v>3</v>
      </c>
      <c r="B1099">
        <v>3.59281437125748E-2</v>
      </c>
      <c r="C1099">
        <f t="shared" si="34"/>
        <v>1.401107634358969</v>
      </c>
      <c r="D1099">
        <v>3</v>
      </c>
      <c r="E1099">
        <f t="shared" si="35"/>
        <v>4.3362046056062392E-2</v>
      </c>
    </row>
    <row r="1100" spans="1:5" x14ac:dyDescent="0.25">
      <c r="A1100">
        <v>3</v>
      </c>
      <c r="B1100">
        <v>3.59281437125748E-2</v>
      </c>
      <c r="C1100">
        <f t="shared" si="34"/>
        <v>1.401107634358969</v>
      </c>
      <c r="D1100">
        <v>3</v>
      </c>
      <c r="E1100">
        <f t="shared" si="35"/>
        <v>4.3362046056062392E-2</v>
      </c>
    </row>
    <row r="1101" spans="1:5" x14ac:dyDescent="0.25">
      <c r="A1101">
        <v>3</v>
      </c>
      <c r="B1101">
        <v>3.59281437125748E-2</v>
      </c>
      <c r="C1101">
        <f t="shared" si="34"/>
        <v>1.401107634358969</v>
      </c>
      <c r="D1101">
        <v>3</v>
      </c>
      <c r="E1101">
        <f t="shared" si="35"/>
        <v>4.3362046056062392E-2</v>
      </c>
    </row>
    <row r="1102" spans="1:5" x14ac:dyDescent="0.25">
      <c r="A1102">
        <v>3</v>
      </c>
      <c r="B1102">
        <v>3.6036036036036001E-2</v>
      </c>
      <c r="C1102">
        <f t="shared" si="34"/>
        <v>1.4012267127531346</v>
      </c>
      <c r="D1102">
        <v>3</v>
      </c>
      <c r="E1102">
        <f t="shared" si="35"/>
        <v>4.3362046056062392E-2</v>
      </c>
    </row>
    <row r="1103" spans="1:5" x14ac:dyDescent="0.25">
      <c r="A1103">
        <v>3</v>
      </c>
      <c r="B1103">
        <v>3.6036036036036001E-2</v>
      </c>
      <c r="C1103">
        <f t="shared" si="34"/>
        <v>1.4012267127531346</v>
      </c>
      <c r="D1103">
        <v>3</v>
      </c>
      <c r="E1103">
        <f t="shared" si="35"/>
        <v>4.3362046056062392E-2</v>
      </c>
    </row>
    <row r="1104" spans="1:5" x14ac:dyDescent="0.25">
      <c r="A1104">
        <v>3</v>
      </c>
      <c r="B1104">
        <v>3.6036036036036001E-2</v>
      </c>
      <c r="C1104">
        <f t="shared" si="34"/>
        <v>1.4012267127531346</v>
      </c>
      <c r="D1104">
        <v>3</v>
      </c>
      <c r="E1104">
        <f t="shared" si="35"/>
        <v>4.3362046056062392E-2</v>
      </c>
    </row>
    <row r="1105" spans="1:5" x14ac:dyDescent="0.25">
      <c r="A1105">
        <v>3</v>
      </c>
      <c r="B1105">
        <v>3.6036036036036001E-2</v>
      </c>
      <c r="C1105">
        <f t="shared" si="34"/>
        <v>1.4012267127531346</v>
      </c>
      <c r="D1105">
        <v>3</v>
      </c>
      <c r="E1105">
        <f t="shared" si="35"/>
        <v>4.3362046056062392E-2</v>
      </c>
    </row>
    <row r="1106" spans="1:5" x14ac:dyDescent="0.25">
      <c r="A1106">
        <v>3</v>
      </c>
      <c r="B1106">
        <v>3.6036036036036001E-2</v>
      </c>
      <c r="C1106">
        <f t="shared" si="34"/>
        <v>1.4012267127531346</v>
      </c>
      <c r="D1106">
        <v>3</v>
      </c>
      <c r="E1106">
        <f t="shared" si="35"/>
        <v>4.3362046056062392E-2</v>
      </c>
    </row>
    <row r="1107" spans="1:5" x14ac:dyDescent="0.25">
      <c r="A1107">
        <v>3</v>
      </c>
      <c r="B1107">
        <v>3.6036036036036001E-2</v>
      </c>
      <c r="C1107">
        <f t="shared" si="34"/>
        <v>1.4012267127531346</v>
      </c>
      <c r="D1107">
        <v>3</v>
      </c>
      <c r="E1107">
        <f t="shared" si="35"/>
        <v>4.3362046056062392E-2</v>
      </c>
    </row>
    <row r="1108" spans="1:5" x14ac:dyDescent="0.25">
      <c r="A1108">
        <v>3</v>
      </c>
      <c r="B1108">
        <v>3.7333333333333302E-2</v>
      </c>
      <c r="C1108">
        <f t="shared" si="34"/>
        <v>1.4026427587156061</v>
      </c>
      <c r="D1108">
        <v>3</v>
      </c>
      <c r="E1108">
        <f t="shared" si="35"/>
        <v>4.3362046056062392E-2</v>
      </c>
    </row>
    <row r="1109" spans="1:5" x14ac:dyDescent="0.25">
      <c r="A1109">
        <v>3</v>
      </c>
      <c r="B1109">
        <v>3.7333333333333302E-2</v>
      </c>
      <c r="C1109">
        <f t="shared" si="34"/>
        <v>1.4026427587156061</v>
      </c>
      <c r="D1109">
        <v>3</v>
      </c>
      <c r="E1109">
        <f t="shared" si="35"/>
        <v>4.3362046056062392E-2</v>
      </c>
    </row>
    <row r="1110" spans="1:5" x14ac:dyDescent="0.25">
      <c r="A1110">
        <v>3</v>
      </c>
      <c r="B1110">
        <v>3.7333333333333302E-2</v>
      </c>
      <c r="C1110">
        <f t="shared" si="34"/>
        <v>1.4026427587156061</v>
      </c>
      <c r="D1110">
        <v>3</v>
      </c>
      <c r="E1110">
        <f t="shared" si="35"/>
        <v>4.3362046056062392E-2</v>
      </c>
    </row>
    <row r="1111" spans="1:5" x14ac:dyDescent="0.25">
      <c r="A1111">
        <v>3</v>
      </c>
      <c r="B1111">
        <v>3.7333333333333302E-2</v>
      </c>
      <c r="C1111">
        <f t="shared" si="34"/>
        <v>1.4026427587156061</v>
      </c>
      <c r="D1111">
        <v>3</v>
      </c>
      <c r="E1111">
        <f t="shared" si="35"/>
        <v>4.3362046056062392E-2</v>
      </c>
    </row>
    <row r="1112" spans="1:5" x14ac:dyDescent="0.25">
      <c r="A1112">
        <v>3</v>
      </c>
      <c r="B1112">
        <v>3.7999999999999999E-2</v>
      </c>
      <c r="C1112">
        <f t="shared" si="34"/>
        <v>1.403359116045394</v>
      </c>
      <c r="D1112">
        <v>3</v>
      </c>
      <c r="E1112">
        <f t="shared" si="35"/>
        <v>4.3362046056062392E-2</v>
      </c>
    </row>
    <row r="1113" spans="1:5" x14ac:dyDescent="0.25">
      <c r="A1113">
        <v>3</v>
      </c>
      <c r="B1113">
        <v>3.8922155688622798E-2</v>
      </c>
      <c r="C1113">
        <f t="shared" si="34"/>
        <v>1.4043372947362711</v>
      </c>
      <c r="D1113">
        <v>3</v>
      </c>
      <c r="E1113">
        <f t="shared" si="35"/>
        <v>4.3362046056062392E-2</v>
      </c>
    </row>
    <row r="1114" spans="1:5" x14ac:dyDescent="0.25">
      <c r="A1114">
        <v>3</v>
      </c>
      <c r="B1114">
        <v>3.9039039039038999E-2</v>
      </c>
      <c r="C1114">
        <f t="shared" si="34"/>
        <v>1.4044602240012529</v>
      </c>
      <c r="D1114">
        <v>3</v>
      </c>
      <c r="E1114">
        <f t="shared" si="35"/>
        <v>4.3362046056062392E-2</v>
      </c>
    </row>
    <row r="1115" spans="1:5" x14ac:dyDescent="0.25">
      <c r="A1115">
        <v>3</v>
      </c>
      <c r="B1115">
        <v>3.9039039039038999E-2</v>
      </c>
      <c r="C1115">
        <f t="shared" si="34"/>
        <v>1.4044602240012529</v>
      </c>
      <c r="D1115">
        <v>3</v>
      </c>
      <c r="E1115">
        <f t="shared" si="35"/>
        <v>4.3362046056062392E-2</v>
      </c>
    </row>
    <row r="1116" spans="1:5" x14ac:dyDescent="0.25">
      <c r="A1116">
        <v>3</v>
      </c>
      <c r="B1116">
        <v>3.9039039039038999E-2</v>
      </c>
      <c r="C1116">
        <f t="shared" si="34"/>
        <v>1.4044602240012529</v>
      </c>
      <c r="D1116">
        <v>3</v>
      </c>
      <c r="E1116">
        <f t="shared" si="35"/>
        <v>4.3362046056062392E-2</v>
      </c>
    </row>
    <row r="1117" spans="1:5" x14ac:dyDescent="0.25">
      <c r="A1117">
        <v>3</v>
      </c>
      <c r="B1117">
        <v>3.9039039039038999E-2</v>
      </c>
      <c r="C1117">
        <f t="shared" si="34"/>
        <v>1.4044602240012529</v>
      </c>
      <c r="D1117">
        <v>3</v>
      </c>
      <c r="E1117">
        <f t="shared" si="35"/>
        <v>4.3362046056062392E-2</v>
      </c>
    </row>
    <row r="1118" spans="1:5" x14ac:dyDescent="0.25">
      <c r="A1118">
        <v>3</v>
      </c>
      <c r="B1118">
        <v>3.9627039627039597E-2</v>
      </c>
      <c r="C1118">
        <f t="shared" si="34"/>
        <v>1.4050750344790068</v>
      </c>
      <c r="D1118">
        <v>3</v>
      </c>
      <c r="E1118">
        <f t="shared" si="35"/>
        <v>4.3362046056062392E-2</v>
      </c>
    </row>
    <row r="1119" spans="1:5" x14ac:dyDescent="0.25">
      <c r="A1119">
        <v>3</v>
      </c>
      <c r="B1119">
        <v>3.9627039627039597E-2</v>
      </c>
      <c r="C1119">
        <f t="shared" si="34"/>
        <v>1.4050750344790068</v>
      </c>
      <c r="D1119">
        <v>3</v>
      </c>
      <c r="E1119">
        <f t="shared" si="35"/>
        <v>4.3362046056062392E-2</v>
      </c>
    </row>
    <row r="1120" spans="1:5" x14ac:dyDescent="0.25">
      <c r="A1120">
        <v>3</v>
      </c>
      <c r="B1120">
        <v>3.9719626168224297E-2</v>
      </c>
      <c r="C1120">
        <f t="shared" si="34"/>
        <v>1.4051712940827099</v>
      </c>
      <c r="D1120">
        <v>3</v>
      </c>
      <c r="E1120">
        <f t="shared" si="35"/>
        <v>4.3362046056062392E-2</v>
      </c>
    </row>
    <row r="1121" spans="1:5" x14ac:dyDescent="0.25">
      <c r="A1121">
        <v>3</v>
      </c>
      <c r="B1121">
        <v>3.9719626168224297E-2</v>
      </c>
      <c r="C1121">
        <f t="shared" si="34"/>
        <v>1.4051712940827099</v>
      </c>
      <c r="D1121">
        <v>3</v>
      </c>
      <c r="E1121">
        <f t="shared" si="35"/>
        <v>4.3362046056062392E-2</v>
      </c>
    </row>
    <row r="1122" spans="1:5" x14ac:dyDescent="0.25">
      <c r="A1122">
        <v>3</v>
      </c>
      <c r="B1122">
        <v>0.04</v>
      </c>
      <c r="C1122">
        <f t="shared" si="34"/>
        <v>1.4054618800577925</v>
      </c>
      <c r="D1122">
        <v>3</v>
      </c>
      <c r="E1122">
        <f t="shared" si="35"/>
        <v>4.3362046056062392E-2</v>
      </c>
    </row>
    <row r="1123" spans="1:5" x14ac:dyDescent="0.25">
      <c r="A1123">
        <v>3</v>
      </c>
      <c r="B1123">
        <v>0.04</v>
      </c>
      <c r="C1123">
        <f t="shared" si="34"/>
        <v>1.4054618800577925</v>
      </c>
      <c r="D1123">
        <v>3</v>
      </c>
      <c r="E1123">
        <f t="shared" si="35"/>
        <v>4.3362046056062392E-2</v>
      </c>
    </row>
    <row r="1124" spans="1:5" x14ac:dyDescent="0.25">
      <c r="A1124">
        <v>3</v>
      </c>
      <c r="B1124">
        <v>0.04</v>
      </c>
      <c r="C1124">
        <f t="shared" si="34"/>
        <v>1.4054618800577925</v>
      </c>
      <c r="D1124">
        <v>3</v>
      </c>
      <c r="E1124">
        <f t="shared" si="35"/>
        <v>4.3362046056062392E-2</v>
      </c>
    </row>
    <row r="1125" spans="1:5" x14ac:dyDescent="0.25">
      <c r="A1125">
        <v>3</v>
      </c>
      <c r="B1125">
        <v>0.04</v>
      </c>
      <c r="C1125">
        <f t="shared" si="34"/>
        <v>1.4054618800577925</v>
      </c>
      <c r="D1125">
        <v>3</v>
      </c>
      <c r="E1125">
        <f t="shared" si="35"/>
        <v>4.3362046056062392E-2</v>
      </c>
    </row>
    <row r="1126" spans="1:5" x14ac:dyDescent="0.25">
      <c r="A1126">
        <v>3</v>
      </c>
      <c r="B1126">
        <v>0.04</v>
      </c>
      <c r="C1126">
        <f t="shared" si="34"/>
        <v>1.4054618800577925</v>
      </c>
      <c r="D1126">
        <v>3</v>
      </c>
      <c r="E1126">
        <f t="shared" si="35"/>
        <v>4.3362046056062392E-2</v>
      </c>
    </row>
    <row r="1127" spans="1:5" x14ac:dyDescent="0.25">
      <c r="A1127">
        <v>3</v>
      </c>
      <c r="B1127">
        <v>4.1916167664670698E-2</v>
      </c>
      <c r="C1127">
        <f t="shared" si="34"/>
        <v>1.4074111192203651</v>
      </c>
      <c r="D1127">
        <v>3</v>
      </c>
      <c r="E1127">
        <f t="shared" si="35"/>
        <v>4.3362046056062392E-2</v>
      </c>
    </row>
    <row r="1128" spans="1:5" x14ac:dyDescent="0.25">
      <c r="A1128">
        <v>3</v>
      </c>
      <c r="B1128">
        <v>4.1916167664670698E-2</v>
      </c>
      <c r="C1128">
        <f t="shared" si="34"/>
        <v>1.4074111192203651</v>
      </c>
      <c r="D1128">
        <v>3</v>
      </c>
      <c r="E1128">
        <f t="shared" si="35"/>
        <v>4.3362046056062392E-2</v>
      </c>
    </row>
    <row r="1129" spans="1:5" x14ac:dyDescent="0.25">
      <c r="A1129">
        <v>3</v>
      </c>
      <c r="B1129">
        <v>4.1958041958042001E-2</v>
      </c>
      <c r="C1129">
        <f t="shared" si="34"/>
        <v>1.4074529996863263</v>
      </c>
      <c r="D1129">
        <v>3</v>
      </c>
      <c r="E1129">
        <f t="shared" si="35"/>
        <v>4.3362046056062392E-2</v>
      </c>
    </row>
    <row r="1130" spans="1:5" x14ac:dyDescent="0.25">
      <c r="A1130">
        <v>3</v>
      </c>
      <c r="B1130">
        <v>4.2000000000000003E-2</v>
      </c>
      <c r="C1130">
        <f t="shared" si="34"/>
        <v>1.407494933128201</v>
      </c>
      <c r="D1130">
        <v>3</v>
      </c>
      <c r="E1130">
        <f t="shared" si="35"/>
        <v>4.3362046056062392E-2</v>
      </c>
    </row>
    <row r="1131" spans="1:5" x14ac:dyDescent="0.25">
      <c r="A1131">
        <v>3</v>
      </c>
      <c r="B1131">
        <v>4.2000000000000003E-2</v>
      </c>
      <c r="C1131">
        <f t="shared" si="34"/>
        <v>1.407494933128201</v>
      </c>
      <c r="D1131">
        <v>3</v>
      </c>
      <c r="E1131">
        <f t="shared" si="35"/>
        <v>4.3362046056062392E-2</v>
      </c>
    </row>
    <row r="1132" spans="1:5" x14ac:dyDescent="0.25">
      <c r="A1132">
        <v>3</v>
      </c>
      <c r="B1132">
        <v>4.2000000000000003E-2</v>
      </c>
      <c r="C1132">
        <f t="shared" si="34"/>
        <v>1.407494933128201</v>
      </c>
      <c r="D1132">
        <v>3</v>
      </c>
      <c r="E1132">
        <f t="shared" si="35"/>
        <v>4.3362046056062392E-2</v>
      </c>
    </row>
    <row r="1133" spans="1:5" x14ac:dyDescent="0.25">
      <c r="A1133">
        <v>3</v>
      </c>
      <c r="B1133">
        <v>4.2042042042041997E-2</v>
      </c>
      <c r="C1133">
        <f t="shared" si="34"/>
        <v>1.4075369196096992</v>
      </c>
      <c r="D1133">
        <v>3</v>
      </c>
      <c r="E1133">
        <f t="shared" si="35"/>
        <v>4.3362046056062392E-2</v>
      </c>
    </row>
    <row r="1134" spans="1:5" x14ac:dyDescent="0.25">
      <c r="A1134">
        <v>3</v>
      </c>
      <c r="B1134">
        <v>4.2042042042041997E-2</v>
      </c>
      <c r="C1134">
        <f t="shared" si="34"/>
        <v>1.4075369196096992</v>
      </c>
      <c r="D1134">
        <v>3</v>
      </c>
      <c r="E1134">
        <f t="shared" si="35"/>
        <v>4.3362046056062392E-2</v>
      </c>
    </row>
    <row r="1135" spans="1:5" x14ac:dyDescent="0.25">
      <c r="A1135">
        <v>3</v>
      </c>
      <c r="B1135">
        <v>4.2042042042041997E-2</v>
      </c>
      <c r="C1135">
        <f t="shared" si="34"/>
        <v>1.4075369196096992</v>
      </c>
      <c r="D1135">
        <v>3</v>
      </c>
      <c r="E1135">
        <f t="shared" si="35"/>
        <v>4.3362046056062392E-2</v>
      </c>
    </row>
    <row r="1136" spans="1:5" x14ac:dyDescent="0.25">
      <c r="A1136">
        <v>3</v>
      </c>
      <c r="B1136">
        <v>4.2056074766355103E-2</v>
      </c>
      <c r="C1136">
        <f t="shared" si="34"/>
        <v>1.4075509269011066</v>
      </c>
      <c r="D1136">
        <v>3</v>
      </c>
      <c r="E1136">
        <f t="shared" si="35"/>
        <v>4.3362046056062392E-2</v>
      </c>
    </row>
    <row r="1137" spans="1:5" x14ac:dyDescent="0.25">
      <c r="A1137">
        <v>3</v>
      </c>
      <c r="B1137">
        <v>4.26666666666667E-2</v>
      </c>
      <c r="C1137">
        <f t="shared" si="34"/>
        <v>1.4081570720301677</v>
      </c>
      <c r="D1137">
        <v>3</v>
      </c>
      <c r="E1137">
        <f t="shared" si="35"/>
        <v>4.3362046056062392E-2</v>
      </c>
    </row>
    <row r="1138" spans="1:5" x14ac:dyDescent="0.25">
      <c r="A1138">
        <v>3</v>
      </c>
      <c r="B1138">
        <v>4.26666666666667E-2</v>
      </c>
      <c r="C1138">
        <f t="shared" si="34"/>
        <v>1.4081570720301677</v>
      </c>
      <c r="D1138">
        <v>3</v>
      </c>
      <c r="E1138">
        <f t="shared" si="35"/>
        <v>4.3362046056062392E-2</v>
      </c>
    </row>
    <row r="1139" spans="1:5" x14ac:dyDescent="0.25">
      <c r="A1139">
        <v>3</v>
      </c>
      <c r="B1139">
        <v>4.26666666666667E-2</v>
      </c>
      <c r="C1139">
        <f t="shared" si="34"/>
        <v>1.4081570720301677</v>
      </c>
      <c r="D1139">
        <v>3</v>
      </c>
      <c r="E1139">
        <f t="shared" si="35"/>
        <v>4.3362046056062392E-2</v>
      </c>
    </row>
    <row r="1140" spans="1:5" x14ac:dyDescent="0.25">
      <c r="A1140">
        <v>3</v>
      </c>
      <c r="B1140">
        <v>4.26666666666667E-2</v>
      </c>
      <c r="C1140">
        <f t="shared" si="34"/>
        <v>1.4081570720301677</v>
      </c>
      <c r="D1140">
        <v>3</v>
      </c>
      <c r="E1140">
        <f t="shared" si="35"/>
        <v>4.3362046056062392E-2</v>
      </c>
    </row>
    <row r="1141" spans="1:5" x14ac:dyDescent="0.25">
      <c r="A1141">
        <v>3</v>
      </c>
      <c r="B1141">
        <v>4.26666666666667E-2</v>
      </c>
      <c r="C1141">
        <f t="shared" si="34"/>
        <v>1.4081570720301677</v>
      </c>
      <c r="D1141">
        <v>3</v>
      </c>
      <c r="E1141">
        <f t="shared" si="35"/>
        <v>4.3362046056062392E-2</v>
      </c>
    </row>
    <row r="1142" spans="1:5" x14ac:dyDescent="0.25">
      <c r="A1142">
        <v>3</v>
      </c>
      <c r="B1142">
        <v>4.3956043956044001E-2</v>
      </c>
      <c r="C1142">
        <f t="shared" si="34"/>
        <v>1.4094155749727144</v>
      </c>
      <c r="D1142">
        <v>3</v>
      </c>
      <c r="E1142">
        <f t="shared" si="35"/>
        <v>4.3362046056062392E-2</v>
      </c>
    </row>
    <row r="1143" spans="1:5" x14ac:dyDescent="0.25">
      <c r="A1143">
        <v>3</v>
      </c>
      <c r="B1143">
        <v>4.4289044289044302E-2</v>
      </c>
      <c r="C1143">
        <f t="shared" si="34"/>
        <v>1.4097358560952646</v>
      </c>
      <c r="D1143">
        <v>3</v>
      </c>
      <c r="E1143">
        <f t="shared" si="35"/>
        <v>4.3362046056062392E-2</v>
      </c>
    </row>
    <row r="1144" spans="1:5" x14ac:dyDescent="0.25">
      <c r="A1144">
        <v>3</v>
      </c>
      <c r="B1144">
        <v>4.4392523364486E-2</v>
      </c>
      <c r="C1144">
        <f t="shared" si="34"/>
        <v>1.4098349854909082</v>
      </c>
      <c r="D1144">
        <v>3</v>
      </c>
      <c r="E1144">
        <f t="shared" si="35"/>
        <v>4.3362046056062392E-2</v>
      </c>
    </row>
    <row r="1145" spans="1:5" x14ac:dyDescent="0.25">
      <c r="A1145">
        <v>3</v>
      </c>
      <c r="B1145">
        <v>4.4392523364486E-2</v>
      </c>
      <c r="C1145">
        <f t="shared" si="34"/>
        <v>1.4098349854909082</v>
      </c>
      <c r="D1145">
        <v>3</v>
      </c>
      <c r="E1145">
        <f t="shared" si="35"/>
        <v>4.3362046056062392E-2</v>
      </c>
    </row>
    <row r="1146" spans="1:5" x14ac:dyDescent="0.25">
      <c r="A1146">
        <v>3</v>
      </c>
      <c r="B1146">
        <v>4.4910179640718598E-2</v>
      </c>
      <c r="C1146">
        <f t="shared" si="34"/>
        <v>1.4103280528004876</v>
      </c>
      <c r="D1146">
        <v>3</v>
      </c>
      <c r="E1146">
        <f t="shared" si="35"/>
        <v>4.3362046056062392E-2</v>
      </c>
    </row>
    <row r="1147" spans="1:5" x14ac:dyDescent="0.25">
      <c r="A1147">
        <v>3</v>
      </c>
      <c r="B1147">
        <v>4.49438202247191E-2</v>
      </c>
      <c r="C1147">
        <f t="shared" si="34"/>
        <v>1.4103599321537827</v>
      </c>
      <c r="D1147">
        <v>3</v>
      </c>
      <c r="E1147">
        <f t="shared" si="35"/>
        <v>4.3362046056062392E-2</v>
      </c>
    </row>
    <row r="1148" spans="1:5" x14ac:dyDescent="0.25">
      <c r="A1148">
        <v>3</v>
      </c>
      <c r="B1148">
        <v>4.4999999999999998E-2</v>
      </c>
      <c r="C1148">
        <f t="shared" si="34"/>
        <v>1.4104131262279551</v>
      </c>
      <c r="D1148">
        <v>3</v>
      </c>
      <c r="E1148">
        <f t="shared" si="35"/>
        <v>4.3362046056062392E-2</v>
      </c>
    </row>
    <row r="1149" spans="1:5" x14ac:dyDescent="0.25">
      <c r="A1149">
        <v>3</v>
      </c>
      <c r="B1149">
        <v>4.5045045045045001E-2</v>
      </c>
      <c r="C1149">
        <f t="shared" si="34"/>
        <v>1.4104557371672146</v>
      </c>
      <c r="D1149">
        <v>3</v>
      </c>
      <c r="E1149">
        <f t="shared" si="35"/>
        <v>4.3362046056062392E-2</v>
      </c>
    </row>
    <row r="1150" spans="1:5" x14ac:dyDescent="0.25">
      <c r="A1150">
        <v>3</v>
      </c>
      <c r="B1150">
        <v>4.5045045045045001E-2</v>
      </c>
      <c r="C1150">
        <f t="shared" si="34"/>
        <v>1.4104557371672146</v>
      </c>
      <c r="D1150">
        <v>3</v>
      </c>
      <c r="E1150">
        <f t="shared" si="35"/>
        <v>4.3362046056062392E-2</v>
      </c>
    </row>
    <row r="1151" spans="1:5" x14ac:dyDescent="0.25">
      <c r="A1151">
        <v>3</v>
      </c>
      <c r="B1151">
        <v>4.5045045045045001E-2</v>
      </c>
      <c r="C1151">
        <f t="shared" si="34"/>
        <v>1.4104557371672146</v>
      </c>
      <c r="D1151">
        <v>3</v>
      </c>
      <c r="E1151">
        <f t="shared" si="35"/>
        <v>4.3362046056062392E-2</v>
      </c>
    </row>
    <row r="1152" spans="1:5" x14ac:dyDescent="0.25">
      <c r="A1152">
        <v>3</v>
      </c>
      <c r="B1152">
        <v>4.5045045045045001E-2</v>
      </c>
      <c r="C1152">
        <f t="shared" si="34"/>
        <v>1.4104557371672146</v>
      </c>
      <c r="D1152">
        <v>3</v>
      </c>
      <c r="E1152">
        <f t="shared" si="35"/>
        <v>4.3362046056062392E-2</v>
      </c>
    </row>
    <row r="1153" spans="1:5" x14ac:dyDescent="0.25">
      <c r="A1153">
        <v>3</v>
      </c>
      <c r="B1153">
        <v>4.5045045045045001E-2</v>
      </c>
      <c r="C1153">
        <f t="shared" si="34"/>
        <v>1.4104557371672146</v>
      </c>
      <c r="D1153">
        <v>3</v>
      </c>
      <c r="E1153">
        <f t="shared" si="35"/>
        <v>4.3362046056062392E-2</v>
      </c>
    </row>
    <row r="1154" spans="1:5" x14ac:dyDescent="0.25">
      <c r="A1154">
        <v>3</v>
      </c>
      <c r="B1154">
        <v>4.5045045045045001E-2</v>
      </c>
      <c r="C1154">
        <f t="shared" ref="C1154:C1217" si="36">_xlfn.NORM.DIST(B1154, I$10,I$13,FALSE)</f>
        <v>1.4104557371672146</v>
      </c>
      <c r="D1154">
        <v>3</v>
      </c>
      <c r="E1154">
        <f t="shared" si="35"/>
        <v>4.3362046056062392E-2</v>
      </c>
    </row>
    <row r="1155" spans="1:5" x14ac:dyDescent="0.25">
      <c r="A1155">
        <v>3</v>
      </c>
      <c r="B1155">
        <v>4.5045045045045001E-2</v>
      </c>
      <c r="C1155">
        <f t="shared" si="36"/>
        <v>1.4104557371672146</v>
      </c>
      <c r="D1155">
        <v>3</v>
      </c>
      <c r="E1155">
        <f t="shared" ref="E1155:E1218" si="37">_xlfn.NORM.DIST(D1155, I$4,I$7,FALSE)</f>
        <v>4.3362046056062392E-2</v>
      </c>
    </row>
    <row r="1156" spans="1:5" x14ac:dyDescent="0.25">
      <c r="A1156">
        <v>3</v>
      </c>
      <c r="B1156">
        <v>4.5045045045045001E-2</v>
      </c>
      <c r="C1156">
        <f t="shared" si="36"/>
        <v>1.4104557371672146</v>
      </c>
      <c r="D1156">
        <v>3</v>
      </c>
      <c r="E1156">
        <f t="shared" si="37"/>
        <v>4.3362046056062392E-2</v>
      </c>
    </row>
    <row r="1157" spans="1:5" x14ac:dyDescent="0.25">
      <c r="A1157">
        <v>3</v>
      </c>
      <c r="B1157">
        <v>4.5045045045045001E-2</v>
      </c>
      <c r="C1157">
        <f t="shared" si="36"/>
        <v>1.4104557371672146</v>
      </c>
      <c r="D1157">
        <v>3</v>
      </c>
      <c r="E1157">
        <f t="shared" si="37"/>
        <v>4.3362046056062392E-2</v>
      </c>
    </row>
    <row r="1158" spans="1:5" x14ac:dyDescent="0.25">
      <c r="A1158">
        <v>3</v>
      </c>
      <c r="B1158">
        <v>4.5333333333333302E-2</v>
      </c>
      <c r="C1158">
        <f t="shared" si="36"/>
        <v>1.4107276004614371</v>
      </c>
      <c r="D1158">
        <v>3</v>
      </c>
      <c r="E1158">
        <f t="shared" si="37"/>
        <v>4.3362046056062392E-2</v>
      </c>
    </row>
    <row r="1159" spans="1:5" x14ac:dyDescent="0.25">
      <c r="A1159">
        <v>3</v>
      </c>
      <c r="B1159">
        <v>4.5333333333333302E-2</v>
      </c>
      <c r="C1159">
        <f t="shared" si="36"/>
        <v>1.4107276004614371</v>
      </c>
      <c r="D1159">
        <v>3</v>
      </c>
      <c r="E1159">
        <f t="shared" si="37"/>
        <v>4.3362046056062392E-2</v>
      </c>
    </row>
    <row r="1160" spans="1:5" x14ac:dyDescent="0.25">
      <c r="A1160">
        <v>3</v>
      </c>
      <c r="B1160">
        <v>4.5333333333333302E-2</v>
      </c>
      <c r="C1160">
        <f t="shared" si="36"/>
        <v>1.4107276004614371</v>
      </c>
      <c r="D1160">
        <v>3</v>
      </c>
      <c r="E1160">
        <f t="shared" si="37"/>
        <v>4.3362046056062392E-2</v>
      </c>
    </row>
    <row r="1161" spans="1:5" x14ac:dyDescent="0.25">
      <c r="A1161">
        <v>3</v>
      </c>
      <c r="B1161">
        <v>4.5333333333333302E-2</v>
      </c>
      <c r="C1161">
        <f t="shared" si="36"/>
        <v>1.4107276004614371</v>
      </c>
      <c r="D1161">
        <v>3</v>
      </c>
      <c r="E1161">
        <f t="shared" si="37"/>
        <v>4.3362046056062392E-2</v>
      </c>
    </row>
    <row r="1162" spans="1:5" x14ac:dyDescent="0.25">
      <c r="A1162">
        <v>3</v>
      </c>
      <c r="B1162">
        <v>4.5999999999999999E-2</v>
      </c>
      <c r="C1162">
        <f t="shared" si="36"/>
        <v>1.4113506709997652</v>
      </c>
      <c r="D1162">
        <v>3</v>
      </c>
      <c r="E1162">
        <f t="shared" si="37"/>
        <v>4.3362046056062392E-2</v>
      </c>
    </row>
    <row r="1163" spans="1:5" x14ac:dyDescent="0.25">
      <c r="A1163">
        <v>3</v>
      </c>
      <c r="B1163">
        <v>4.5999999999999999E-2</v>
      </c>
      <c r="C1163">
        <f t="shared" si="36"/>
        <v>1.4113506709997652</v>
      </c>
      <c r="D1163">
        <v>3</v>
      </c>
      <c r="E1163">
        <f t="shared" si="37"/>
        <v>4.3362046056062392E-2</v>
      </c>
    </row>
    <row r="1164" spans="1:5" x14ac:dyDescent="0.25">
      <c r="A1164">
        <v>3</v>
      </c>
      <c r="B1164">
        <v>4.6620046620046603E-2</v>
      </c>
      <c r="C1164">
        <f t="shared" si="36"/>
        <v>1.4119231281406619</v>
      </c>
      <c r="D1164">
        <v>3</v>
      </c>
      <c r="E1164">
        <f t="shared" si="37"/>
        <v>4.3362046056062392E-2</v>
      </c>
    </row>
    <row r="1165" spans="1:5" x14ac:dyDescent="0.25">
      <c r="A1165">
        <v>3</v>
      </c>
      <c r="B1165">
        <v>4.6620046620046603E-2</v>
      </c>
      <c r="C1165">
        <f t="shared" si="36"/>
        <v>1.4119231281406619</v>
      </c>
      <c r="D1165">
        <v>3</v>
      </c>
      <c r="E1165">
        <f t="shared" si="37"/>
        <v>4.3362046056062392E-2</v>
      </c>
    </row>
    <row r="1166" spans="1:5" x14ac:dyDescent="0.25">
      <c r="A1166">
        <v>3</v>
      </c>
      <c r="B1166">
        <v>4.6666666666666697E-2</v>
      </c>
      <c r="C1166">
        <f t="shared" si="36"/>
        <v>1.4119658954554395</v>
      </c>
      <c r="D1166">
        <v>3</v>
      </c>
      <c r="E1166">
        <f t="shared" si="37"/>
        <v>4.3362046056062392E-2</v>
      </c>
    </row>
    <row r="1167" spans="1:5" x14ac:dyDescent="0.25">
      <c r="A1167">
        <v>3</v>
      </c>
      <c r="B1167">
        <v>4.67289719626168E-2</v>
      </c>
      <c r="C1167">
        <f t="shared" si="36"/>
        <v>1.4120229917879736</v>
      </c>
      <c r="D1167">
        <v>3</v>
      </c>
      <c r="E1167">
        <f t="shared" si="37"/>
        <v>4.3362046056062392E-2</v>
      </c>
    </row>
    <row r="1168" spans="1:5" x14ac:dyDescent="0.25">
      <c r="A1168">
        <v>3</v>
      </c>
      <c r="B1168">
        <v>4.7904191616766498E-2</v>
      </c>
      <c r="C1168">
        <f t="shared" si="36"/>
        <v>1.4130870928743298</v>
      </c>
      <c r="D1168">
        <v>3</v>
      </c>
      <c r="E1168">
        <f t="shared" si="37"/>
        <v>4.3362046056062392E-2</v>
      </c>
    </row>
    <row r="1169" spans="1:5" x14ac:dyDescent="0.25">
      <c r="A1169">
        <v>3</v>
      </c>
      <c r="B1169">
        <v>4.8000000000000001E-2</v>
      </c>
      <c r="C1169">
        <f t="shared" si="36"/>
        <v>1.4131727642541394</v>
      </c>
      <c r="D1169">
        <v>3</v>
      </c>
      <c r="E1169">
        <f t="shared" si="37"/>
        <v>4.3362046056062392E-2</v>
      </c>
    </row>
    <row r="1170" spans="1:5" x14ac:dyDescent="0.25">
      <c r="A1170">
        <v>3</v>
      </c>
      <c r="B1170">
        <v>4.8000000000000001E-2</v>
      </c>
      <c r="C1170">
        <f t="shared" si="36"/>
        <v>1.4131727642541394</v>
      </c>
      <c r="D1170">
        <v>3</v>
      </c>
      <c r="E1170">
        <f t="shared" si="37"/>
        <v>4.3362046056062392E-2</v>
      </c>
    </row>
    <row r="1171" spans="1:5" x14ac:dyDescent="0.25">
      <c r="A1171">
        <v>3</v>
      </c>
      <c r="B1171">
        <v>4.8000000000000001E-2</v>
      </c>
      <c r="C1171">
        <f t="shared" si="36"/>
        <v>1.4131727642541394</v>
      </c>
      <c r="D1171">
        <v>3</v>
      </c>
      <c r="E1171">
        <f t="shared" si="37"/>
        <v>4.3362046056062392E-2</v>
      </c>
    </row>
    <row r="1172" spans="1:5" x14ac:dyDescent="0.25">
      <c r="A1172">
        <v>3</v>
      </c>
      <c r="B1172">
        <v>4.8000000000000001E-2</v>
      </c>
      <c r="C1172">
        <f t="shared" si="36"/>
        <v>1.4131727642541394</v>
      </c>
      <c r="D1172">
        <v>3</v>
      </c>
      <c r="E1172">
        <f t="shared" si="37"/>
        <v>4.3362046056062392E-2</v>
      </c>
    </row>
    <row r="1173" spans="1:5" x14ac:dyDescent="0.25">
      <c r="A1173">
        <v>3</v>
      </c>
      <c r="B1173">
        <v>4.8000000000000001E-2</v>
      </c>
      <c r="C1173">
        <f t="shared" si="36"/>
        <v>1.4131727642541394</v>
      </c>
      <c r="D1173">
        <v>3</v>
      </c>
      <c r="E1173">
        <f t="shared" si="37"/>
        <v>4.3362046056062392E-2</v>
      </c>
    </row>
    <row r="1174" spans="1:5" x14ac:dyDescent="0.25">
      <c r="A1174">
        <v>3</v>
      </c>
      <c r="B1174">
        <v>4.8048048048047999E-2</v>
      </c>
      <c r="C1174">
        <f t="shared" si="36"/>
        <v>1.4132156673283722</v>
      </c>
      <c r="D1174">
        <v>3</v>
      </c>
      <c r="E1174">
        <f t="shared" si="37"/>
        <v>4.3362046056062392E-2</v>
      </c>
    </row>
    <row r="1175" spans="1:5" x14ac:dyDescent="0.25">
      <c r="A1175">
        <v>3</v>
      </c>
      <c r="B1175">
        <v>4.8048048048047999E-2</v>
      </c>
      <c r="C1175">
        <f t="shared" si="36"/>
        <v>1.4132156673283722</v>
      </c>
      <c r="D1175">
        <v>3</v>
      </c>
      <c r="E1175">
        <f t="shared" si="37"/>
        <v>4.3362046056062392E-2</v>
      </c>
    </row>
    <row r="1176" spans="1:5" x14ac:dyDescent="0.25">
      <c r="A1176">
        <v>3</v>
      </c>
      <c r="B1176">
        <v>4.8333333333333298E-2</v>
      </c>
      <c r="C1176">
        <f t="shared" si="36"/>
        <v>1.4134695614063368</v>
      </c>
      <c r="D1176">
        <v>3</v>
      </c>
      <c r="E1176">
        <f t="shared" si="37"/>
        <v>4.3362046056062392E-2</v>
      </c>
    </row>
    <row r="1177" spans="1:5" x14ac:dyDescent="0.25">
      <c r="A1177">
        <v>3</v>
      </c>
      <c r="B1177">
        <v>0.05</v>
      </c>
      <c r="C1177">
        <f t="shared" si="36"/>
        <v>1.414923963624209</v>
      </c>
      <c r="D1177">
        <v>3</v>
      </c>
      <c r="E1177">
        <f t="shared" si="37"/>
        <v>4.3362046056062392E-2</v>
      </c>
    </row>
    <row r="1178" spans="1:5" x14ac:dyDescent="0.25">
      <c r="A1178">
        <v>3</v>
      </c>
      <c r="B1178">
        <v>5.06666666666667E-2</v>
      </c>
      <c r="C1178">
        <f t="shared" si="36"/>
        <v>1.4154918957033205</v>
      </c>
      <c r="D1178">
        <v>3</v>
      </c>
      <c r="E1178">
        <f t="shared" si="37"/>
        <v>4.3362046056062392E-2</v>
      </c>
    </row>
    <row r="1179" spans="1:5" x14ac:dyDescent="0.25">
      <c r="A1179">
        <v>3</v>
      </c>
      <c r="B1179">
        <v>5.0898203592814398E-2</v>
      </c>
      <c r="C1179">
        <f t="shared" si="36"/>
        <v>1.415687289822334</v>
      </c>
      <c r="D1179">
        <v>3</v>
      </c>
      <c r="E1179">
        <f t="shared" si="37"/>
        <v>4.3362046056062392E-2</v>
      </c>
    </row>
    <row r="1180" spans="1:5" x14ac:dyDescent="0.25">
      <c r="A1180">
        <v>3</v>
      </c>
      <c r="B1180">
        <v>5.0898203592814398E-2</v>
      </c>
      <c r="C1180">
        <f t="shared" si="36"/>
        <v>1.415687289822334</v>
      </c>
      <c r="D1180">
        <v>3</v>
      </c>
      <c r="E1180">
        <f t="shared" si="37"/>
        <v>4.3362046056062392E-2</v>
      </c>
    </row>
    <row r="1181" spans="1:5" x14ac:dyDescent="0.25">
      <c r="A1181">
        <v>3</v>
      </c>
      <c r="B1181">
        <v>5.0898203592814398E-2</v>
      </c>
      <c r="C1181">
        <f t="shared" si="36"/>
        <v>1.415687289822334</v>
      </c>
      <c r="D1181">
        <v>3</v>
      </c>
      <c r="E1181">
        <f t="shared" si="37"/>
        <v>4.3362046056062392E-2</v>
      </c>
    </row>
    <row r="1182" spans="1:5" x14ac:dyDescent="0.25">
      <c r="A1182">
        <v>3</v>
      </c>
      <c r="B1182">
        <v>5.1051051051051101E-2</v>
      </c>
      <c r="C1182">
        <f t="shared" si="36"/>
        <v>1.4158157543952459</v>
      </c>
      <c r="D1182">
        <v>3</v>
      </c>
      <c r="E1182">
        <f t="shared" si="37"/>
        <v>4.3362046056062392E-2</v>
      </c>
    </row>
    <row r="1183" spans="1:5" x14ac:dyDescent="0.25">
      <c r="A1183">
        <v>3</v>
      </c>
      <c r="B1183">
        <v>5.1051051051051101E-2</v>
      </c>
      <c r="C1183">
        <f t="shared" si="36"/>
        <v>1.4158157543952459</v>
      </c>
      <c r="D1183">
        <v>3</v>
      </c>
      <c r="E1183">
        <f t="shared" si="37"/>
        <v>4.3362046056062392E-2</v>
      </c>
    </row>
    <row r="1184" spans="1:5" x14ac:dyDescent="0.25">
      <c r="A1184">
        <v>3</v>
      </c>
      <c r="B1184">
        <v>5.1051051051051101E-2</v>
      </c>
      <c r="C1184">
        <f t="shared" si="36"/>
        <v>1.4158157543952459</v>
      </c>
      <c r="D1184">
        <v>3</v>
      </c>
      <c r="E1184">
        <f t="shared" si="37"/>
        <v>4.3362046056062392E-2</v>
      </c>
    </row>
    <row r="1185" spans="1:5" x14ac:dyDescent="0.25">
      <c r="A1185">
        <v>3</v>
      </c>
      <c r="B1185">
        <v>5.1051051051051101E-2</v>
      </c>
      <c r="C1185">
        <f t="shared" si="36"/>
        <v>1.4158157543952459</v>
      </c>
      <c r="D1185">
        <v>3</v>
      </c>
      <c r="E1185">
        <f t="shared" si="37"/>
        <v>4.3362046056062392E-2</v>
      </c>
    </row>
    <row r="1186" spans="1:5" x14ac:dyDescent="0.25">
      <c r="A1186">
        <v>3</v>
      </c>
      <c r="B1186">
        <v>5.1051051051051101E-2</v>
      </c>
      <c r="C1186">
        <f t="shared" si="36"/>
        <v>1.4158157543952459</v>
      </c>
      <c r="D1186">
        <v>3</v>
      </c>
      <c r="E1186">
        <f t="shared" si="37"/>
        <v>4.3362046056062392E-2</v>
      </c>
    </row>
    <row r="1187" spans="1:5" x14ac:dyDescent="0.25">
      <c r="A1187">
        <v>3</v>
      </c>
      <c r="B1187">
        <v>5.1051051051051101E-2</v>
      </c>
      <c r="C1187">
        <f t="shared" si="36"/>
        <v>1.4158157543952459</v>
      </c>
      <c r="D1187">
        <v>3</v>
      </c>
      <c r="E1187">
        <f t="shared" si="37"/>
        <v>4.3362046056062392E-2</v>
      </c>
    </row>
    <row r="1188" spans="1:5" x14ac:dyDescent="0.25">
      <c r="A1188">
        <v>3</v>
      </c>
      <c r="B1188">
        <v>5.1282051282051301E-2</v>
      </c>
      <c r="C1188">
        <f t="shared" si="36"/>
        <v>1.4160091141610953</v>
      </c>
      <c r="D1188">
        <v>3</v>
      </c>
      <c r="E1188">
        <f t="shared" si="37"/>
        <v>4.3362046056062392E-2</v>
      </c>
    </row>
    <row r="1189" spans="1:5" x14ac:dyDescent="0.25">
      <c r="A1189">
        <v>3</v>
      </c>
      <c r="B1189">
        <v>5.1282051282051301E-2</v>
      </c>
      <c r="C1189">
        <f t="shared" si="36"/>
        <v>1.4160091141610953</v>
      </c>
      <c r="D1189">
        <v>3</v>
      </c>
      <c r="E1189">
        <f t="shared" si="37"/>
        <v>4.3362046056062392E-2</v>
      </c>
    </row>
    <row r="1190" spans="1:5" x14ac:dyDescent="0.25">
      <c r="A1190">
        <v>3</v>
      </c>
      <c r="B1190">
        <v>5.1282051282051301E-2</v>
      </c>
      <c r="C1190">
        <f t="shared" si="36"/>
        <v>1.4160091141610953</v>
      </c>
      <c r="D1190">
        <v>3</v>
      </c>
      <c r="E1190">
        <f t="shared" si="37"/>
        <v>4.3362046056062392E-2</v>
      </c>
    </row>
    <row r="1191" spans="1:5" x14ac:dyDescent="0.25">
      <c r="A1191">
        <v>3</v>
      </c>
      <c r="B1191">
        <v>5.1282051282051301E-2</v>
      </c>
      <c r="C1191">
        <f t="shared" si="36"/>
        <v>1.4160091141610953</v>
      </c>
      <c r="D1191">
        <v>3</v>
      </c>
      <c r="E1191">
        <f t="shared" si="37"/>
        <v>4.3362046056062392E-2</v>
      </c>
    </row>
    <row r="1192" spans="1:5" x14ac:dyDescent="0.25">
      <c r="A1192">
        <v>3</v>
      </c>
      <c r="B1192">
        <v>5.1999999999999998E-2</v>
      </c>
      <c r="C1192">
        <f t="shared" si="36"/>
        <v>1.4166039998471407</v>
      </c>
      <c r="D1192">
        <v>3</v>
      </c>
      <c r="E1192">
        <f t="shared" si="37"/>
        <v>4.3362046056062392E-2</v>
      </c>
    </row>
    <row r="1193" spans="1:5" x14ac:dyDescent="0.25">
      <c r="A1193">
        <v>3</v>
      </c>
      <c r="B1193">
        <v>5.1999999999999998E-2</v>
      </c>
      <c r="C1193">
        <f t="shared" si="36"/>
        <v>1.4166039998471407</v>
      </c>
      <c r="D1193">
        <v>3</v>
      </c>
      <c r="E1193">
        <f t="shared" si="37"/>
        <v>4.3362046056062392E-2</v>
      </c>
    </row>
    <row r="1194" spans="1:5" x14ac:dyDescent="0.25">
      <c r="A1194">
        <v>3</v>
      </c>
      <c r="B1194">
        <v>5.1999999999999998E-2</v>
      </c>
      <c r="C1194">
        <f t="shared" si="36"/>
        <v>1.4166039998471407</v>
      </c>
      <c r="D1194">
        <v>3</v>
      </c>
      <c r="E1194">
        <f t="shared" si="37"/>
        <v>4.3362046056062392E-2</v>
      </c>
    </row>
    <row r="1195" spans="1:5" x14ac:dyDescent="0.25">
      <c r="A1195">
        <v>3</v>
      </c>
      <c r="B1195">
        <v>5.1999999999999998E-2</v>
      </c>
      <c r="C1195">
        <f t="shared" si="36"/>
        <v>1.4166039998471407</v>
      </c>
      <c r="D1195">
        <v>3</v>
      </c>
      <c r="E1195">
        <f t="shared" si="37"/>
        <v>4.3362046056062392E-2</v>
      </c>
    </row>
    <row r="1196" spans="1:5" x14ac:dyDescent="0.25">
      <c r="A1196">
        <v>3</v>
      </c>
      <c r="B1196">
        <v>5.3333333333333302E-2</v>
      </c>
      <c r="C1196">
        <f t="shared" si="36"/>
        <v>1.4176843608003931</v>
      </c>
      <c r="D1196">
        <v>3</v>
      </c>
      <c r="E1196">
        <f t="shared" si="37"/>
        <v>4.3362046056062392E-2</v>
      </c>
    </row>
    <row r="1197" spans="1:5" x14ac:dyDescent="0.25">
      <c r="A1197">
        <v>3</v>
      </c>
      <c r="B1197">
        <v>5.3333333333333302E-2</v>
      </c>
      <c r="C1197">
        <f t="shared" si="36"/>
        <v>1.4176843608003931</v>
      </c>
      <c r="D1197">
        <v>3</v>
      </c>
      <c r="E1197">
        <f t="shared" si="37"/>
        <v>4.3362046056062392E-2</v>
      </c>
    </row>
    <row r="1198" spans="1:5" x14ac:dyDescent="0.25">
      <c r="A1198">
        <v>3</v>
      </c>
      <c r="B1198">
        <v>5.3333333333333302E-2</v>
      </c>
      <c r="C1198">
        <f t="shared" si="36"/>
        <v>1.4176843608003931</v>
      </c>
      <c r="D1198">
        <v>3</v>
      </c>
      <c r="E1198">
        <f t="shared" si="37"/>
        <v>4.3362046056062392E-2</v>
      </c>
    </row>
    <row r="1199" spans="1:5" x14ac:dyDescent="0.25">
      <c r="A1199">
        <v>3</v>
      </c>
      <c r="B1199">
        <v>5.3333333333333302E-2</v>
      </c>
      <c r="C1199">
        <f t="shared" si="36"/>
        <v>1.4176843608003931</v>
      </c>
      <c r="D1199">
        <v>3</v>
      </c>
      <c r="E1199">
        <f t="shared" si="37"/>
        <v>4.3362046056062392E-2</v>
      </c>
    </row>
    <row r="1200" spans="1:5" x14ac:dyDescent="0.25">
      <c r="A1200">
        <v>3</v>
      </c>
      <c r="B1200">
        <v>5.3333333333333302E-2</v>
      </c>
      <c r="C1200">
        <f t="shared" si="36"/>
        <v>1.4176843608003931</v>
      </c>
      <c r="D1200">
        <v>3</v>
      </c>
      <c r="E1200">
        <f t="shared" si="37"/>
        <v>4.3362046056062392E-2</v>
      </c>
    </row>
    <row r="1201" spans="1:5" x14ac:dyDescent="0.25">
      <c r="A1201">
        <v>3</v>
      </c>
      <c r="B1201">
        <v>5.3333333333333302E-2</v>
      </c>
      <c r="C1201">
        <f t="shared" si="36"/>
        <v>1.4176843608003931</v>
      </c>
      <c r="D1201">
        <v>3</v>
      </c>
      <c r="E1201">
        <f t="shared" si="37"/>
        <v>4.3362046056062392E-2</v>
      </c>
    </row>
    <row r="1202" spans="1:5" x14ac:dyDescent="0.25">
      <c r="A1202">
        <v>3</v>
      </c>
      <c r="B1202">
        <v>5.3333333333333302E-2</v>
      </c>
      <c r="C1202">
        <f t="shared" si="36"/>
        <v>1.4176843608003931</v>
      </c>
      <c r="D1202">
        <v>3</v>
      </c>
      <c r="E1202">
        <f t="shared" si="37"/>
        <v>4.3362046056062392E-2</v>
      </c>
    </row>
    <row r="1203" spans="1:5" x14ac:dyDescent="0.25">
      <c r="A1203">
        <v>3</v>
      </c>
      <c r="B1203">
        <v>5.4054054054054099E-2</v>
      </c>
      <c r="C1203">
        <f t="shared" si="36"/>
        <v>1.4182550968689229</v>
      </c>
      <c r="D1203">
        <v>3</v>
      </c>
      <c r="E1203">
        <f t="shared" si="37"/>
        <v>4.3362046056062392E-2</v>
      </c>
    </row>
    <row r="1204" spans="1:5" x14ac:dyDescent="0.25">
      <c r="A1204">
        <v>3</v>
      </c>
      <c r="B1204">
        <v>5.4054054054054099E-2</v>
      </c>
      <c r="C1204">
        <f t="shared" si="36"/>
        <v>1.4182550968689229</v>
      </c>
      <c r="D1204">
        <v>3</v>
      </c>
      <c r="E1204">
        <f t="shared" si="37"/>
        <v>4.3362046056062392E-2</v>
      </c>
    </row>
    <row r="1205" spans="1:5" x14ac:dyDescent="0.25">
      <c r="A1205">
        <v>3</v>
      </c>
      <c r="B1205">
        <v>5.4054054054054099E-2</v>
      </c>
      <c r="C1205">
        <f t="shared" si="36"/>
        <v>1.4182550968689229</v>
      </c>
      <c r="D1205">
        <v>3</v>
      </c>
      <c r="E1205">
        <f t="shared" si="37"/>
        <v>4.3362046056062392E-2</v>
      </c>
    </row>
    <row r="1206" spans="1:5" x14ac:dyDescent="0.25">
      <c r="A1206">
        <v>3</v>
      </c>
      <c r="B1206">
        <v>5.4054054054054099E-2</v>
      </c>
      <c r="C1206">
        <f t="shared" si="36"/>
        <v>1.4182550968689229</v>
      </c>
      <c r="D1206">
        <v>3</v>
      </c>
      <c r="E1206">
        <f t="shared" si="37"/>
        <v>4.3362046056062392E-2</v>
      </c>
    </row>
    <row r="1207" spans="1:5" x14ac:dyDescent="0.25">
      <c r="A1207">
        <v>3</v>
      </c>
      <c r="B1207">
        <v>5.4054054054054099E-2</v>
      </c>
      <c r="C1207">
        <f t="shared" si="36"/>
        <v>1.4182550968689229</v>
      </c>
      <c r="D1207">
        <v>3</v>
      </c>
      <c r="E1207">
        <f t="shared" si="37"/>
        <v>4.3362046056062392E-2</v>
      </c>
    </row>
    <row r="1208" spans="1:5" x14ac:dyDescent="0.25">
      <c r="A1208">
        <v>3</v>
      </c>
      <c r="B1208">
        <v>5.4054054054054099E-2</v>
      </c>
      <c r="C1208">
        <f t="shared" si="36"/>
        <v>1.4182550968689229</v>
      </c>
      <c r="D1208">
        <v>3</v>
      </c>
      <c r="E1208">
        <f t="shared" si="37"/>
        <v>4.3362046056062392E-2</v>
      </c>
    </row>
    <row r="1209" spans="1:5" x14ac:dyDescent="0.25">
      <c r="A1209">
        <v>3</v>
      </c>
      <c r="B1209">
        <v>5.5E-2</v>
      </c>
      <c r="C1209">
        <f t="shared" si="36"/>
        <v>1.4189900606931145</v>
      </c>
      <c r="D1209">
        <v>3</v>
      </c>
      <c r="E1209">
        <f t="shared" si="37"/>
        <v>4.3362046056062392E-2</v>
      </c>
    </row>
    <row r="1210" spans="1:5" x14ac:dyDescent="0.25">
      <c r="A1210">
        <v>3</v>
      </c>
      <c r="B1210">
        <v>5.5944055944055902E-2</v>
      </c>
      <c r="C1210">
        <f t="shared" si="36"/>
        <v>1.4197075445227489</v>
      </c>
      <c r="D1210">
        <v>3</v>
      </c>
      <c r="E1210">
        <f t="shared" si="37"/>
        <v>4.3362046056062392E-2</v>
      </c>
    </row>
    <row r="1211" spans="1:5" x14ac:dyDescent="0.25">
      <c r="A1211">
        <v>3</v>
      </c>
      <c r="B1211">
        <v>5.6000000000000001E-2</v>
      </c>
      <c r="C1211">
        <f t="shared" si="36"/>
        <v>1.4197495595219964</v>
      </c>
      <c r="D1211">
        <v>3</v>
      </c>
      <c r="E1211">
        <f t="shared" si="37"/>
        <v>4.3362046056062392E-2</v>
      </c>
    </row>
    <row r="1212" spans="1:5" x14ac:dyDescent="0.25">
      <c r="A1212">
        <v>3</v>
      </c>
      <c r="B1212">
        <v>5.6000000000000001E-2</v>
      </c>
      <c r="C1212">
        <f t="shared" si="36"/>
        <v>1.4197495595219964</v>
      </c>
      <c r="D1212">
        <v>3</v>
      </c>
      <c r="E1212">
        <f t="shared" si="37"/>
        <v>4.3362046056062392E-2</v>
      </c>
    </row>
    <row r="1213" spans="1:5" x14ac:dyDescent="0.25">
      <c r="A1213">
        <v>3</v>
      </c>
      <c r="B1213">
        <v>5.6000000000000001E-2</v>
      </c>
      <c r="C1213">
        <f t="shared" si="36"/>
        <v>1.4197495595219964</v>
      </c>
      <c r="D1213">
        <v>3</v>
      </c>
      <c r="E1213">
        <f t="shared" si="37"/>
        <v>4.3362046056062392E-2</v>
      </c>
    </row>
    <row r="1214" spans="1:5" x14ac:dyDescent="0.25">
      <c r="A1214">
        <v>3</v>
      </c>
      <c r="B1214">
        <v>5.6000000000000001E-2</v>
      </c>
      <c r="C1214">
        <f t="shared" si="36"/>
        <v>1.4197495595219964</v>
      </c>
      <c r="D1214">
        <v>3</v>
      </c>
      <c r="E1214">
        <f t="shared" si="37"/>
        <v>4.3362046056062392E-2</v>
      </c>
    </row>
    <row r="1215" spans="1:5" x14ac:dyDescent="0.25">
      <c r="A1215">
        <v>3</v>
      </c>
      <c r="B1215">
        <v>5.6000000000000001E-2</v>
      </c>
      <c r="C1215">
        <f t="shared" si="36"/>
        <v>1.4197495595219964</v>
      </c>
      <c r="D1215">
        <v>3</v>
      </c>
      <c r="E1215">
        <f t="shared" si="37"/>
        <v>4.3362046056062392E-2</v>
      </c>
    </row>
    <row r="1216" spans="1:5" x14ac:dyDescent="0.25">
      <c r="A1216">
        <v>3</v>
      </c>
      <c r="B1216">
        <v>5.60747663551402E-2</v>
      </c>
      <c r="C1216">
        <f t="shared" si="36"/>
        <v>1.419805622566654</v>
      </c>
      <c r="D1216">
        <v>3</v>
      </c>
      <c r="E1216">
        <f t="shared" si="37"/>
        <v>4.3362046056062392E-2</v>
      </c>
    </row>
    <row r="1217" spans="1:5" x14ac:dyDescent="0.25">
      <c r="A1217">
        <v>3</v>
      </c>
      <c r="B1217">
        <v>5.6886227544910198E-2</v>
      </c>
      <c r="C1217">
        <f t="shared" si="36"/>
        <v>1.4204076240144667</v>
      </c>
      <c r="D1217">
        <v>3</v>
      </c>
      <c r="E1217">
        <f t="shared" si="37"/>
        <v>4.3362046056062392E-2</v>
      </c>
    </row>
    <row r="1218" spans="1:5" x14ac:dyDescent="0.25">
      <c r="A1218">
        <v>3</v>
      </c>
      <c r="B1218">
        <v>5.6886227544910198E-2</v>
      </c>
      <c r="C1218">
        <f t="shared" ref="C1218:C1281" si="38">_xlfn.NORM.DIST(B1218, I$10,I$13,FALSE)</f>
        <v>1.4204076240144667</v>
      </c>
      <c r="D1218">
        <v>3</v>
      </c>
      <c r="E1218">
        <f t="shared" si="37"/>
        <v>4.3362046056062392E-2</v>
      </c>
    </row>
    <row r="1219" spans="1:5" x14ac:dyDescent="0.25">
      <c r="A1219">
        <v>3</v>
      </c>
      <c r="B1219">
        <v>5.7057057057057103E-2</v>
      </c>
      <c r="C1219">
        <f t="shared" si="38"/>
        <v>1.4205328479704082</v>
      </c>
      <c r="D1219">
        <v>3</v>
      </c>
      <c r="E1219">
        <f t="shared" ref="E1219:E1282" si="39">_xlfn.NORM.DIST(D1219, I$4,I$7,FALSE)</f>
        <v>4.3362046056062392E-2</v>
      </c>
    </row>
    <row r="1220" spans="1:5" x14ac:dyDescent="0.25">
      <c r="A1220">
        <v>3</v>
      </c>
      <c r="B1220">
        <v>5.7057057057057103E-2</v>
      </c>
      <c r="C1220">
        <f t="shared" si="38"/>
        <v>1.4205328479704082</v>
      </c>
      <c r="D1220">
        <v>3</v>
      </c>
      <c r="E1220">
        <f t="shared" si="39"/>
        <v>4.3362046056062392E-2</v>
      </c>
    </row>
    <row r="1221" spans="1:5" x14ac:dyDescent="0.25">
      <c r="A1221">
        <v>3</v>
      </c>
      <c r="B1221">
        <v>5.7057057057057103E-2</v>
      </c>
      <c r="C1221">
        <f t="shared" si="38"/>
        <v>1.4205328479704082</v>
      </c>
      <c r="D1221">
        <v>3</v>
      </c>
      <c r="E1221">
        <f t="shared" si="39"/>
        <v>4.3362046056062392E-2</v>
      </c>
    </row>
    <row r="1222" spans="1:5" x14ac:dyDescent="0.25">
      <c r="A1222">
        <v>3</v>
      </c>
      <c r="B1222">
        <v>5.7057057057057103E-2</v>
      </c>
      <c r="C1222">
        <f t="shared" si="38"/>
        <v>1.4205328479704082</v>
      </c>
      <c r="D1222">
        <v>3</v>
      </c>
      <c r="E1222">
        <f t="shared" si="39"/>
        <v>4.3362046056062392E-2</v>
      </c>
    </row>
    <row r="1223" spans="1:5" x14ac:dyDescent="0.25">
      <c r="A1223">
        <v>3</v>
      </c>
      <c r="B1223">
        <v>5.7057057057057103E-2</v>
      </c>
      <c r="C1223">
        <f t="shared" si="38"/>
        <v>1.4205328479704082</v>
      </c>
      <c r="D1223">
        <v>3</v>
      </c>
      <c r="E1223">
        <f t="shared" si="39"/>
        <v>4.3362046056062392E-2</v>
      </c>
    </row>
    <row r="1224" spans="1:5" x14ac:dyDescent="0.25">
      <c r="A1224">
        <v>3</v>
      </c>
      <c r="B1224">
        <v>5.7057057057057103E-2</v>
      </c>
      <c r="C1224">
        <f t="shared" si="38"/>
        <v>1.4205328479704082</v>
      </c>
      <c r="D1224">
        <v>3</v>
      </c>
      <c r="E1224">
        <f t="shared" si="39"/>
        <v>4.3362046056062392E-2</v>
      </c>
    </row>
    <row r="1225" spans="1:5" x14ac:dyDescent="0.25">
      <c r="A1225">
        <v>3</v>
      </c>
      <c r="B1225">
        <v>5.7057057057057103E-2</v>
      </c>
      <c r="C1225">
        <f t="shared" si="38"/>
        <v>1.4205328479704082</v>
      </c>
      <c r="D1225">
        <v>3</v>
      </c>
      <c r="E1225">
        <f t="shared" si="39"/>
        <v>4.3362046056062392E-2</v>
      </c>
    </row>
    <row r="1226" spans="1:5" x14ac:dyDescent="0.25">
      <c r="A1226">
        <v>3</v>
      </c>
      <c r="B1226">
        <v>5.7057057057057103E-2</v>
      </c>
      <c r="C1226">
        <f t="shared" si="38"/>
        <v>1.4205328479704082</v>
      </c>
      <c r="D1226">
        <v>3</v>
      </c>
      <c r="E1226">
        <f t="shared" si="39"/>
        <v>4.3362046056062392E-2</v>
      </c>
    </row>
    <row r="1227" spans="1:5" x14ac:dyDescent="0.25">
      <c r="A1227">
        <v>3</v>
      </c>
      <c r="B1227">
        <v>5.8000000000000003E-2</v>
      </c>
      <c r="C1227">
        <f t="shared" si="38"/>
        <v>1.421214598366181</v>
      </c>
      <c r="D1227">
        <v>3</v>
      </c>
      <c r="E1227">
        <f t="shared" si="39"/>
        <v>4.3362046056062392E-2</v>
      </c>
    </row>
    <row r="1228" spans="1:5" x14ac:dyDescent="0.25">
      <c r="A1228">
        <v>3</v>
      </c>
      <c r="B1228">
        <v>5.8000000000000003E-2</v>
      </c>
      <c r="C1228">
        <f t="shared" si="38"/>
        <v>1.421214598366181</v>
      </c>
      <c r="D1228">
        <v>3</v>
      </c>
      <c r="E1228">
        <f t="shared" si="39"/>
        <v>4.3362046056062392E-2</v>
      </c>
    </row>
    <row r="1229" spans="1:5" x14ac:dyDescent="0.25">
      <c r="A1229">
        <v>3</v>
      </c>
      <c r="B1229">
        <v>5.83333333333333E-2</v>
      </c>
      <c r="C1229">
        <f t="shared" si="38"/>
        <v>1.4214517645921609</v>
      </c>
      <c r="D1229">
        <v>3</v>
      </c>
      <c r="E1229">
        <f t="shared" si="39"/>
        <v>4.3362046056062392E-2</v>
      </c>
    </row>
    <row r="1230" spans="1:5" x14ac:dyDescent="0.25">
      <c r="A1230">
        <v>3</v>
      </c>
      <c r="B1230">
        <v>5.8411214953271E-2</v>
      </c>
      <c r="C1230">
        <f t="shared" si="38"/>
        <v>1.4215068883848117</v>
      </c>
      <c r="D1230">
        <v>3</v>
      </c>
      <c r="E1230">
        <f t="shared" si="39"/>
        <v>4.3362046056062392E-2</v>
      </c>
    </row>
    <row r="1231" spans="1:5" x14ac:dyDescent="0.25">
      <c r="A1231">
        <v>3</v>
      </c>
      <c r="B1231">
        <v>5.86666666666667E-2</v>
      </c>
      <c r="C1231">
        <f t="shared" si="38"/>
        <v>1.4216869261036633</v>
      </c>
      <c r="D1231">
        <v>3</v>
      </c>
      <c r="E1231">
        <f t="shared" si="39"/>
        <v>4.3362046056062392E-2</v>
      </c>
    </row>
    <row r="1232" spans="1:5" x14ac:dyDescent="0.25">
      <c r="A1232">
        <v>3</v>
      </c>
      <c r="B1232">
        <v>5.86666666666667E-2</v>
      </c>
      <c r="C1232">
        <f t="shared" si="38"/>
        <v>1.4216869261036633</v>
      </c>
      <c r="D1232">
        <v>3</v>
      </c>
      <c r="E1232">
        <f t="shared" si="39"/>
        <v>4.3362046056062392E-2</v>
      </c>
    </row>
    <row r="1233" spans="1:5" x14ac:dyDescent="0.25">
      <c r="A1233">
        <v>3</v>
      </c>
      <c r="B1233">
        <v>5.86666666666667E-2</v>
      </c>
      <c r="C1233">
        <f t="shared" si="38"/>
        <v>1.4216869261036633</v>
      </c>
      <c r="D1233">
        <v>4</v>
      </c>
      <c r="E1233">
        <f t="shared" si="39"/>
        <v>4.3989984930821201E-2</v>
      </c>
    </row>
    <row r="1234" spans="1:5" x14ac:dyDescent="0.25">
      <c r="A1234">
        <v>3</v>
      </c>
      <c r="B1234">
        <v>5.86666666666667E-2</v>
      </c>
      <c r="C1234">
        <f t="shared" si="38"/>
        <v>1.4216869261036633</v>
      </c>
      <c r="D1234">
        <v>4</v>
      </c>
      <c r="E1234">
        <f t="shared" si="39"/>
        <v>4.3989984930821201E-2</v>
      </c>
    </row>
    <row r="1235" spans="1:5" x14ac:dyDescent="0.25">
      <c r="A1235">
        <v>3</v>
      </c>
      <c r="B1235">
        <v>5.86666666666667E-2</v>
      </c>
      <c r="C1235">
        <f t="shared" si="38"/>
        <v>1.4216869261036633</v>
      </c>
      <c r="D1235">
        <v>4</v>
      </c>
      <c r="E1235">
        <f t="shared" si="39"/>
        <v>4.3989984930821201E-2</v>
      </c>
    </row>
    <row r="1236" spans="1:5" x14ac:dyDescent="0.25">
      <c r="A1236">
        <v>3</v>
      </c>
      <c r="B1236">
        <v>5.86666666666667E-2</v>
      </c>
      <c r="C1236">
        <f t="shared" si="38"/>
        <v>1.4216869261036633</v>
      </c>
      <c r="D1236">
        <v>4</v>
      </c>
      <c r="E1236">
        <f t="shared" si="39"/>
        <v>4.3989984930821201E-2</v>
      </c>
    </row>
    <row r="1237" spans="1:5" x14ac:dyDescent="0.25">
      <c r="A1237">
        <v>3</v>
      </c>
      <c r="B1237">
        <v>5.86666666666667E-2</v>
      </c>
      <c r="C1237">
        <f t="shared" si="38"/>
        <v>1.4216869261036633</v>
      </c>
      <c r="D1237">
        <v>4</v>
      </c>
      <c r="E1237">
        <f t="shared" si="39"/>
        <v>4.3989984930821201E-2</v>
      </c>
    </row>
    <row r="1238" spans="1:5" x14ac:dyDescent="0.25">
      <c r="A1238">
        <v>3</v>
      </c>
      <c r="B1238">
        <v>0.06</v>
      </c>
      <c r="C1238">
        <f t="shared" si="38"/>
        <v>1.4226075049721767</v>
      </c>
      <c r="D1238">
        <v>4</v>
      </c>
      <c r="E1238">
        <f t="shared" si="39"/>
        <v>4.3989984930821201E-2</v>
      </c>
    </row>
    <row r="1239" spans="1:5" x14ac:dyDescent="0.25">
      <c r="A1239">
        <v>3</v>
      </c>
      <c r="B1239">
        <v>6.0060060060060101E-2</v>
      </c>
      <c r="C1239">
        <f t="shared" si="38"/>
        <v>1.4226482161304999</v>
      </c>
      <c r="D1239">
        <v>4</v>
      </c>
      <c r="E1239">
        <f t="shared" si="39"/>
        <v>4.3989984930821201E-2</v>
      </c>
    </row>
    <row r="1240" spans="1:5" x14ac:dyDescent="0.25">
      <c r="A1240">
        <v>3</v>
      </c>
      <c r="B1240">
        <v>6.0060060060060101E-2</v>
      </c>
      <c r="C1240">
        <f t="shared" si="38"/>
        <v>1.4226482161304999</v>
      </c>
      <c r="D1240">
        <v>4</v>
      </c>
      <c r="E1240">
        <f t="shared" si="39"/>
        <v>4.3989984930821201E-2</v>
      </c>
    </row>
    <row r="1241" spans="1:5" x14ac:dyDescent="0.25">
      <c r="A1241">
        <v>3</v>
      </c>
      <c r="B1241">
        <v>6.0060060060060101E-2</v>
      </c>
      <c r="C1241">
        <f t="shared" si="38"/>
        <v>1.4226482161304999</v>
      </c>
      <c r="D1241">
        <v>4</v>
      </c>
      <c r="E1241">
        <f t="shared" si="39"/>
        <v>4.3989984930821201E-2</v>
      </c>
    </row>
    <row r="1242" spans="1:5" x14ac:dyDescent="0.25">
      <c r="A1242">
        <v>3</v>
      </c>
      <c r="B1242">
        <v>6.0060060060060101E-2</v>
      </c>
      <c r="C1242">
        <f t="shared" si="38"/>
        <v>1.4226482161304999</v>
      </c>
      <c r="D1242">
        <v>4</v>
      </c>
      <c r="E1242">
        <f t="shared" si="39"/>
        <v>4.3989984930821201E-2</v>
      </c>
    </row>
    <row r="1243" spans="1:5" x14ac:dyDescent="0.25">
      <c r="A1243">
        <v>3</v>
      </c>
      <c r="B1243">
        <v>6.0060060060060101E-2</v>
      </c>
      <c r="C1243">
        <f t="shared" si="38"/>
        <v>1.4226482161304999</v>
      </c>
      <c r="D1243">
        <v>4</v>
      </c>
      <c r="E1243">
        <f t="shared" si="39"/>
        <v>4.3989984930821201E-2</v>
      </c>
    </row>
    <row r="1244" spans="1:5" x14ac:dyDescent="0.25">
      <c r="A1244">
        <v>3</v>
      </c>
      <c r="B1244">
        <v>6.0606060606060601E-2</v>
      </c>
      <c r="C1244">
        <f t="shared" si="38"/>
        <v>1.4230153240270444</v>
      </c>
      <c r="D1244">
        <v>4</v>
      </c>
      <c r="E1244">
        <f t="shared" si="39"/>
        <v>4.3989984930821201E-2</v>
      </c>
    </row>
    <row r="1245" spans="1:5" x14ac:dyDescent="0.25">
      <c r="A1245">
        <v>3</v>
      </c>
      <c r="B1245">
        <v>6.0747663551401897E-2</v>
      </c>
      <c r="C1245">
        <f t="shared" si="38"/>
        <v>1.4231096507823424</v>
      </c>
      <c r="D1245">
        <v>4</v>
      </c>
      <c r="E1245">
        <f t="shared" si="39"/>
        <v>4.3989984930821201E-2</v>
      </c>
    </row>
    <row r="1246" spans="1:5" x14ac:dyDescent="0.25">
      <c r="A1246">
        <v>3</v>
      </c>
      <c r="B1246">
        <v>6.1333333333333302E-2</v>
      </c>
      <c r="C1246">
        <f t="shared" si="38"/>
        <v>1.4234959292981284</v>
      </c>
      <c r="D1246">
        <v>4</v>
      </c>
      <c r="E1246">
        <f t="shared" si="39"/>
        <v>4.3989984930821201E-2</v>
      </c>
    </row>
    <row r="1247" spans="1:5" x14ac:dyDescent="0.25">
      <c r="A1247">
        <v>3</v>
      </c>
      <c r="B1247">
        <v>6.1333333333333302E-2</v>
      </c>
      <c r="C1247">
        <f t="shared" si="38"/>
        <v>1.4234959292981284</v>
      </c>
      <c r="D1247">
        <v>4</v>
      </c>
      <c r="E1247">
        <f t="shared" si="39"/>
        <v>4.3989984930821201E-2</v>
      </c>
    </row>
    <row r="1248" spans="1:5" x14ac:dyDescent="0.25">
      <c r="A1248">
        <v>3</v>
      </c>
      <c r="B1248">
        <v>6.1333333333333302E-2</v>
      </c>
      <c r="C1248">
        <f t="shared" si="38"/>
        <v>1.4234959292981284</v>
      </c>
      <c r="D1248">
        <v>4</v>
      </c>
      <c r="E1248">
        <f t="shared" si="39"/>
        <v>4.3989984930821201E-2</v>
      </c>
    </row>
    <row r="1249" spans="1:5" x14ac:dyDescent="0.25">
      <c r="A1249">
        <v>3</v>
      </c>
      <c r="B1249">
        <v>6.1333333333333302E-2</v>
      </c>
      <c r="C1249">
        <f t="shared" si="38"/>
        <v>1.4234959292981284</v>
      </c>
      <c r="D1249">
        <v>4</v>
      </c>
      <c r="E1249">
        <f t="shared" si="39"/>
        <v>4.3989984930821201E-2</v>
      </c>
    </row>
    <row r="1250" spans="1:5" x14ac:dyDescent="0.25">
      <c r="A1250">
        <v>3</v>
      </c>
      <c r="B1250">
        <v>6.1333333333333302E-2</v>
      </c>
      <c r="C1250">
        <f t="shared" si="38"/>
        <v>1.4234959292981284</v>
      </c>
      <c r="D1250">
        <v>4</v>
      </c>
      <c r="E1250">
        <f t="shared" si="39"/>
        <v>4.3989984930821201E-2</v>
      </c>
    </row>
    <row r="1251" spans="1:5" x14ac:dyDescent="0.25">
      <c r="A1251">
        <v>3</v>
      </c>
      <c r="B1251">
        <v>6.2E-2</v>
      </c>
      <c r="C1251">
        <f t="shared" si="38"/>
        <v>1.4239280643683123</v>
      </c>
      <c r="D1251">
        <v>4</v>
      </c>
      <c r="E1251">
        <f t="shared" si="39"/>
        <v>4.3989984930821201E-2</v>
      </c>
    </row>
    <row r="1252" spans="1:5" x14ac:dyDescent="0.25">
      <c r="A1252">
        <v>3</v>
      </c>
      <c r="B1252">
        <v>6.2E-2</v>
      </c>
      <c r="C1252">
        <f t="shared" si="38"/>
        <v>1.4239280643683123</v>
      </c>
      <c r="D1252">
        <v>4</v>
      </c>
      <c r="E1252">
        <f t="shared" si="39"/>
        <v>4.3989984930821201E-2</v>
      </c>
    </row>
    <row r="1253" spans="1:5" x14ac:dyDescent="0.25">
      <c r="A1253">
        <v>3</v>
      </c>
      <c r="B1253">
        <v>6.2874251497005998E-2</v>
      </c>
      <c r="C1253">
        <f t="shared" si="38"/>
        <v>1.4244825380194814</v>
      </c>
      <c r="D1253">
        <v>4</v>
      </c>
      <c r="E1253">
        <f t="shared" si="39"/>
        <v>4.3989984930821201E-2</v>
      </c>
    </row>
    <row r="1254" spans="1:5" x14ac:dyDescent="0.25">
      <c r="A1254">
        <v>3</v>
      </c>
      <c r="B1254">
        <v>6.2937062937062901E-2</v>
      </c>
      <c r="C1254">
        <f t="shared" si="38"/>
        <v>1.4245218404898208</v>
      </c>
      <c r="D1254">
        <v>4</v>
      </c>
      <c r="E1254">
        <f t="shared" si="39"/>
        <v>4.3989984930821201E-2</v>
      </c>
    </row>
    <row r="1255" spans="1:5" x14ac:dyDescent="0.25">
      <c r="A1255">
        <v>3</v>
      </c>
      <c r="B1255">
        <v>6.2937062937062901E-2</v>
      </c>
      <c r="C1255">
        <f t="shared" si="38"/>
        <v>1.4245218404898208</v>
      </c>
      <c r="D1255">
        <v>4</v>
      </c>
      <c r="E1255">
        <f t="shared" si="39"/>
        <v>4.3989984930821201E-2</v>
      </c>
    </row>
    <row r="1256" spans="1:5" x14ac:dyDescent="0.25">
      <c r="A1256">
        <v>3</v>
      </c>
      <c r="B1256">
        <v>6.2937062937062901E-2</v>
      </c>
      <c r="C1256">
        <f t="shared" si="38"/>
        <v>1.4245218404898208</v>
      </c>
      <c r="D1256">
        <v>4</v>
      </c>
      <c r="E1256">
        <f t="shared" si="39"/>
        <v>4.3989984930821201E-2</v>
      </c>
    </row>
    <row r="1257" spans="1:5" x14ac:dyDescent="0.25">
      <c r="A1257">
        <v>3</v>
      </c>
      <c r="B1257">
        <v>6.2937062937062901E-2</v>
      </c>
      <c r="C1257">
        <f t="shared" si="38"/>
        <v>1.4245218404898208</v>
      </c>
      <c r="D1257">
        <v>4</v>
      </c>
      <c r="E1257">
        <f t="shared" si="39"/>
        <v>4.3989984930821201E-2</v>
      </c>
    </row>
    <row r="1258" spans="1:5" x14ac:dyDescent="0.25">
      <c r="A1258">
        <v>3</v>
      </c>
      <c r="B1258">
        <v>6.2937062937062901E-2</v>
      </c>
      <c r="C1258">
        <f t="shared" si="38"/>
        <v>1.4245218404898208</v>
      </c>
      <c r="D1258">
        <v>4</v>
      </c>
      <c r="E1258">
        <f t="shared" si="39"/>
        <v>4.3989984930821201E-2</v>
      </c>
    </row>
    <row r="1259" spans="1:5" x14ac:dyDescent="0.25">
      <c r="A1259">
        <v>3</v>
      </c>
      <c r="B1259">
        <v>6.3063063063063099E-2</v>
      </c>
      <c r="C1259">
        <f t="shared" si="38"/>
        <v>1.4246004654482423</v>
      </c>
      <c r="D1259">
        <v>4</v>
      </c>
      <c r="E1259">
        <f t="shared" si="39"/>
        <v>4.3989984930821201E-2</v>
      </c>
    </row>
    <row r="1260" spans="1:5" x14ac:dyDescent="0.25">
      <c r="A1260">
        <v>3</v>
      </c>
      <c r="B1260">
        <v>6.3063063063063099E-2</v>
      </c>
      <c r="C1260">
        <f t="shared" si="38"/>
        <v>1.4246004654482423</v>
      </c>
      <c r="D1260">
        <v>4</v>
      </c>
      <c r="E1260">
        <f t="shared" si="39"/>
        <v>4.3989984930821201E-2</v>
      </c>
    </row>
    <row r="1261" spans="1:5" x14ac:dyDescent="0.25">
      <c r="A1261">
        <v>3</v>
      </c>
      <c r="B1261">
        <v>6.3084112149532703E-2</v>
      </c>
      <c r="C1261">
        <f t="shared" si="38"/>
        <v>1.4246135721154187</v>
      </c>
      <c r="D1261">
        <v>4</v>
      </c>
      <c r="E1261">
        <f t="shared" si="39"/>
        <v>4.3989984930821201E-2</v>
      </c>
    </row>
    <row r="1262" spans="1:5" x14ac:dyDescent="0.25">
      <c r="A1262">
        <v>3</v>
      </c>
      <c r="B1262">
        <v>6.3084112149532703E-2</v>
      </c>
      <c r="C1262">
        <f t="shared" si="38"/>
        <v>1.4246135721154187</v>
      </c>
      <c r="D1262">
        <v>4</v>
      </c>
      <c r="E1262">
        <f t="shared" si="39"/>
        <v>4.3989984930821201E-2</v>
      </c>
    </row>
    <row r="1263" spans="1:5" x14ac:dyDescent="0.25">
      <c r="A1263">
        <v>3</v>
      </c>
      <c r="B1263">
        <v>6.3084112149532703E-2</v>
      </c>
      <c r="C1263">
        <f t="shared" si="38"/>
        <v>1.4246135721154187</v>
      </c>
      <c r="D1263">
        <v>4</v>
      </c>
      <c r="E1263">
        <f t="shared" si="39"/>
        <v>4.3989984930821201E-2</v>
      </c>
    </row>
    <row r="1264" spans="1:5" x14ac:dyDescent="0.25">
      <c r="A1264">
        <v>3</v>
      </c>
      <c r="B1264">
        <v>6.3084112149532703E-2</v>
      </c>
      <c r="C1264">
        <f t="shared" si="38"/>
        <v>1.4246135721154187</v>
      </c>
      <c r="D1264">
        <v>4</v>
      </c>
      <c r="E1264">
        <f t="shared" si="39"/>
        <v>4.3989984930821201E-2</v>
      </c>
    </row>
    <row r="1265" spans="1:5" x14ac:dyDescent="0.25">
      <c r="A1265">
        <v>3</v>
      </c>
      <c r="B1265">
        <v>6.4000000000000001E-2</v>
      </c>
      <c r="C1265">
        <f t="shared" si="38"/>
        <v>1.425176072618104</v>
      </c>
      <c r="D1265">
        <v>4</v>
      </c>
      <c r="E1265">
        <f t="shared" si="39"/>
        <v>4.3989984930821201E-2</v>
      </c>
    </row>
    <row r="1266" spans="1:5" x14ac:dyDescent="0.25">
      <c r="A1266">
        <v>3</v>
      </c>
      <c r="B1266">
        <v>6.4000000000000001E-2</v>
      </c>
      <c r="C1266">
        <f t="shared" si="38"/>
        <v>1.425176072618104</v>
      </c>
      <c r="D1266">
        <v>4</v>
      </c>
      <c r="E1266">
        <f t="shared" si="39"/>
        <v>4.3989984930821201E-2</v>
      </c>
    </row>
    <row r="1267" spans="1:5" x14ac:dyDescent="0.25">
      <c r="A1267">
        <v>3</v>
      </c>
      <c r="B1267">
        <v>6.4000000000000001E-2</v>
      </c>
      <c r="C1267">
        <f t="shared" si="38"/>
        <v>1.425176072618104</v>
      </c>
      <c r="D1267">
        <v>4</v>
      </c>
      <c r="E1267">
        <f t="shared" si="39"/>
        <v>4.3989984930821201E-2</v>
      </c>
    </row>
    <row r="1268" spans="1:5" x14ac:dyDescent="0.25">
      <c r="A1268">
        <v>3</v>
      </c>
      <c r="B1268">
        <v>6.5268065268065306E-2</v>
      </c>
      <c r="C1268">
        <f t="shared" si="38"/>
        <v>1.4259296798184502</v>
      </c>
      <c r="D1268">
        <v>4</v>
      </c>
      <c r="E1268">
        <f t="shared" si="39"/>
        <v>4.3989984930821201E-2</v>
      </c>
    </row>
    <row r="1269" spans="1:5" x14ac:dyDescent="0.25">
      <c r="A1269">
        <v>3</v>
      </c>
      <c r="B1269">
        <v>6.5268065268065306E-2</v>
      </c>
      <c r="C1269">
        <f t="shared" si="38"/>
        <v>1.4259296798184502</v>
      </c>
      <c r="D1269">
        <v>4</v>
      </c>
      <c r="E1269">
        <f t="shared" si="39"/>
        <v>4.3989984930821201E-2</v>
      </c>
    </row>
    <row r="1270" spans="1:5" x14ac:dyDescent="0.25">
      <c r="A1270">
        <v>3</v>
      </c>
      <c r="B1270">
        <v>6.5268065268065306E-2</v>
      </c>
      <c r="C1270">
        <f t="shared" si="38"/>
        <v>1.4259296798184502</v>
      </c>
      <c r="D1270">
        <v>4</v>
      </c>
      <c r="E1270">
        <f t="shared" si="39"/>
        <v>4.3989984930821201E-2</v>
      </c>
    </row>
    <row r="1271" spans="1:5" x14ac:dyDescent="0.25">
      <c r="A1271">
        <v>3</v>
      </c>
      <c r="B1271">
        <v>6.5268065268065306E-2</v>
      </c>
      <c r="C1271">
        <f t="shared" si="38"/>
        <v>1.4259296798184502</v>
      </c>
      <c r="D1271">
        <v>4</v>
      </c>
      <c r="E1271">
        <f t="shared" si="39"/>
        <v>4.3989984930821201E-2</v>
      </c>
    </row>
    <row r="1272" spans="1:5" x14ac:dyDescent="0.25">
      <c r="A1272">
        <v>3</v>
      </c>
      <c r="B1272">
        <v>6.5268065268065306E-2</v>
      </c>
      <c r="C1272">
        <f t="shared" si="38"/>
        <v>1.4259296798184502</v>
      </c>
      <c r="D1272">
        <v>4</v>
      </c>
      <c r="E1272">
        <f t="shared" si="39"/>
        <v>4.3989984930821201E-2</v>
      </c>
    </row>
    <row r="1273" spans="1:5" x14ac:dyDescent="0.25">
      <c r="A1273">
        <v>3</v>
      </c>
      <c r="B1273">
        <v>6.5420560747663503E-2</v>
      </c>
      <c r="C1273">
        <f t="shared" si="38"/>
        <v>1.4260183353305034</v>
      </c>
      <c r="D1273">
        <v>4</v>
      </c>
      <c r="E1273">
        <f t="shared" si="39"/>
        <v>4.3989984930821201E-2</v>
      </c>
    </row>
    <row r="1274" spans="1:5" x14ac:dyDescent="0.25">
      <c r="A1274">
        <v>3</v>
      </c>
      <c r="B1274">
        <v>6.5868263473053898E-2</v>
      </c>
      <c r="C1274">
        <f t="shared" si="38"/>
        <v>1.4262761658760683</v>
      </c>
      <c r="D1274">
        <v>4</v>
      </c>
      <c r="E1274">
        <f t="shared" si="39"/>
        <v>4.3989984930821201E-2</v>
      </c>
    </row>
    <row r="1275" spans="1:5" x14ac:dyDescent="0.25">
      <c r="A1275">
        <v>3</v>
      </c>
      <c r="B1275">
        <v>6.6000000000000003E-2</v>
      </c>
      <c r="C1275">
        <f t="shared" si="38"/>
        <v>1.4263513368727465</v>
      </c>
      <c r="D1275">
        <v>4</v>
      </c>
      <c r="E1275">
        <f t="shared" si="39"/>
        <v>4.3989984930821201E-2</v>
      </c>
    </row>
    <row r="1276" spans="1:5" x14ac:dyDescent="0.25">
      <c r="A1276">
        <v>3</v>
      </c>
      <c r="B1276">
        <v>6.6066066066066104E-2</v>
      </c>
      <c r="C1276">
        <f t="shared" si="38"/>
        <v>1.4263889161175822</v>
      </c>
      <c r="D1276">
        <v>4</v>
      </c>
      <c r="E1276">
        <f t="shared" si="39"/>
        <v>4.3989984930821201E-2</v>
      </c>
    </row>
    <row r="1277" spans="1:5" x14ac:dyDescent="0.25">
      <c r="A1277">
        <v>3</v>
      </c>
      <c r="B1277">
        <v>6.6066066066066104E-2</v>
      </c>
      <c r="C1277">
        <f t="shared" si="38"/>
        <v>1.4263889161175822</v>
      </c>
      <c r="D1277">
        <v>4</v>
      </c>
      <c r="E1277">
        <f t="shared" si="39"/>
        <v>4.3989984930821201E-2</v>
      </c>
    </row>
    <row r="1278" spans="1:5" x14ac:dyDescent="0.25">
      <c r="A1278">
        <v>3</v>
      </c>
      <c r="B1278">
        <v>6.6066066066066104E-2</v>
      </c>
      <c r="C1278">
        <f t="shared" si="38"/>
        <v>1.4263889161175822</v>
      </c>
      <c r="D1278">
        <v>4</v>
      </c>
      <c r="E1278">
        <f t="shared" si="39"/>
        <v>4.3989984930821201E-2</v>
      </c>
    </row>
    <row r="1279" spans="1:5" x14ac:dyDescent="0.25">
      <c r="A1279">
        <v>3</v>
      </c>
      <c r="B1279">
        <v>6.6066066066066104E-2</v>
      </c>
      <c r="C1279">
        <f t="shared" si="38"/>
        <v>1.4263889161175822</v>
      </c>
      <c r="D1279">
        <v>4</v>
      </c>
      <c r="E1279">
        <f t="shared" si="39"/>
        <v>4.3989984930821201E-2</v>
      </c>
    </row>
    <row r="1280" spans="1:5" x14ac:dyDescent="0.25">
      <c r="A1280">
        <v>3</v>
      </c>
      <c r="B1280">
        <v>6.6265060240963902E-2</v>
      </c>
      <c r="C1280">
        <f t="shared" si="38"/>
        <v>1.4265016257316385</v>
      </c>
      <c r="D1280">
        <v>4</v>
      </c>
      <c r="E1280">
        <f t="shared" si="39"/>
        <v>4.3989984930821201E-2</v>
      </c>
    </row>
    <row r="1281" spans="1:5" x14ac:dyDescent="0.25">
      <c r="A1281">
        <v>3</v>
      </c>
      <c r="B1281">
        <v>6.6666666666666693E-2</v>
      </c>
      <c r="C1281">
        <f t="shared" si="38"/>
        <v>1.4267268945633755</v>
      </c>
      <c r="D1281">
        <v>4</v>
      </c>
      <c r="E1281">
        <f t="shared" si="39"/>
        <v>4.3989984930821201E-2</v>
      </c>
    </row>
    <row r="1282" spans="1:5" x14ac:dyDescent="0.25">
      <c r="A1282">
        <v>3</v>
      </c>
      <c r="B1282">
        <v>6.6666666666666693E-2</v>
      </c>
      <c r="C1282">
        <f t="shared" ref="C1282:C1345" si="40">_xlfn.NORM.DIST(B1282, I$10,I$13,FALSE)</f>
        <v>1.4267268945633755</v>
      </c>
      <c r="D1282">
        <v>4</v>
      </c>
      <c r="E1282">
        <f t="shared" si="39"/>
        <v>4.3989984930821201E-2</v>
      </c>
    </row>
    <row r="1283" spans="1:5" x14ac:dyDescent="0.25">
      <c r="A1283">
        <v>3</v>
      </c>
      <c r="B1283">
        <v>6.6666666666666693E-2</v>
      </c>
      <c r="C1283">
        <f t="shared" si="40"/>
        <v>1.4267268945633755</v>
      </c>
      <c r="D1283">
        <v>4</v>
      </c>
      <c r="E1283">
        <f t="shared" ref="E1283:E1346" si="41">_xlfn.NORM.DIST(D1283, I$4,I$7,FALSE)</f>
        <v>4.3989984930821201E-2</v>
      </c>
    </row>
    <row r="1284" spans="1:5" x14ac:dyDescent="0.25">
      <c r="A1284">
        <v>3</v>
      </c>
      <c r="B1284">
        <v>6.75990675990676E-2</v>
      </c>
      <c r="C1284">
        <f t="shared" si="40"/>
        <v>1.427238546407632</v>
      </c>
      <c r="D1284">
        <v>4</v>
      </c>
      <c r="E1284">
        <f t="shared" si="41"/>
        <v>4.3989984930821201E-2</v>
      </c>
    </row>
    <row r="1285" spans="1:5" x14ac:dyDescent="0.25">
      <c r="A1285">
        <v>3</v>
      </c>
      <c r="B1285">
        <v>6.77570093457944E-2</v>
      </c>
      <c r="C1285">
        <f t="shared" si="40"/>
        <v>1.4273236440757451</v>
      </c>
      <c r="D1285">
        <v>4</v>
      </c>
      <c r="E1285">
        <f t="shared" si="41"/>
        <v>4.3989984930821201E-2</v>
      </c>
    </row>
    <row r="1286" spans="1:5" x14ac:dyDescent="0.25">
      <c r="A1286">
        <v>3</v>
      </c>
      <c r="B1286">
        <v>6.8000000000000005E-2</v>
      </c>
      <c r="C1286">
        <f t="shared" si="40"/>
        <v>1.4274536754207758</v>
      </c>
      <c r="D1286">
        <v>4</v>
      </c>
      <c r="E1286">
        <f t="shared" si="41"/>
        <v>4.3989984930821201E-2</v>
      </c>
    </row>
    <row r="1287" spans="1:5" x14ac:dyDescent="0.25">
      <c r="A1287">
        <v>3</v>
      </c>
      <c r="B1287">
        <v>6.9069069069069094E-2</v>
      </c>
      <c r="C1287">
        <f t="shared" si="40"/>
        <v>1.428012944821881</v>
      </c>
      <c r="D1287">
        <v>4</v>
      </c>
      <c r="E1287">
        <f t="shared" si="41"/>
        <v>4.3989984930821201E-2</v>
      </c>
    </row>
    <row r="1288" spans="1:5" x14ac:dyDescent="0.25">
      <c r="A1288">
        <v>3</v>
      </c>
      <c r="B1288">
        <v>6.9069069069069094E-2</v>
      </c>
      <c r="C1288">
        <f t="shared" si="40"/>
        <v>1.428012944821881</v>
      </c>
      <c r="D1288">
        <v>4</v>
      </c>
      <c r="E1288">
        <f t="shared" si="41"/>
        <v>4.3989984930821201E-2</v>
      </c>
    </row>
    <row r="1289" spans="1:5" x14ac:dyDescent="0.25">
      <c r="A1289">
        <v>3</v>
      </c>
      <c r="B1289">
        <v>6.9069069069069094E-2</v>
      </c>
      <c r="C1289">
        <f t="shared" si="40"/>
        <v>1.428012944821881</v>
      </c>
      <c r="D1289">
        <v>4</v>
      </c>
      <c r="E1289">
        <f t="shared" si="41"/>
        <v>4.3989984930821201E-2</v>
      </c>
    </row>
    <row r="1290" spans="1:5" x14ac:dyDescent="0.25">
      <c r="A1290">
        <v>3</v>
      </c>
      <c r="B1290">
        <v>6.9069069069069094E-2</v>
      </c>
      <c r="C1290">
        <f t="shared" si="40"/>
        <v>1.428012944821881</v>
      </c>
      <c r="D1290">
        <v>4</v>
      </c>
      <c r="E1290">
        <f t="shared" si="41"/>
        <v>4.3989984930821201E-2</v>
      </c>
    </row>
    <row r="1291" spans="1:5" x14ac:dyDescent="0.25">
      <c r="A1291">
        <v>3</v>
      </c>
      <c r="B1291">
        <v>6.9069069069069094E-2</v>
      </c>
      <c r="C1291">
        <f t="shared" si="40"/>
        <v>1.428012944821881</v>
      </c>
      <c r="D1291">
        <v>4</v>
      </c>
      <c r="E1291">
        <f t="shared" si="41"/>
        <v>4.3989984930821201E-2</v>
      </c>
    </row>
    <row r="1292" spans="1:5" x14ac:dyDescent="0.25">
      <c r="A1292">
        <v>3</v>
      </c>
      <c r="B1292">
        <v>6.9333333333333302E-2</v>
      </c>
      <c r="C1292">
        <f t="shared" si="40"/>
        <v>1.4281479688320671</v>
      </c>
      <c r="D1292">
        <v>4</v>
      </c>
      <c r="E1292">
        <f t="shared" si="41"/>
        <v>4.3989984930821201E-2</v>
      </c>
    </row>
    <row r="1293" spans="1:5" x14ac:dyDescent="0.25">
      <c r="A1293">
        <v>3</v>
      </c>
      <c r="B1293">
        <v>6.9333333333333302E-2</v>
      </c>
      <c r="C1293">
        <f t="shared" si="40"/>
        <v>1.4281479688320671</v>
      </c>
      <c r="D1293">
        <v>4</v>
      </c>
      <c r="E1293">
        <f t="shared" si="41"/>
        <v>4.3989984930821201E-2</v>
      </c>
    </row>
    <row r="1294" spans="1:5" x14ac:dyDescent="0.25">
      <c r="A1294">
        <v>3</v>
      </c>
      <c r="B1294">
        <v>6.9565217391304293E-2</v>
      </c>
      <c r="C1294">
        <f t="shared" si="40"/>
        <v>1.4282653956469731</v>
      </c>
      <c r="D1294">
        <v>4</v>
      </c>
      <c r="E1294">
        <f t="shared" si="41"/>
        <v>4.3989984930821201E-2</v>
      </c>
    </row>
    <row r="1295" spans="1:5" x14ac:dyDescent="0.25">
      <c r="A1295">
        <v>3</v>
      </c>
      <c r="B1295">
        <v>7.0000000000000007E-2</v>
      </c>
      <c r="C1295">
        <f t="shared" si="40"/>
        <v>1.4284829177348966</v>
      </c>
      <c r="D1295">
        <v>4</v>
      </c>
      <c r="E1295">
        <f t="shared" si="41"/>
        <v>4.3989984930821201E-2</v>
      </c>
    </row>
    <row r="1296" spans="1:5" x14ac:dyDescent="0.25">
      <c r="A1296">
        <v>3</v>
      </c>
      <c r="B1296">
        <v>7.0000000000000007E-2</v>
      </c>
      <c r="C1296">
        <f t="shared" si="40"/>
        <v>1.4284829177348966</v>
      </c>
      <c r="D1296">
        <v>4</v>
      </c>
      <c r="E1296">
        <f t="shared" si="41"/>
        <v>4.3989984930821201E-2</v>
      </c>
    </row>
    <row r="1297" spans="1:5" x14ac:dyDescent="0.25">
      <c r="A1297">
        <v>3</v>
      </c>
      <c r="B1297">
        <v>7.0000000000000007E-2</v>
      </c>
      <c r="C1297">
        <f t="shared" si="40"/>
        <v>1.4284829177348966</v>
      </c>
      <c r="D1297">
        <v>4</v>
      </c>
      <c r="E1297">
        <f t="shared" si="41"/>
        <v>4.3989984930821201E-2</v>
      </c>
    </row>
    <row r="1298" spans="1:5" x14ac:dyDescent="0.25">
      <c r="A1298">
        <v>3</v>
      </c>
      <c r="B1298">
        <v>7.0000000000000007E-2</v>
      </c>
      <c r="C1298">
        <f t="shared" si="40"/>
        <v>1.4284829177348966</v>
      </c>
      <c r="D1298">
        <v>4</v>
      </c>
      <c r="E1298">
        <f t="shared" si="41"/>
        <v>4.3989984930821201E-2</v>
      </c>
    </row>
    <row r="1299" spans="1:5" x14ac:dyDescent="0.25">
      <c r="A1299">
        <v>3</v>
      </c>
      <c r="B1299">
        <v>7.00934579439252E-2</v>
      </c>
      <c r="C1299">
        <f t="shared" si="40"/>
        <v>1.4285292228051754</v>
      </c>
      <c r="D1299">
        <v>4</v>
      </c>
      <c r="E1299">
        <f t="shared" si="41"/>
        <v>4.3989984930821201E-2</v>
      </c>
    </row>
    <row r="1300" spans="1:5" x14ac:dyDescent="0.25">
      <c r="A1300">
        <v>3</v>
      </c>
      <c r="B1300">
        <v>7.1666666666666698E-2</v>
      </c>
      <c r="C1300">
        <f t="shared" si="40"/>
        <v>1.4292846669974639</v>
      </c>
      <c r="D1300">
        <v>4</v>
      </c>
      <c r="E1300">
        <f t="shared" si="41"/>
        <v>4.3989984930821201E-2</v>
      </c>
    </row>
    <row r="1301" spans="1:5" x14ac:dyDescent="0.25">
      <c r="A1301">
        <v>3</v>
      </c>
      <c r="B1301">
        <v>7.1666666666666698E-2</v>
      </c>
      <c r="C1301">
        <f t="shared" si="40"/>
        <v>1.4292846669974639</v>
      </c>
      <c r="D1301">
        <v>4</v>
      </c>
      <c r="E1301">
        <f t="shared" si="41"/>
        <v>4.3989984930821201E-2</v>
      </c>
    </row>
    <row r="1302" spans="1:5" x14ac:dyDescent="0.25">
      <c r="A1302">
        <v>3</v>
      </c>
      <c r="B1302">
        <v>7.1999999999999995E-2</v>
      </c>
      <c r="C1302">
        <f t="shared" si="40"/>
        <v>1.4294389045159426</v>
      </c>
      <c r="D1302">
        <v>4</v>
      </c>
      <c r="E1302">
        <f t="shared" si="41"/>
        <v>4.3989984930821201E-2</v>
      </c>
    </row>
    <row r="1303" spans="1:5" x14ac:dyDescent="0.25">
      <c r="A1303">
        <v>3</v>
      </c>
      <c r="B1303">
        <v>7.1999999999999995E-2</v>
      </c>
      <c r="C1303">
        <f t="shared" si="40"/>
        <v>1.4294389045159426</v>
      </c>
      <c r="D1303">
        <v>4</v>
      </c>
      <c r="E1303">
        <f t="shared" si="41"/>
        <v>4.3989984930821201E-2</v>
      </c>
    </row>
    <row r="1304" spans="1:5" x14ac:dyDescent="0.25">
      <c r="A1304">
        <v>3</v>
      </c>
      <c r="B1304">
        <v>7.1999999999999995E-2</v>
      </c>
      <c r="C1304">
        <f t="shared" si="40"/>
        <v>1.4294389045159426</v>
      </c>
      <c r="D1304">
        <v>4</v>
      </c>
      <c r="E1304">
        <f t="shared" si="41"/>
        <v>4.3989984930821201E-2</v>
      </c>
    </row>
    <row r="1305" spans="1:5" x14ac:dyDescent="0.25">
      <c r="A1305">
        <v>3</v>
      </c>
      <c r="B1305">
        <v>7.1999999999999995E-2</v>
      </c>
      <c r="C1305">
        <f t="shared" si="40"/>
        <v>1.4294389045159426</v>
      </c>
      <c r="D1305">
        <v>4</v>
      </c>
      <c r="E1305">
        <f t="shared" si="41"/>
        <v>4.3989984930821201E-2</v>
      </c>
    </row>
    <row r="1306" spans="1:5" x14ac:dyDescent="0.25">
      <c r="A1306">
        <v>3</v>
      </c>
      <c r="B1306">
        <v>7.1999999999999995E-2</v>
      </c>
      <c r="C1306">
        <f t="shared" si="40"/>
        <v>1.4294389045159426</v>
      </c>
      <c r="D1306">
        <v>4</v>
      </c>
      <c r="E1306">
        <f t="shared" si="41"/>
        <v>4.3989984930821201E-2</v>
      </c>
    </row>
    <row r="1307" spans="1:5" x14ac:dyDescent="0.25">
      <c r="A1307">
        <v>3</v>
      </c>
      <c r="B1307">
        <v>7.2072072072072099E-2</v>
      </c>
      <c r="C1307">
        <f t="shared" si="40"/>
        <v>1.4294719850959656</v>
      </c>
      <c r="D1307">
        <v>4</v>
      </c>
      <c r="E1307">
        <f t="shared" si="41"/>
        <v>4.3989984930821201E-2</v>
      </c>
    </row>
    <row r="1308" spans="1:5" x14ac:dyDescent="0.25">
      <c r="A1308">
        <v>3</v>
      </c>
      <c r="B1308">
        <v>7.2072072072072099E-2</v>
      </c>
      <c r="C1308">
        <f t="shared" si="40"/>
        <v>1.4294719850959656</v>
      </c>
      <c r="D1308">
        <v>4</v>
      </c>
      <c r="E1308">
        <f t="shared" si="41"/>
        <v>4.3989984930821201E-2</v>
      </c>
    </row>
    <row r="1309" spans="1:5" x14ac:dyDescent="0.25">
      <c r="A1309">
        <v>3</v>
      </c>
      <c r="B1309">
        <v>7.2261072261072298E-2</v>
      </c>
      <c r="C1309">
        <f t="shared" si="40"/>
        <v>1.4295582820730037</v>
      </c>
      <c r="D1309">
        <v>4</v>
      </c>
      <c r="E1309">
        <f t="shared" si="41"/>
        <v>4.3989984930821201E-2</v>
      </c>
    </row>
    <row r="1310" spans="1:5" x14ac:dyDescent="0.25">
      <c r="A1310">
        <v>3</v>
      </c>
      <c r="B1310">
        <v>7.2429906542056097E-2</v>
      </c>
      <c r="C1310">
        <f t="shared" si="40"/>
        <v>1.4296348168756483</v>
      </c>
      <c r="D1310">
        <v>4</v>
      </c>
      <c r="E1310">
        <f t="shared" si="41"/>
        <v>4.3989984930821201E-2</v>
      </c>
    </row>
    <row r="1311" spans="1:5" x14ac:dyDescent="0.25">
      <c r="A1311">
        <v>3</v>
      </c>
      <c r="B1311">
        <v>7.2429906542056097E-2</v>
      </c>
      <c r="C1311">
        <f t="shared" si="40"/>
        <v>1.4296348168756483</v>
      </c>
      <c r="D1311">
        <v>4</v>
      </c>
      <c r="E1311">
        <f t="shared" si="41"/>
        <v>4.3989984930821201E-2</v>
      </c>
    </row>
    <row r="1312" spans="1:5" x14ac:dyDescent="0.25">
      <c r="A1312">
        <v>3</v>
      </c>
      <c r="B1312">
        <v>7.2463768115942004E-2</v>
      </c>
      <c r="C1312">
        <f t="shared" si="40"/>
        <v>1.4296501037722233</v>
      </c>
      <c r="D1312">
        <v>4</v>
      </c>
      <c r="E1312">
        <f t="shared" si="41"/>
        <v>4.3989984930821201E-2</v>
      </c>
    </row>
    <row r="1313" spans="1:5" x14ac:dyDescent="0.25">
      <c r="A1313">
        <v>3</v>
      </c>
      <c r="B1313">
        <v>7.3333333333333306E-2</v>
      </c>
      <c r="C1313">
        <f t="shared" si="40"/>
        <v>1.4300354579521333</v>
      </c>
      <c r="D1313">
        <v>4</v>
      </c>
      <c r="E1313">
        <f t="shared" si="41"/>
        <v>4.3989984930821201E-2</v>
      </c>
    </row>
    <row r="1314" spans="1:5" x14ac:dyDescent="0.25">
      <c r="A1314">
        <v>3</v>
      </c>
      <c r="B1314">
        <v>7.4592074592074606E-2</v>
      </c>
      <c r="C1314">
        <f t="shared" si="40"/>
        <v>1.4305686633468342</v>
      </c>
      <c r="D1314">
        <v>4</v>
      </c>
      <c r="E1314">
        <f t="shared" si="41"/>
        <v>4.3989984930821201E-2</v>
      </c>
    </row>
    <row r="1315" spans="1:5" x14ac:dyDescent="0.25">
      <c r="A1315">
        <v>3</v>
      </c>
      <c r="B1315">
        <v>7.4592074592074606E-2</v>
      </c>
      <c r="C1315">
        <f t="shared" si="40"/>
        <v>1.4305686633468342</v>
      </c>
      <c r="D1315">
        <v>4</v>
      </c>
      <c r="E1315">
        <f t="shared" si="41"/>
        <v>4.3989984930821201E-2</v>
      </c>
    </row>
    <row r="1316" spans="1:5" x14ac:dyDescent="0.25">
      <c r="A1316">
        <v>3</v>
      </c>
      <c r="B1316">
        <v>7.4666666666666701E-2</v>
      </c>
      <c r="C1316">
        <f t="shared" si="40"/>
        <v>1.4305993462796167</v>
      </c>
      <c r="D1316">
        <v>4</v>
      </c>
      <c r="E1316">
        <f t="shared" si="41"/>
        <v>4.3989984930821201E-2</v>
      </c>
    </row>
    <row r="1317" spans="1:5" x14ac:dyDescent="0.25">
      <c r="A1317">
        <v>3</v>
      </c>
      <c r="B1317">
        <v>7.4666666666666701E-2</v>
      </c>
      <c r="C1317">
        <f t="shared" si="40"/>
        <v>1.4305993462796167</v>
      </c>
      <c r="D1317">
        <v>4</v>
      </c>
      <c r="E1317">
        <f t="shared" si="41"/>
        <v>4.3989984930821201E-2</v>
      </c>
    </row>
    <row r="1318" spans="1:5" x14ac:dyDescent="0.25">
      <c r="A1318">
        <v>3</v>
      </c>
      <c r="B1318">
        <v>7.4666666666666701E-2</v>
      </c>
      <c r="C1318">
        <f t="shared" si="40"/>
        <v>1.4305993462796167</v>
      </c>
      <c r="D1318">
        <v>4</v>
      </c>
      <c r="E1318">
        <f t="shared" si="41"/>
        <v>4.3989984930821201E-2</v>
      </c>
    </row>
    <row r="1319" spans="1:5" x14ac:dyDescent="0.25">
      <c r="A1319">
        <v>3</v>
      </c>
      <c r="B1319">
        <v>7.4666666666666701E-2</v>
      </c>
      <c r="C1319">
        <f t="shared" si="40"/>
        <v>1.4305993462796167</v>
      </c>
      <c r="D1319">
        <v>4</v>
      </c>
      <c r="E1319">
        <f t="shared" si="41"/>
        <v>4.3989984930821201E-2</v>
      </c>
    </row>
    <row r="1320" spans="1:5" x14ac:dyDescent="0.25">
      <c r="A1320">
        <v>3</v>
      </c>
      <c r="B1320">
        <v>7.4666666666666701E-2</v>
      </c>
      <c r="C1320">
        <f t="shared" si="40"/>
        <v>1.4305993462796167</v>
      </c>
      <c r="D1320">
        <v>4</v>
      </c>
      <c r="E1320">
        <f t="shared" si="41"/>
        <v>4.3989984930821201E-2</v>
      </c>
    </row>
    <row r="1321" spans="1:5" x14ac:dyDescent="0.25">
      <c r="A1321">
        <v>3</v>
      </c>
      <c r="B1321">
        <v>7.4766355140186896E-2</v>
      </c>
      <c r="C1321">
        <f t="shared" si="40"/>
        <v>1.4306401926364838</v>
      </c>
      <c r="D1321">
        <v>4</v>
      </c>
      <c r="E1321">
        <f t="shared" si="41"/>
        <v>4.3989984930821201E-2</v>
      </c>
    </row>
    <row r="1322" spans="1:5" x14ac:dyDescent="0.25">
      <c r="A1322">
        <v>3</v>
      </c>
      <c r="B1322">
        <v>7.4850299401197598E-2</v>
      </c>
      <c r="C1322">
        <f t="shared" si="40"/>
        <v>1.4306744461609584</v>
      </c>
      <c r="D1322">
        <v>4</v>
      </c>
      <c r="E1322">
        <f t="shared" si="41"/>
        <v>4.3989984930821201E-2</v>
      </c>
    </row>
    <row r="1323" spans="1:5" x14ac:dyDescent="0.25">
      <c r="A1323">
        <v>3</v>
      </c>
      <c r="B1323">
        <v>7.5075075075075104E-2</v>
      </c>
      <c r="C1323">
        <f t="shared" si="40"/>
        <v>1.4307655276554216</v>
      </c>
      <c r="D1323">
        <v>4</v>
      </c>
      <c r="E1323">
        <f t="shared" si="41"/>
        <v>4.3989984930821201E-2</v>
      </c>
    </row>
    <row r="1324" spans="1:5" x14ac:dyDescent="0.25">
      <c r="A1324">
        <v>3</v>
      </c>
      <c r="B1324">
        <v>7.5075075075075104E-2</v>
      </c>
      <c r="C1324">
        <f t="shared" si="40"/>
        <v>1.4307655276554216</v>
      </c>
      <c r="D1324">
        <v>4</v>
      </c>
      <c r="E1324">
        <f t="shared" si="41"/>
        <v>4.3989984930821201E-2</v>
      </c>
    </row>
    <row r="1325" spans="1:5" x14ac:dyDescent="0.25">
      <c r="A1325">
        <v>3</v>
      </c>
      <c r="B1325">
        <v>7.5075075075075104E-2</v>
      </c>
      <c r="C1325">
        <f t="shared" si="40"/>
        <v>1.4307655276554216</v>
      </c>
      <c r="D1325">
        <v>4</v>
      </c>
      <c r="E1325">
        <f t="shared" si="41"/>
        <v>4.3989984930821201E-2</v>
      </c>
    </row>
    <row r="1326" spans="1:5" x14ac:dyDescent="0.25">
      <c r="A1326">
        <v>3</v>
      </c>
      <c r="B1326">
        <v>7.5268817204301106E-2</v>
      </c>
      <c r="C1326">
        <f t="shared" si="40"/>
        <v>1.4308432879546351</v>
      </c>
      <c r="D1326">
        <v>4</v>
      </c>
      <c r="E1326">
        <f t="shared" si="41"/>
        <v>4.3989984930821201E-2</v>
      </c>
    </row>
    <row r="1327" spans="1:5" x14ac:dyDescent="0.25">
      <c r="A1327">
        <v>3</v>
      </c>
      <c r="B1327">
        <v>7.5999999999999998E-2</v>
      </c>
      <c r="C1327">
        <f t="shared" si="40"/>
        <v>1.4311305306664708</v>
      </c>
      <c r="D1327">
        <v>4</v>
      </c>
      <c r="E1327">
        <f t="shared" si="41"/>
        <v>4.3989984930821201E-2</v>
      </c>
    </row>
    <row r="1328" spans="1:5" x14ac:dyDescent="0.25">
      <c r="A1328">
        <v>3</v>
      </c>
      <c r="B1328">
        <v>7.5999999999999998E-2</v>
      </c>
      <c r="C1328">
        <f t="shared" si="40"/>
        <v>1.4311305306664708</v>
      </c>
      <c r="D1328">
        <v>4</v>
      </c>
      <c r="E1328">
        <f t="shared" si="41"/>
        <v>4.3989984930821201E-2</v>
      </c>
    </row>
    <row r="1329" spans="1:5" x14ac:dyDescent="0.25">
      <c r="A1329">
        <v>3</v>
      </c>
      <c r="B1329">
        <v>7.69230769230769E-2</v>
      </c>
      <c r="C1329">
        <f t="shared" si="40"/>
        <v>1.4314790964474555</v>
      </c>
      <c r="D1329">
        <v>4</v>
      </c>
      <c r="E1329">
        <f t="shared" si="41"/>
        <v>4.3989984930821201E-2</v>
      </c>
    </row>
    <row r="1330" spans="1:5" x14ac:dyDescent="0.25">
      <c r="A1330">
        <v>3</v>
      </c>
      <c r="B1330">
        <v>7.7102803738317793E-2</v>
      </c>
      <c r="C1330">
        <f t="shared" si="40"/>
        <v>1.43154513751176</v>
      </c>
      <c r="D1330">
        <v>4</v>
      </c>
      <c r="E1330">
        <f t="shared" si="41"/>
        <v>4.3989984930821201E-2</v>
      </c>
    </row>
    <row r="1331" spans="1:5" x14ac:dyDescent="0.25">
      <c r="A1331">
        <v>3</v>
      </c>
      <c r="B1331">
        <v>7.7102803738317793E-2</v>
      </c>
      <c r="C1331">
        <f t="shared" si="40"/>
        <v>1.43154513751176</v>
      </c>
      <c r="D1331">
        <v>4</v>
      </c>
      <c r="E1331">
        <f t="shared" si="41"/>
        <v>4.3989984930821201E-2</v>
      </c>
    </row>
    <row r="1332" spans="1:5" x14ac:dyDescent="0.25">
      <c r="A1332">
        <v>3</v>
      </c>
      <c r="B1332">
        <v>7.7333333333333296E-2</v>
      </c>
      <c r="C1332">
        <f t="shared" si="40"/>
        <v>1.431628974523562</v>
      </c>
      <c r="D1332">
        <v>4</v>
      </c>
      <c r="E1332">
        <f t="shared" si="41"/>
        <v>4.3989984930821201E-2</v>
      </c>
    </row>
    <row r="1333" spans="1:5" x14ac:dyDescent="0.25">
      <c r="A1333">
        <v>3</v>
      </c>
      <c r="B1333">
        <v>7.7333333333333296E-2</v>
      </c>
      <c r="C1333">
        <f t="shared" si="40"/>
        <v>1.431628974523562</v>
      </c>
      <c r="D1333">
        <v>4</v>
      </c>
      <c r="E1333">
        <f t="shared" si="41"/>
        <v>4.3989984930821201E-2</v>
      </c>
    </row>
    <row r="1334" spans="1:5" x14ac:dyDescent="0.25">
      <c r="A1334">
        <v>3</v>
      </c>
      <c r="B1334">
        <v>7.7333333333333296E-2</v>
      </c>
      <c r="C1334">
        <f t="shared" si="40"/>
        <v>1.431628974523562</v>
      </c>
      <c r="D1334">
        <v>4</v>
      </c>
      <c r="E1334">
        <f t="shared" si="41"/>
        <v>4.3989984930821201E-2</v>
      </c>
    </row>
    <row r="1335" spans="1:5" x14ac:dyDescent="0.25">
      <c r="A1335">
        <v>3</v>
      </c>
      <c r="B1335">
        <v>7.7333333333333296E-2</v>
      </c>
      <c r="C1335">
        <f t="shared" si="40"/>
        <v>1.431628974523562</v>
      </c>
      <c r="D1335">
        <v>4</v>
      </c>
      <c r="E1335">
        <f t="shared" si="41"/>
        <v>4.3989984930821201E-2</v>
      </c>
    </row>
    <row r="1336" spans="1:5" x14ac:dyDescent="0.25">
      <c r="A1336">
        <v>3</v>
      </c>
      <c r="B1336">
        <v>7.7333333333333296E-2</v>
      </c>
      <c r="C1336">
        <f t="shared" si="40"/>
        <v>1.431628974523562</v>
      </c>
      <c r="D1336">
        <v>4</v>
      </c>
      <c r="E1336">
        <f t="shared" si="41"/>
        <v>4.3989984930821201E-2</v>
      </c>
    </row>
    <row r="1337" spans="1:5" x14ac:dyDescent="0.25">
      <c r="A1337">
        <v>3</v>
      </c>
      <c r="B1337">
        <v>7.7333333333333296E-2</v>
      </c>
      <c r="C1337">
        <f t="shared" si="40"/>
        <v>1.431628974523562</v>
      </c>
      <c r="D1337">
        <v>4</v>
      </c>
      <c r="E1337">
        <f t="shared" si="41"/>
        <v>4.3989984930821201E-2</v>
      </c>
    </row>
    <row r="1338" spans="1:5" x14ac:dyDescent="0.25">
      <c r="A1338">
        <v>3</v>
      </c>
      <c r="B1338">
        <v>7.7844311377245498E-2</v>
      </c>
      <c r="C1338">
        <f t="shared" si="40"/>
        <v>1.4318113097182492</v>
      </c>
      <c r="D1338">
        <v>4</v>
      </c>
      <c r="E1338">
        <f t="shared" si="41"/>
        <v>4.3989984930821201E-2</v>
      </c>
    </row>
    <row r="1339" spans="1:5" x14ac:dyDescent="0.25">
      <c r="A1339">
        <v>3</v>
      </c>
      <c r="B1339">
        <v>7.8E-2</v>
      </c>
      <c r="C1339">
        <f t="shared" si="40"/>
        <v>1.4318659079336438</v>
      </c>
      <c r="D1339">
        <v>4</v>
      </c>
      <c r="E1339">
        <f t="shared" si="41"/>
        <v>4.3989984930821201E-2</v>
      </c>
    </row>
    <row r="1340" spans="1:5" x14ac:dyDescent="0.25">
      <c r="A1340">
        <v>3</v>
      </c>
      <c r="B1340">
        <v>7.8078078078078095E-2</v>
      </c>
      <c r="C1340">
        <f t="shared" si="40"/>
        <v>1.4318931206928593</v>
      </c>
      <c r="D1340">
        <v>4</v>
      </c>
      <c r="E1340">
        <f t="shared" si="41"/>
        <v>4.3989984930821201E-2</v>
      </c>
    </row>
    <row r="1341" spans="1:5" x14ac:dyDescent="0.25">
      <c r="A1341">
        <v>3</v>
      </c>
      <c r="B1341">
        <v>7.8078078078078095E-2</v>
      </c>
      <c r="C1341">
        <f t="shared" si="40"/>
        <v>1.4318931206928593</v>
      </c>
      <c r="D1341">
        <v>4</v>
      </c>
      <c r="E1341">
        <f t="shared" si="41"/>
        <v>4.3989984930821201E-2</v>
      </c>
    </row>
    <row r="1342" spans="1:5" x14ac:dyDescent="0.25">
      <c r="A1342">
        <v>3</v>
      </c>
      <c r="B1342">
        <v>7.9254079254079193E-2</v>
      </c>
      <c r="C1342">
        <f t="shared" si="40"/>
        <v>1.4322893896905948</v>
      </c>
      <c r="D1342">
        <v>4</v>
      </c>
      <c r="E1342">
        <f t="shared" si="41"/>
        <v>4.3989984930821201E-2</v>
      </c>
    </row>
    <row r="1343" spans="1:5" x14ac:dyDescent="0.25">
      <c r="A1343">
        <v>3</v>
      </c>
      <c r="B1343">
        <v>0.08</v>
      </c>
      <c r="C1343">
        <f t="shared" si="40"/>
        <v>1.4325275055308078</v>
      </c>
      <c r="D1343">
        <v>4</v>
      </c>
      <c r="E1343">
        <f t="shared" si="41"/>
        <v>4.3989984930821201E-2</v>
      </c>
    </row>
    <row r="1344" spans="1:5" x14ac:dyDescent="0.25">
      <c r="A1344">
        <v>3</v>
      </c>
      <c r="B1344">
        <v>0.08</v>
      </c>
      <c r="C1344">
        <f t="shared" si="40"/>
        <v>1.4325275055308078</v>
      </c>
      <c r="D1344">
        <v>4</v>
      </c>
      <c r="E1344">
        <f t="shared" si="41"/>
        <v>4.3989984930821201E-2</v>
      </c>
    </row>
    <row r="1345" spans="1:5" x14ac:dyDescent="0.25">
      <c r="A1345">
        <v>3</v>
      </c>
      <c r="B1345">
        <v>0.08</v>
      </c>
      <c r="C1345">
        <f t="shared" si="40"/>
        <v>1.4325275055308078</v>
      </c>
      <c r="D1345">
        <v>4</v>
      </c>
      <c r="E1345">
        <f t="shared" si="41"/>
        <v>4.3989984930821201E-2</v>
      </c>
    </row>
    <row r="1346" spans="1:5" x14ac:dyDescent="0.25">
      <c r="A1346">
        <v>3</v>
      </c>
      <c r="B1346">
        <v>0.08</v>
      </c>
      <c r="C1346">
        <f t="shared" ref="C1346:C1409" si="42">_xlfn.NORM.DIST(B1346, I$10,I$13,FALSE)</f>
        <v>1.4325275055308078</v>
      </c>
      <c r="D1346">
        <v>4</v>
      </c>
      <c r="E1346">
        <f t="shared" si="41"/>
        <v>4.3989984930821201E-2</v>
      </c>
    </row>
    <row r="1347" spans="1:5" x14ac:dyDescent="0.25">
      <c r="A1347">
        <v>3</v>
      </c>
      <c r="B1347">
        <v>0.08</v>
      </c>
      <c r="C1347">
        <f t="shared" si="42"/>
        <v>1.4325275055308078</v>
      </c>
      <c r="D1347">
        <v>4</v>
      </c>
      <c r="E1347">
        <f t="shared" ref="E1347:E1410" si="43">_xlfn.NORM.DIST(D1347, I$4,I$7,FALSE)</f>
        <v>4.3989984930821201E-2</v>
      </c>
    </row>
    <row r="1348" spans="1:5" x14ac:dyDescent="0.25">
      <c r="A1348">
        <v>3</v>
      </c>
      <c r="B1348">
        <v>8.0838323353293398E-2</v>
      </c>
      <c r="C1348">
        <f t="shared" si="42"/>
        <v>1.4327828526627355</v>
      </c>
      <c r="D1348">
        <v>4</v>
      </c>
      <c r="E1348">
        <f t="shared" si="43"/>
        <v>4.3989984930821201E-2</v>
      </c>
    </row>
    <row r="1349" spans="1:5" x14ac:dyDescent="0.25">
      <c r="A1349">
        <v>3</v>
      </c>
      <c r="B1349">
        <v>8.0838323353293398E-2</v>
      </c>
      <c r="C1349">
        <f t="shared" si="42"/>
        <v>1.4327828526627355</v>
      </c>
      <c r="D1349">
        <v>4</v>
      </c>
      <c r="E1349">
        <f t="shared" si="43"/>
        <v>4.3989984930821201E-2</v>
      </c>
    </row>
    <row r="1350" spans="1:5" x14ac:dyDescent="0.25">
      <c r="A1350">
        <v>3</v>
      </c>
      <c r="B1350">
        <v>8.1081081081081099E-2</v>
      </c>
      <c r="C1350">
        <f t="shared" si="42"/>
        <v>1.4328543701409167</v>
      </c>
      <c r="D1350">
        <v>4</v>
      </c>
      <c r="E1350">
        <f t="shared" si="43"/>
        <v>4.3989984930821201E-2</v>
      </c>
    </row>
    <row r="1351" spans="1:5" x14ac:dyDescent="0.25">
      <c r="A1351">
        <v>3</v>
      </c>
      <c r="B1351">
        <v>8.1081081081081099E-2</v>
      </c>
      <c r="C1351">
        <f t="shared" si="42"/>
        <v>1.4328543701409167</v>
      </c>
      <c r="D1351">
        <v>4</v>
      </c>
      <c r="E1351">
        <f t="shared" si="43"/>
        <v>4.3989984930821201E-2</v>
      </c>
    </row>
    <row r="1352" spans="1:5" x14ac:dyDescent="0.25">
      <c r="A1352">
        <v>3</v>
      </c>
      <c r="B1352">
        <v>8.1081081081081099E-2</v>
      </c>
      <c r="C1352">
        <f t="shared" si="42"/>
        <v>1.4328543701409167</v>
      </c>
      <c r="D1352">
        <v>4</v>
      </c>
      <c r="E1352">
        <f t="shared" si="43"/>
        <v>4.3989984930821201E-2</v>
      </c>
    </row>
    <row r="1353" spans="1:5" x14ac:dyDescent="0.25">
      <c r="A1353">
        <v>3</v>
      </c>
      <c r="B1353">
        <v>8.1081081081081099E-2</v>
      </c>
      <c r="C1353">
        <f t="shared" si="42"/>
        <v>1.4328543701409167</v>
      </c>
      <c r="D1353">
        <v>4</v>
      </c>
      <c r="E1353">
        <f t="shared" si="43"/>
        <v>4.3989984930821201E-2</v>
      </c>
    </row>
    <row r="1354" spans="1:5" x14ac:dyDescent="0.25">
      <c r="A1354">
        <v>3</v>
      </c>
      <c r="B1354">
        <v>8.1081081081081099E-2</v>
      </c>
      <c r="C1354">
        <f t="shared" si="42"/>
        <v>1.4328543701409167</v>
      </c>
      <c r="D1354">
        <v>4</v>
      </c>
      <c r="E1354">
        <f t="shared" si="43"/>
        <v>4.3989984930821201E-2</v>
      </c>
    </row>
    <row r="1355" spans="1:5" x14ac:dyDescent="0.25">
      <c r="A1355">
        <v>3</v>
      </c>
      <c r="B1355">
        <v>8.1081081081081099E-2</v>
      </c>
      <c r="C1355">
        <f t="shared" si="42"/>
        <v>1.4328543701409167</v>
      </c>
      <c r="D1355">
        <v>4</v>
      </c>
      <c r="E1355">
        <f t="shared" si="43"/>
        <v>4.3989984930821201E-2</v>
      </c>
    </row>
    <row r="1356" spans="1:5" x14ac:dyDescent="0.25">
      <c r="A1356">
        <v>3</v>
      </c>
      <c r="B1356">
        <v>8.1081081081081099E-2</v>
      </c>
      <c r="C1356">
        <f t="shared" si="42"/>
        <v>1.4328543701409167</v>
      </c>
      <c r="D1356">
        <v>4</v>
      </c>
      <c r="E1356">
        <f t="shared" si="43"/>
        <v>4.3989984930821201E-2</v>
      </c>
    </row>
    <row r="1357" spans="1:5" x14ac:dyDescent="0.25">
      <c r="A1357">
        <v>3</v>
      </c>
      <c r="B1357">
        <v>8.1081081081081099E-2</v>
      </c>
      <c r="C1357">
        <f t="shared" si="42"/>
        <v>1.4328543701409167</v>
      </c>
      <c r="D1357">
        <v>4</v>
      </c>
      <c r="E1357">
        <f t="shared" si="43"/>
        <v>4.3989984930821201E-2</v>
      </c>
    </row>
    <row r="1358" spans="1:5" x14ac:dyDescent="0.25">
      <c r="A1358">
        <v>3</v>
      </c>
      <c r="B1358">
        <v>8.1081081081081099E-2</v>
      </c>
      <c r="C1358">
        <f t="shared" si="42"/>
        <v>1.4328543701409167</v>
      </c>
      <c r="D1358">
        <v>4</v>
      </c>
      <c r="E1358">
        <f t="shared" si="43"/>
        <v>4.3989984930821201E-2</v>
      </c>
    </row>
    <row r="1359" spans="1:5" x14ac:dyDescent="0.25">
      <c r="A1359">
        <v>3</v>
      </c>
      <c r="B1359">
        <v>8.1585081585081598E-2</v>
      </c>
      <c r="C1359">
        <f t="shared" si="42"/>
        <v>1.4329993724071226</v>
      </c>
      <c r="D1359">
        <v>4</v>
      </c>
      <c r="E1359">
        <f t="shared" si="43"/>
        <v>4.3989984930821201E-2</v>
      </c>
    </row>
    <row r="1360" spans="1:5" x14ac:dyDescent="0.25">
      <c r="A1360">
        <v>3</v>
      </c>
      <c r="B1360">
        <v>8.1585081585081598E-2</v>
      </c>
      <c r="C1360">
        <f t="shared" si="42"/>
        <v>1.4329993724071226</v>
      </c>
      <c r="D1360">
        <v>4</v>
      </c>
      <c r="E1360">
        <f t="shared" si="43"/>
        <v>4.3989984930821201E-2</v>
      </c>
    </row>
    <row r="1361" spans="1:5" x14ac:dyDescent="0.25">
      <c r="A1361">
        <v>3</v>
      </c>
      <c r="B1361">
        <v>8.1775700934579407E-2</v>
      </c>
      <c r="C1361">
        <f t="shared" si="42"/>
        <v>1.4330529901177835</v>
      </c>
      <c r="D1361">
        <v>4</v>
      </c>
      <c r="E1361">
        <f t="shared" si="43"/>
        <v>4.3989984930821201E-2</v>
      </c>
    </row>
    <row r="1362" spans="1:5" x14ac:dyDescent="0.25">
      <c r="A1362">
        <v>3</v>
      </c>
      <c r="B1362">
        <v>8.2000000000000003E-2</v>
      </c>
      <c r="C1362">
        <f t="shared" si="42"/>
        <v>1.4331152208578426</v>
      </c>
      <c r="D1362">
        <v>4</v>
      </c>
      <c r="E1362">
        <f t="shared" si="43"/>
        <v>4.3989984930821201E-2</v>
      </c>
    </row>
    <row r="1363" spans="1:5" x14ac:dyDescent="0.25">
      <c r="A1363">
        <v>3</v>
      </c>
      <c r="B1363">
        <v>8.2000000000000003E-2</v>
      </c>
      <c r="C1363">
        <f t="shared" si="42"/>
        <v>1.4331152208578426</v>
      </c>
      <c r="D1363">
        <v>4</v>
      </c>
      <c r="E1363">
        <f t="shared" si="43"/>
        <v>4.3989984930821201E-2</v>
      </c>
    </row>
    <row r="1364" spans="1:5" x14ac:dyDescent="0.25">
      <c r="A1364">
        <v>3</v>
      </c>
      <c r="B1364">
        <v>8.2666666666666694E-2</v>
      </c>
      <c r="C1364">
        <f t="shared" si="42"/>
        <v>1.4332946915972329</v>
      </c>
      <c r="D1364">
        <v>4</v>
      </c>
      <c r="E1364">
        <f t="shared" si="43"/>
        <v>4.3989984930821201E-2</v>
      </c>
    </row>
    <row r="1365" spans="1:5" x14ac:dyDescent="0.25">
      <c r="A1365">
        <v>3</v>
      </c>
      <c r="B1365">
        <v>8.2666666666666694E-2</v>
      </c>
      <c r="C1365">
        <f t="shared" si="42"/>
        <v>1.4332946915972329</v>
      </c>
      <c r="D1365">
        <v>4</v>
      </c>
      <c r="E1365">
        <f t="shared" si="43"/>
        <v>4.3989984930821201E-2</v>
      </c>
    </row>
    <row r="1366" spans="1:5" x14ac:dyDescent="0.25">
      <c r="A1366">
        <v>3</v>
      </c>
      <c r="B1366">
        <v>8.2666666666666694E-2</v>
      </c>
      <c r="C1366">
        <f t="shared" si="42"/>
        <v>1.4332946915972329</v>
      </c>
      <c r="D1366">
        <v>4</v>
      </c>
      <c r="E1366">
        <f t="shared" si="43"/>
        <v>4.3989984930821201E-2</v>
      </c>
    </row>
    <row r="1367" spans="1:5" x14ac:dyDescent="0.25">
      <c r="A1367">
        <v>3</v>
      </c>
      <c r="B1367">
        <v>8.3333333333333301E-2</v>
      </c>
      <c r="C1367">
        <f t="shared" si="42"/>
        <v>1.4334659398773453</v>
      </c>
      <c r="D1367">
        <v>4</v>
      </c>
      <c r="E1367">
        <f t="shared" si="43"/>
        <v>4.3989984930821201E-2</v>
      </c>
    </row>
    <row r="1368" spans="1:5" x14ac:dyDescent="0.25">
      <c r="A1368">
        <v>3</v>
      </c>
      <c r="B1368">
        <v>8.3832335329341298E-2</v>
      </c>
      <c r="C1368">
        <f t="shared" si="42"/>
        <v>1.4335887373405465</v>
      </c>
      <c r="D1368">
        <v>4</v>
      </c>
      <c r="E1368">
        <f t="shared" si="43"/>
        <v>4.3989984930821201E-2</v>
      </c>
    </row>
    <row r="1369" spans="1:5" x14ac:dyDescent="0.25">
      <c r="A1369">
        <v>3</v>
      </c>
      <c r="B1369">
        <v>8.3832335329341298E-2</v>
      </c>
      <c r="C1369">
        <f t="shared" si="42"/>
        <v>1.4335887373405465</v>
      </c>
      <c r="D1369">
        <v>4</v>
      </c>
      <c r="E1369">
        <f t="shared" si="43"/>
        <v>4.3989984930821201E-2</v>
      </c>
    </row>
    <row r="1370" spans="1:5" x14ac:dyDescent="0.25">
      <c r="A1370">
        <v>3</v>
      </c>
      <c r="B1370">
        <v>8.3832335329341298E-2</v>
      </c>
      <c r="C1370">
        <f t="shared" si="42"/>
        <v>1.4335887373405465</v>
      </c>
      <c r="D1370">
        <v>4</v>
      </c>
      <c r="E1370">
        <f t="shared" si="43"/>
        <v>4.3989984930821201E-2</v>
      </c>
    </row>
    <row r="1371" spans="1:5" x14ac:dyDescent="0.25">
      <c r="A1371">
        <v>3</v>
      </c>
      <c r="B1371">
        <v>8.3916083916083906E-2</v>
      </c>
      <c r="C1371">
        <f t="shared" si="42"/>
        <v>1.4336088950029617</v>
      </c>
      <c r="D1371">
        <v>4</v>
      </c>
      <c r="E1371">
        <f t="shared" si="43"/>
        <v>4.3989984930821201E-2</v>
      </c>
    </row>
    <row r="1372" spans="1:5" x14ac:dyDescent="0.25">
      <c r="A1372">
        <v>3</v>
      </c>
      <c r="B1372">
        <v>8.3916083916083906E-2</v>
      </c>
      <c r="C1372">
        <f t="shared" si="42"/>
        <v>1.4336088950029617</v>
      </c>
      <c r="D1372">
        <v>4</v>
      </c>
      <c r="E1372">
        <f t="shared" si="43"/>
        <v>4.3989984930821201E-2</v>
      </c>
    </row>
    <row r="1373" spans="1:5" x14ac:dyDescent="0.25">
      <c r="A1373">
        <v>3</v>
      </c>
      <c r="B1373">
        <v>8.4000000000000005E-2</v>
      </c>
      <c r="C1373">
        <f t="shared" si="42"/>
        <v>1.4336289627457099</v>
      </c>
      <c r="D1373">
        <v>4</v>
      </c>
      <c r="E1373">
        <f t="shared" si="43"/>
        <v>4.3989984930821201E-2</v>
      </c>
    </row>
    <row r="1374" spans="1:5" x14ac:dyDescent="0.25">
      <c r="A1374">
        <v>3</v>
      </c>
      <c r="B1374">
        <v>8.4084084084084104E-2</v>
      </c>
      <c r="C1374">
        <f t="shared" si="42"/>
        <v>1.433648939901776</v>
      </c>
      <c r="D1374">
        <v>4</v>
      </c>
      <c r="E1374">
        <f t="shared" si="43"/>
        <v>4.3989984930821201E-2</v>
      </c>
    </row>
    <row r="1375" spans="1:5" x14ac:dyDescent="0.25">
      <c r="A1375">
        <v>3</v>
      </c>
      <c r="B1375">
        <v>8.4112149532710304E-2</v>
      </c>
      <c r="C1375">
        <f t="shared" si="42"/>
        <v>1.4336555787075258</v>
      </c>
      <c r="D1375">
        <v>4</v>
      </c>
      <c r="E1375">
        <f t="shared" si="43"/>
        <v>4.3989984930821201E-2</v>
      </c>
    </row>
    <row r="1376" spans="1:5" x14ac:dyDescent="0.25">
      <c r="A1376">
        <v>3</v>
      </c>
      <c r="B1376">
        <v>8.4112149532710304E-2</v>
      </c>
      <c r="C1376">
        <f t="shared" si="42"/>
        <v>1.4336555787075258</v>
      </c>
      <c r="D1376">
        <v>4</v>
      </c>
      <c r="E1376">
        <f t="shared" si="43"/>
        <v>4.3989984930821201E-2</v>
      </c>
    </row>
    <row r="1377" spans="1:5" x14ac:dyDescent="0.25">
      <c r="A1377">
        <v>3</v>
      </c>
      <c r="B1377">
        <v>8.4112149532710304E-2</v>
      </c>
      <c r="C1377">
        <f t="shared" si="42"/>
        <v>1.4336555787075258</v>
      </c>
      <c r="D1377">
        <v>4</v>
      </c>
      <c r="E1377">
        <f t="shared" si="43"/>
        <v>4.3989984930821201E-2</v>
      </c>
    </row>
    <row r="1378" spans="1:5" x14ac:dyDescent="0.25">
      <c r="A1378">
        <v>3</v>
      </c>
      <c r="B1378">
        <v>8.5000000000000006E-2</v>
      </c>
      <c r="C1378">
        <f t="shared" si="42"/>
        <v>1.4338580682911792</v>
      </c>
      <c r="D1378">
        <v>4</v>
      </c>
      <c r="E1378">
        <f t="shared" si="43"/>
        <v>4.3989984930821201E-2</v>
      </c>
    </row>
    <row r="1379" spans="1:5" x14ac:dyDescent="0.25">
      <c r="A1379">
        <v>3</v>
      </c>
      <c r="B1379">
        <v>8.5333333333333303E-2</v>
      </c>
      <c r="C1379">
        <f t="shared" si="42"/>
        <v>1.4339303211453733</v>
      </c>
      <c r="D1379">
        <v>4</v>
      </c>
      <c r="E1379">
        <f t="shared" si="43"/>
        <v>4.3989984930821201E-2</v>
      </c>
    </row>
    <row r="1380" spans="1:5" x14ac:dyDescent="0.25">
      <c r="A1380">
        <v>3</v>
      </c>
      <c r="B1380">
        <v>8.5333333333333303E-2</v>
      </c>
      <c r="C1380">
        <f t="shared" si="42"/>
        <v>1.4339303211453733</v>
      </c>
      <c r="D1380">
        <v>4</v>
      </c>
      <c r="E1380">
        <f t="shared" si="43"/>
        <v>4.3989984930821201E-2</v>
      </c>
    </row>
    <row r="1381" spans="1:5" x14ac:dyDescent="0.25">
      <c r="A1381">
        <v>3</v>
      </c>
      <c r="B1381">
        <v>8.6247086247086199E-2</v>
      </c>
      <c r="C1381">
        <f t="shared" si="42"/>
        <v>1.4341178290116197</v>
      </c>
      <c r="D1381">
        <v>4</v>
      </c>
      <c r="E1381">
        <f t="shared" si="43"/>
        <v>4.3989984930821201E-2</v>
      </c>
    </row>
    <row r="1382" spans="1:5" x14ac:dyDescent="0.25">
      <c r="A1382">
        <v>3</v>
      </c>
      <c r="B1382">
        <v>8.6247086247086199E-2</v>
      </c>
      <c r="C1382">
        <f t="shared" si="42"/>
        <v>1.4341178290116197</v>
      </c>
      <c r="D1382">
        <v>4</v>
      </c>
      <c r="E1382">
        <f t="shared" si="43"/>
        <v>4.3989984930821201E-2</v>
      </c>
    </row>
    <row r="1383" spans="1:5" x14ac:dyDescent="0.25">
      <c r="A1383">
        <v>3</v>
      </c>
      <c r="B1383">
        <v>8.6247086247086199E-2</v>
      </c>
      <c r="C1383">
        <f t="shared" si="42"/>
        <v>1.4341178290116197</v>
      </c>
      <c r="D1383">
        <v>4</v>
      </c>
      <c r="E1383">
        <f t="shared" si="43"/>
        <v>4.3989984930821201E-2</v>
      </c>
    </row>
    <row r="1384" spans="1:5" x14ac:dyDescent="0.25">
      <c r="A1384">
        <v>3</v>
      </c>
      <c r="B1384">
        <v>8.7087087087087095E-2</v>
      </c>
      <c r="C1384">
        <f t="shared" si="42"/>
        <v>1.4342765520430187</v>
      </c>
      <c r="D1384">
        <v>4</v>
      </c>
      <c r="E1384">
        <f t="shared" si="43"/>
        <v>4.3989984930821201E-2</v>
      </c>
    </row>
    <row r="1385" spans="1:5" x14ac:dyDescent="0.25">
      <c r="A1385">
        <v>3</v>
      </c>
      <c r="B1385">
        <v>8.7912087912087905E-2</v>
      </c>
      <c r="C1385">
        <f t="shared" si="42"/>
        <v>1.4344197081814587</v>
      </c>
      <c r="D1385">
        <v>4</v>
      </c>
      <c r="E1385">
        <f t="shared" si="43"/>
        <v>4.3989984930821201E-2</v>
      </c>
    </row>
    <row r="1386" spans="1:5" x14ac:dyDescent="0.25">
      <c r="A1386">
        <v>3</v>
      </c>
      <c r="B1386">
        <v>8.7999999999999995E-2</v>
      </c>
      <c r="C1386">
        <f t="shared" si="42"/>
        <v>1.4344342188216683</v>
      </c>
      <c r="D1386">
        <v>4</v>
      </c>
      <c r="E1386">
        <f t="shared" si="43"/>
        <v>4.3989984930821201E-2</v>
      </c>
    </row>
    <row r="1387" spans="1:5" x14ac:dyDescent="0.25">
      <c r="A1387">
        <v>3</v>
      </c>
      <c r="B1387">
        <v>8.8578088578088604E-2</v>
      </c>
      <c r="C1387">
        <f t="shared" si="42"/>
        <v>1.4345260671393159</v>
      </c>
      <c r="D1387">
        <v>4</v>
      </c>
      <c r="E1387">
        <f t="shared" si="43"/>
        <v>4.3989984930821201E-2</v>
      </c>
    </row>
    <row r="1388" spans="1:5" x14ac:dyDescent="0.25">
      <c r="A1388">
        <v>3</v>
      </c>
      <c r="B1388">
        <v>8.8578088578088604E-2</v>
      </c>
      <c r="C1388">
        <f t="shared" si="42"/>
        <v>1.4345260671393159</v>
      </c>
      <c r="D1388">
        <v>4</v>
      </c>
      <c r="E1388">
        <f t="shared" si="43"/>
        <v>4.3989984930821201E-2</v>
      </c>
    </row>
    <row r="1389" spans="1:5" x14ac:dyDescent="0.25">
      <c r="A1389">
        <v>3</v>
      </c>
      <c r="B1389">
        <v>8.9820359281437098E-2</v>
      </c>
      <c r="C1389">
        <f t="shared" si="42"/>
        <v>1.4347024687308085</v>
      </c>
      <c r="D1389">
        <v>4</v>
      </c>
      <c r="E1389">
        <f t="shared" si="43"/>
        <v>4.3989984930821201E-2</v>
      </c>
    </row>
    <row r="1390" spans="1:5" x14ac:dyDescent="0.25">
      <c r="A1390">
        <v>3</v>
      </c>
      <c r="B1390">
        <v>8.9820359281437098E-2</v>
      </c>
      <c r="C1390">
        <f t="shared" si="42"/>
        <v>1.4347024687308085</v>
      </c>
      <c r="D1390">
        <v>4</v>
      </c>
      <c r="E1390">
        <f t="shared" si="43"/>
        <v>4.3989984930821201E-2</v>
      </c>
    </row>
    <row r="1391" spans="1:5" x14ac:dyDescent="0.25">
      <c r="A1391">
        <v>3</v>
      </c>
      <c r="B1391">
        <v>0.09</v>
      </c>
      <c r="C1391">
        <f t="shared" si="42"/>
        <v>1.4347256080244395</v>
      </c>
      <c r="D1391">
        <v>4</v>
      </c>
      <c r="E1391">
        <f t="shared" si="43"/>
        <v>4.3989984930821201E-2</v>
      </c>
    </row>
    <row r="1392" spans="1:5" x14ac:dyDescent="0.25">
      <c r="A1392">
        <v>3</v>
      </c>
      <c r="B1392">
        <v>9.00900900900901E-2</v>
      </c>
      <c r="C1392">
        <f t="shared" si="42"/>
        <v>1.434736986959646</v>
      </c>
      <c r="D1392">
        <v>4</v>
      </c>
      <c r="E1392">
        <f t="shared" si="43"/>
        <v>4.3989984930821201E-2</v>
      </c>
    </row>
    <row r="1393" spans="1:5" x14ac:dyDescent="0.25">
      <c r="A1393">
        <v>3</v>
      </c>
      <c r="B1393">
        <v>9.00900900900901E-2</v>
      </c>
      <c r="C1393">
        <f t="shared" si="42"/>
        <v>1.434736986959646</v>
      </c>
      <c r="D1393">
        <v>4</v>
      </c>
      <c r="E1393">
        <f t="shared" si="43"/>
        <v>4.3989984930821201E-2</v>
      </c>
    </row>
    <row r="1394" spans="1:5" x14ac:dyDescent="0.25">
      <c r="A1394">
        <v>3</v>
      </c>
      <c r="B1394">
        <v>9.00900900900901E-2</v>
      </c>
      <c r="C1394">
        <f t="shared" si="42"/>
        <v>1.434736986959646</v>
      </c>
      <c r="D1394">
        <v>4</v>
      </c>
      <c r="E1394">
        <f t="shared" si="43"/>
        <v>4.3989984930821201E-2</v>
      </c>
    </row>
    <row r="1395" spans="1:5" x14ac:dyDescent="0.25">
      <c r="A1395">
        <v>3</v>
      </c>
      <c r="B1395">
        <v>9.00900900900901E-2</v>
      </c>
      <c r="C1395">
        <f t="shared" si="42"/>
        <v>1.434736986959646</v>
      </c>
      <c r="D1395">
        <v>4</v>
      </c>
      <c r="E1395">
        <f t="shared" si="43"/>
        <v>4.3989984930821201E-2</v>
      </c>
    </row>
    <row r="1396" spans="1:5" x14ac:dyDescent="0.25">
      <c r="A1396">
        <v>3</v>
      </c>
      <c r="B1396">
        <v>9.0666666666666701E-2</v>
      </c>
      <c r="C1396">
        <f t="shared" si="42"/>
        <v>1.4348062455770834</v>
      </c>
      <c r="D1396">
        <v>4</v>
      </c>
      <c r="E1396">
        <f t="shared" si="43"/>
        <v>4.3989984930821201E-2</v>
      </c>
    </row>
    <row r="1397" spans="1:5" x14ac:dyDescent="0.25">
      <c r="A1397">
        <v>3</v>
      </c>
      <c r="B1397">
        <v>9.0666666666666701E-2</v>
      </c>
      <c r="C1397">
        <f t="shared" si="42"/>
        <v>1.4348062455770834</v>
      </c>
      <c r="D1397">
        <v>4</v>
      </c>
      <c r="E1397">
        <f t="shared" si="43"/>
        <v>4.3989984930821201E-2</v>
      </c>
    </row>
    <row r="1398" spans="1:5" x14ac:dyDescent="0.25">
      <c r="A1398">
        <v>3</v>
      </c>
      <c r="B1398">
        <v>9.0909090909090898E-2</v>
      </c>
      <c r="C1398">
        <f t="shared" si="42"/>
        <v>1.4348335233026774</v>
      </c>
      <c r="D1398">
        <v>4</v>
      </c>
      <c r="E1398">
        <f t="shared" si="43"/>
        <v>4.3989984930821201E-2</v>
      </c>
    </row>
    <row r="1399" spans="1:5" x14ac:dyDescent="0.25">
      <c r="A1399">
        <v>3</v>
      </c>
      <c r="B1399">
        <v>9.0909090909090898E-2</v>
      </c>
      <c r="C1399">
        <f t="shared" si="42"/>
        <v>1.4348335233026774</v>
      </c>
      <c r="D1399">
        <v>4</v>
      </c>
      <c r="E1399">
        <f t="shared" si="43"/>
        <v>4.3989984930821201E-2</v>
      </c>
    </row>
    <row r="1400" spans="1:5" x14ac:dyDescent="0.25">
      <c r="A1400">
        <v>3</v>
      </c>
      <c r="B1400">
        <v>9.11214953271028E-2</v>
      </c>
      <c r="C1400">
        <f t="shared" si="42"/>
        <v>1.4348565266494069</v>
      </c>
      <c r="D1400">
        <v>4</v>
      </c>
      <c r="E1400">
        <f t="shared" si="43"/>
        <v>4.3989984930821201E-2</v>
      </c>
    </row>
    <row r="1401" spans="1:5" x14ac:dyDescent="0.25">
      <c r="A1401">
        <v>3</v>
      </c>
      <c r="B1401">
        <v>9.3023255813953501E-2</v>
      </c>
      <c r="C1401">
        <f t="shared" si="42"/>
        <v>1.4350251687274702</v>
      </c>
      <c r="D1401">
        <v>4</v>
      </c>
      <c r="E1401">
        <f t="shared" si="43"/>
        <v>4.3989984930821201E-2</v>
      </c>
    </row>
    <row r="1402" spans="1:5" x14ac:dyDescent="0.25">
      <c r="A1402">
        <v>3</v>
      </c>
      <c r="B1402">
        <v>9.3093093093093104E-2</v>
      </c>
      <c r="C1402">
        <f t="shared" si="42"/>
        <v>1.4350300835021439</v>
      </c>
      <c r="D1402">
        <v>4</v>
      </c>
      <c r="E1402">
        <f t="shared" si="43"/>
        <v>4.3989984930821201E-2</v>
      </c>
    </row>
    <row r="1403" spans="1:5" x14ac:dyDescent="0.25">
      <c r="A1403">
        <v>3</v>
      </c>
      <c r="B1403">
        <v>9.3240093240093205E-2</v>
      </c>
      <c r="C1403">
        <f t="shared" si="42"/>
        <v>1.4350401326589952</v>
      </c>
      <c r="D1403">
        <v>4</v>
      </c>
      <c r="E1403">
        <f t="shared" si="43"/>
        <v>4.3989984930821201E-2</v>
      </c>
    </row>
    <row r="1404" spans="1:5" x14ac:dyDescent="0.25">
      <c r="A1404">
        <v>3</v>
      </c>
      <c r="B1404">
        <v>9.3333333333333296E-2</v>
      </c>
      <c r="C1404">
        <f t="shared" si="42"/>
        <v>1.4350462987310597</v>
      </c>
      <c r="D1404">
        <v>4</v>
      </c>
      <c r="E1404">
        <f t="shared" si="43"/>
        <v>4.3989984930821201E-2</v>
      </c>
    </row>
    <row r="1405" spans="1:5" x14ac:dyDescent="0.25">
      <c r="A1405">
        <v>3</v>
      </c>
      <c r="B1405">
        <v>9.3333333333333296E-2</v>
      </c>
      <c r="C1405">
        <f t="shared" si="42"/>
        <v>1.4350462987310597</v>
      </c>
      <c r="D1405">
        <v>4</v>
      </c>
      <c r="E1405">
        <f t="shared" si="43"/>
        <v>4.3989984930821201E-2</v>
      </c>
    </row>
    <row r="1406" spans="1:5" x14ac:dyDescent="0.25">
      <c r="A1406">
        <v>3</v>
      </c>
      <c r="B1406">
        <v>9.3333333333333296E-2</v>
      </c>
      <c r="C1406">
        <f t="shared" si="42"/>
        <v>1.4350462987310597</v>
      </c>
      <c r="D1406">
        <v>4</v>
      </c>
      <c r="E1406">
        <f t="shared" si="43"/>
        <v>4.3989984930821201E-2</v>
      </c>
    </row>
    <row r="1407" spans="1:5" x14ac:dyDescent="0.25">
      <c r="A1407">
        <v>3</v>
      </c>
      <c r="B1407">
        <v>9.3333333333333296E-2</v>
      </c>
      <c r="C1407">
        <f t="shared" si="42"/>
        <v>1.4350462987310597</v>
      </c>
      <c r="D1407">
        <v>4</v>
      </c>
      <c r="E1407">
        <f t="shared" si="43"/>
        <v>4.3989984930821201E-2</v>
      </c>
    </row>
    <row r="1408" spans="1:5" x14ac:dyDescent="0.25">
      <c r="A1408">
        <v>3</v>
      </c>
      <c r="B1408">
        <v>9.34579439252336E-2</v>
      </c>
      <c r="C1408">
        <f t="shared" si="42"/>
        <v>1.4350542873337058</v>
      </c>
      <c r="D1408">
        <v>4</v>
      </c>
      <c r="E1408">
        <f t="shared" si="43"/>
        <v>4.3989984930821201E-2</v>
      </c>
    </row>
    <row r="1409" spans="1:5" x14ac:dyDescent="0.25">
      <c r="A1409">
        <v>3</v>
      </c>
      <c r="B1409">
        <v>9.4E-2</v>
      </c>
      <c r="C1409">
        <f t="shared" si="42"/>
        <v>1.4350856825782616</v>
      </c>
      <c r="D1409">
        <v>4</v>
      </c>
      <c r="E1409">
        <f t="shared" si="43"/>
        <v>4.3989984930821201E-2</v>
      </c>
    </row>
    <row r="1410" spans="1:5" x14ac:dyDescent="0.25">
      <c r="A1410">
        <v>3</v>
      </c>
      <c r="B1410">
        <v>9.4E-2</v>
      </c>
      <c r="C1410">
        <f t="shared" ref="C1410:C1473" si="44">_xlfn.NORM.DIST(B1410, I$10,I$13,FALSE)</f>
        <v>1.4350856825782616</v>
      </c>
      <c r="D1410">
        <v>4</v>
      </c>
      <c r="E1410">
        <f t="shared" si="43"/>
        <v>4.3989984930821201E-2</v>
      </c>
    </row>
    <row r="1411" spans="1:5" x14ac:dyDescent="0.25">
      <c r="A1411">
        <v>3</v>
      </c>
      <c r="B1411">
        <v>9.5571095571095596E-2</v>
      </c>
      <c r="C1411">
        <f t="shared" si="44"/>
        <v>1.435145851629013</v>
      </c>
      <c r="D1411">
        <v>4</v>
      </c>
      <c r="E1411">
        <f t="shared" ref="E1411:E1474" si="45">_xlfn.NORM.DIST(D1411, I$4,I$7,FALSE)</f>
        <v>4.3989984930821201E-2</v>
      </c>
    </row>
    <row r="1412" spans="1:5" x14ac:dyDescent="0.25">
      <c r="A1412">
        <v>3</v>
      </c>
      <c r="B1412">
        <v>9.5794392523364497E-2</v>
      </c>
      <c r="C1412">
        <f t="shared" si="44"/>
        <v>1.4351506826391682</v>
      </c>
      <c r="D1412">
        <v>4</v>
      </c>
      <c r="E1412">
        <f t="shared" si="45"/>
        <v>4.3989984930821201E-2</v>
      </c>
    </row>
    <row r="1413" spans="1:5" x14ac:dyDescent="0.25">
      <c r="A1413">
        <v>3</v>
      </c>
      <c r="B1413">
        <v>9.6000000000000002E-2</v>
      </c>
      <c r="C1413">
        <f t="shared" si="44"/>
        <v>1.4351543120187449</v>
      </c>
      <c r="D1413">
        <v>4</v>
      </c>
      <c r="E1413">
        <f t="shared" si="45"/>
        <v>4.3989984930821201E-2</v>
      </c>
    </row>
    <row r="1414" spans="1:5" x14ac:dyDescent="0.25">
      <c r="A1414">
        <v>3</v>
      </c>
      <c r="B1414">
        <v>9.6000000000000002E-2</v>
      </c>
      <c r="C1414">
        <f t="shared" si="44"/>
        <v>1.4351543120187449</v>
      </c>
      <c r="D1414">
        <v>4</v>
      </c>
      <c r="E1414">
        <f t="shared" si="45"/>
        <v>4.3989984930821201E-2</v>
      </c>
    </row>
    <row r="1415" spans="1:5" x14ac:dyDescent="0.25">
      <c r="A1415">
        <v>3</v>
      </c>
      <c r="B1415">
        <v>9.6000000000000002E-2</v>
      </c>
      <c r="C1415">
        <f t="shared" si="44"/>
        <v>1.4351543120187449</v>
      </c>
      <c r="D1415">
        <v>4</v>
      </c>
      <c r="E1415">
        <f t="shared" si="45"/>
        <v>4.3989984930821201E-2</v>
      </c>
    </row>
    <row r="1416" spans="1:5" x14ac:dyDescent="0.25">
      <c r="A1416">
        <v>3</v>
      </c>
      <c r="B1416">
        <v>9.6000000000000002E-2</v>
      </c>
      <c r="C1416">
        <f t="shared" si="44"/>
        <v>1.4351543120187449</v>
      </c>
      <c r="D1416">
        <v>4</v>
      </c>
      <c r="E1416">
        <f t="shared" si="45"/>
        <v>4.3989984930821201E-2</v>
      </c>
    </row>
    <row r="1417" spans="1:5" x14ac:dyDescent="0.25">
      <c r="A1417">
        <v>3</v>
      </c>
      <c r="B1417">
        <v>9.6000000000000002E-2</v>
      </c>
      <c r="C1417">
        <f t="shared" si="44"/>
        <v>1.4351543120187449</v>
      </c>
      <c r="D1417">
        <v>4</v>
      </c>
      <c r="E1417">
        <f t="shared" si="45"/>
        <v>4.3989984930821201E-2</v>
      </c>
    </row>
    <row r="1418" spans="1:5" x14ac:dyDescent="0.25">
      <c r="A1418">
        <v>3</v>
      </c>
      <c r="B1418">
        <v>9.6000000000000002E-2</v>
      </c>
      <c r="C1418">
        <f t="shared" si="44"/>
        <v>1.4351543120187449</v>
      </c>
      <c r="D1418">
        <v>4</v>
      </c>
      <c r="E1418">
        <f t="shared" si="45"/>
        <v>4.3989984930821201E-2</v>
      </c>
    </row>
    <row r="1419" spans="1:5" x14ac:dyDescent="0.25">
      <c r="A1419">
        <v>3</v>
      </c>
      <c r="B1419">
        <v>9.6096096096096095E-2</v>
      </c>
      <c r="C1419">
        <f t="shared" si="44"/>
        <v>1.4351557390704817</v>
      </c>
      <c r="D1419">
        <v>4</v>
      </c>
      <c r="E1419">
        <f t="shared" si="45"/>
        <v>4.3989984930821201E-2</v>
      </c>
    </row>
    <row r="1420" spans="1:5" x14ac:dyDescent="0.25">
      <c r="A1420">
        <v>3</v>
      </c>
      <c r="B1420">
        <v>9.6096096096096095E-2</v>
      </c>
      <c r="C1420">
        <f t="shared" si="44"/>
        <v>1.4351557390704817</v>
      </c>
      <c r="D1420">
        <v>4</v>
      </c>
      <c r="E1420">
        <f t="shared" si="45"/>
        <v>4.3989984930821201E-2</v>
      </c>
    </row>
    <row r="1421" spans="1:5" x14ac:dyDescent="0.25">
      <c r="A1421">
        <v>3</v>
      </c>
      <c r="B1421">
        <v>9.6096096096096095E-2</v>
      </c>
      <c r="C1421">
        <f t="shared" si="44"/>
        <v>1.4351557390704817</v>
      </c>
      <c r="D1421">
        <v>4</v>
      </c>
      <c r="E1421">
        <f t="shared" si="45"/>
        <v>4.3989984930821201E-2</v>
      </c>
    </row>
    <row r="1422" spans="1:5" x14ac:dyDescent="0.25">
      <c r="A1422">
        <v>3</v>
      </c>
      <c r="B1422">
        <v>9.7902097902097904E-2</v>
      </c>
      <c r="C1422">
        <f t="shared" si="44"/>
        <v>1.4351506579122479</v>
      </c>
      <c r="D1422">
        <v>4</v>
      </c>
      <c r="E1422">
        <f t="shared" si="45"/>
        <v>4.3989984930821201E-2</v>
      </c>
    </row>
    <row r="1423" spans="1:5" x14ac:dyDescent="0.25">
      <c r="A1423">
        <v>3</v>
      </c>
      <c r="B1423">
        <v>9.7902097902097904E-2</v>
      </c>
      <c r="C1423">
        <f t="shared" si="44"/>
        <v>1.4351506579122479</v>
      </c>
      <c r="D1423">
        <v>4</v>
      </c>
      <c r="E1423">
        <f t="shared" si="45"/>
        <v>4.3989984930821201E-2</v>
      </c>
    </row>
    <row r="1424" spans="1:5" x14ac:dyDescent="0.25">
      <c r="A1424">
        <v>3</v>
      </c>
      <c r="B1424">
        <v>9.8130841121495296E-2</v>
      </c>
      <c r="C1424">
        <f t="shared" si="44"/>
        <v>1.4351456921368411</v>
      </c>
      <c r="D1424">
        <v>4</v>
      </c>
      <c r="E1424">
        <f t="shared" si="45"/>
        <v>4.3989984930821201E-2</v>
      </c>
    </row>
    <row r="1425" spans="1:5" x14ac:dyDescent="0.25">
      <c r="A1425">
        <v>3</v>
      </c>
      <c r="B1425">
        <v>9.8666666666666694E-2</v>
      </c>
      <c r="C1425">
        <f t="shared" si="44"/>
        <v>1.4351302556214796</v>
      </c>
      <c r="D1425">
        <v>4</v>
      </c>
      <c r="E1425">
        <f t="shared" si="45"/>
        <v>4.3989984930821201E-2</v>
      </c>
    </row>
    <row r="1426" spans="1:5" x14ac:dyDescent="0.25">
      <c r="A1426">
        <v>3</v>
      </c>
      <c r="B1426">
        <v>9.8666666666666694E-2</v>
      </c>
      <c r="C1426">
        <f t="shared" si="44"/>
        <v>1.4351302556214796</v>
      </c>
      <c r="D1426">
        <v>4</v>
      </c>
      <c r="E1426">
        <f t="shared" si="45"/>
        <v>4.3989984930821201E-2</v>
      </c>
    </row>
    <row r="1427" spans="1:5" x14ac:dyDescent="0.25">
      <c r="A1427">
        <v>3</v>
      </c>
      <c r="B1427">
        <v>9.8666666666666694E-2</v>
      </c>
      <c r="C1427">
        <f t="shared" si="44"/>
        <v>1.4351302556214796</v>
      </c>
      <c r="D1427">
        <v>4</v>
      </c>
      <c r="E1427">
        <f t="shared" si="45"/>
        <v>4.3989984930821201E-2</v>
      </c>
    </row>
    <row r="1428" spans="1:5" x14ac:dyDescent="0.25">
      <c r="A1428">
        <v>3</v>
      </c>
      <c r="B1428">
        <v>9.8666666666666694E-2</v>
      </c>
      <c r="C1428">
        <f t="shared" si="44"/>
        <v>1.4351302556214796</v>
      </c>
      <c r="D1428">
        <v>4</v>
      </c>
      <c r="E1428">
        <f t="shared" si="45"/>
        <v>4.3989984930821201E-2</v>
      </c>
    </row>
    <row r="1429" spans="1:5" x14ac:dyDescent="0.25">
      <c r="A1429">
        <v>3</v>
      </c>
      <c r="B1429">
        <v>9.8802395209580798E-2</v>
      </c>
      <c r="C1429">
        <f t="shared" si="44"/>
        <v>1.4351254990308109</v>
      </c>
      <c r="D1429">
        <v>4</v>
      </c>
      <c r="E1429">
        <f t="shared" si="45"/>
        <v>4.3989984930821201E-2</v>
      </c>
    </row>
    <row r="1430" spans="1:5" x14ac:dyDescent="0.25">
      <c r="A1430">
        <v>3</v>
      </c>
      <c r="B1430">
        <v>9.90990990990991E-2</v>
      </c>
      <c r="C1430">
        <f t="shared" si="44"/>
        <v>1.4351139096739682</v>
      </c>
      <c r="D1430">
        <v>4</v>
      </c>
      <c r="E1430">
        <f t="shared" si="45"/>
        <v>4.3989984930821201E-2</v>
      </c>
    </row>
    <row r="1431" spans="1:5" x14ac:dyDescent="0.25">
      <c r="A1431">
        <v>3</v>
      </c>
      <c r="B1431">
        <v>0.1</v>
      </c>
      <c r="C1431">
        <f t="shared" si="44"/>
        <v>1.4350687019421355</v>
      </c>
      <c r="D1431">
        <v>4</v>
      </c>
      <c r="E1431">
        <f t="shared" si="45"/>
        <v>4.3989984930821201E-2</v>
      </c>
    </row>
    <row r="1432" spans="1:5" x14ac:dyDescent="0.25">
      <c r="A1432">
        <v>3</v>
      </c>
      <c r="B1432">
        <v>0.1</v>
      </c>
      <c r="C1432">
        <f t="shared" si="44"/>
        <v>1.4350687019421355</v>
      </c>
      <c r="D1432">
        <v>4</v>
      </c>
      <c r="E1432">
        <f t="shared" si="45"/>
        <v>4.3989984930821201E-2</v>
      </c>
    </row>
    <row r="1433" spans="1:5" x14ac:dyDescent="0.25">
      <c r="A1433">
        <v>3</v>
      </c>
      <c r="B1433">
        <v>0.1002331002331</v>
      </c>
      <c r="C1433">
        <f t="shared" si="44"/>
        <v>1.4350545504948318</v>
      </c>
      <c r="D1433">
        <v>4</v>
      </c>
      <c r="E1433">
        <f t="shared" si="45"/>
        <v>4.3989984930821201E-2</v>
      </c>
    </row>
    <row r="1434" spans="1:5" x14ac:dyDescent="0.25">
      <c r="A1434">
        <v>3</v>
      </c>
      <c r="B1434">
        <v>0.1002331002331</v>
      </c>
      <c r="C1434">
        <f t="shared" si="44"/>
        <v>1.4350545504948318</v>
      </c>
      <c r="D1434">
        <v>4</v>
      </c>
      <c r="E1434">
        <f t="shared" si="45"/>
        <v>4.3989984930821201E-2</v>
      </c>
    </row>
    <row r="1435" spans="1:5" x14ac:dyDescent="0.25">
      <c r="A1435">
        <v>3</v>
      </c>
      <c r="B1435">
        <v>0.101333333333333</v>
      </c>
      <c r="C1435">
        <f t="shared" si="44"/>
        <v>1.4349741361805162</v>
      </c>
      <c r="D1435">
        <v>4</v>
      </c>
      <c r="E1435">
        <f t="shared" si="45"/>
        <v>4.3989984930821201E-2</v>
      </c>
    </row>
    <row r="1436" spans="1:5" x14ac:dyDescent="0.25">
      <c r="A1436">
        <v>3</v>
      </c>
      <c r="B1436">
        <v>0.101333333333333</v>
      </c>
      <c r="C1436">
        <f t="shared" si="44"/>
        <v>1.4349741361805162</v>
      </c>
      <c r="D1436">
        <v>4</v>
      </c>
      <c r="E1436">
        <f t="shared" si="45"/>
        <v>4.3989984930821201E-2</v>
      </c>
    </row>
    <row r="1437" spans="1:5" x14ac:dyDescent="0.25">
      <c r="A1437">
        <v>3</v>
      </c>
      <c r="B1437">
        <v>0.101333333333333</v>
      </c>
      <c r="C1437">
        <f t="shared" si="44"/>
        <v>1.4349741361805162</v>
      </c>
      <c r="D1437">
        <v>4</v>
      </c>
      <c r="E1437">
        <f t="shared" si="45"/>
        <v>4.3989984930821201E-2</v>
      </c>
    </row>
    <row r="1438" spans="1:5" x14ac:dyDescent="0.25">
      <c r="A1438">
        <v>3</v>
      </c>
      <c r="B1438">
        <v>0.10199999999999999</v>
      </c>
      <c r="C1438">
        <f t="shared" si="44"/>
        <v>1.4349144757194163</v>
      </c>
      <c r="D1438">
        <v>4</v>
      </c>
      <c r="E1438">
        <f t="shared" si="45"/>
        <v>4.3989984930821201E-2</v>
      </c>
    </row>
    <row r="1439" spans="1:5" x14ac:dyDescent="0.25">
      <c r="A1439">
        <v>3</v>
      </c>
      <c r="B1439">
        <v>0.10199999999999999</v>
      </c>
      <c r="C1439">
        <f t="shared" si="44"/>
        <v>1.4349144757194163</v>
      </c>
      <c r="D1439">
        <v>4</v>
      </c>
      <c r="E1439">
        <f t="shared" si="45"/>
        <v>4.3989984930821201E-2</v>
      </c>
    </row>
    <row r="1440" spans="1:5" x14ac:dyDescent="0.25">
      <c r="A1440">
        <v>3</v>
      </c>
      <c r="B1440">
        <v>0.10199999999999999</v>
      </c>
      <c r="C1440">
        <f t="shared" si="44"/>
        <v>1.4349144757194163</v>
      </c>
      <c r="D1440">
        <v>4</v>
      </c>
      <c r="E1440">
        <f t="shared" si="45"/>
        <v>4.3989984930821201E-2</v>
      </c>
    </row>
    <row r="1441" spans="1:5" x14ac:dyDescent="0.25">
      <c r="A1441">
        <v>3</v>
      </c>
      <c r="B1441">
        <v>0.10210210210210199</v>
      </c>
      <c r="C1441">
        <f t="shared" si="44"/>
        <v>1.4349046099569203</v>
      </c>
      <c r="D1441">
        <v>4</v>
      </c>
      <c r="E1441">
        <f t="shared" si="45"/>
        <v>4.3989984930821201E-2</v>
      </c>
    </row>
    <row r="1442" spans="1:5" x14ac:dyDescent="0.25">
      <c r="A1442">
        <v>3</v>
      </c>
      <c r="B1442">
        <v>0.102564102564103</v>
      </c>
      <c r="C1442">
        <f t="shared" si="44"/>
        <v>1.4348575496498646</v>
      </c>
      <c r="D1442">
        <v>4</v>
      </c>
      <c r="E1442">
        <f t="shared" si="45"/>
        <v>4.3989984930821201E-2</v>
      </c>
    </row>
    <row r="1443" spans="1:5" x14ac:dyDescent="0.25">
      <c r="A1443">
        <v>3</v>
      </c>
      <c r="B1443">
        <v>0.103333333333333</v>
      </c>
      <c r="C1443">
        <f t="shared" si="44"/>
        <v>1.4347704047833405</v>
      </c>
      <c r="D1443">
        <v>4</v>
      </c>
      <c r="E1443">
        <f t="shared" si="45"/>
        <v>4.3989984930821201E-2</v>
      </c>
    </row>
    <row r="1444" spans="1:5" x14ac:dyDescent="0.25">
      <c r="A1444">
        <v>3</v>
      </c>
      <c r="B1444">
        <v>0.103333333333333</v>
      </c>
      <c r="C1444">
        <f t="shared" si="44"/>
        <v>1.4347704047833405</v>
      </c>
      <c r="D1444">
        <v>4</v>
      </c>
      <c r="E1444">
        <f t="shared" si="45"/>
        <v>4.3989984930821201E-2</v>
      </c>
    </row>
    <row r="1445" spans="1:5" x14ac:dyDescent="0.25">
      <c r="A1445">
        <v>3</v>
      </c>
      <c r="B1445">
        <v>0.103333333333333</v>
      </c>
      <c r="C1445">
        <f t="shared" si="44"/>
        <v>1.4347704047833405</v>
      </c>
      <c r="D1445">
        <v>4</v>
      </c>
      <c r="E1445">
        <f t="shared" si="45"/>
        <v>4.3989984930821201E-2</v>
      </c>
    </row>
    <row r="1446" spans="1:5" x14ac:dyDescent="0.25">
      <c r="A1446">
        <v>3</v>
      </c>
      <c r="B1446">
        <v>0.104</v>
      </c>
      <c r="C1446">
        <f t="shared" si="44"/>
        <v>1.4346859967939629</v>
      </c>
      <c r="D1446">
        <v>4</v>
      </c>
      <c r="E1446">
        <f t="shared" si="45"/>
        <v>4.3989984930821201E-2</v>
      </c>
    </row>
    <row r="1447" spans="1:5" x14ac:dyDescent="0.25">
      <c r="A1447">
        <v>3</v>
      </c>
      <c r="B1447">
        <v>0.104</v>
      </c>
      <c r="C1447">
        <f t="shared" si="44"/>
        <v>1.4346859967939629</v>
      </c>
      <c r="D1447">
        <v>4</v>
      </c>
      <c r="E1447">
        <f t="shared" si="45"/>
        <v>4.3989984930821201E-2</v>
      </c>
    </row>
    <row r="1448" spans="1:5" x14ac:dyDescent="0.25">
      <c r="A1448">
        <v>3</v>
      </c>
      <c r="B1448">
        <v>0.104</v>
      </c>
      <c r="C1448">
        <f t="shared" si="44"/>
        <v>1.4346859967939629</v>
      </c>
      <c r="D1448">
        <v>4</v>
      </c>
      <c r="E1448">
        <f t="shared" si="45"/>
        <v>4.3989984930821201E-2</v>
      </c>
    </row>
    <row r="1449" spans="1:5" x14ac:dyDescent="0.25">
      <c r="A1449">
        <v>3</v>
      </c>
      <c r="B1449">
        <v>0.104790419161677</v>
      </c>
      <c r="C1449">
        <f t="shared" si="44"/>
        <v>1.4345752356816499</v>
      </c>
      <c r="D1449">
        <v>4</v>
      </c>
      <c r="E1449">
        <f t="shared" si="45"/>
        <v>4.3989984930821201E-2</v>
      </c>
    </row>
    <row r="1450" spans="1:5" x14ac:dyDescent="0.25">
      <c r="A1450">
        <v>3</v>
      </c>
      <c r="B1450">
        <v>0.104790419161677</v>
      </c>
      <c r="C1450">
        <f t="shared" si="44"/>
        <v>1.4345752356816499</v>
      </c>
      <c r="D1450">
        <v>4</v>
      </c>
      <c r="E1450">
        <f t="shared" si="45"/>
        <v>4.3989984930821201E-2</v>
      </c>
    </row>
    <row r="1451" spans="1:5" x14ac:dyDescent="0.25">
      <c r="A1451">
        <v>3</v>
      </c>
      <c r="B1451">
        <v>0.10489510489510501</v>
      </c>
      <c r="C1451">
        <f t="shared" si="44"/>
        <v>1.4345596969302905</v>
      </c>
      <c r="D1451">
        <v>4</v>
      </c>
      <c r="E1451">
        <f t="shared" si="45"/>
        <v>4.3989984930821201E-2</v>
      </c>
    </row>
    <row r="1452" spans="1:5" x14ac:dyDescent="0.25">
      <c r="A1452">
        <v>3</v>
      </c>
      <c r="B1452">
        <v>0.10489510489510501</v>
      </c>
      <c r="C1452">
        <f t="shared" si="44"/>
        <v>1.4345596969302905</v>
      </c>
      <c r="D1452">
        <v>4</v>
      </c>
      <c r="E1452">
        <f t="shared" si="45"/>
        <v>4.3989984930821201E-2</v>
      </c>
    </row>
    <row r="1453" spans="1:5" x14ac:dyDescent="0.25">
      <c r="A1453">
        <v>3</v>
      </c>
      <c r="B1453">
        <v>0.10489510489510501</v>
      </c>
      <c r="C1453">
        <f t="shared" si="44"/>
        <v>1.4345596969302905</v>
      </c>
      <c r="D1453">
        <v>4</v>
      </c>
      <c r="E1453">
        <f t="shared" si="45"/>
        <v>4.3989984930821201E-2</v>
      </c>
    </row>
    <row r="1454" spans="1:5" x14ac:dyDescent="0.25">
      <c r="A1454">
        <v>3</v>
      </c>
      <c r="B1454">
        <v>0.10666666666666701</v>
      </c>
      <c r="C1454">
        <f t="shared" si="44"/>
        <v>1.4342659169969567</v>
      </c>
      <c r="D1454">
        <v>4</v>
      </c>
      <c r="E1454">
        <f t="shared" si="45"/>
        <v>4.3989984930821201E-2</v>
      </c>
    </row>
    <row r="1455" spans="1:5" x14ac:dyDescent="0.25">
      <c r="A1455">
        <v>3</v>
      </c>
      <c r="B1455">
        <v>0.10666666666666701</v>
      </c>
      <c r="C1455">
        <f t="shared" si="44"/>
        <v>1.4342659169969567</v>
      </c>
      <c r="D1455">
        <v>4</v>
      </c>
      <c r="E1455">
        <f t="shared" si="45"/>
        <v>4.3989984930821201E-2</v>
      </c>
    </row>
    <row r="1456" spans="1:5" x14ac:dyDescent="0.25">
      <c r="A1456">
        <v>3</v>
      </c>
      <c r="B1456">
        <v>0.10666666666666701</v>
      </c>
      <c r="C1456">
        <f t="shared" si="44"/>
        <v>1.4342659169969567</v>
      </c>
      <c r="D1456">
        <v>4</v>
      </c>
      <c r="E1456">
        <f t="shared" si="45"/>
        <v>4.3989984930821201E-2</v>
      </c>
    </row>
    <row r="1457" spans="1:5" x14ac:dyDescent="0.25">
      <c r="A1457">
        <v>3</v>
      </c>
      <c r="B1457">
        <v>0.107226107226107</v>
      </c>
      <c r="C1457">
        <f t="shared" si="44"/>
        <v>1.4341610551542885</v>
      </c>
      <c r="D1457">
        <v>4</v>
      </c>
      <c r="E1457">
        <f t="shared" si="45"/>
        <v>4.3989984930821201E-2</v>
      </c>
    </row>
    <row r="1458" spans="1:5" x14ac:dyDescent="0.25">
      <c r="A1458">
        <v>3</v>
      </c>
      <c r="B1458">
        <v>0.107226107226107</v>
      </c>
      <c r="C1458">
        <f t="shared" si="44"/>
        <v>1.4341610551542885</v>
      </c>
      <c r="D1458">
        <v>4</v>
      </c>
      <c r="E1458">
        <f t="shared" si="45"/>
        <v>4.3989984930821201E-2</v>
      </c>
    </row>
    <row r="1459" spans="1:5" x14ac:dyDescent="0.25">
      <c r="A1459">
        <v>3</v>
      </c>
      <c r="B1459">
        <v>0.10747663551401899</v>
      </c>
      <c r="C1459">
        <f t="shared" si="44"/>
        <v>1.434112215440873</v>
      </c>
      <c r="D1459">
        <v>4</v>
      </c>
      <c r="E1459">
        <f t="shared" si="45"/>
        <v>4.3989984930821201E-2</v>
      </c>
    </row>
    <row r="1460" spans="1:5" x14ac:dyDescent="0.25">
      <c r="A1460">
        <v>3</v>
      </c>
      <c r="B1460">
        <v>0.108</v>
      </c>
      <c r="C1460">
        <f t="shared" si="44"/>
        <v>1.4340064342538525</v>
      </c>
      <c r="D1460">
        <v>4</v>
      </c>
      <c r="E1460">
        <f t="shared" si="45"/>
        <v>4.3989984930821201E-2</v>
      </c>
    </row>
    <row r="1461" spans="1:5" x14ac:dyDescent="0.25">
      <c r="A1461">
        <v>3</v>
      </c>
      <c r="B1461">
        <v>0.108108108108108</v>
      </c>
      <c r="C1461">
        <f t="shared" si="44"/>
        <v>1.4339839512280474</v>
      </c>
      <c r="D1461">
        <v>4</v>
      </c>
      <c r="E1461">
        <f t="shared" si="45"/>
        <v>4.3989984930821201E-2</v>
      </c>
    </row>
    <row r="1462" spans="1:5" x14ac:dyDescent="0.25">
      <c r="A1462">
        <v>3</v>
      </c>
      <c r="B1462">
        <v>0.108108108108108</v>
      </c>
      <c r="C1462">
        <f t="shared" si="44"/>
        <v>1.4339839512280474</v>
      </c>
      <c r="D1462">
        <v>4</v>
      </c>
      <c r="E1462">
        <f t="shared" si="45"/>
        <v>4.3989984930821201E-2</v>
      </c>
    </row>
    <row r="1463" spans="1:5" x14ac:dyDescent="0.25">
      <c r="A1463">
        <v>3</v>
      </c>
      <c r="B1463">
        <v>0.108108108108108</v>
      </c>
      <c r="C1463">
        <f t="shared" si="44"/>
        <v>1.4339839512280474</v>
      </c>
      <c r="D1463">
        <v>4</v>
      </c>
      <c r="E1463">
        <f t="shared" si="45"/>
        <v>4.3989984930821201E-2</v>
      </c>
    </row>
    <row r="1464" spans="1:5" x14ac:dyDescent="0.25">
      <c r="A1464">
        <v>3</v>
      </c>
      <c r="B1464">
        <v>0.108108108108108</v>
      </c>
      <c r="C1464">
        <f t="shared" si="44"/>
        <v>1.4339839512280474</v>
      </c>
      <c r="D1464">
        <v>4</v>
      </c>
      <c r="E1464">
        <f t="shared" si="45"/>
        <v>4.3989984930821201E-2</v>
      </c>
    </row>
    <row r="1465" spans="1:5" x14ac:dyDescent="0.25">
      <c r="A1465">
        <v>3</v>
      </c>
      <c r="B1465">
        <v>0.108108108108108</v>
      </c>
      <c r="C1465">
        <f t="shared" si="44"/>
        <v>1.4339839512280474</v>
      </c>
      <c r="D1465">
        <v>4</v>
      </c>
      <c r="E1465">
        <f t="shared" si="45"/>
        <v>4.3989984930821201E-2</v>
      </c>
    </row>
    <row r="1466" spans="1:5" x14ac:dyDescent="0.25">
      <c r="A1466">
        <v>3</v>
      </c>
      <c r="B1466">
        <v>0.108108108108108</v>
      </c>
      <c r="C1466">
        <f t="shared" si="44"/>
        <v>1.4339839512280474</v>
      </c>
      <c r="D1466">
        <v>4</v>
      </c>
      <c r="E1466">
        <f t="shared" si="45"/>
        <v>4.3989984930821201E-2</v>
      </c>
    </row>
    <row r="1467" spans="1:5" x14ac:dyDescent="0.25">
      <c r="A1467">
        <v>3</v>
      </c>
      <c r="B1467">
        <v>0.108108108108108</v>
      </c>
      <c r="C1467">
        <f t="shared" si="44"/>
        <v>1.4339839512280474</v>
      </c>
      <c r="D1467">
        <v>5</v>
      </c>
      <c r="E1467">
        <f t="shared" si="45"/>
        <v>4.4084693149242044E-2</v>
      </c>
    </row>
    <row r="1468" spans="1:5" x14ac:dyDescent="0.25">
      <c r="A1468">
        <v>3</v>
      </c>
      <c r="B1468">
        <v>0.108108108108108</v>
      </c>
      <c r="C1468">
        <f t="shared" si="44"/>
        <v>1.4339839512280474</v>
      </c>
      <c r="D1468">
        <v>5</v>
      </c>
      <c r="E1468">
        <f t="shared" si="45"/>
        <v>4.4084693149242044E-2</v>
      </c>
    </row>
    <row r="1469" spans="1:5" x14ac:dyDescent="0.25">
      <c r="A1469">
        <v>3</v>
      </c>
      <c r="B1469">
        <v>0.108333333333333</v>
      </c>
      <c r="C1469">
        <f t="shared" si="44"/>
        <v>1.4339364161336674</v>
      </c>
      <c r="D1469">
        <v>5</v>
      </c>
      <c r="E1469">
        <f t="shared" si="45"/>
        <v>4.4084693149242044E-2</v>
      </c>
    </row>
    <row r="1470" spans="1:5" x14ac:dyDescent="0.25">
      <c r="A1470">
        <v>3</v>
      </c>
      <c r="B1470">
        <v>0.108333333333333</v>
      </c>
      <c r="C1470">
        <f t="shared" si="44"/>
        <v>1.4339364161336674</v>
      </c>
      <c r="D1470">
        <v>5</v>
      </c>
      <c r="E1470">
        <f t="shared" si="45"/>
        <v>4.4084693149242044E-2</v>
      </c>
    </row>
    <row r="1471" spans="1:5" x14ac:dyDescent="0.25">
      <c r="A1471">
        <v>3</v>
      </c>
      <c r="B1471">
        <v>0.109333333333333</v>
      </c>
      <c r="C1471">
        <f t="shared" si="44"/>
        <v>1.4337140127250727</v>
      </c>
      <c r="D1471">
        <v>5</v>
      </c>
      <c r="E1471">
        <f t="shared" si="45"/>
        <v>4.4084693149242044E-2</v>
      </c>
    </row>
    <row r="1472" spans="1:5" x14ac:dyDescent="0.25">
      <c r="A1472">
        <v>3</v>
      </c>
      <c r="B1472">
        <v>0.10955710955711</v>
      </c>
      <c r="C1472">
        <f t="shared" si="44"/>
        <v>1.4336617083831913</v>
      </c>
      <c r="D1472">
        <v>5</v>
      </c>
      <c r="E1472">
        <f t="shared" si="45"/>
        <v>4.4084693149242044E-2</v>
      </c>
    </row>
    <row r="1473" spans="1:5" x14ac:dyDescent="0.25">
      <c r="A1473">
        <v>3</v>
      </c>
      <c r="B1473">
        <v>0.10981308411215</v>
      </c>
      <c r="C1473">
        <f t="shared" si="44"/>
        <v>1.433600741324154</v>
      </c>
      <c r="D1473">
        <v>5</v>
      </c>
      <c r="E1473">
        <f t="shared" si="45"/>
        <v>4.4084693149242044E-2</v>
      </c>
    </row>
    <row r="1474" spans="1:5" x14ac:dyDescent="0.25">
      <c r="A1474">
        <v>3</v>
      </c>
      <c r="B1474">
        <v>0.10989010989011</v>
      </c>
      <c r="C1474">
        <f t="shared" ref="C1474:C1537" si="46">_xlfn.NORM.DIST(B1474, I$10,I$13,FALSE)</f>
        <v>1.4335821581879451</v>
      </c>
      <c r="D1474">
        <v>5</v>
      </c>
      <c r="E1474">
        <f t="shared" si="45"/>
        <v>4.4084693149242044E-2</v>
      </c>
    </row>
    <row r="1475" spans="1:5" x14ac:dyDescent="0.25">
      <c r="A1475">
        <v>3</v>
      </c>
      <c r="B1475">
        <v>0.11</v>
      </c>
      <c r="C1475">
        <f t="shared" si="46"/>
        <v>1.4335554561308173</v>
      </c>
      <c r="D1475">
        <v>5</v>
      </c>
      <c r="E1475">
        <f t="shared" ref="E1475:E1538" si="47">_xlfn.NORM.DIST(D1475, I$4,I$7,FALSE)</f>
        <v>4.4084693149242044E-2</v>
      </c>
    </row>
    <row r="1476" spans="1:5" x14ac:dyDescent="0.25">
      <c r="A1476">
        <v>3</v>
      </c>
      <c r="B1476">
        <v>0.11111111111111099</v>
      </c>
      <c r="C1476">
        <f t="shared" si="46"/>
        <v>1.4332729144320027</v>
      </c>
      <c r="D1476">
        <v>5</v>
      </c>
      <c r="E1476">
        <f t="shared" si="47"/>
        <v>4.4084693149242044E-2</v>
      </c>
    </row>
    <row r="1477" spans="1:5" x14ac:dyDescent="0.25">
      <c r="A1477">
        <v>3</v>
      </c>
      <c r="B1477">
        <v>0.11111111111111099</v>
      </c>
      <c r="C1477">
        <f t="shared" si="46"/>
        <v>1.4332729144320027</v>
      </c>
      <c r="D1477">
        <v>5</v>
      </c>
      <c r="E1477">
        <f t="shared" si="47"/>
        <v>4.4084693149242044E-2</v>
      </c>
    </row>
    <row r="1478" spans="1:5" x14ac:dyDescent="0.25">
      <c r="A1478">
        <v>3</v>
      </c>
      <c r="B1478">
        <v>0.111888111888112</v>
      </c>
      <c r="C1478">
        <f t="shared" si="46"/>
        <v>1.4330617618919459</v>
      </c>
      <c r="D1478">
        <v>5</v>
      </c>
      <c r="E1478">
        <f t="shared" si="47"/>
        <v>4.4084693149242044E-2</v>
      </c>
    </row>
    <row r="1479" spans="1:5" x14ac:dyDescent="0.25">
      <c r="A1479">
        <v>3</v>
      </c>
      <c r="B1479">
        <v>0.112</v>
      </c>
      <c r="C1479">
        <f t="shared" si="46"/>
        <v>1.433030436260998</v>
      </c>
      <c r="D1479">
        <v>5</v>
      </c>
      <c r="E1479">
        <f t="shared" si="47"/>
        <v>4.4084693149242044E-2</v>
      </c>
    </row>
    <row r="1480" spans="1:5" x14ac:dyDescent="0.25">
      <c r="A1480">
        <v>3</v>
      </c>
      <c r="B1480">
        <v>0.11214953271028</v>
      </c>
      <c r="C1480">
        <f t="shared" si="46"/>
        <v>1.4329882097661057</v>
      </c>
      <c r="D1480">
        <v>5</v>
      </c>
      <c r="E1480">
        <f t="shared" si="47"/>
        <v>4.4084693149242044E-2</v>
      </c>
    </row>
    <row r="1481" spans="1:5" x14ac:dyDescent="0.25">
      <c r="A1481">
        <v>3</v>
      </c>
      <c r="B1481">
        <v>0.11333333333333299</v>
      </c>
      <c r="C1481">
        <f t="shared" si="46"/>
        <v>1.4326393284670014</v>
      </c>
      <c r="D1481">
        <v>5</v>
      </c>
      <c r="E1481">
        <f t="shared" si="47"/>
        <v>4.4084693149242044E-2</v>
      </c>
    </row>
    <row r="1482" spans="1:5" x14ac:dyDescent="0.25">
      <c r="A1482">
        <v>3</v>
      </c>
      <c r="B1482">
        <v>0.114</v>
      </c>
      <c r="C1482">
        <f t="shared" si="46"/>
        <v>1.4324314561057188</v>
      </c>
      <c r="D1482">
        <v>5</v>
      </c>
      <c r="E1482">
        <f t="shared" si="47"/>
        <v>4.4084693149242044E-2</v>
      </c>
    </row>
    <row r="1483" spans="1:5" x14ac:dyDescent="0.25">
      <c r="A1483">
        <v>3</v>
      </c>
      <c r="B1483">
        <v>0.114114114114114</v>
      </c>
      <c r="C1483">
        <f t="shared" si="46"/>
        <v>1.4323950515590387</v>
      </c>
      <c r="D1483">
        <v>5</v>
      </c>
      <c r="E1483">
        <f t="shared" si="47"/>
        <v>4.4084693149242044E-2</v>
      </c>
    </row>
    <row r="1484" spans="1:5" x14ac:dyDescent="0.25">
      <c r="A1484">
        <v>3</v>
      </c>
      <c r="B1484">
        <v>0.114114114114114</v>
      </c>
      <c r="C1484">
        <f t="shared" si="46"/>
        <v>1.4323950515590387</v>
      </c>
      <c r="D1484">
        <v>5</v>
      </c>
      <c r="E1484">
        <f t="shared" si="47"/>
        <v>4.4084693149242044E-2</v>
      </c>
    </row>
    <row r="1485" spans="1:5" x14ac:dyDescent="0.25">
      <c r="A1485">
        <v>3</v>
      </c>
      <c r="B1485">
        <v>0.114219114219114</v>
      </c>
      <c r="C1485">
        <f t="shared" si="46"/>
        <v>1.4323613421321191</v>
      </c>
      <c r="D1485">
        <v>5</v>
      </c>
      <c r="E1485">
        <f t="shared" si="47"/>
        <v>4.4084693149242044E-2</v>
      </c>
    </row>
    <row r="1486" spans="1:5" x14ac:dyDescent="0.25">
      <c r="A1486">
        <v>3</v>
      </c>
      <c r="B1486">
        <v>0.11448598130841101</v>
      </c>
      <c r="C1486">
        <f t="shared" si="46"/>
        <v>1.4322747504707847</v>
      </c>
      <c r="D1486">
        <v>5</v>
      </c>
      <c r="E1486">
        <f t="shared" si="47"/>
        <v>4.4084693149242044E-2</v>
      </c>
    </row>
    <row r="1487" spans="1:5" x14ac:dyDescent="0.25">
      <c r="A1487">
        <v>3</v>
      </c>
      <c r="B1487">
        <v>0.115</v>
      </c>
      <c r="C1487">
        <f t="shared" si="46"/>
        <v>1.4321042595095337</v>
      </c>
      <c r="D1487">
        <v>5</v>
      </c>
      <c r="E1487">
        <f t="shared" si="47"/>
        <v>4.4084693149242044E-2</v>
      </c>
    </row>
    <row r="1488" spans="1:5" x14ac:dyDescent="0.25">
      <c r="A1488">
        <v>3</v>
      </c>
      <c r="B1488">
        <v>0.115</v>
      </c>
      <c r="C1488">
        <f t="shared" si="46"/>
        <v>1.4321042595095337</v>
      </c>
      <c r="D1488">
        <v>5</v>
      </c>
      <c r="E1488">
        <f t="shared" si="47"/>
        <v>4.4084693149242044E-2</v>
      </c>
    </row>
    <row r="1489" spans="1:5" x14ac:dyDescent="0.25">
      <c r="A1489">
        <v>3</v>
      </c>
      <c r="B1489">
        <v>0.115</v>
      </c>
      <c r="C1489">
        <f t="shared" si="46"/>
        <v>1.4321042595095337</v>
      </c>
      <c r="D1489">
        <v>5</v>
      </c>
      <c r="E1489">
        <f t="shared" si="47"/>
        <v>4.4084693149242044E-2</v>
      </c>
    </row>
    <row r="1490" spans="1:5" x14ac:dyDescent="0.25">
      <c r="A1490">
        <v>3</v>
      </c>
      <c r="B1490">
        <v>0.115384615384615</v>
      </c>
      <c r="C1490">
        <f t="shared" si="46"/>
        <v>1.4319735000723062</v>
      </c>
      <c r="D1490">
        <v>5</v>
      </c>
      <c r="E1490">
        <f t="shared" si="47"/>
        <v>4.4084693149242044E-2</v>
      </c>
    </row>
    <row r="1491" spans="1:5" x14ac:dyDescent="0.25">
      <c r="A1491">
        <v>3</v>
      </c>
      <c r="B1491">
        <v>0.116550116550117</v>
      </c>
      <c r="C1491">
        <f t="shared" si="46"/>
        <v>1.4315605966874814</v>
      </c>
      <c r="D1491">
        <v>5</v>
      </c>
      <c r="E1491">
        <f t="shared" si="47"/>
        <v>4.4084693149242044E-2</v>
      </c>
    </row>
    <row r="1492" spans="1:5" x14ac:dyDescent="0.25">
      <c r="A1492">
        <v>3</v>
      </c>
      <c r="B1492">
        <v>0.116766467065868</v>
      </c>
      <c r="C1492">
        <f t="shared" si="46"/>
        <v>1.4314811938398855</v>
      </c>
      <c r="D1492">
        <v>5</v>
      </c>
      <c r="E1492">
        <f t="shared" si="47"/>
        <v>4.4084693149242044E-2</v>
      </c>
    </row>
    <row r="1493" spans="1:5" x14ac:dyDescent="0.25">
      <c r="A1493">
        <v>3</v>
      </c>
      <c r="B1493">
        <v>0.116766467065868</v>
      </c>
      <c r="C1493">
        <f t="shared" si="46"/>
        <v>1.4314811938398855</v>
      </c>
      <c r="D1493">
        <v>5</v>
      </c>
      <c r="E1493">
        <f t="shared" si="47"/>
        <v>4.4084693149242044E-2</v>
      </c>
    </row>
    <row r="1494" spans="1:5" x14ac:dyDescent="0.25">
      <c r="A1494">
        <v>3</v>
      </c>
      <c r="B1494">
        <v>0.117117117117117</v>
      </c>
      <c r="C1494">
        <f t="shared" si="46"/>
        <v>1.4313506696169431</v>
      </c>
      <c r="D1494">
        <v>5</v>
      </c>
      <c r="E1494">
        <f t="shared" si="47"/>
        <v>4.4084693149242044E-2</v>
      </c>
    </row>
    <row r="1495" spans="1:5" x14ac:dyDescent="0.25">
      <c r="A1495">
        <v>3</v>
      </c>
      <c r="B1495">
        <v>0.117117117117117</v>
      </c>
      <c r="C1495">
        <f t="shared" si="46"/>
        <v>1.4313506696169431</v>
      </c>
      <c r="D1495">
        <v>5</v>
      </c>
      <c r="E1495">
        <f t="shared" si="47"/>
        <v>4.4084693149242044E-2</v>
      </c>
    </row>
    <row r="1496" spans="1:5" x14ac:dyDescent="0.25">
      <c r="A1496">
        <v>3</v>
      </c>
      <c r="B1496">
        <v>0.118666666666667</v>
      </c>
      <c r="C1496">
        <f t="shared" si="46"/>
        <v>1.4307467557207179</v>
      </c>
      <c r="D1496">
        <v>5</v>
      </c>
      <c r="E1496">
        <f t="shared" si="47"/>
        <v>4.4084693149242044E-2</v>
      </c>
    </row>
    <row r="1497" spans="1:5" x14ac:dyDescent="0.25">
      <c r="A1497">
        <v>3</v>
      </c>
      <c r="B1497">
        <v>0.11888111888111901</v>
      </c>
      <c r="C1497">
        <f t="shared" si="46"/>
        <v>1.430659694222179</v>
      </c>
      <c r="D1497">
        <v>5</v>
      </c>
      <c r="E1497">
        <f t="shared" si="47"/>
        <v>4.4084693149242044E-2</v>
      </c>
    </row>
    <row r="1498" spans="1:5" x14ac:dyDescent="0.25">
      <c r="A1498">
        <v>3</v>
      </c>
      <c r="B1498">
        <v>0.11888111888111901</v>
      </c>
      <c r="C1498">
        <f t="shared" si="46"/>
        <v>1.430659694222179</v>
      </c>
      <c r="D1498">
        <v>5</v>
      </c>
      <c r="E1498">
        <f t="shared" si="47"/>
        <v>4.4084693149242044E-2</v>
      </c>
    </row>
    <row r="1499" spans="1:5" x14ac:dyDescent="0.25">
      <c r="A1499">
        <v>3</v>
      </c>
      <c r="B1499">
        <v>0.11915887850467299</v>
      </c>
      <c r="C1499">
        <f t="shared" si="46"/>
        <v>1.4305456740557265</v>
      </c>
      <c r="D1499">
        <v>5</v>
      </c>
      <c r="E1499">
        <f t="shared" si="47"/>
        <v>4.4084693149242044E-2</v>
      </c>
    </row>
    <row r="1500" spans="1:5" x14ac:dyDescent="0.25">
      <c r="A1500">
        <v>3</v>
      </c>
      <c r="B1500">
        <v>0.11915887850467299</v>
      </c>
      <c r="C1500">
        <f t="shared" si="46"/>
        <v>1.4305456740557265</v>
      </c>
      <c r="D1500">
        <v>5</v>
      </c>
      <c r="E1500">
        <f t="shared" si="47"/>
        <v>4.4084693149242044E-2</v>
      </c>
    </row>
    <row r="1501" spans="1:5" x14ac:dyDescent="0.25">
      <c r="A1501">
        <v>3</v>
      </c>
      <c r="B1501">
        <v>0.119760479041916</v>
      </c>
      <c r="C1501">
        <f t="shared" si="46"/>
        <v>1.4302938524132305</v>
      </c>
      <c r="D1501">
        <v>5</v>
      </c>
      <c r="E1501">
        <f t="shared" si="47"/>
        <v>4.4084693149242044E-2</v>
      </c>
    </row>
    <row r="1502" spans="1:5" x14ac:dyDescent="0.25">
      <c r="A1502">
        <v>3</v>
      </c>
      <c r="B1502">
        <v>0.12</v>
      </c>
      <c r="C1502">
        <f t="shared" si="46"/>
        <v>1.430191740162067</v>
      </c>
      <c r="D1502">
        <v>5</v>
      </c>
      <c r="E1502">
        <f t="shared" si="47"/>
        <v>4.4084693149242044E-2</v>
      </c>
    </row>
    <row r="1503" spans="1:5" x14ac:dyDescent="0.25">
      <c r="A1503">
        <v>3</v>
      </c>
      <c r="B1503">
        <v>0.12</v>
      </c>
      <c r="C1503">
        <f t="shared" si="46"/>
        <v>1.430191740162067</v>
      </c>
      <c r="D1503">
        <v>5</v>
      </c>
      <c r="E1503">
        <f t="shared" si="47"/>
        <v>4.4084693149242044E-2</v>
      </c>
    </row>
    <row r="1504" spans="1:5" x14ac:dyDescent="0.25">
      <c r="A1504">
        <v>3</v>
      </c>
      <c r="B1504">
        <v>0.12</v>
      </c>
      <c r="C1504">
        <f t="shared" si="46"/>
        <v>1.430191740162067</v>
      </c>
      <c r="D1504">
        <v>5</v>
      </c>
      <c r="E1504">
        <f t="shared" si="47"/>
        <v>4.4084693149242044E-2</v>
      </c>
    </row>
    <row r="1505" spans="1:5" x14ac:dyDescent="0.25">
      <c r="A1505">
        <v>3</v>
      </c>
      <c r="B1505">
        <v>0.12</v>
      </c>
      <c r="C1505">
        <f t="shared" si="46"/>
        <v>1.430191740162067</v>
      </c>
      <c r="D1505">
        <v>5</v>
      </c>
      <c r="E1505">
        <f t="shared" si="47"/>
        <v>4.4084693149242044E-2</v>
      </c>
    </row>
    <row r="1506" spans="1:5" x14ac:dyDescent="0.25">
      <c r="A1506">
        <v>3</v>
      </c>
      <c r="B1506">
        <v>0.12</v>
      </c>
      <c r="C1506">
        <f t="shared" si="46"/>
        <v>1.430191740162067</v>
      </c>
      <c r="D1506">
        <v>5</v>
      </c>
      <c r="E1506">
        <f t="shared" si="47"/>
        <v>4.4084693149242044E-2</v>
      </c>
    </row>
    <row r="1507" spans="1:5" x14ac:dyDescent="0.25">
      <c r="A1507">
        <v>3</v>
      </c>
      <c r="B1507">
        <v>0.12012012012011999</v>
      </c>
      <c r="C1507">
        <f t="shared" si="46"/>
        <v>1.4301401336852937</v>
      </c>
      <c r="D1507">
        <v>5</v>
      </c>
      <c r="E1507">
        <f t="shared" si="47"/>
        <v>4.4084693149242044E-2</v>
      </c>
    </row>
    <row r="1508" spans="1:5" x14ac:dyDescent="0.25">
      <c r="A1508">
        <v>3</v>
      </c>
      <c r="B1508">
        <v>0.12012012012011999</v>
      </c>
      <c r="C1508">
        <f t="shared" si="46"/>
        <v>1.4301401336852937</v>
      </c>
      <c r="D1508">
        <v>5</v>
      </c>
      <c r="E1508">
        <f t="shared" si="47"/>
        <v>4.4084693149242044E-2</v>
      </c>
    </row>
    <row r="1509" spans="1:5" x14ac:dyDescent="0.25">
      <c r="A1509">
        <v>3</v>
      </c>
      <c r="B1509">
        <v>0.12068965517241401</v>
      </c>
      <c r="C1509">
        <f t="shared" si="46"/>
        <v>1.4298918389613495</v>
      </c>
      <c r="D1509">
        <v>5</v>
      </c>
      <c r="E1509">
        <f t="shared" si="47"/>
        <v>4.4084693149242044E-2</v>
      </c>
    </row>
    <row r="1510" spans="1:5" x14ac:dyDescent="0.25">
      <c r="A1510">
        <v>3</v>
      </c>
      <c r="B1510">
        <v>0.12121212121212099</v>
      </c>
      <c r="C1510">
        <f t="shared" si="46"/>
        <v>1.4296588244215234</v>
      </c>
      <c r="D1510">
        <v>5</v>
      </c>
      <c r="E1510">
        <f t="shared" si="47"/>
        <v>4.4084693149242044E-2</v>
      </c>
    </row>
    <row r="1511" spans="1:5" x14ac:dyDescent="0.25">
      <c r="A1511">
        <v>3</v>
      </c>
      <c r="B1511">
        <v>0.121495327102804</v>
      </c>
      <c r="C1511">
        <f t="shared" si="46"/>
        <v>1.4295304227479475</v>
      </c>
      <c r="D1511">
        <v>5</v>
      </c>
      <c r="E1511">
        <f t="shared" si="47"/>
        <v>4.4084693149242044E-2</v>
      </c>
    </row>
    <row r="1512" spans="1:5" x14ac:dyDescent="0.25">
      <c r="A1512">
        <v>3</v>
      </c>
      <c r="B1512">
        <v>0.12166666666666701</v>
      </c>
      <c r="C1512">
        <f t="shared" si="46"/>
        <v>1.4294520249642162</v>
      </c>
      <c r="D1512">
        <v>5</v>
      </c>
      <c r="E1512">
        <f t="shared" si="47"/>
        <v>4.4084693149242044E-2</v>
      </c>
    </row>
    <row r="1513" spans="1:5" x14ac:dyDescent="0.25">
      <c r="A1513">
        <v>3</v>
      </c>
      <c r="B1513">
        <v>0.12266666666666701</v>
      </c>
      <c r="C1513">
        <f t="shared" si="46"/>
        <v>1.428983721897978</v>
      </c>
      <c r="D1513">
        <v>5</v>
      </c>
      <c r="E1513">
        <f t="shared" si="47"/>
        <v>4.4084693149242044E-2</v>
      </c>
    </row>
    <row r="1514" spans="1:5" x14ac:dyDescent="0.25">
      <c r="A1514">
        <v>3</v>
      </c>
      <c r="B1514">
        <v>0.122754491017964</v>
      </c>
      <c r="C1514">
        <f t="shared" si="46"/>
        <v>1.4289417174508499</v>
      </c>
      <c r="D1514">
        <v>5</v>
      </c>
      <c r="E1514">
        <f t="shared" si="47"/>
        <v>4.4084693149242044E-2</v>
      </c>
    </row>
    <row r="1515" spans="1:5" x14ac:dyDescent="0.25">
      <c r="A1515">
        <v>3</v>
      </c>
      <c r="B1515">
        <v>0.12345679012345701</v>
      </c>
      <c r="C1515">
        <f t="shared" si="46"/>
        <v>1.4286007381572898</v>
      </c>
      <c r="D1515">
        <v>5</v>
      </c>
      <c r="E1515">
        <f t="shared" si="47"/>
        <v>4.4084693149242044E-2</v>
      </c>
    </row>
    <row r="1516" spans="1:5" x14ac:dyDescent="0.25">
      <c r="A1516">
        <v>3</v>
      </c>
      <c r="B1516">
        <v>0.123831775700935</v>
      </c>
      <c r="C1516">
        <f t="shared" si="46"/>
        <v>1.4284149751978255</v>
      </c>
      <c r="D1516">
        <v>5</v>
      </c>
      <c r="E1516">
        <f t="shared" si="47"/>
        <v>4.4084693149242044E-2</v>
      </c>
    </row>
    <row r="1517" spans="1:5" x14ac:dyDescent="0.25">
      <c r="A1517">
        <v>3</v>
      </c>
      <c r="B1517">
        <v>0.123831775700935</v>
      </c>
      <c r="C1517">
        <f t="shared" si="46"/>
        <v>1.4284149751978255</v>
      </c>
      <c r="D1517">
        <v>5</v>
      </c>
      <c r="E1517">
        <f t="shared" si="47"/>
        <v>4.4084693149242044E-2</v>
      </c>
    </row>
    <row r="1518" spans="1:5" x14ac:dyDescent="0.25">
      <c r="A1518">
        <v>3</v>
      </c>
      <c r="B1518">
        <v>0.124</v>
      </c>
      <c r="C1518">
        <f t="shared" si="46"/>
        <v>1.4283308023538221</v>
      </c>
      <c r="D1518">
        <v>5</v>
      </c>
      <c r="E1518">
        <f t="shared" si="47"/>
        <v>4.4084693149242044E-2</v>
      </c>
    </row>
    <row r="1519" spans="1:5" x14ac:dyDescent="0.25">
      <c r="A1519">
        <v>3</v>
      </c>
      <c r="B1519">
        <v>0.12533333333333299</v>
      </c>
      <c r="C1519">
        <f t="shared" si="46"/>
        <v>1.4276453350290859</v>
      </c>
      <c r="D1519">
        <v>5</v>
      </c>
      <c r="E1519">
        <f t="shared" si="47"/>
        <v>4.4084693149242044E-2</v>
      </c>
    </row>
    <row r="1520" spans="1:5" x14ac:dyDescent="0.25">
      <c r="A1520">
        <v>3</v>
      </c>
      <c r="B1520">
        <v>0.12533333333333299</v>
      </c>
      <c r="C1520">
        <f t="shared" si="46"/>
        <v>1.4276453350290859</v>
      </c>
      <c r="D1520">
        <v>5</v>
      </c>
      <c r="E1520">
        <f t="shared" si="47"/>
        <v>4.4084693149242044E-2</v>
      </c>
    </row>
    <row r="1521" spans="1:5" x14ac:dyDescent="0.25">
      <c r="A1521">
        <v>3</v>
      </c>
      <c r="B1521">
        <v>0.12533333333333299</v>
      </c>
      <c r="C1521">
        <f t="shared" si="46"/>
        <v>1.4276453350290859</v>
      </c>
      <c r="D1521">
        <v>5</v>
      </c>
      <c r="E1521">
        <f t="shared" si="47"/>
        <v>4.4084693149242044E-2</v>
      </c>
    </row>
    <row r="1522" spans="1:5" x14ac:dyDescent="0.25">
      <c r="A1522">
        <v>3</v>
      </c>
      <c r="B1522">
        <v>0.125874125874126</v>
      </c>
      <c r="C1522">
        <f t="shared" si="46"/>
        <v>1.4273580462545359</v>
      </c>
      <c r="D1522">
        <v>5</v>
      </c>
      <c r="E1522">
        <f t="shared" si="47"/>
        <v>4.4084693149242044E-2</v>
      </c>
    </row>
    <row r="1523" spans="1:5" x14ac:dyDescent="0.25">
      <c r="A1523">
        <v>3</v>
      </c>
      <c r="B1523">
        <v>0.126126126126126</v>
      </c>
      <c r="C1523">
        <f t="shared" si="46"/>
        <v>1.4272223492208813</v>
      </c>
      <c r="D1523">
        <v>5</v>
      </c>
      <c r="E1523">
        <f t="shared" si="47"/>
        <v>4.4084693149242044E-2</v>
      </c>
    </row>
    <row r="1524" spans="1:5" x14ac:dyDescent="0.25">
      <c r="A1524">
        <v>3</v>
      </c>
      <c r="B1524">
        <v>0.126126126126126</v>
      </c>
      <c r="C1524">
        <f t="shared" si="46"/>
        <v>1.4272223492208813</v>
      </c>
      <c r="D1524">
        <v>5</v>
      </c>
      <c r="E1524">
        <f t="shared" si="47"/>
        <v>4.4084693149242044E-2</v>
      </c>
    </row>
    <row r="1525" spans="1:5" x14ac:dyDescent="0.25">
      <c r="A1525">
        <v>3</v>
      </c>
      <c r="B1525">
        <v>0.126126126126126</v>
      </c>
      <c r="C1525">
        <f t="shared" si="46"/>
        <v>1.4272223492208813</v>
      </c>
      <c r="D1525">
        <v>5</v>
      </c>
      <c r="E1525">
        <f t="shared" si="47"/>
        <v>4.4084693149242044E-2</v>
      </c>
    </row>
    <row r="1526" spans="1:5" x14ac:dyDescent="0.25">
      <c r="A1526">
        <v>3</v>
      </c>
      <c r="B1526">
        <v>0.126126126126126</v>
      </c>
      <c r="C1526">
        <f t="shared" si="46"/>
        <v>1.4272223492208813</v>
      </c>
      <c r="D1526">
        <v>5</v>
      </c>
      <c r="E1526">
        <f t="shared" si="47"/>
        <v>4.4084693149242044E-2</v>
      </c>
    </row>
    <row r="1527" spans="1:5" x14ac:dyDescent="0.25">
      <c r="A1527">
        <v>3</v>
      </c>
      <c r="B1527">
        <v>0.126126126126126</v>
      </c>
      <c r="C1527">
        <f t="shared" si="46"/>
        <v>1.4272223492208813</v>
      </c>
      <c r="D1527">
        <v>5</v>
      </c>
      <c r="E1527">
        <f t="shared" si="47"/>
        <v>4.4084693149242044E-2</v>
      </c>
    </row>
    <row r="1528" spans="1:5" x14ac:dyDescent="0.25">
      <c r="A1528">
        <v>3</v>
      </c>
      <c r="B1528">
        <v>0.126126126126126</v>
      </c>
      <c r="C1528">
        <f t="shared" si="46"/>
        <v>1.4272223492208813</v>
      </c>
      <c r="D1528">
        <v>5</v>
      </c>
      <c r="E1528">
        <f t="shared" si="47"/>
        <v>4.4084693149242044E-2</v>
      </c>
    </row>
    <row r="1529" spans="1:5" x14ac:dyDescent="0.25">
      <c r="A1529">
        <v>3</v>
      </c>
      <c r="B1529">
        <v>0.126126126126126</v>
      </c>
      <c r="C1529">
        <f t="shared" si="46"/>
        <v>1.4272223492208813</v>
      </c>
      <c r="D1529">
        <v>5</v>
      </c>
      <c r="E1529">
        <f t="shared" si="47"/>
        <v>4.4084693149242044E-2</v>
      </c>
    </row>
    <row r="1530" spans="1:5" x14ac:dyDescent="0.25">
      <c r="A1530">
        <v>3</v>
      </c>
      <c r="B1530">
        <v>0.12666666666666701</v>
      </c>
      <c r="C1530">
        <f t="shared" si="46"/>
        <v>1.4269273670767675</v>
      </c>
      <c r="D1530">
        <v>5</v>
      </c>
      <c r="E1530">
        <f t="shared" si="47"/>
        <v>4.4084693149242044E-2</v>
      </c>
    </row>
    <row r="1531" spans="1:5" x14ac:dyDescent="0.25">
      <c r="A1531">
        <v>3</v>
      </c>
      <c r="B1531">
        <v>0.126984126984127</v>
      </c>
      <c r="C1531">
        <f t="shared" si="46"/>
        <v>1.4267516373668345</v>
      </c>
      <c r="D1531">
        <v>5</v>
      </c>
      <c r="E1531">
        <f t="shared" si="47"/>
        <v>4.4084693149242044E-2</v>
      </c>
    </row>
    <row r="1532" spans="1:5" x14ac:dyDescent="0.25">
      <c r="A1532">
        <v>3</v>
      </c>
      <c r="B1532">
        <v>0.128</v>
      </c>
      <c r="C1532">
        <f t="shared" si="46"/>
        <v>1.4261769478693327</v>
      </c>
      <c r="D1532">
        <v>5</v>
      </c>
      <c r="E1532">
        <f t="shared" si="47"/>
        <v>4.4084693149242044E-2</v>
      </c>
    </row>
    <row r="1533" spans="1:5" x14ac:dyDescent="0.25">
      <c r="A1533">
        <v>3</v>
      </c>
      <c r="B1533">
        <v>0.128</v>
      </c>
      <c r="C1533">
        <f t="shared" si="46"/>
        <v>1.4261769478693327</v>
      </c>
      <c r="D1533">
        <v>5</v>
      </c>
      <c r="E1533">
        <f t="shared" si="47"/>
        <v>4.4084693149242044E-2</v>
      </c>
    </row>
    <row r="1534" spans="1:5" x14ac:dyDescent="0.25">
      <c r="A1534">
        <v>3</v>
      </c>
      <c r="B1534">
        <v>0.128</v>
      </c>
      <c r="C1534">
        <f t="shared" si="46"/>
        <v>1.4261769478693327</v>
      </c>
      <c r="D1534">
        <v>5</v>
      </c>
      <c r="E1534">
        <f t="shared" si="47"/>
        <v>4.4084693149242044E-2</v>
      </c>
    </row>
    <row r="1535" spans="1:5" x14ac:dyDescent="0.25">
      <c r="A1535">
        <v>3</v>
      </c>
      <c r="B1535">
        <v>0.128504672897196</v>
      </c>
      <c r="C1535">
        <f t="shared" si="46"/>
        <v>1.4258844552385566</v>
      </c>
      <c r="D1535">
        <v>5</v>
      </c>
      <c r="E1535">
        <f t="shared" si="47"/>
        <v>4.4084693149242044E-2</v>
      </c>
    </row>
    <row r="1536" spans="1:5" x14ac:dyDescent="0.25">
      <c r="A1536">
        <v>3</v>
      </c>
      <c r="B1536">
        <v>0.128504672897196</v>
      </c>
      <c r="C1536">
        <f t="shared" si="46"/>
        <v>1.4258844552385566</v>
      </c>
      <c r="D1536">
        <v>5</v>
      </c>
      <c r="E1536">
        <f t="shared" si="47"/>
        <v>4.4084693149242044E-2</v>
      </c>
    </row>
    <row r="1537" spans="1:5" x14ac:dyDescent="0.25">
      <c r="A1537">
        <v>3</v>
      </c>
      <c r="B1537">
        <v>0.12874251497006001</v>
      </c>
      <c r="C1537">
        <f t="shared" si="46"/>
        <v>1.4257450009601789</v>
      </c>
      <c r="D1537">
        <v>5</v>
      </c>
      <c r="E1537">
        <f t="shared" si="47"/>
        <v>4.4084693149242044E-2</v>
      </c>
    </row>
    <row r="1538" spans="1:5" x14ac:dyDescent="0.25">
      <c r="A1538">
        <v>3</v>
      </c>
      <c r="B1538">
        <v>0.13066666666666699</v>
      </c>
      <c r="C1538">
        <f t="shared" ref="C1538:C1601" si="48">_xlfn.NORM.DIST(B1538, I$10,I$13,FALSE)</f>
        <v>1.4245789642420998</v>
      </c>
      <c r="D1538">
        <v>5</v>
      </c>
      <c r="E1538">
        <f t="shared" si="47"/>
        <v>4.4084693149242044E-2</v>
      </c>
    </row>
    <row r="1539" spans="1:5" x14ac:dyDescent="0.25">
      <c r="A1539">
        <v>3</v>
      </c>
      <c r="B1539">
        <v>0.13066666666666699</v>
      </c>
      <c r="C1539">
        <f t="shared" si="48"/>
        <v>1.4245789642420998</v>
      </c>
      <c r="D1539">
        <v>5</v>
      </c>
      <c r="E1539">
        <f t="shared" ref="E1539:E1602" si="49">_xlfn.NORM.DIST(D1539, I$4,I$7,FALSE)</f>
        <v>4.4084693149242044E-2</v>
      </c>
    </row>
    <row r="1540" spans="1:5" x14ac:dyDescent="0.25">
      <c r="A1540">
        <v>3</v>
      </c>
      <c r="B1540">
        <v>0.13066666666666699</v>
      </c>
      <c r="C1540">
        <f t="shared" si="48"/>
        <v>1.4245789642420998</v>
      </c>
      <c r="D1540">
        <v>5</v>
      </c>
      <c r="E1540">
        <f t="shared" si="49"/>
        <v>4.4084693149242044E-2</v>
      </c>
    </row>
    <row r="1541" spans="1:5" x14ac:dyDescent="0.25">
      <c r="A1541">
        <v>3</v>
      </c>
      <c r="B1541">
        <v>0.13173652694610799</v>
      </c>
      <c r="C1541">
        <f t="shared" si="48"/>
        <v>1.4239015278618232</v>
      </c>
      <c r="D1541">
        <v>5</v>
      </c>
      <c r="E1541">
        <f t="shared" si="49"/>
        <v>4.4084693149242044E-2</v>
      </c>
    </row>
    <row r="1542" spans="1:5" x14ac:dyDescent="0.25">
      <c r="A1542">
        <v>3</v>
      </c>
      <c r="B1542">
        <v>0.13213213213213201</v>
      </c>
      <c r="C1542">
        <f t="shared" si="48"/>
        <v>1.4236457713182005</v>
      </c>
      <c r="D1542">
        <v>5</v>
      </c>
      <c r="E1542">
        <f t="shared" si="49"/>
        <v>4.4084693149242044E-2</v>
      </c>
    </row>
    <row r="1543" spans="1:5" x14ac:dyDescent="0.25">
      <c r="A1543">
        <v>3</v>
      </c>
      <c r="B1543">
        <v>0.13235294117647101</v>
      </c>
      <c r="C1543">
        <f t="shared" si="48"/>
        <v>1.4235017857656032</v>
      </c>
      <c r="D1543">
        <v>5</v>
      </c>
      <c r="E1543">
        <f t="shared" si="49"/>
        <v>4.4084693149242044E-2</v>
      </c>
    </row>
    <row r="1544" spans="1:5" x14ac:dyDescent="0.25">
      <c r="A1544">
        <v>3</v>
      </c>
      <c r="B1544">
        <v>0.13317757009345799</v>
      </c>
      <c r="C1544">
        <f t="shared" si="48"/>
        <v>1.4229562512041107</v>
      </c>
      <c r="D1544">
        <v>5</v>
      </c>
      <c r="E1544">
        <f t="shared" si="49"/>
        <v>4.4084693149242044E-2</v>
      </c>
    </row>
    <row r="1545" spans="1:5" x14ac:dyDescent="0.25">
      <c r="A1545">
        <v>3</v>
      </c>
      <c r="B1545">
        <v>0.133333333333333</v>
      </c>
      <c r="C1545">
        <f t="shared" si="48"/>
        <v>1.4228518232951182</v>
      </c>
      <c r="D1545">
        <v>5</v>
      </c>
      <c r="E1545">
        <f t="shared" si="49"/>
        <v>4.4084693149242044E-2</v>
      </c>
    </row>
    <row r="1546" spans="1:5" x14ac:dyDescent="0.25">
      <c r="A1546">
        <v>3</v>
      </c>
      <c r="B1546">
        <v>0.133333333333333</v>
      </c>
      <c r="C1546">
        <f t="shared" si="48"/>
        <v>1.4228518232951182</v>
      </c>
      <c r="D1546">
        <v>5</v>
      </c>
      <c r="E1546">
        <f t="shared" si="49"/>
        <v>4.4084693149242044E-2</v>
      </c>
    </row>
    <row r="1547" spans="1:5" x14ac:dyDescent="0.25">
      <c r="A1547">
        <v>3</v>
      </c>
      <c r="B1547">
        <v>0.133333333333333</v>
      </c>
      <c r="C1547">
        <f t="shared" si="48"/>
        <v>1.4228518232951182</v>
      </c>
      <c r="D1547">
        <v>5</v>
      </c>
      <c r="E1547">
        <f t="shared" si="49"/>
        <v>4.4084693149242044E-2</v>
      </c>
    </row>
    <row r="1548" spans="1:5" x14ac:dyDescent="0.25">
      <c r="A1548">
        <v>3</v>
      </c>
      <c r="B1548">
        <v>0.133333333333333</v>
      </c>
      <c r="C1548">
        <f t="shared" si="48"/>
        <v>1.4228518232951182</v>
      </c>
      <c r="D1548">
        <v>5</v>
      </c>
      <c r="E1548">
        <f t="shared" si="49"/>
        <v>4.4084693149242044E-2</v>
      </c>
    </row>
    <row r="1549" spans="1:5" x14ac:dyDescent="0.25">
      <c r="A1549">
        <v>3</v>
      </c>
      <c r="B1549">
        <v>0.13400000000000001</v>
      </c>
      <c r="C1549">
        <f t="shared" si="48"/>
        <v>1.4223999120370721</v>
      </c>
      <c r="D1549">
        <v>5</v>
      </c>
      <c r="E1549">
        <f t="shared" si="49"/>
        <v>4.4084693149242044E-2</v>
      </c>
    </row>
    <row r="1550" spans="1:5" x14ac:dyDescent="0.25">
      <c r="A1550">
        <v>3</v>
      </c>
      <c r="B1550">
        <v>0.13400000000000001</v>
      </c>
      <c r="C1550">
        <f t="shared" si="48"/>
        <v>1.4223999120370721</v>
      </c>
      <c r="D1550">
        <v>5</v>
      </c>
      <c r="E1550">
        <f t="shared" si="49"/>
        <v>4.4084693149242044E-2</v>
      </c>
    </row>
    <row r="1551" spans="1:5" x14ac:dyDescent="0.25">
      <c r="A1551">
        <v>3</v>
      </c>
      <c r="B1551">
        <v>0.13400000000000001</v>
      </c>
      <c r="C1551">
        <f t="shared" si="48"/>
        <v>1.4223999120370721</v>
      </c>
      <c r="D1551">
        <v>5</v>
      </c>
      <c r="E1551">
        <f t="shared" si="49"/>
        <v>4.4084693149242044E-2</v>
      </c>
    </row>
    <row r="1552" spans="1:5" x14ac:dyDescent="0.25">
      <c r="A1552">
        <v>3</v>
      </c>
      <c r="B1552">
        <v>0.134730538922156</v>
      </c>
      <c r="C1552">
        <f t="shared" si="48"/>
        <v>1.4218954774470784</v>
      </c>
      <c r="D1552">
        <v>5</v>
      </c>
      <c r="E1552">
        <f t="shared" si="49"/>
        <v>4.4084693149242044E-2</v>
      </c>
    </row>
    <row r="1553" spans="1:5" x14ac:dyDescent="0.25">
      <c r="A1553">
        <v>3</v>
      </c>
      <c r="B1553">
        <v>0.13500000000000001</v>
      </c>
      <c r="C1553">
        <f t="shared" si="48"/>
        <v>1.4217069817807808</v>
      </c>
      <c r="D1553">
        <v>5</v>
      </c>
      <c r="E1553">
        <f t="shared" si="49"/>
        <v>4.4084693149242044E-2</v>
      </c>
    </row>
    <row r="1554" spans="1:5" x14ac:dyDescent="0.25">
      <c r="A1554">
        <v>3</v>
      </c>
      <c r="B1554">
        <v>0.135135135135135</v>
      </c>
      <c r="C1554">
        <f t="shared" si="48"/>
        <v>1.421611957382291</v>
      </c>
      <c r="D1554">
        <v>5</v>
      </c>
      <c r="E1554">
        <f t="shared" si="49"/>
        <v>4.4084693149242044E-2</v>
      </c>
    </row>
    <row r="1555" spans="1:5" x14ac:dyDescent="0.25">
      <c r="A1555">
        <v>3</v>
      </c>
      <c r="B1555">
        <v>0.135135135135135</v>
      </c>
      <c r="C1555">
        <f t="shared" si="48"/>
        <v>1.421611957382291</v>
      </c>
      <c r="D1555">
        <v>5</v>
      </c>
      <c r="E1555">
        <f t="shared" si="49"/>
        <v>4.4084693149242044E-2</v>
      </c>
    </row>
    <row r="1556" spans="1:5" x14ac:dyDescent="0.25">
      <c r="A1556">
        <v>3</v>
      </c>
      <c r="B1556">
        <v>0.135135135135135</v>
      </c>
      <c r="C1556">
        <f t="shared" si="48"/>
        <v>1.421611957382291</v>
      </c>
      <c r="D1556">
        <v>5</v>
      </c>
      <c r="E1556">
        <f t="shared" si="49"/>
        <v>4.4084693149242044E-2</v>
      </c>
    </row>
    <row r="1557" spans="1:5" x14ac:dyDescent="0.25">
      <c r="A1557">
        <v>3</v>
      </c>
      <c r="B1557">
        <v>0.135135135135135</v>
      </c>
      <c r="C1557">
        <f t="shared" si="48"/>
        <v>1.421611957382291</v>
      </c>
      <c r="D1557">
        <v>5</v>
      </c>
      <c r="E1557">
        <f t="shared" si="49"/>
        <v>4.4084693149242044E-2</v>
      </c>
    </row>
    <row r="1558" spans="1:5" x14ac:dyDescent="0.25">
      <c r="A1558">
        <v>3</v>
      </c>
      <c r="B1558">
        <v>0.135135135135135</v>
      </c>
      <c r="C1558">
        <f t="shared" si="48"/>
        <v>1.421611957382291</v>
      </c>
      <c r="D1558">
        <v>5</v>
      </c>
      <c r="E1558">
        <f t="shared" si="49"/>
        <v>4.4084693149242044E-2</v>
      </c>
    </row>
    <row r="1559" spans="1:5" x14ac:dyDescent="0.25">
      <c r="A1559">
        <v>3</v>
      </c>
      <c r="B1559">
        <v>0.135135135135135</v>
      </c>
      <c r="C1559">
        <f t="shared" si="48"/>
        <v>1.421611957382291</v>
      </c>
      <c r="D1559">
        <v>5</v>
      </c>
      <c r="E1559">
        <f t="shared" si="49"/>
        <v>4.4084693149242044E-2</v>
      </c>
    </row>
    <row r="1560" spans="1:5" x14ac:dyDescent="0.25">
      <c r="A1560">
        <v>3</v>
      </c>
      <c r="B1560">
        <v>0.135135135135135</v>
      </c>
      <c r="C1560">
        <f t="shared" si="48"/>
        <v>1.421611957382291</v>
      </c>
      <c r="D1560">
        <v>5</v>
      </c>
      <c r="E1560">
        <f t="shared" si="49"/>
        <v>4.4084693149242044E-2</v>
      </c>
    </row>
    <row r="1561" spans="1:5" x14ac:dyDescent="0.25">
      <c r="A1561">
        <v>3</v>
      </c>
      <c r="B1561">
        <v>0.135135135135135</v>
      </c>
      <c r="C1561">
        <f t="shared" si="48"/>
        <v>1.421611957382291</v>
      </c>
      <c r="D1561">
        <v>5</v>
      </c>
      <c r="E1561">
        <f t="shared" si="49"/>
        <v>4.4084693149242044E-2</v>
      </c>
    </row>
    <row r="1562" spans="1:5" x14ac:dyDescent="0.25">
      <c r="A1562">
        <v>3</v>
      </c>
      <c r="B1562">
        <v>0.13600000000000001</v>
      </c>
      <c r="C1562">
        <f t="shared" si="48"/>
        <v>1.4209959992993351</v>
      </c>
      <c r="D1562">
        <v>5</v>
      </c>
      <c r="E1562">
        <f t="shared" si="49"/>
        <v>4.4084693149242044E-2</v>
      </c>
    </row>
    <row r="1563" spans="1:5" x14ac:dyDescent="0.25">
      <c r="A1563">
        <v>3</v>
      </c>
      <c r="B1563">
        <v>0.13600000000000001</v>
      </c>
      <c r="C1563">
        <f t="shared" si="48"/>
        <v>1.4209959992993351</v>
      </c>
      <c r="D1563">
        <v>5</v>
      </c>
      <c r="E1563">
        <f t="shared" si="49"/>
        <v>4.4084693149242044E-2</v>
      </c>
    </row>
    <row r="1564" spans="1:5" x14ac:dyDescent="0.25">
      <c r="A1564">
        <v>3</v>
      </c>
      <c r="B1564">
        <v>0.13785046728972</v>
      </c>
      <c r="C1564">
        <f t="shared" si="48"/>
        <v>1.4196328327978276</v>
      </c>
      <c r="D1564">
        <v>5</v>
      </c>
      <c r="E1564">
        <f t="shared" si="49"/>
        <v>4.4084693149242044E-2</v>
      </c>
    </row>
    <row r="1565" spans="1:5" x14ac:dyDescent="0.25">
      <c r="A1565">
        <v>3</v>
      </c>
      <c r="B1565">
        <v>0.13785046728972</v>
      </c>
      <c r="C1565">
        <f t="shared" si="48"/>
        <v>1.4196328327978276</v>
      </c>
      <c r="D1565">
        <v>5</v>
      </c>
      <c r="E1565">
        <f t="shared" si="49"/>
        <v>4.4084693149242044E-2</v>
      </c>
    </row>
    <row r="1566" spans="1:5" x14ac:dyDescent="0.25">
      <c r="A1566">
        <v>3</v>
      </c>
      <c r="B1566">
        <v>0.13800000000000001</v>
      </c>
      <c r="C1566">
        <f t="shared" si="48"/>
        <v>1.4195199880476661</v>
      </c>
      <c r="D1566">
        <v>5</v>
      </c>
      <c r="E1566">
        <f t="shared" si="49"/>
        <v>4.4084693149242044E-2</v>
      </c>
    </row>
    <row r="1567" spans="1:5" x14ac:dyDescent="0.25">
      <c r="A1567">
        <v>3</v>
      </c>
      <c r="B1567">
        <v>0.13800000000000001</v>
      </c>
      <c r="C1567">
        <f t="shared" si="48"/>
        <v>1.4195199880476661</v>
      </c>
      <c r="D1567">
        <v>5</v>
      </c>
      <c r="E1567">
        <f t="shared" si="49"/>
        <v>4.4084693149242044E-2</v>
      </c>
    </row>
    <row r="1568" spans="1:5" x14ac:dyDescent="0.25">
      <c r="A1568">
        <v>3</v>
      </c>
      <c r="B1568">
        <v>0.13800000000000001</v>
      </c>
      <c r="C1568">
        <f t="shared" si="48"/>
        <v>1.4195199880476661</v>
      </c>
      <c r="D1568">
        <v>5</v>
      </c>
      <c r="E1568">
        <f t="shared" si="49"/>
        <v>4.4084693149242044E-2</v>
      </c>
    </row>
    <row r="1569" spans="1:5" x14ac:dyDescent="0.25">
      <c r="A1569">
        <v>3</v>
      </c>
      <c r="B1569">
        <v>0.13813813813813799</v>
      </c>
      <c r="C1569">
        <f t="shared" si="48"/>
        <v>1.4194153851927906</v>
      </c>
      <c r="D1569">
        <v>5</v>
      </c>
      <c r="E1569">
        <f t="shared" si="49"/>
        <v>4.4084693149242044E-2</v>
      </c>
    </row>
    <row r="1570" spans="1:5" x14ac:dyDescent="0.25">
      <c r="A1570">
        <v>3</v>
      </c>
      <c r="B1570">
        <v>0.13829787234042601</v>
      </c>
      <c r="C1570">
        <f t="shared" si="48"/>
        <v>1.419294001709922</v>
      </c>
      <c r="D1570">
        <v>5</v>
      </c>
      <c r="E1570">
        <f t="shared" si="49"/>
        <v>4.4084693149242044E-2</v>
      </c>
    </row>
    <row r="1571" spans="1:5" x14ac:dyDescent="0.25">
      <c r="A1571">
        <v>3</v>
      </c>
      <c r="B1571">
        <v>0.13866666666666699</v>
      </c>
      <c r="C1571">
        <f t="shared" si="48"/>
        <v>1.4190120014318703</v>
      </c>
      <c r="D1571">
        <v>5</v>
      </c>
      <c r="E1571">
        <f t="shared" si="49"/>
        <v>4.4084693149242044E-2</v>
      </c>
    </row>
    <row r="1572" spans="1:5" x14ac:dyDescent="0.25">
      <c r="A1572">
        <v>3</v>
      </c>
      <c r="B1572">
        <v>0.13888888888888901</v>
      </c>
      <c r="C1572">
        <f t="shared" si="48"/>
        <v>1.4188408994498782</v>
      </c>
      <c r="D1572">
        <v>5</v>
      </c>
      <c r="E1572">
        <f t="shared" si="49"/>
        <v>4.4084693149242044E-2</v>
      </c>
    </row>
    <row r="1573" spans="1:5" x14ac:dyDescent="0.25">
      <c r="A1573">
        <v>3</v>
      </c>
      <c r="B1573">
        <v>0.13986013986014001</v>
      </c>
      <c r="C1573">
        <f t="shared" si="48"/>
        <v>1.4180826817150878</v>
      </c>
      <c r="D1573">
        <v>5</v>
      </c>
      <c r="E1573">
        <f t="shared" si="49"/>
        <v>4.4084693149242044E-2</v>
      </c>
    </row>
    <row r="1574" spans="1:5" x14ac:dyDescent="0.25">
      <c r="A1574">
        <v>3</v>
      </c>
      <c r="B1574">
        <v>0.13986013986014001</v>
      </c>
      <c r="C1574">
        <f t="shared" si="48"/>
        <v>1.4180826817150878</v>
      </c>
      <c r="D1574">
        <v>5</v>
      </c>
      <c r="E1574">
        <f t="shared" si="49"/>
        <v>4.4084693149242044E-2</v>
      </c>
    </row>
    <row r="1575" spans="1:5" x14ac:dyDescent="0.25">
      <c r="A1575">
        <v>3</v>
      </c>
      <c r="B1575">
        <v>0.14000000000000001</v>
      </c>
      <c r="C1575">
        <f t="shared" si="48"/>
        <v>1.4179721059017873</v>
      </c>
      <c r="D1575">
        <v>5</v>
      </c>
      <c r="E1575">
        <f t="shared" si="49"/>
        <v>4.4084693149242044E-2</v>
      </c>
    </row>
    <row r="1576" spans="1:5" x14ac:dyDescent="0.25">
      <c r="A1576">
        <v>3</v>
      </c>
      <c r="B1576">
        <v>0.14000000000000001</v>
      </c>
      <c r="C1576">
        <f t="shared" si="48"/>
        <v>1.4179721059017873</v>
      </c>
      <c r="D1576">
        <v>5</v>
      </c>
      <c r="E1576">
        <f t="shared" si="49"/>
        <v>4.4084693149242044E-2</v>
      </c>
    </row>
    <row r="1577" spans="1:5" x14ac:dyDescent="0.25">
      <c r="A1577">
        <v>3</v>
      </c>
      <c r="B1577">
        <v>0.14018691588785001</v>
      </c>
      <c r="C1577">
        <f t="shared" si="48"/>
        <v>1.4178237801090872</v>
      </c>
      <c r="D1577">
        <v>5</v>
      </c>
      <c r="E1577">
        <f t="shared" si="49"/>
        <v>4.4084693149242044E-2</v>
      </c>
    </row>
    <row r="1578" spans="1:5" x14ac:dyDescent="0.25">
      <c r="A1578">
        <v>3</v>
      </c>
      <c r="B1578">
        <v>0.14018691588785001</v>
      </c>
      <c r="C1578">
        <f t="shared" si="48"/>
        <v>1.4178237801090872</v>
      </c>
      <c r="D1578">
        <v>5</v>
      </c>
      <c r="E1578">
        <f t="shared" si="49"/>
        <v>4.4084693149242044E-2</v>
      </c>
    </row>
    <row r="1579" spans="1:5" x14ac:dyDescent="0.25">
      <c r="A1579">
        <v>3</v>
      </c>
      <c r="B1579">
        <v>0.14018691588785001</v>
      </c>
      <c r="C1579">
        <f t="shared" si="48"/>
        <v>1.4178237801090872</v>
      </c>
      <c r="D1579">
        <v>5</v>
      </c>
      <c r="E1579">
        <f t="shared" si="49"/>
        <v>4.4084693149242044E-2</v>
      </c>
    </row>
    <row r="1580" spans="1:5" x14ac:dyDescent="0.25">
      <c r="A1580">
        <v>3</v>
      </c>
      <c r="B1580">
        <v>0.14133333333333301</v>
      </c>
      <c r="C1580">
        <f t="shared" si="48"/>
        <v>1.4169003735431882</v>
      </c>
      <c r="D1580">
        <v>5</v>
      </c>
      <c r="E1580">
        <f t="shared" si="49"/>
        <v>4.4084693149242044E-2</v>
      </c>
    </row>
    <row r="1581" spans="1:5" x14ac:dyDescent="0.25">
      <c r="A1581">
        <v>3</v>
      </c>
      <c r="B1581">
        <v>0.14133333333333301</v>
      </c>
      <c r="C1581">
        <f t="shared" si="48"/>
        <v>1.4169003735431882</v>
      </c>
      <c r="D1581">
        <v>5</v>
      </c>
      <c r="E1581">
        <f t="shared" si="49"/>
        <v>4.4084693149242044E-2</v>
      </c>
    </row>
    <row r="1582" spans="1:5" x14ac:dyDescent="0.25">
      <c r="A1582">
        <v>3</v>
      </c>
      <c r="B1582">
        <v>0.14133333333333301</v>
      </c>
      <c r="C1582">
        <f t="shared" si="48"/>
        <v>1.4169003735431882</v>
      </c>
      <c r="D1582">
        <v>5</v>
      </c>
      <c r="E1582">
        <f t="shared" si="49"/>
        <v>4.4084693149242044E-2</v>
      </c>
    </row>
    <row r="1583" spans="1:5" x14ac:dyDescent="0.25">
      <c r="A1583">
        <v>3</v>
      </c>
      <c r="B1583">
        <v>0.141666666666667</v>
      </c>
      <c r="C1583">
        <f t="shared" si="48"/>
        <v>1.4166274744987717</v>
      </c>
      <c r="D1583">
        <v>5</v>
      </c>
      <c r="E1583">
        <f t="shared" si="49"/>
        <v>4.4084693149242044E-2</v>
      </c>
    </row>
    <row r="1584" spans="1:5" x14ac:dyDescent="0.25">
      <c r="A1584">
        <v>3</v>
      </c>
      <c r="B1584">
        <v>0.14219114219114201</v>
      </c>
      <c r="C1584">
        <f t="shared" si="48"/>
        <v>1.4161940715180739</v>
      </c>
      <c r="D1584">
        <v>5</v>
      </c>
      <c r="E1584">
        <f t="shared" si="49"/>
        <v>4.4084693149242044E-2</v>
      </c>
    </row>
    <row r="1585" spans="1:5" x14ac:dyDescent="0.25">
      <c r="A1585">
        <v>3</v>
      </c>
      <c r="B1585">
        <v>0.14285714285714299</v>
      </c>
      <c r="C1585">
        <f t="shared" si="48"/>
        <v>1.4156366468920523</v>
      </c>
      <c r="D1585">
        <v>5</v>
      </c>
      <c r="E1585">
        <f t="shared" si="49"/>
        <v>4.4084693149242044E-2</v>
      </c>
    </row>
    <row r="1586" spans="1:5" x14ac:dyDescent="0.25">
      <c r="A1586">
        <v>3</v>
      </c>
      <c r="B1586">
        <v>0.14371257485029901</v>
      </c>
      <c r="C1586">
        <f t="shared" si="48"/>
        <v>1.4149090795204087</v>
      </c>
      <c r="D1586">
        <v>5</v>
      </c>
      <c r="E1586">
        <f t="shared" si="49"/>
        <v>4.4084693149242044E-2</v>
      </c>
    </row>
    <row r="1587" spans="1:5" x14ac:dyDescent="0.25">
      <c r="A1587">
        <v>3</v>
      </c>
      <c r="B1587">
        <v>0.14399999999999999</v>
      </c>
      <c r="C1587">
        <f t="shared" si="48"/>
        <v>1.4146616939086436</v>
      </c>
      <c r="D1587">
        <v>5</v>
      </c>
      <c r="E1587">
        <f t="shared" si="49"/>
        <v>4.4084693149242044E-2</v>
      </c>
    </row>
    <row r="1588" spans="1:5" x14ac:dyDescent="0.25">
      <c r="A1588">
        <v>3</v>
      </c>
      <c r="B1588">
        <v>0.14432989690721601</v>
      </c>
      <c r="C1588">
        <f t="shared" si="48"/>
        <v>1.4143759425169269</v>
      </c>
      <c r="D1588">
        <v>5</v>
      </c>
      <c r="E1588">
        <f t="shared" si="49"/>
        <v>4.4084693149242044E-2</v>
      </c>
    </row>
    <row r="1589" spans="1:5" x14ac:dyDescent="0.25">
      <c r="A1589">
        <v>3</v>
      </c>
      <c r="B1589">
        <v>0.14438502673796799</v>
      </c>
      <c r="C1589">
        <f t="shared" si="48"/>
        <v>1.4143280013159261</v>
      </c>
      <c r="D1589">
        <v>5</v>
      </c>
      <c r="E1589">
        <f t="shared" si="49"/>
        <v>4.4084693149242044E-2</v>
      </c>
    </row>
    <row r="1590" spans="1:5" x14ac:dyDescent="0.25">
      <c r="A1590">
        <v>3</v>
      </c>
      <c r="B1590">
        <v>0.144859813084112</v>
      </c>
      <c r="C1590">
        <f t="shared" si="48"/>
        <v>1.4139128899148286</v>
      </c>
      <c r="D1590">
        <v>5</v>
      </c>
      <c r="E1590">
        <f t="shared" si="49"/>
        <v>4.4084693149242044E-2</v>
      </c>
    </row>
    <row r="1591" spans="1:5" x14ac:dyDescent="0.25">
      <c r="A1591">
        <v>3</v>
      </c>
      <c r="B1591">
        <v>0.14499999999999999</v>
      </c>
      <c r="C1591">
        <f t="shared" si="48"/>
        <v>1.4137895574331691</v>
      </c>
      <c r="D1591">
        <v>5</v>
      </c>
      <c r="E1591">
        <f t="shared" si="49"/>
        <v>4.4084693149242044E-2</v>
      </c>
    </row>
    <row r="1592" spans="1:5" x14ac:dyDescent="0.25">
      <c r="A1592">
        <v>3</v>
      </c>
      <c r="B1592">
        <v>0.145454545454545</v>
      </c>
      <c r="C1592">
        <f t="shared" si="48"/>
        <v>1.4133872628330266</v>
      </c>
      <c r="D1592">
        <v>5</v>
      </c>
      <c r="E1592">
        <f t="shared" si="49"/>
        <v>4.4084693149242044E-2</v>
      </c>
    </row>
    <row r="1593" spans="1:5" x14ac:dyDescent="0.25">
      <c r="A1593">
        <v>3</v>
      </c>
      <c r="B1593">
        <v>0.14599999999999999</v>
      </c>
      <c r="C1593">
        <f t="shared" si="48"/>
        <v>1.4128996736166521</v>
      </c>
      <c r="D1593">
        <v>5</v>
      </c>
      <c r="E1593">
        <f t="shared" si="49"/>
        <v>4.4084693149242044E-2</v>
      </c>
    </row>
    <row r="1594" spans="1:5" x14ac:dyDescent="0.25">
      <c r="A1594">
        <v>3</v>
      </c>
      <c r="B1594">
        <v>0.14599999999999999</v>
      </c>
      <c r="C1594">
        <f t="shared" si="48"/>
        <v>1.4128996736166521</v>
      </c>
      <c r="D1594">
        <v>5</v>
      </c>
      <c r="E1594">
        <f t="shared" si="49"/>
        <v>4.4084693149242044E-2</v>
      </c>
    </row>
    <row r="1595" spans="1:5" x14ac:dyDescent="0.25">
      <c r="A1595">
        <v>3</v>
      </c>
      <c r="B1595">
        <v>0.146666666666667</v>
      </c>
      <c r="C1595">
        <f t="shared" si="48"/>
        <v>1.4122965749645624</v>
      </c>
      <c r="D1595">
        <v>5</v>
      </c>
      <c r="E1595">
        <f t="shared" si="49"/>
        <v>4.4084693149242044E-2</v>
      </c>
    </row>
    <row r="1596" spans="1:5" x14ac:dyDescent="0.25">
      <c r="A1596">
        <v>3</v>
      </c>
      <c r="B1596">
        <v>0.146666666666667</v>
      </c>
      <c r="C1596">
        <f t="shared" si="48"/>
        <v>1.4122965749645624</v>
      </c>
      <c r="D1596">
        <v>5</v>
      </c>
      <c r="E1596">
        <f t="shared" si="49"/>
        <v>4.4084693149242044E-2</v>
      </c>
    </row>
    <row r="1597" spans="1:5" x14ac:dyDescent="0.25">
      <c r="A1597">
        <v>3</v>
      </c>
      <c r="B1597">
        <v>0.14670658682634699</v>
      </c>
      <c r="C1597">
        <f t="shared" si="48"/>
        <v>1.4122602116782006</v>
      </c>
      <c r="D1597">
        <v>5</v>
      </c>
      <c r="E1597">
        <f t="shared" si="49"/>
        <v>4.4084693149242044E-2</v>
      </c>
    </row>
    <row r="1598" spans="1:5" x14ac:dyDescent="0.25">
      <c r="A1598">
        <v>3</v>
      </c>
      <c r="B1598">
        <v>0.14670658682634699</v>
      </c>
      <c r="C1598">
        <f t="shared" si="48"/>
        <v>1.4122602116782006</v>
      </c>
      <c r="D1598">
        <v>5</v>
      </c>
      <c r="E1598">
        <f t="shared" si="49"/>
        <v>4.4084693149242044E-2</v>
      </c>
    </row>
    <row r="1599" spans="1:5" x14ac:dyDescent="0.25">
      <c r="A1599">
        <v>3</v>
      </c>
      <c r="B1599">
        <v>0.14685314685314699</v>
      </c>
      <c r="C1599">
        <f t="shared" si="48"/>
        <v>1.412126468399407</v>
      </c>
      <c r="D1599">
        <v>5</v>
      </c>
      <c r="E1599">
        <f t="shared" si="49"/>
        <v>4.4084693149242044E-2</v>
      </c>
    </row>
    <row r="1600" spans="1:5" x14ac:dyDescent="0.25">
      <c r="A1600">
        <v>3</v>
      </c>
      <c r="B1600">
        <v>0.14685314685314699</v>
      </c>
      <c r="C1600">
        <f t="shared" si="48"/>
        <v>1.412126468399407</v>
      </c>
      <c r="D1600">
        <v>5</v>
      </c>
      <c r="E1600">
        <f t="shared" si="49"/>
        <v>4.4084693149242044E-2</v>
      </c>
    </row>
    <row r="1601" spans="1:5" x14ac:dyDescent="0.25">
      <c r="A1601">
        <v>3</v>
      </c>
      <c r="B1601">
        <v>0.14918414918414899</v>
      </c>
      <c r="C1601">
        <f t="shared" si="48"/>
        <v>1.4099483250974039</v>
      </c>
      <c r="D1601">
        <v>5</v>
      </c>
      <c r="E1601">
        <f t="shared" si="49"/>
        <v>4.4084693149242044E-2</v>
      </c>
    </row>
    <row r="1602" spans="1:5" x14ac:dyDescent="0.25">
      <c r="A1602">
        <v>3</v>
      </c>
      <c r="B1602">
        <v>0.15</v>
      </c>
      <c r="C1602">
        <f t="shared" ref="C1602:C1665" si="50">_xlfn.NORM.DIST(B1602, I$10,I$13,FALSE)</f>
        <v>1.4091633588329888</v>
      </c>
      <c r="D1602">
        <v>5</v>
      </c>
      <c r="E1602">
        <f t="shared" si="49"/>
        <v>4.4084693149242044E-2</v>
      </c>
    </row>
    <row r="1603" spans="1:5" x14ac:dyDescent="0.25">
      <c r="A1603">
        <v>3</v>
      </c>
      <c r="B1603">
        <v>0.15151515151515199</v>
      </c>
      <c r="C1603">
        <f t="shared" si="50"/>
        <v>1.4076745531438113</v>
      </c>
      <c r="D1603">
        <v>5</v>
      </c>
      <c r="E1603">
        <f t="shared" ref="E1603:E1666" si="51">_xlfn.NORM.DIST(D1603, I$4,I$7,FALSE)</f>
        <v>4.4084693149242044E-2</v>
      </c>
    </row>
    <row r="1604" spans="1:5" x14ac:dyDescent="0.25">
      <c r="A1604">
        <v>3</v>
      </c>
      <c r="B1604">
        <v>0.151869158878505</v>
      </c>
      <c r="C1604">
        <f t="shared" si="50"/>
        <v>1.4073209024507278</v>
      </c>
      <c r="D1604">
        <v>5</v>
      </c>
      <c r="E1604">
        <f t="shared" si="51"/>
        <v>4.4084693149242044E-2</v>
      </c>
    </row>
    <row r="1605" spans="1:5" x14ac:dyDescent="0.25">
      <c r="A1605">
        <v>3</v>
      </c>
      <c r="B1605">
        <v>0.152</v>
      </c>
      <c r="C1605">
        <f t="shared" si="50"/>
        <v>1.4071896380074822</v>
      </c>
      <c r="D1605">
        <v>5</v>
      </c>
      <c r="E1605">
        <f t="shared" si="51"/>
        <v>4.4084693149242044E-2</v>
      </c>
    </row>
    <row r="1606" spans="1:5" x14ac:dyDescent="0.25">
      <c r="A1606">
        <v>3</v>
      </c>
      <c r="B1606">
        <v>0.152</v>
      </c>
      <c r="C1606">
        <f t="shared" si="50"/>
        <v>1.4071896380074822</v>
      </c>
      <c r="D1606">
        <v>5</v>
      </c>
      <c r="E1606">
        <f t="shared" si="51"/>
        <v>4.4084693149242044E-2</v>
      </c>
    </row>
    <row r="1607" spans="1:5" x14ac:dyDescent="0.25">
      <c r="A1607">
        <v>3</v>
      </c>
      <c r="B1607">
        <v>0.152</v>
      </c>
      <c r="C1607">
        <f t="shared" si="50"/>
        <v>1.4071896380074822</v>
      </c>
      <c r="D1607">
        <v>5</v>
      </c>
      <c r="E1607">
        <f t="shared" si="51"/>
        <v>4.4084693149242044E-2</v>
      </c>
    </row>
    <row r="1608" spans="1:5" x14ac:dyDescent="0.25">
      <c r="A1608">
        <v>3</v>
      </c>
      <c r="B1608">
        <v>0.15384615384615399</v>
      </c>
      <c r="C1608">
        <f t="shared" si="50"/>
        <v>1.4053056262605748</v>
      </c>
      <c r="D1608">
        <v>5</v>
      </c>
      <c r="E1608">
        <f t="shared" si="51"/>
        <v>4.4084693149242044E-2</v>
      </c>
    </row>
    <row r="1609" spans="1:5" x14ac:dyDescent="0.25">
      <c r="A1609">
        <v>3</v>
      </c>
      <c r="B1609">
        <v>0.154</v>
      </c>
      <c r="C1609">
        <f t="shared" si="50"/>
        <v>1.4051459415610279</v>
      </c>
      <c r="D1609">
        <v>5</v>
      </c>
      <c r="E1609">
        <f t="shared" si="51"/>
        <v>4.4084693149242044E-2</v>
      </c>
    </row>
    <row r="1610" spans="1:5" x14ac:dyDescent="0.25">
      <c r="A1610">
        <v>3</v>
      </c>
      <c r="B1610">
        <v>0.154</v>
      </c>
      <c r="C1610">
        <f t="shared" si="50"/>
        <v>1.4051459415610279</v>
      </c>
      <c r="D1610">
        <v>5</v>
      </c>
      <c r="E1610">
        <f t="shared" si="51"/>
        <v>4.4084693149242044E-2</v>
      </c>
    </row>
    <row r="1611" spans="1:5" x14ac:dyDescent="0.25">
      <c r="A1611">
        <v>3</v>
      </c>
      <c r="B1611">
        <v>0.154205607476636</v>
      </c>
      <c r="C1611">
        <f t="shared" si="50"/>
        <v>1.404931887622354</v>
      </c>
      <c r="D1611">
        <v>5</v>
      </c>
      <c r="E1611">
        <f t="shared" si="51"/>
        <v>4.4084693149242044E-2</v>
      </c>
    </row>
    <row r="1612" spans="1:5" x14ac:dyDescent="0.25">
      <c r="A1612">
        <v>3</v>
      </c>
      <c r="B1612">
        <v>0.15466666666666701</v>
      </c>
      <c r="C1612">
        <f t="shared" si="50"/>
        <v>1.4044492130835518</v>
      </c>
      <c r="D1612">
        <v>5</v>
      </c>
      <c r="E1612">
        <f t="shared" si="51"/>
        <v>4.4084693149242044E-2</v>
      </c>
    </row>
    <row r="1613" spans="1:5" x14ac:dyDescent="0.25">
      <c r="A1613">
        <v>3</v>
      </c>
      <c r="B1613">
        <v>0.15466666666666701</v>
      </c>
      <c r="C1613">
        <f t="shared" si="50"/>
        <v>1.4044492130835518</v>
      </c>
      <c r="D1613">
        <v>5</v>
      </c>
      <c r="E1613">
        <f t="shared" si="51"/>
        <v>4.4084693149242044E-2</v>
      </c>
    </row>
    <row r="1614" spans="1:5" x14ac:dyDescent="0.25">
      <c r="A1614">
        <v>3</v>
      </c>
      <c r="B1614">
        <v>0.156</v>
      </c>
      <c r="C1614">
        <f t="shared" si="50"/>
        <v>1.4030325825481094</v>
      </c>
      <c r="D1614">
        <v>5</v>
      </c>
      <c r="E1614">
        <f t="shared" si="51"/>
        <v>4.4084693149242044E-2</v>
      </c>
    </row>
    <row r="1615" spans="1:5" x14ac:dyDescent="0.25">
      <c r="A1615">
        <v>3</v>
      </c>
      <c r="B1615">
        <v>0.15654205607476601</v>
      </c>
      <c r="C1615">
        <f t="shared" si="50"/>
        <v>1.4024478460980085</v>
      </c>
      <c r="D1615">
        <v>5</v>
      </c>
      <c r="E1615">
        <f t="shared" si="51"/>
        <v>4.4084693149242044E-2</v>
      </c>
    </row>
    <row r="1616" spans="1:5" x14ac:dyDescent="0.25">
      <c r="A1616">
        <v>3</v>
      </c>
      <c r="B1616">
        <v>0.158</v>
      </c>
      <c r="C1616">
        <f t="shared" si="50"/>
        <v>1.4008498843705148</v>
      </c>
      <c r="D1616">
        <v>5</v>
      </c>
      <c r="E1616">
        <f t="shared" si="51"/>
        <v>4.4084693149242044E-2</v>
      </c>
    </row>
    <row r="1617" spans="1:5" x14ac:dyDescent="0.25">
      <c r="A1617">
        <v>3</v>
      </c>
      <c r="B1617">
        <v>0.158</v>
      </c>
      <c r="C1617">
        <f t="shared" si="50"/>
        <v>1.4008498843705148</v>
      </c>
      <c r="D1617">
        <v>5</v>
      </c>
      <c r="E1617">
        <f t="shared" si="51"/>
        <v>4.4084693149242044E-2</v>
      </c>
    </row>
    <row r="1618" spans="1:5" x14ac:dyDescent="0.25">
      <c r="A1618">
        <v>3</v>
      </c>
      <c r="B1618">
        <v>0.15868263473053901</v>
      </c>
      <c r="C1618">
        <f t="shared" si="50"/>
        <v>1.4000890786363429</v>
      </c>
      <c r="D1618">
        <v>5</v>
      </c>
      <c r="E1618">
        <f t="shared" si="51"/>
        <v>4.4084693149242044E-2</v>
      </c>
    </row>
    <row r="1619" spans="1:5" x14ac:dyDescent="0.25">
      <c r="A1619">
        <v>3</v>
      </c>
      <c r="B1619">
        <v>0.15887850467289699</v>
      </c>
      <c r="C1619">
        <f t="shared" si="50"/>
        <v>1.3998692965505048</v>
      </c>
      <c r="D1619">
        <v>5</v>
      </c>
      <c r="E1619">
        <f t="shared" si="51"/>
        <v>4.4084693149242044E-2</v>
      </c>
    </row>
    <row r="1620" spans="1:5" x14ac:dyDescent="0.25">
      <c r="A1620">
        <v>3</v>
      </c>
      <c r="B1620">
        <v>0.15915915915915901</v>
      </c>
      <c r="C1620">
        <f t="shared" si="50"/>
        <v>1.3995532282589218</v>
      </c>
      <c r="D1620">
        <v>5</v>
      </c>
      <c r="E1620">
        <f t="shared" si="51"/>
        <v>4.4084693149242044E-2</v>
      </c>
    </row>
    <row r="1621" spans="1:5" x14ac:dyDescent="0.25">
      <c r="A1621">
        <v>3</v>
      </c>
      <c r="B1621">
        <v>0.159574468085106</v>
      </c>
      <c r="C1621">
        <f t="shared" si="50"/>
        <v>1.3990830286744829</v>
      </c>
      <c r="D1621">
        <v>5</v>
      </c>
      <c r="E1621">
        <f t="shared" si="51"/>
        <v>4.4084693149242044E-2</v>
      </c>
    </row>
    <row r="1622" spans="1:5" x14ac:dyDescent="0.25">
      <c r="A1622">
        <v>3</v>
      </c>
      <c r="B1622">
        <v>0.16</v>
      </c>
      <c r="C1622">
        <f t="shared" si="50"/>
        <v>1.398598180694862</v>
      </c>
      <c r="D1622">
        <v>5</v>
      </c>
      <c r="E1622">
        <f t="shared" si="51"/>
        <v>4.4084693149242044E-2</v>
      </c>
    </row>
    <row r="1623" spans="1:5" x14ac:dyDescent="0.25">
      <c r="A1623">
        <v>3</v>
      </c>
      <c r="B1623">
        <v>0.16</v>
      </c>
      <c r="C1623">
        <f t="shared" si="50"/>
        <v>1.398598180694862</v>
      </c>
      <c r="D1623">
        <v>5</v>
      </c>
      <c r="E1623">
        <f t="shared" si="51"/>
        <v>4.4084693149242044E-2</v>
      </c>
    </row>
    <row r="1624" spans="1:5" x14ac:dyDescent="0.25">
      <c r="A1624">
        <v>3</v>
      </c>
      <c r="B1624">
        <v>0.16</v>
      </c>
      <c r="C1624">
        <f t="shared" si="50"/>
        <v>1.398598180694862</v>
      </c>
      <c r="D1624">
        <v>5</v>
      </c>
      <c r="E1624">
        <f t="shared" si="51"/>
        <v>4.4084693149242044E-2</v>
      </c>
    </row>
    <row r="1625" spans="1:5" x14ac:dyDescent="0.25">
      <c r="A1625">
        <v>3</v>
      </c>
      <c r="B1625">
        <v>0.160839160839161</v>
      </c>
      <c r="C1625">
        <f t="shared" si="50"/>
        <v>1.3976329413508297</v>
      </c>
      <c r="D1625">
        <v>5</v>
      </c>
      <c r="E1625">
        <f t="shared" si="51"/>
        <v>4.4084693149242044E-2</v>
      </c>
    </row>
    <row r="1626" spans="1:5" x14ac:dyDescent="0.25">
      <c r="A1626">
        <v>3</v>
      </c>
      <c r="B1626">
        <v>0.16161616161616199</v>
      </c>
      <c r="C1626">
        <f t="shared" si="50"/>
        <v>1.3967284458426337</v>
      </c>
      <c r="D1626">
        <v>5</v>
      </c>
      <c r="E1626">
        <f t="shared" si="51"/>
        <v>4.4084693149242044E-2</v>
      </c>
    </row>
    <row r="1627" spans="1:5" x14ac:dyDescent="0.25">
      <c r="A1627">
        <v>3</v>
      </c>
      <c r="B1627">
        <v>0.16167664670658699</v>
      </c>
      <c r="C1627">
        <f t="shared" si="50"/>
        <v>1.3966576027837021</v>
      </c>
      <c r="D1627">
        <v>5</v>
      </c>
      <c r="E1627">
        <f t="shared" si="51"/>
        <v>4.4084693149242044E-2</v>
      </c>
    </row>
    <row r="1628" spans="1:5" x14ac:dyDescent="0.25">
      <c r="A1628">
        <v>3</v>
      </c>
      <c r="B1628">
        <v>0.162162162162162</v>
      </c>
      <c r="C1628">
        <f t="shared" si="50"/>
        <v>1.396086679052849</v>
      </c>
      <c r="D1628">
        <v>5</v>
      </c>
      <c r="E1628">
        <f t="shared" si="51"/>
        <v>4.4084693149242044E-2</v>
      </c>
    </row>
    <row r="1629" spans="1:5" x14ac:dyDescent="0.25">
      <c r="A1629">
        <v>3</v>
      </c>
      <c r="B1629">
        <v>0.162162162162162</v>
      </c>
      <c r="C1629">
        <f t="shared" si="50"/>
        <v>1.396086679052849</v>
      </c>
      <c r="D1629">
        <v>5</v>
      </c>
      <c r="E1629">
        <f t="shared" si="51"/>
        <v>4.4084693149242044E-2</v>
      </c>
    </row>
    <row r="1630" spans="1:5" x14ac:dyDescent="0.25">
      <c r="A1630">
        <v>3</v>
      </c>
      <c r="B1630">
        <v>0.162162162162162</v>
      </c>
      <c r="C1630">
        <f t="shared" si="50"/>
        <v>1.396086679052849</v>
      </c>
      <c r="D1630">
        <v>5</v>
      </c>
      <c r="E1630">
        <f t="shared" si="51"/>
        <v>4.4084693149242044E-2</v>
      </c>
    </row>
    <row r="1631" spans="1:5" x14ac:dyDescent="0.25">
      <c r="A1631">
        <v>3</v>
      </c>
      <c r="B1631">
        <v>0.162162162162162</v>
      </c>
      <c r="C1631">
        <f t="shared" si="50"/>
        <v>1.396086679052849</v>
      </c>
      <c r="D1631">
        <v>5</v>
      </c>
      <c r="E1631">
        <f t="shared" si="51"/>
        <v>4.4084693149242044E-2</v>
      </c>
    </row>
    <row r="1632" spans="1:5" x14ac:dyDescent="0.25">
      <c r="A1632">
        <v>3</v>
      </c>
      <c r="B1632">
        <v>0.162162162162162</v>
      </c>
      <c r="C1632">
        <f t="shared" si="50"/>
        <v>1.396086679052849</v>
      </c>
      <c r="D1632">
        <v>5</v>
      </c>
      <c r="E1632">
        <f t="shared" si="51"/>
        <v>4.4084693149242044E-2</v>
      </c>
    </row>
    <row r="1633" spans="1:5" x14ac:dyDescent="0.25">
      <c r="A1633">
        <v>3</v>
      </c>
      <c r="B1633">
        <v>0.162162162162162</v>
      </c>
      <c r="C1633">
        <f t="shared" si="50"/>
        <v>1.396086679052849</v>
      </c>
      <c r="D1633">
        <v>5</v>
      </c>
      <c r="E1633">
        <f t="shared" si="51"/>
        <v>4.4084693149242044E-2</v>
      </c>
    </row>
    <row r="1634" spans="1:5" x14ac:dyDescent="0.25">
      <c r="A1634">
        <v>3</v>
      </c>
      <c r="B1634">
        <v>0.16355140186915901</v>
      </c>
      <c r="C1634">
        <f t="shared" si="50"/>
        <v>1.3944308432698884</v>
      </c>
      <c r="D1634">
        <v>5</v>
      </c>
      <c r="E1634">
        <f t="shared" si="51"/>
        <v>4.4084693149242044E-2</v>
      </c>
    </row>
    <row r="1635" spans="1:5" x14ac:dyDescent="0.25">
      <c r="A1635">
        <v>3</v>
      </c>
      <c r="B1635">
        <v>0.164179104477612</v>
      </c>
      <c r="C1635">
        <f t="shared" si="50"/>
        <v>1.3936719111441751</v>
      </c>
      <c r="D1635">
        <v>5</v>
      </c>
      <c r="E1635">
        <f t="shared" si="51"/>
        <v>4.4084693149242044E-2</v>
      </c>
    </row>
    <row r="1636" spans="1:5" x14ac:dyDescent="0.25">
      <c r="A1636">
        <v>3</v>
      </c>
      <c r="B1636">
        <v>0.164556962025316</v>
      </c>
      <c r="C1636">
        <f t="shared" si="50"/>
        <v>1.3932118313143131</v>
      </c>
      <c r="D1636">
        <v>5</v>
      </c>
      <c r="E1636">
        <f t="shared" si="51"/>
        <v>4.4084693149242044E-2</v>
      </c>
    </row>
    <row r="1637" spans="1:5" x14ac:dyDescent="0.25">
      <c r="A1637">
        <v>3</v>
      </c>
      <c r="B1637">
        <v>0.164670658682635</v>
      </c>
      <c r="C1637">
        <f t="shared" si="50"/>
        <v>1.3930729200646939</v>
      </c>
      <c r="D1637">
        <v>6</v>
      </c>
      <c r="E1637">
        <f t="shared" si="51"/>
        <v>4.3642718356087309E-2</v>
      </c>
    </row>
    <row r="1638" spans="1:5" x14ac:dyDescent="0.25">
      <c r="A1638">
        <v>3</v>
      </c>
      <c r="B1638">
        <v>0.16500000000000001</v>
      </c>
      <c r="C1638">
        <f t="shared" si="50"/>
        <v>1.3926693037585327</v>
      </c>
      <c r="D1638">
        <v>6</v>
      </c>
      <c r="E1638">
        <f t="shared" si="51"/>
        <v>4.3642718356087309E-2</v>
      </c>
    </row>
    <row r="1639" spans="1:5" x14ac:dyDescent="0.25">
      <c r="A1639">
        <v>3</v>
      </c>
      <c r="B1639">
        <v>0.16504854368932001</v>
      </c>
      <c r="C1639">
        <f t="shared" si="50"/>
        <v>1.3926096568005375</v>
      </c>
      <c r="D1639">
        <v>6</v>
      </c>
      <c r="E1639">
        <f t="shared" si="51"/>
        <v>4.3642718356087309E-2</v>
      </c>
    </row>
    <row r="1640" spans="1:5" x14ac:dyDescent="0.25">
      <c r="A1640">
        <v>3</v>
      </c>
      <c r="B1640">
        <v>0.165165165165165</v>
      </c>
      <c r="C1640">
        <f t="shared" si="50"/>
        <v>1.3924661976925883</v>
      </c>
      <c r="D1640">
        <v>6</v>
      </c>
      <c r="E1640">
        <f t="shared" si="51"/>
        <v>4.3642718356087309E-2</v>
      </c>
    </row>
    <row r="1641" spans="1:5" x14ac:dyDescent="0.25">
      <c r="A1641">
        <v>3</v>
      </c>
      <c r="B1641">
        <v>0.165333333333333</v>
      </c>
      <c r="C1641">
        <f t="shared" si="50"/>
        <v>1.3922589242199157</v>
      </c>
      <c r="D1641">
        <v>6</v>
      </c>
      <c r="E1641">
        <f t="shared" si="51"/>
        <v>4.3642718356087309E-2</v>
      </c>
    </row>
    <row r="1642" spans="1:5" x14ac:dyDescent="0.25">
      <c r="A1642">
        <v>3</v>
      </c>
      <c r="B1642">
        <v>0.165333333333333</v>
      </c>
      <c r="C1642">
        <f t="shared" si="50"/>
        <v>1.3922589242199157</v>
      </c>
      <c r="D1642">
        <v>6</v>
      </c>
      <c r="E1642">
        <f t="shared" si="51"/>
        <v>4.3642718356087309E-2</v>
      </c>
    </row>
    <row r="1643" spans="1:5" x14ac:dyDescent="0.25">
      <c r="A1643">
        <v>3</v>
      </c>
      <c r="B1643">
        <v>0.16588785046728999</v>
      </c>
      <c r="C1643">
        <f t="shared" si="50"/>
        <v>1.391572071508032</v>
      </c>
      <c r="D1643">
        <v>6</v>
      </c>
      <c r="E1643">
        <f t="shared" si="51"/>
        <v>4.3642718356087309E-2</v>
      </c>
    </row>
    <row r="1644" spans="1:5" x14ac:dyDescent="0.25">
      <c r="A1644">
        <v>3</v>
      </c>
      <c r="B1644">
        <v>0.16588785046728999</v>
      </c>
      <c r="C1644">
        <f t="shared" si="50"/>
        <v>1.391572071508032</v>
      </c>
      <c r="D1644">
        <v>6</v>
      </c>
      <c r="E1644">
        <f t="shared" si="51"/>
        <v>4.3642718356087309E-2</v>
      </c>
    </row>
    <row r="1645" spans="1:5" x14ac:dyDescent="0.25">
      <c r="A1645">
        <v>3</v>
      </c>
      <c r="B1645">
        <v>0.16800000000000001</v>
      </c>
      <c r="C1645">
        <f t="shared" si="50"/>
        <v>1.388908338783293</v>
      </c>
      <c r="D1645">
        <v>6</v>
      </c>
      <c r="E1645">
        <f t="shared" si="51"/>
        <v>4.3642718356087309E-2</v>
      </c>
    </row>
    <row r="1646" spans="1:5" x14ac:dyDescent="0.25">
      <c r="A1646">
        <v>3</v>
      </c>
      <c r="B1646">
        <v>0.16800000000000001</v>
      </c>
      <c r="C1646">
        <f t="shared" si="50"/>
        <v>1.388908338783293</v>
      </c>
      <c r="D1646">
        <v>6</v>
      </c>
      <c r="E1646">
        <f t="shared" si="51"/>
        <v>4.3642718356087309E-2</v>
      </c>
    </row>
    <row r="1647" spans="1:5" x14ac:dyDescent="0.25">
      <c r="A1647">
        <v>3</v>
      </c>
      <c r="B1647">
        <v>0.168224299065421</v>
      </c>
      <c r="C1647">
        <f t="shared" si="50"/>
        <v>1.3886210552729081</v>
      </c>
      <c r="D1647">
        <v>6</v>
      </c>
      <c r="E1647">
        <f t="shared" si="51"/>
        <v>4.3642718356087309E-2</v>
      </c>
    </row>
    <row r="1648" spans="1:5" x14ac:dyDescent="0.25">
      <c r="A1648">
        <v>3</v>
      </c>
      <c r="B1648">
        <v>0.168333333333333</v>
      </c>
      <c r="C1648">
        <f t="shared" si="50"/>
        <v>1.3884810984935652</v>
      </c>
      <c r="D1648">
        <v>6</v>
      </c>
      <c r="E1648">
        <f t="shared" si="51"/>
        <v>4.3642718356087309E-2</v>
      </c>
    </row>
    <row r="1649" spans="1:5" x14ac:dyDescent="0.25">
      <c r="A1649">
        <v>3</v>
      </c>
      <c r="B1649">
        <v>0.17066666666666699</v>
      </c>
      <c r="C1649">
        <f t="shared" si="50"/>
        <v>1.3854383122364911</v>
      </c>
      <c r="D1649">
        <v>6</v>
      </c>
      <c r="E1649">
        <f t="shared" si="51"/>
        <v>4.3642718356087309E-2</v>
      </c>
    </row>
    <row r="1650" spans="1:5" x14ac:dyDescent="0.25">
      <c r="A1650">
        <v>3</v>
      </c>
      <c r="B1650">
        <v>0.17249417249417201</v>
      </c>
      <c r="C1650">
        <f t="shared" si="50"/>
        <v>1.3829917593077186</v>
      </c>
      <c r="D1650">
        <v>6</v>
      </c>
      <c r="E1650">
        <f t="shared" si="51"/>
        <v>4.3642718356087309E-2</v>
      </c>
    </row>
    <row r="1651" spans="1:5" x14ac:dyDescent="0.25">
      <c r="A1651">
        <v>3</v>
      </c>
      <c r="B1651">
        <v>0.17289719626168201</v>
      </c>
      <c r="C1651">
        <f t="shared" si="50"/>
        <v>1.3824447559451678</v>
      </c>
      <c r="D1651">
        <v>6</v>
      </c>
      <c r="E1651">
        <f t="shared" si="51"/>
        <v>4.3642718356087309E-2</v>
      </c>
    </row>
    <row r="1652" spans="1:5" x14ac:dyDescent="0.25">
      <c r="A1652">
        <v>3</v>
      </c>
      <c r="B1652">
        <v>0.17333333333333301</v>
      </c>
      <c r="C1652">
        <f t="shared" si="50"/>
        <v>1.3818497808392329</v>
      </c>
      <c r="D1652">
        <v>6</v>
      </c>
      <c r="E1652">
        <f t="shared" si="51"/>
        <v>4.3642718356087309E-2</v>
      </c>
    </row>
    <row r="1653" spans="1:5" x14ac:dyDescent="0.25">
      <c r="A1653">
        <v>3</v>
      </c>
      <c r="B1653">
        <v>0.173913043478261</v>
      </c>
      <c r="C1653">
        <f t="shared" si="50"/>
        <v>1.3810540781066745</v>
      </c>
      <c r="D1653">
        <v>6</v>
      </c>
      <c r="E1653">
        <f t="shared" si="51"/>
        <v>4.3642718356087309E-2</v>
      </c>
    </row>
    <row r="1654" spans="1:5" x14ac:dyDescent="0.25">
      <c r="A1654">
        <v>3</v>
      </c>
      <c r="B1654">
        <v>0.17399999999999999</v>
      </c>
      <c r="C1654">
        <f t="shared" si="50"/>
        <v>1.3809342442153356</v>
      </c>
      <c r="D1654">
        <v>6</v>
      </c>
      <c r="E1654">
        <f t="shared" si="51"/>
        <v>4.3642718356087309E-2</v>
      </c>
    </row>
    <row r="1655" spans="1:5" x14ac:dyDescent="0.25">
      <c r="A1655">
        <v>3</v>
      </c>
      <c r="B1655">
        <v>0.174174174174174</v>
      </c>
      <c r="C1655">
        <f t="shared" si="50"/>
        <v>1.3806938415016115</v>
      </c>
      <c r="D1655">
        <v>6</v>
      </c>
      <c r="E1655">
        <f t="shared" si="51"/>
        <v>4.3642718356087309E-2</v>
      </c>
    </row>
    <row r="1656" spans="1:5" x14ac:dyDescent="0.25">
      <c r="A1656">
        <v>3</v>
      </c>
      <c r="B1656">
        <v>0.174174174174174</v>
      </c>
      <c r="C1656">
        <f t="shared" si="50"/>
        <v>1.3806938415016115</v>
      </c>
      <c r="D1656">
        <v>6</v>
      </c>
      <c r="E1656">
        <f t="shared" si="51"/>
        <v>4.3642718356087309E-2</v>
      </c>
    </row>
    <row r="1657" spans="1:5" x14ac:dyDescent="0.25">
      <c r="A1657">
        <v>3</v>
      </c>
      <c r="B1657">
        <v>0.17499999999999999</v>
      </c>
      <c r="C1657">
        <f t="shared" si="50"/>
        <v>1.3795471986962877</v>
      </c>
      <c r="D1657">
        <v>6</v>
      </c>
      <c r="E1657">
        <f t="shared" si="51"/>
        <v>4.3642718356087309E-2</v>
      </c>
    </row>
    <row r="1658" spans="1:5" x14ac:dyDescent="0.25">
      <c r="A1658">
        <v>3</v>
      </c>
      <c r="B1658">
        <v>0.17499999999999999</v>
      </c>
      <c r="C1658">
        <f t="shared" si="50"/>
        <v>1.3795471986962877</v>
      </c>
      <c r="D1658">
        <v>6</v>
      </c>
      <c r="E1658">
        <f t="shared" si="51"/>
        <v>4.3642718356087309E-2</v>
      </c>
    </row>
    <row r="1659" spans="1:5" x14ac:dyDescent="0.25">
      <c r="A1659">
        <v>3</v>
      </c>
      <c r="B1659">
        <v>0.17599999999999999</v>
      </c>
      <c r="C1659">
        <f t="shared" si="50"/>
        <v>1.3781437111429786</v>
      </c>
      <c r="D1659">
        <v>6</v>
      </c>
      <c r="E1659">
        <f t="shared" si="51"/>
        <v>4.3642718356087309E-2</v>
      </c>
    </row>
    <row r="1660" spans="1:5" x14ac:dyDescent="0.25">
      <c r="A1660">
        <v>3</v>
      </c>
      <c r="B1660">
        <v>0.17599999999999999</v>
      </c>
      <c r="C1660">
        <f t="shared" si="50"/>
        <v>1.3781437111429786</v>
      </c>
      <c r="D1660">
        <v>6</v>
      </c>
      <c r="E1660">
        <f t="shared" si="51"/>
        <v>4.3642718356087309E-2</v>
      </c>
    </row>
    <row r="1661" spans="1:5" x14ac:dyDescent="0.25">
      <c r="A1661">
        <v>3</v>
      </c>
      <c r="B1661">
        <v>0.17599999999999999</v>
      </c>
      <c r="C1661">
        <f t="shared" si="50"/>
        <v>1.3781437111429786</v>
      </c>
      <c r="D1661">
        <v>6</v>
      </c>
      <c r="E1661">
        <f t="shared" si="51"/>
        <v>4.3642718356087309E-2</v>
      </c>
    </row>
    <row r="1662" spans="1:5" x14ac:dyDescent="0.25">
      <c r="A1662">
        <v>3</v>
      </c>
      <c r="B1662">
        <v>0.17717717717717699</v>
      </c>
      <c r="C1662">
        <f t="shared" si="50"/>
        <v>1.3764705598014249</v>
      </c>
      <c r="D1662">
        <v>6</v>
      </c>
      <c r="E1662">
        <f t="shared" si="51"/>
        <v>4.3642718356087309E-2</v>
      </c>
    </row>
    <row r="1663" spans="1:5" x14ac:dyDescent="0.25">
      <c r="A1663">
        <v>3</v>
      </c>
      <c r="B1663">
        <v>0.177215189873418</v>
      </c>
      <c r="C1663">
        <f t="shared" si="50"/>
        <v>1.3764161538665127</v>
      </c>
      <c r="D1663">
        <v>6</v>
      </c>
      <c r="E1663">
        <f t="shared" si="51"/>
        <v>4.3642718356087309E-2</v>
      </c>
    </row>
    <row r="1664" spans="1:5" x14ac:dyDescent="0.25">
      <c r="A1664">
        <v>3</v>
      </c>
      <c r="B1664">
        <v>0.17799999999999999</v>
      </c>
      <c r="C1664">
        <f t="shared" si="50"/>
        <v>1.3752876226545458</v>
      </c>
      <c r="D1664">
        <v>6</v>
      </c>
      <c r="E1664">
        <f t="shared" si="51"/>
        <v>4.3642718356087309E-2</v>
      </c>
    </row>
    <row r="1665" spans="1:5" x14ac:dyDescent="0.25">
      <c r="A1665">
        <v>3</v>
      </c>
      <c r="B1665">
        <v>0.17799999999999999</v>
      </c>
      <c r="C1665">
        <f t="shared" si="50"/>
        <v>1.3752876226545458</v>
      </c>
      <c r="D1665">
        <v>6</v>
      </c>
      <c r="E1665">
        <f t="shared" si="51"/>
        <v>4.3642718356087309E-2</v>
      </c>
    </row>
    <row r="1666" spans="1:5" x14ac:dyDescent="0.25">
      <c r="A1666">
        <v>3</v>
      </c>
      <c r="B1666">
        <v>0.17833333333333301</v>
      </c>
      <c r="C1666">
        <f t="shared" ref="C1666:C1729" si="52">_xlfn.NORM.DIST(B1666, I$10,I$13,FALSE)</f>
        <v>1.3748052646079558</v>
      </c>
      <c r="D1666">
        <v>6</v>
      </c>
      <c r="E1666">
        <f t="shared" si="51"/>
        <v>4.3642718356087309E-2</v>
      </c>
    </row>
    <row r="1667" spans="1:5" x14ac:dyDescent="0.25">
      <c r="A1667">
        <v>3</v>
      </c>
      <c r="B1667">
        <v>0.17833333333333301</v>
      </c>
      <c r="C1667">
        <f t="shared" si="52"/>
        <v>1.3748052646079558</v>
      </c>
      <c r="D1667">
        <v>6</v>
      </c>
      <c r="E1667">
        <f t="shared" ref="E1667:E1730" si="53">_xlfn.NORM.DIST(D1667, I$4,I$7,FALSE)</f>
        <v>4.3642718356087309E-2</v>
      </c>
    </row>
    <row r="1668" spans="1:5" x14ac:dyDescent="0.25">
      <c r="A1668">
        <v>3</v>
      </c>
      <c r="B1668">
        <v>0.178666666666667</v>
      </c>
      <c r="C1668">
        <f t="shared" si="52"/>
        <v>1.3743210995571622</v>
      </c>
      <c r="D1668">
        <v>6</v>
      </c>
      <c r="E1668">
        <f t="shared" si="53"/>
        <v>4.3642718356087309E-2</v>
      </c>
    </row>
    <row r="1669" spans="1:5" x14ac:dyDescent="0.25">
      <c r="A1669">
        <v>3</v>
      </c>
      <c r="B1669">
        <v>0.17948717948717899</v>
      </c>
      <c r="C1669">
        <f t="shared" si="52"/>
        <v>1.3731216230523484</v>
      </c>
      <c r="D1669">
        <v>6</v>
      </c>
      <c r="E1669">
        <f t="shared" si="53"/>
        <v>4.3642718356087309E-2</v>
      </c>
    </row>
    <row r="1670" spans="1:5" x14ac:dyDescent="0.25">
      <c r="A1670">
        <v>3</v>
      </c>
      <c r="B1670">
        <v>0.17990654205607501</v>
      </c>
      <c r="C1670">
        <f t="shared" si="52"/>
        <v>1.3725043593912172</v>
      </c>
      <c r="D1670">
        <v>6</v>
      </c>
      <c r="E1670">
        <f t="shared" si="53"/>
        <v>4.3642718356087309E-2</v>
      </c>
    </row>
    <row r="1671" spans="1:5" x14ac:dyDescent="0.25">
      <c r="A1671">
        <v>3</v>
      </c>
      <c r="B1671">
        <v>0.18</v>
      </c>
      <c r="C1671">
        <f t="shared" si="52"/>
        <v>1.3723664099883155</v>
      </c>
      <c r="D1671">
        <v>6</v>
      </c>
      <c r="E1671">
        <f t="shared" si="53"/>
        <v>4.3642718356087309E-2</v>
      </c>
    </row>
    <row r="1672" spans="1:5" x14ac:dyDescent="0.25">
      <c r="A1672">
        <v>3</v>
      </c>
      <c r="B1672">
        <v>0.18</v>
      </c>
      <c r="C1672">
        <f t="shared" si="52"/>
        <v>1.3723664099883155</v>
      </c>
      <c r="D1672">
        <v>6</v>
      </c>
      <c r="E1672">
        <f t="shared" si="53"/>
        <v>4.3642718356087309E-2</v>
      </c>
    </row>
    <row r="1673" spans="1:5" x14ac:dyDescent="0.25">
      <c r="A1673">
        <v>3</v>
      </c>
      <c r="B1673">
        <v>0.18</v>
      </c>
      <c r="C1673">
        <f t="shared" si="52"/>
        <v>1.3723664099883155</v>
      </c>
      <c r="D1673">
        <v>6</v>
      </c>
      <c r="E1673">
        <f t="shared" si="53"/>
        <v>4.3642718356087309E-2</v>
      </c>
    </row>
    <row r="1674" spans="1:5" x14ac:dyDescent="0.25">
      <c r="A1674">
        <v>3</v>
      </c>
      <c r="B1674">
        <v>0.18</v>
      </c>
      <c r="C1674">
        <f t="shared" si="52"/>
        <v>1.3723664099883155</v>
      </c>
      <c r="D1674">
        <v>6</v>
      </c>
      <c r="E1674">
        <f t="shared" si="53"/>
        <v>4.3642718356087309E-2</v>
      </c>
    </row>
    <row r="1675" spans="1:5" x14ac:dyDescent="0.25">
      <c r="A1675">
        <v>3</v>
      </c>
      <c r="B1675">
        <v>0.18018018018018001</v>
      </c>
      <c r="C1675">
        <f t="shared" si="52"/>
        <v>1.3721000548695756</v>
      </c>
      <c r="D1675">
        <v>6</v>
      </c>
      <c r="E1675">
        <f t="shared" si="53"/>
        <v>4.3642718356087309E-2</v>
      </c>
    </row>
    <row r="1676" spans="1:5" x14ac:dyDescent="0.25">
      <c r="A1676">
        <v>3</v>
      </c>
      <c r="B1676">
        <v>0.181666666666667</v>
      </c>
      <c r="C1676">
        <f t="shared" si="52"/>
        <v>1.369882635942917</v>
      </c>
      <c r="D1676">
        <v>6</v>
      </c>
      <c r="E1676">
        <f t="shared" si="53"/>
        <v>4.3642718356087309E-2</v>
      </c>
    </row>
    <row r="1677" spans="1:5" x14ac:dyDescent="0.25">
      <c r="A1677">
        <v>3</v>
      </c>
      <c r="B1677">
        <v>0.18263473053892201</v>
      </c>
      <c r="C1677">
        <f t="shared" si="52"/>
        <v>1.3684194444184117</v>
      </c>
      <c r="D1677">
        <v>6</v>
      </c>
      <c r="E1677">
        <f t="shared" si="53"/>
        <v>4.3642718356087309E-2</v>
      </c>
    </row>
    <row r="1678" spans="1:5" x14ac:dyDescent="0.25">
      <c r="A1678">
        <v>3</v>
      </c>
      <c r="B1678">
        <v>0.183544303797468</v>
      </c>
      <c r="C1678">
        <f t="shared" si="52"/>
        <v>1.3670309762133177</v>
      </c>
      <c r="D1678">
        <v>6</v>
      </c>
      <c r="E1678">
        <f t="shared" si="53"/>
        <v>4.3642718356087309E-2</v>
      </c>
    </row>
    <row r="1679" spans="1:5" x14ac:dyDescent="0.25">
      <c r="A1679">
        <v>3</v>
      </c>
      <c r="B1679">
        <v>0.184</v>
      </c>
      <c r="C1679">
        <f t="shared" si="52"/>
        <v>1.3663303829540461</v>
      </c>
      <c r="D1679">
        <v>6</v>
      </c>
      <c r="E1679">
        <f t="shared" si="53"/>
        <v>4.3642718356087309E-2</v>
      </c>
    </row>
    <row r="1680" spans="1:5" x14ac:dyDescent="0.25">
      <c r="A1680">
        <v>3</v>
      </c>
      <c r="B1680">
        <v>0.184</v>
      </c>
      <c r="C1680">
        <f t="shared" si="52"/>
        <v>1.3663303829540461</v>
      </c>
      <c r="D1680">
        <v>6</v>
      </c>
      <c r="E1680">
        <f t="shared" si="53"/>
        <v>4.3642718356087309E-2</v>
      </c>
    </row>
    <row r="1681" spans="1:5" x14ac:dyDescent="0.25">
      <c r="A1681">
        <v>3</v>
      </c>
      <c r="B1681">
        <v>0.184</v>
      </c>
      <c r="C1681">
        <f t="shared" si="52"/>
        <v>1.3663303829540461</v>
      </c>
      <c r="D1681">
        <v>6</v>
      </c>
      <c r="E1681">
        <f t="shared" si="53"/>
        <v>4.3642718356087309E-2</v>
      </c>
    </row>
    <row r="1682" spans="1:5" x14ac:dyDescent="0.25">
      <c r="A1682">
        <v>3</v>
      </c>
      <c r="B1682">
        <v>0.18414918414918399</v>
      </c>
      <c r="C1682">
        <f t="shared" si="52"/>
        <v>1.366100305652425</v>
      </c>
      <c r="D1682">
        <v>6</v>
      </c>
      <c r="E1682">
        <f t="shared" si="53"/>
        <v>4.3642718356087309E-2</v>
      </c>
    </row>
    <row r="1683" spans="1:5" x14ac:dyDescent="0.25">
      <c r="A1683">
        <v>3</v>
      </c>
      <c r="B1683">
        <v>0.184579439252336</v>
      </c>
      <c r="C1683">
        <f t="shared" si="52"/>
        <v>1.3654347646178657</v>
      </c>
      <c r="D1683">
        <v>6</v>
      </c>
      <c r="E1683">
        <f t="shared" si="53"/>
        <v>4.3642718356087309E-2</v>
      </c>
    </row>
    <row r="1684" spans="1:5" x14ac:dyDescent="0.25">
      <c r="A1684">
        <v>3</v>
      </c>
      <c r="B1684">
        <v>0.18562874251497</v>
      </c>
      <c r="C1684">
        <f t="shared" si="52"/>
        <v>1.3637993063918112</v>
      </c>
      <c r="D1684">
        <v>6</v>
      </c>
      <c r="E1684">
        <f t="shared" si="53"/>
        <v>4.3642718356087309E-2</v>
      </c>
    </row>
    <row r="1685" spans="1:5" x14ac:dyDescent="0.25">
      <c r="A1685">
        <v>3</v>
      </c>
      <c r="B1685">
        <v>0.186</v>
      </c>
      <c r="C1685">
        <f t="shared" si="52"/>
        <v>1.3632164766070236</v>
      </c>
      <c r="D1685">
        <v>6</v>
      </c>
      <c r="E1685">
        <f t="shared" si="53"/>
        <v>4.3642718356087309E-2</v>
      </c>
    </row>
    <row r="1686" spans="1:5" x14ac:dyDescent="0.25">
      <c r="A1686">
        <v>3</v>
      </c>
      <c r="B1686">
        <v>0.18666666666666701</v>
      </c>
      <c r="C1686">
        <f t="shared" si="52"/>
        <v>1.3621644159671407</v>
      </c>
      <c r="D1686">
        <v>6</v>
      </c>
      <c r="E1686">
        <f t="shared" si="53"/>
        <v>4.3642718356087309E-2</v>
      </c>
    </row>
    <row r="1687" spans="1:5" x14ac:dyDescent="0.25">
      <c r="A1687">
        <v>3</v>
      </c>
      <c r="B1687">
        <v>0.18862275449101801</v>
      </c>
      <c r="C1687">
        <f t="shared" si="52"/>
        <v>1.3590370987405613</v>
      </c>
      <c r="D1687">
        <v>6</v>
      </c>
      <c r="E1687">
        <f t="shared" si="53"/>
        <v>4.3642718356087309E-2</v>
      </c>
    </row>
    <row r="1688" spans="1:5" x14ac:dyDescent="0.25">
      <c r="A1688">
        <v>3</v>
      </c>
      <c r="B1688">
        <v>0.18862275449101801</v>
      </c>
      <c r="C1688">
        <f t="shared" si="52"/>
        <v>1.3590370987405613</v>
      </c>
      <c r="D1688">
        <v>6</v>
      </c>
      <c r="E1688">
        <f t="shared" si="53"/>
        <v>4.3642718356087309E-2</v>
      </c>
    </row>
    <row r="1689" spans="1:5" x14ac:dyDescent="0.25">
      <c r="A1689">
        <v>3</v>
      </c>
      <c r="B1689">
        <v>0.188811188811189</v>
      </c>
      <c r="C1689">
        <f t="shared" si="52"/>
        <v>1.3587326638259272</v>
      </c>
      <c r="D1689">
        <v>6</v>
      </c>
      <c r="E1689">
        <f t="shared" si="53"/>
        <v>4.3642718356087309E-2</v>
      </c>
    </row>
    <row r="1690" spans="1:5" x14ac:dyDescent="0.25">
      <c r="A1690">
        <v>3</v>
      </c>
      <c r="B1690">
        <v>0.18918918918918901</v>
      </c>
      <c r="C1690">
        <f t="shared" si="52"/>
        <v>1.3581202895366837</v>
      </c>
      <c r="D1690">
        <v>6</v>
      </c>
      <c r="E1690">
        <f t="shared" si="53"/>
        <v>4.3642718356087309E-2</v>
      </c>
    </row>
    <row r="1691" spans="1:5" x14ac:dyDescent="0.25">
      <c r="A1691">
        <v>3</v>
      </c>
      <c r="B1691">
        <v>0.19</v>
      </c>
      <c r="C1691">
        <f t="shared" si="52"/>
        <v>1.3567992149231274</v>
      </c>
      <c r="D1691">
        <v>6</v>
      </c>
      <c r="E1691">
        <f t="shared" si="53"/>
        <v>4.3642718356087309E-2</v>
      </c>
    </row>
    <row r="1692" spans="1:5" x14ac:dyDescent="0.25">
      <c r="A1692">
        <v>3</v>
      </c>
      <c r="B1692">
        <v>0.19</v>
      </c>
      <c r="C1692">
        <f t="shared" si="52"/>
        <v>1.3567992149231274</v>
      </c>
      <c r="D1692">
        <v>6</v>
      </c>
      <c r="E1692">
        <f t="shared" si="53"/>
        <v>4.3642718356087309E-2</v>
      </c>
    </row>
    <row r="1693" spans="1:5" x14ac:dyDescent="0.25">
      <c r="A1693">
        <v>3</v>
      </c>
      <c r="B1693">
        <v>0.19230769230769201</v>
      </c>
      <c r="C1693">
        <f t="shared" si="52"/>
        <v>1.3529832572274076</v>
      </c>
      <c r="D1693">
        <v>6</v>
      </c>
      <c r="E1693">
        <f t="shared" si="53"/>
        <v>4.3642718356087309E-2</v>
      </c>
    </row>
    <row r="1694" spans="1:5" x14ac:dyDescent="0.25">
      <c r="A1694">
        <v>3</v>
      </c>
      <c r="B1694">
        <v>0.19230769230769201</v>
      </c>
      <c r="C1694">
        <f t="shared" si="52"/>
        <v>1.3529832572274076</v>
      </c>
      <c r="D1694">
        <v>6</v>
      </c>
      <c r="E1694">
        <f t="shared" si="53"/>
        <v>4.3642718356087309E-2</v>
      </c>
    </row>
    <row r="1695" spans="1:5" x14ac:dyDescent="0.25">
      <c r="A1695">
        <v>3</v>
      </c>
      <c r="B1695">
        <v>0.19600000000000001</v>
      </c>
      <c r="C1695">
        <f t="shared" si="52"/>
        <v>1.3467069700570149</v>
      </c>
      <c r="D1695">
        <v>6</v>
      </c>
      <c r="E1695">
        <f t="shared" si="53"/>
        <v>4.3642718356087309E-2</v>
      </c>
    </row>
    <row r="1696" spans="1:5" x14ac:dyDescent="0.25">
      <c r="A1696">
        <v>3</v>
      </c>
      <c r="B1696">
        <v>0.19626168224299101</v>
      </c>
      <c r="C1696">
        <f t="shared" si="52"/>
        <v>1.3462542483204505</v>
      </c>
      <c r="D1696">
        <v>6</v>
      </c>
      <c r="E1696">
        <f t="shared" si="53"/>
        <v>4.3642718356087309E-2</v>
      </c>
    </row>
    <row r="1697" spans="1:5" x14ac:dyDescent="0.25">
      <c r="A1697">
        <v>3</v>
      </c>
      <c r="B1697">
        <v>0.197333333333333</v>
      </c>
      <c r="C1697">
        <f t="shared" si="52"/>
        <v>1.3443894023172824</v>
      </c>
      <c r="D1697">
        <v>6</v>
      </c>
      <c r="E1697">
        <f t="shared" si="53"/>
        <v>4.3642718356087309E-2</v>
      </c>
    </row>
    <row r="1698" spans="1:5" x14ac:dyDescent="0.25">
      <c r="A1698">
        <v>3</v>
      </c>
      <c r="B1698">
        <v>0.19800000000000001</v>
      </c>
      <c r="C1698">
        <f t="shared" si="52"/>
        <v>1.3432205256874736</v>
      </c>
      <c r="D1698">
        <v>6</v>
      </c>
      <c r="E1698">
        <f t="shared" si="53"/>
        <v>4.3642718356087309E-2</v>
      </c>
    </row>
    <row r="1699" spans="1:5" x14ac:dyDescent="0.25">
      <c r="A1699">
        <v>3</v>
      </c>
      <c r="B1699">
        <v>0.2</v>
      </c>
      <c r="C1699">
        <f t="shared" si="52"/>
        <v>1.3396737564702963</v>
      </c>
      <c r="D1699">
        <v>6</v>
      </c>
      <c r="E1699">
        <f t="shared" si="53"/>
        <v>4.3642718356087309E-2</v>
      </c>
    </row>
    <row r="1700" spans="1:5" x14ac:dyDescent="0.25">
      <c r="A1700">
        <v>3</v>
      </c>
      <c r="B1700">
        <v>0.20046620046620001</v>
      </c>
      <c r="C1700">
        <f t="shared" si="52"/>
        <v>1.3388383900819205</v>
      </c>
      <c r="D1700">
        <v>6</v>
      </c>
      <c r="E1700">
        <f t="shared" si="53"/>
        <v>4.3642718356087309E-2</v>
      </c>
    </row>
    <row r="1701" spans="1:5" x14ac:dyDescent="0.25">
      <c r="A1701">
        <v>3</v>
      </c>
      <c r="B1701">
        <v>0.20266666666666699</v>
      </c>
      <c r="C1701">
        <f t="shared" si="52"/>
        <v>1.3348518024579201</v>
      </c>
      <c r="D1701">
        <v>6</v>
      </c>
      <c r="E1701">
        <f t="shared" si="53"/>
        <v>4.3642718356087309E-2</v>
      </c>
    </row>
    <row r="1702" spans="1:5" x14ac:dyDescent="0.25">
      <c r="A1702">
        <v>3</v>
      </c>
      <c r="B1702">
        <v>0.20266666666666699</v>
      </c>
      <c r="C1702">
        <f t="shared" si="52"/>
        <v>1.3348518024579201</v>
      </c>
      <c r="D1702">
        <v>6</v>
      </c>
      <c r="E1702">
        <f t="shared" si="53"/>
        <v>4.3642718356087309E-2</v>
      </c>
    </row>
    <row r="1703" spans="1:5" x14ac:dyDescent="0.25">
      <c r="A1703">
        <v>3</v>
      </c>
      <c r="B1703">
        <v>0.20327102803738301</v>
      </c>
      <c r="C1703">
        <f t="shared" si="52"/>
        <v>1.3337443300202125</v>
      </c>
      <c r="D1703">
        <v>6</v>
      </c>
      <c r="E1703">
        <f t="shared" si="53"/>
        <v>4.3642718356087309E-2</v>
      </c>
    </row>
    <row r="1704" spans="1:5" x14ac:dyDescent="0.25">
      <c r="A1704">
        <v>3</v>
      </c>
      <c r="B1704">
        <v>0.20499999999999999</v>
      </c>
      <c r="C1704">
        <f t="shared" si="52"/>
        <v>1.3305463833960667</v>
      </c>
      <c r="D1704">
        <v>6</v>
      </c>
      <c r="E1704">
        <f t="shared" si="53"/>
        <v>4.3642718356087309E-2</v>
      </c>
    </row>
    <row r="1705" spans="1:5" x14ac:dyDescent="0.25">
      <c r="A1705">
        <v>3</v>
      </c>
      <c r="B1705">
        <v>0.20512820512820501</v>
      </c>
      <c r="C1705">
        <f t="shared" si="52"/>
        <v>1.3303075082450297</v>
      </c>
      <c r="D1705">
        <v>6</v>
      </c>
      <c r="E1705">
        <f t="shared" si="53"/>
        <v>4.3642718356087309E-2</v>
      </c>
    </row>
    <row r="1706" spans="1:5" x14ac:dyDescent="0.25">
      <c r="A1706">
        <v>3</v>
      </c>
      <c r="B1706">
        <v>0.20560747663551401</v>
      </c>
      <c r="C1706">
        <f t="shared" si="52"/>
        <v>1.3294123922798429</v>
      </c>
      <c r="D1706">
        <v>6</v>
      </c>
      <c r="E1706">
        <f t="shared" si="53"/>
        <v>4.3642718356087309E-2</v>
      </c>
    </row>
    <row r="1707" spans="1:5" x14ac:dyDescent="0.25">
      <c r="A1707">
        <v>3</v>
      </c>
      <c r="B1707">
        <v>0.20599999999999999</v>
      </c>
      <c r="C1707">
        <f t="shared" si="52"/>
        <v>1.3286767989027335</v>
      </c>
      <c r="D1707">
        <v>6</v>
      </c>
      <c r="E1707">
        <f t="shared" si="53"/>
        <v>4.3642718356087309E-2</v>
      </c>
    </row>
    <row r="1708" spans="1:5" x14ac:dyDescent="0.25">
      <c r="A1708">
        <v>3</v>
      </c>
      <c r="B1708">
        <v>0.20979020979021001</v>
      </c>
      <c r="C1708">
        <f t="shared" si="52"/>
        <v>1.321459242163465</v>
      </c>
      <c r="D1708">
        <v>6</v>
      </c>
      <c r="E1708">
        <f t="shared" si="53"/>
        <v>4.3642718356087309E-2</v>
      </c>
    </row>
    <row r="1709" spans="1:5" x14ac:dyDescent="0.25">
      <c r="A1709">
        <v>3</v>
      </c>
      <c r="B1709">
        <v>0.20979020979021001</v>
      </c>
      <c r="C1709">
        <f t="shared" si="52"/>
        <v>1.321459242163465</v>
      </c>
      <c r="D1709">
        <v>6</v>
      </c>
      <c r="E1709">
        <f t="shared" si="53"/>
        <v>4.3642718356087309E-2</v>
      </c>
    </row>
    <row r="1710" spans="1:5" x14ac:dyDescent="0.25">
      <c r="A1710">
        <v>3</v>
      </c>
      <c r="B1710">
        <v>0.21</v>
      </c>
      <c r="C1710">
        <f t="shared" si="52"/>
        <v>1.3210537202004611</v>
      </c>
      <c r="D1710">
        <v>6</v>
      </c>
      <c r="E1710">
        <f t="shared" si="53"/>
        <v>4.3642718356087309E-2</v>
      </c>
    </row>
    <row r="1711" spans="1:5" x14ac:dyDescent="0.25">
      <c r="A1711">
        <v>3</v>
      </c>
      <c r="B1711">
        <v>0.21</v>
      </c>
      <c r="C1711">
        <f t="shared" si="52"/>
        <v>1.3210537202004611</v>
      </c>
      <c r="D1711">
        <v>6</v>
      </c>
      <c r="E1711">
        <f t="shared" si="53"/>
        <v>4.3642718356087309E-2</v>
      </c>
    </row>
    <row r="1712" spans="1:5" x14ac:dyDescent="0.25">
      <c r="A1712">
        <v>3</v>
      </c>
      <c r="B1712">
        <v>0.21</v>
      </c>
      <c r="C1712">
        <f t="shared" si="52"/>
        <v>1.3210537202004611</v>
      </c>
      <c r="D1712">
        <v>6</v>
      </c>
      <c r="E1712">
        <f t="shared" si="53"/>
        <v>4.3642718356087309E-2</v>
      </c>
    </row>
    <row r="1713" spans="1:5" x14ac:dyDescent="0.25">
      <c r="A1713">
        <v>3</v>
      </c>
      <c r="B1713">
        <v>0.21</v>
      </c>
      <c r="C1713">
        <f t="shared" si="52"/>
        <v>1.3210537202004611</v>
      </c>
      <c r="D1713">
        <v>6</v>
      </c>
      <c r="E1713">
        <f t="shared" si="53"/>
        <v>4.3642718356087309E-2</v>
      </c>
    </row>
    <row r="1714" spans="1:5" x14ac:dyDescent="0.25">
      <c r="A1714">
        <v>3</v>
      </c>
      <c r="B1714">
        <v>0.21199999999999999</v>
      </c>
      <c r="C1714">
        <f t="shared" si="52"/>
        <v>1.3171563186414745</v>
      </c>
      <c r="D1714">
        <v>6</v>
      </c>
      <c r="E1714">
        <f t="shared" si="53"/>
        <v>4.3642718356087309E-2</v>
      </c>
    </row>
    <row r="1715" spans="1:5" x14ac:dyDescent="0.25">
      <c r="A1715">
        <v>3</v>
      </c>
      <c r="B1715">
        <v>0.21212121212121199</v>
      </c>
      <c r="C1715">
        <f t="shared" si="52"/>
        <v>1.3169182913852369</v>
      </c>
      <c r="D1715">
        <v>6</v>
      </c>
      <c r="E1715">
        <f t="shared" si="53"/>
        <v>4.3642718356087309E-2</v>
      </c>
    </row>
    <row r="1716" spans="1:5" x14ac:dyDescent="0.25">
      <c r="A1716">
        <v>3</v>
      </c>
      <c r="B1716">
        <v>0.21212121212121199</v>
      </c>
      <c r="C1716">
        <f t="shared" si="52"/>
        <v>1.3169182913852369</v>
      </c>
      <c r="D1716">
        <v>6</v>
      </c>
      <c r="E1716">
        <f t="shared" si="53"/>
        <v>4.3642718356087309E-2</v>
      </c>
    </row>
    <row r="1717" spans="1:5" x14ac:dyDescent="0.25">
      <c r="A1717">
        <v>3</v>
      </c>
      <c r="B1717">
        <v>0.21445221445221399</v>
      </c>
      <c r="C1717">
        <f t="shared" si="52"/>
        <v>1.3123006631410581</v>
      </c>
      <c r="D1717">
        <v>6</v>
      </c>
      <c r="E1717">
        <f t="shared" si="53"/>
        <v>4.3642718356087309E-2</v>
      </c>
    </row>
    <row r="1718" spans="1:5" x14ac:dyDescent="0.25">
      <c r="A1718">
        <v>3</v>
      </c>
      <c r="B1718">
        <v>0.216</v>
      </c>
      <c r="C1718">
        <f t="shared" si="52"/>
        <v>1.3091926470547595</v>
      </c>
      <c r="D1718">
        <v>6</v>
      </c>
      <c r="E1718">
        <f t="shared" si="53"/>
        <v>4.3642718356087309E-2</v>
      </c>
    </row>
    <row r="1719" spans="1:5" x14ac:dyDescent="0.25">
      <c r="A1719">
        <v>3</v>
      </c>
      <c r="B1719">
        <v>0.216</v>
      </c>
      <c r="C1719">
        <f t="shared" si="52"/>
        <v>1.3091926470547595</v>
      </c>
      <c r="D1719">
        <v>6</v>
      </c>
      <c r="E1719">
        <f t="shared" si="53"/>
        <v>4.3642718356087309E-2</v>
      </c>
    </row>
    <row r="1720" spans="1:5" x14ac:dyDescent="0.25">
      <c r="A1720">
        <v>3</v>
      </c>
      <c r="B1720">
        <v>0.21666666666666701</v>
      </c>
      <c r="C1720">
        <f t="shared" si="52"/>
        <v>1.3078437289711178</v>
      </c>
      <c r="D1720">
        <v>6</v>
      </c>
      <c r="E1720">
        <f t="shared" si="53"/>
        <v>4.3642718356087309E-2</v>
      </c>
    </row>
    <row r="1721" spans="1:5" x14ac:dyDescent="0.25">
      <c r="A1721">
        <v>3</v>
      </c>
      <c r="B1721">
        <v>0.22</v>
      </c>
      <c r="C1721">
        <f t="shared" si="52"/>
        <v>1.3010077071252124</v>
      </c>
      <c r="D1721">
        <v>6</v>
      </c>
      <c r="E1721">
        <f t="shared" si="53"/>
        <v>4.3642718356087309E-2</v>
      </c>
    </row>
    <row r="1722" spans="1:5" x14ac:dyDescent="0.25">
      <c r="A1722">
        <v>3</v>
      </c>
      <c r="B1722">
        <v>0.22</v>
      </c>
      <c r="C1722">
        <f t="shared" si="52"/>
        <v>1.3010077071252124</v>
      </c>
      <c r="D1722">
        <v>6</v>
      </c>
      <c r="E1722">
        <f t="shared" si="53"/>
        <v>4.3642718356087309E-2</v>
      </c>
    </row>
    <row r="1723" spans="1:5" x14ac:dyDescent="0.25">
      <c r="A1723">
        <v>3</v>
      </c>
      <c r="B1723">
        <v>0.22</v>
      </c>
      <c r="C1723">
        <f t="shared" si="52"/>
        <v>1.3010077071252124</v>
      </c>
      <c r="D1723">
        <v>6</v>
      </c>
      <c r="E1723">
        <f t="shared" si="53"/>
        <v>4.3642718356087309E-2</v>
      </c>
    </row>
    <row r="1724" spans="1:5" x14ac:dyDescent="0.25">
      <c r="A1724">
        <v>3</v>
      </c>
      <c r="B1724">
        <v>0.221445221445221</v>
      </c>
      <c r="C1724">
        <f t="shared" si="52"/>
        <v>1.2979969478773175</v>
      </c>
      <c r="D1724">
        <v>6</v>
      </c>
      <c r="E1724">
        <f t="shared" si="53"/>
        <v>4.3642718356087309E-2</v>
      </c>
    </row>
    <row r="1725" spans="1:5" x14ac:dyDescent="0.25">
      <c r="A1725">
        <v>3</v>
      </c>
      <c r="B1725">
        <v>0.223333333333333</v>
      </c>
      <c r="C1725">
        <f t="shared" si="52"/>
        <v>1.2940213318080818</v>
      </c>
      <c r="D1725">
        <v>6</v>
      </c>
      <c r="E1725">
        <f t="shared" si="53"/>
        <v>4.3642718356087309E-2</v>
      </c>
    </row>
    <row r="1726" spans="1:5" x14ac:dyDescent="0.25">
      <c r="A1726">
        <v>3</v>
      </c>
      <c r="B1726">
        <v>0.223776223776224</v>
      </c>
      <c r="C1726">
        <f t="shared" si="52"/>
        <v>1.2930819063305594</v>
      </c>
      <c r="D1726">
        <v>6</v>
      </c>
      <c r="E1726">
        <f t="shared" si="53"/>
        <v>4.3642718356087309E-2</v>
      </c>
    </row>
    <row r="1727" spans="1:5" x14ac:dyDescent="0.25">
      <c r="A1727">
        <v>3</v>
      </c>
      <c r="B1727">
        <v>0.22600000000000001</v>
      </c>
      <c r="C1727">
        <f t="shared" si="52"/>
        <v>1.2883258644420634</v>
      </c>
      <c r="D1727">
        <v>6</v>
      </c>
      <c r="E1727">
        <f t="shared" si="53"/>
        <v>4.3642718356087309E-2</v>
      </c>
    </row>
    <row r="1728" spans="1:5" x14ac:dyDescent="0.25">
      <c r="A1728">
        <v>3</v>
      </c>
      <c r="B1728">
        <v>0.22800000000000001</v>
      </c>
      <c r="C1728">
        <f t="shared" si="52"/>
        <v>1.2839931739736505</v>
      </c>
      <c r="D1728">
        <v>6</v>
      </c>
      <c r="E1728">
        <f t="shared" si="53"/>
        <v>4.3642718356087309E-2</v>
      </c>
    </row>
    <row r="1729" spans="1:5" x14ac:dyDescent="0.25">
      <c r="A1729">
        <v>3</v>
      </c>
      <c r="B1729">
        <v>0.228228228228228</v>
      </c>
      <c r="C1729">
        <f t="shared" si="52"/>
        <v>1.283495456485142</v>
      </c>
      <c r="D1729">
        <v>6</v>
      </c>
      <c r="E1729">
        <f t="shared" si="53"/>
        <v>4.3642718356087309E-2</v>
      </c>
    </row>
    <row r="1730" spans="1:5" x14ac:dyDescent="0.25">
      <c r="A1730">
        <v>3</v>
      </c>
      <c r="B1730">
        <v>0.23</v>
      </c>
      <c r="C1730">
        <f t="shared" ref="C1730:C1793" si="54">_xlfn.NORM.DIST(B1730, I$10,I$13,FALSE)</f>
        <v>1.2796088131044392</v>
      </c>
      <c r="D1730">
        <v>6</v>
      </c>
      <c r="E1730">
        <f t="shared" si="53"/>
        <v>4.3642718356087309E-2</v>
      </c>
    </row>
    <row r="1731" spans="1:5" x14ac:dyDescent="0.25">
      <c r="A1731">
        <v>3</v>
      </c>
      <c r="B1731">
        <v>0.23130841121495299</v>
      </c>
      <c r="C1731">
        <f t="shared" si="54"/>
        <v>1.2767128821783835</v>
      </c>
      <c r="D1731">
        <v>6</v>
      </c>
      <c r="E1731">
        <f t="shared" ref="E1731:E1794" si="55">_xlfn.NORM.DIST(D1731, I$4,I$7,FALSE)</f>
        <v>4.3642718356087309E-2</v>
      </c>
    </row>
    <row r="1732" spans="1:5" x14ac:dyDescent="0.25">
      <c r="A1732">
        <v>3</v>
      </c>
      <c r="B1732">
        <v>0.23310023310023301</v>
      </c>
      <c r="C1732">
        <f t="shared" si="54"/>
        <v>1.2727118911439173</v>
      </c>
      <c r="D1732">
        <v>6</v>
      </c>
      <c r="E1732">
        <f t="shared" si="55"/>
        <v>4.3642718356087309E-2</v>
      </c>
    </row>
    <row r="1733" spans="1:5" x14ac:dyDescent="0.25">
      <c r="A1733">
        <v>3</v>
      </c>
      <c r="B1733">
        <v>0.23376623376623401</v>
      </c>
      <c r="C1733">
        <f t="shared" si="54"/>
        <v>1.2712145000588875</v>
      </c>
      <c r="D1733">
        <v>6</v>
      </c>
      <c r="E1733">
        <f t="shared" si="55"/>
        <v>4.3642718356087309E-2</v>
      </c>
    </row>
    <row r="1734" spans="1:5" x14ac:dyDescent="0.25">
      <c r="A1734">
        <v>3</v>
      </c>
      <c r="B1734">
        <v>0.23711340206185599</v>
      </c>
      <c r="C1734">
        <f t="shared" si="54"/>
        <v>1.2636057498572104</v>
      </c>
      <c r="D1734">
        <v>6</v>
      </c>
      <c r="E1734">
        <f t="shared" si="55"/>
        <v>4.3642718356087309E-2</v>
      </c>
    </row>
    <row r="1735" spans="1:5" x14ac:dyDescent="0.25">
      <c r="A1735">
        <v>3</v>
      </c>
      <c r="B1735">
        <v>0.24324324324324301</v>
      </c>
      <c r="C1735">
        <f t="shared" si="54"/>
        <v>1.2493196232186086</v>
      </c>
      <c r="D1735">
        <v>6</v>
      </c>
      <c r="E1735">
        <f t="shared" si="55"/>
        <v>4.3642718356087309E-2</v>
      </c>
    </row>
    <row r="1736" spans="1:5" x14ac:dyDescent="0.25">
      <c r="A1736">
        <v>3</v>
      </c>
      <c r="B1736">
        <v>0.24324324324324301</v>
      </c>
      <c r="C1736">
        <f t="shared" si="54"/>
        <v>1.2493196232186086</v>
      </c>
      <c r="D1736">
        <v>6</v>
      </c>
      <c r="E1736">
        <f t="shared" si="55"/>
        <v>4.3642718356087309E-2</v>
      </c>
    </row>
    <row r="1737" spans="1:5" x14ac:dyDescent="0.25">
      <c r="A1737">
        <v>3</v>
      </c>
      <c r="B1737">
        <v>0.24399999999999999</v>
      </c>
      <c r="C1737">
        <f t="shared" si="54"/>
        <v>1.2475251043337052</v>
      </c>
      <c r="D1737">
        <v>6</v>
      </c>
      <c r="E1737">
        <f t="shared" si="55"/>
        <v>4.3642718356087309E-2</v>
      </c>
    </row>
    <row r="1738" spans="1:5" x14ac:dyDescent="0.25">
      <c r="A1738">
        <v>3</v>
      </c>
      <c r="B1738">
        <v>0.24468085106383</v>
      </c>
      <c r="C1738">
        <f t="shared" si="54"/>
        <v>1.2459048947147544</v>
      </c>
      <c r="D1738">
        <v>6</v>
      </c>
      <c r="E1738">
        <f t="shared" si="55"/>
        <v>4.3642718356087309E-2</v>
      </c>
    </row>
    <row r="1739" spans="1:5" x14ac:dyDescent="0.25">
      <c r="A1739">
        <v>3</v>
      </c>
      <c r="B1739">
        <v>0.24475524475524499</v>
      </c>
      <c r="C1739">
        <f t="shared" si="54"/>
        <v>1.2457275359959934</v>
      </c>
      <c r="D1739">
        <v>6</v>
      </c>
      <c r="E1739">
        <f t="shared" si="55"/>
        <v>4.3642718356087309E-2</v>
      </c>
    </row>
    <row r="1740" spans="1:5" x14ac:dyDescent="0.25">
      <c r="A1740">
        <v>3</v>
      </c>
      <c r="B1740">
        <v>0.248</v>
      </c>
      <c r="C1740">
        <f t="shared" si="54"/>
        <v>1.2379301018404936</v>
      </c>
      <c r="D1740">
        <v>6</v>
      </c>
      <c r="E1740">
        <f t="shared" si="55"/>
        <v>4.3642718356087309E-2</v>
      </c>
    </row>
    <row r="1741" spans="1:5" x14ac:dyDescent="0.25">
      <c r="A1741">
        <v>3</v>
      </c>
      <c r="B1741">
        <v>0.24833333333333299</v>
      </c>
      <c r="C1741">
        <f t="shared" si="54"/>
        <v>1.2371222943922526</v>
      </c>
      <c r="D1741">
        <v>6</v>
      </c>
      <c r="E1741">
        <f t="shared" si="55"/>
        <v>4.3642718356087309E-2</v>
      </c>
    </row>
    <row r="1742" spans="1:5" x14ac:dyDescent="0.25">
      <c r="A1742">
        <v>3</v>
      </c>
      <c r="B1742">
        <v>0.24941724941724899</v>
      </c>
      <c r="C1742">
        <f t="shared" si="54"/>
        <v>1.2344868790648396</v>
      </c>
      <c r="D1742">
        <v>6</v>
      </c>
      <c r="E1742">
        <f t="shared" si="55"/>
        <v>4.3642718356087309E-2</v>
      </c>
    </row>
    <row r="1743" spans="1:5" x14ac:dyDescent="0.25">
      <c r="A1743">
        <v>3</v>
      </c>
      <c r="B1743">
        <v>0.25</v>
      </c>
      <c r="C1743">
        <f t="shared" si="54"/>
        <v>1.2330645610116064</v>
      </c>
      <c r="D1743">
        <v>6</v>
      </c>
      <c r="E1743">
        <f t="shared" si="55"/>
        <v>4.3642718356087309E-2</v>
      </c>
    </row>
    <row r="1744" spans="1:5" x14ac:dyDescent="0.25">
      <c r="A1744">
        <v>3</v>
      </c>
      <c r="B1744">
        <v>0.252</v>
      </c>
      <c r="C1744">
        <f t="shared" si="54"/>
        <v>1.2281545658461974</v>
      </c>
      <c r="D1744">
        <v>6</v>
      </c>
      <c r="E1744">
        <f t="shared" si="55"/>
        <v>4.3642718356087309E-2</v>
      </c>
    </row>
    <row r="1745" spans="1:5" x14ac:dyDescent="0.25">
      <c r="A1745">
        <v>3</v>
      </c>
      <c r="B1745">
        <v>0.25407925407925402</v>
      </c>
      <c r="C1745">
        <f t="shared" si="54"/>
        <v>1.2230036056453784</v>
      </c>
      <c r="D1745">
        <v>6</v>
      </c>
      <c r="E1745">
        <f t="shared" si="55"/>
        <v>4.3642718356087309E-2</v>
      </c>
    </row>
    <row r="1746" spans="1:5" x14ac:dyDescent="0.25">
      <c r="A1746">
        <v>3</v>
      </c>
      <c r="B1746">
        <v>0.25449101796407197</v>
      </c>
      <c r="C1746">
        <f t="shared" si="54"/>
        <v>1.2219779934412882</v>
      </c>
      <c r="D1746">
        <v>6</v>
      </c>
      <c r="E1746">
        <f t="shared" si="55"/>
        <v>4.3642718356087309E-2</v>
      </c>
    </row>
    <row r="1747" spans="1:5" x14ac:dyDescent="0.25">
      <c r="A1747">
        <v>3</v>
      </c>
      <c r="B1747">
        <v>0.255255255255255</v>
      </c>
      <c r="C1747">
        <f t="shared" si="54"/>
        <v>1.2200696320836362</v>
      </c>
      <c r="D1747">
        <v>6</v>
      </c>
      <c r="E1747">
        <f t="shared" si="55"/>
        <v>4.3642718356087309E-2</v>
      </c>
    </row>
    <row r="1748" spans="1:5" x14ac:dyDescent="0.25">
      <c r="A1748">
        <v>3</v>
      </c>
      <c r="B1748">
        <v>0.25600000000000001</v>
      </c>
      <c r="C1748">
        <f t="shared" si="54"/>
        <v>1.2182039538548171</v>
      </c>
      <c r="D1748">
        <v>6</v>
      </c>
      <c r="E1748">
        <f t="shared" si="55"/>
        <v>4.3642718356087309E-2</v>
      </c>
    </row>
    <row r="1749" spans="1:5" x14ac:dyDescent="0.25">
      <c r="A1749">
        <v>3</v>
      </c>
      <c r="B1749">
        <v>0.256410256410256</v>
      </c>
      <c r="C1749">
        <f t="shared" si="54"/>
        <v>1.2171736974455825</v>
      </c>
      <c r="D1749">
        <v>6</v>
      </c>
      <c r="E1749">
        <f t="shared" si="55"/>
        <v>4.3642718356087309E-2</v>
      </c>
    </row>
    <row r="1750" spans="1:5" x14ac:dyDescent="0.25">
      <c r="A1750">
        <v>3</v>
      </c>
      <c r="B1750">
        <v>0.25800000000000001</v>
      </c>
      <c r="C1750">
        <f t="shared" si="54"/>
        <v>1.2131647176471725</v>
      </c>
      <c r="D1750">
        <v>6</v>
      </c>
      <c r="E1750">
        <f t="shared" si="55"/>
        <v>4.3642718356087309E-2</v>
      </c>
    </row>
    <row r="1751" spans="1:5" x14ac:dyDescent="0.25">
      <c r="A1751">
        <v>3</v>
      </c>
      <c r="B1751">
        <v>0.25800000000000001</v>
      </c>
      <c r="C1751">
        <f t="shared" si="54"/>
        <v>1.2131647176471725</v>
      </c>
      <c r="D1751">
        <v>6</v>
      </c>
      <c r="E1751">
        <f t="shared" si="55"/>
        <v>4.3642718356087309E-2</v>
      </c>
    </row>
    <row r="1752" spans="1:5" x14ac:dyDescent="0.25">
      <c r="A1752">
        <v>3</v>
      </c>
      <c r="B1752">
        <v>0.25833333333333303</v>
      </c>
      <c r="C1752">
        <f t="shared" si="54"/>
        <v>1.2123207725706315</v>
      </c>
      <c r="D1752">
        <v>6</v>
      </c>
      <c r="E1752">
        <f t="shared" si="55"/>
        <v>4.3642718356087309E-2</v>
      </c>
    </row>
    <row r="1753" spans="1:5" x14ac:dyDescent="0.25">
      <c r="A1753">
        <v>3</v>
      </c>
      <c r="B1753">
        <v>0.26869158878504701</v>
      </c>
      <c r="C1753">
        <f t="shared" si="54"/>
        <v>1.1855360641073995</v>
      </c>
      <c r="D1753">
        <v>6</v>
      </c>
      <c r="E1753">
        <f t="shared" si="55"/>
        <v>4.3642718356087309E-2</v>
      </c>
    </row>
    <row r="1754" spans="1:5" x14ac:dyDescent="0.25">
      <c r="A1754">
        <v>3</v>
      </c>
      <c r="B1754">
        <v>0.26933333333333298</v>
      </c>
      <c r="C1754">
        <f t="shared" si="54"/>
        <v>1.1838421472202643</v>
      </c>
      <c r="D1754">
        <v>6</v>
      </c>
      <c r="E1754">
        <f t="shared" si="55"/>
        <v>4.3642718356087309E-2</v>
      </c>
    </row>
    <row r="1755" spans="1:5" x14ac:dyDescent="0.25">
      <c r="A1755">
        <v>3</v>
      </c>
      <c r="B1755">
        <v>0.27027027027027001</v>
      </c>
      <c r="C1755">
        <f t="shared" si="54"/>
        <v>1.1813620937477347</v>
      </c>
      <c r="D1755">
        <v>6</v>
      </c>
      <c r="E1755">
        <f t="shared" si="55"/>
        <v>4.3642718356087309E-2</v>
      </c>
    </row>
    <row r="1756" spans="1:5" x14ac:dyDescent="0.25">
      <c r="A1756">
        <v>3</v>
      </c>
      <c r="B1756">
        <v>0.27027027027027001</v>
      </c>
      <c r="C1756">
        <f t="shared" si="54"/>
        <v>1.1813620937477347</v>
      </c>
      <c r="D1756">
        <v>6</v>
      </c>
      <c r="E1756">
        <f t="shared" si="55"/>
        <v>4.3642718356087309E-2</v>
      </c>
    </row>
    <row r="1757" spans="1:5" x14ac:dyDescent="0.25">
      <c r="A1757">
        <v>3</v>
      </c>
      <c r="B1757">
        <v>0.27102803738317799</v>
      </c>
      <c r="C1757">
        <f t="shared" si="54"/>
        <v>1.1793502999731114</v>
      </c>
      <c r="D1757">
        <v>6</v>
      </c>
      <c r="E1757">
        <f t="shared" si="55"/>
        <v>4.3642718356087309E-2</v>
      </c>
    </row>
    <row r="1758" spans="1:5" x14ac:dyDescent="0.25">
      <c r="A1758">
        <v>3</v>
      </c>
      <c r="B1758">
        <v>0.27272727272727298</v>
      </c>
      <c r="C1758">
        <f t="shared" si="54"/>
        <v>1.1748197124275279</v>
      </c>
      <c r="D1758">
        <v>6</v>
      </c>
      <c r="E1758">
        <f t="shared" si="55"/>
        <v>4.3642718356087309E-2</v>
      </c>
    </row>
    <row r="1759" spans="1:5" x14ac:dyDescent="0.25">
      <c r="A1759">
        <v>3</v>
      </c>
      <c r="B1759">
        <v>0.27800000000000002</v>
      </c>
      <c r="C1759">
        <f t="shared" si="54"/>
        <v>1.1605956911856048</v>
      </c>
      <c r="D1759">
        <v>6</v>
      </c>
      <c r="E1759">
        <f t="shared" si="55"/>
        <v>4.3642718356087309E-2</v>
      </c>
    </row>
    <row r="1760" spans="1:5" x14ac:dyDescent="0.25">
      <c r="A1760">
        <v>3</v>
      </c>
      <c r="B1760">
        <v>0.27927927927927898</v>
      </c>
      <c r="C1760">
        <f t="shared" si="54"/>
        <v>1.1571079128571602</v>
      </c>
      <c r="D1760">
        <v>6</v>
      </c>
      <c r="E1760">
        <f t="shared" si="55"/>
        <v>4.3642718356087309E-2</v>
      </c>
    </row>
    <row r="1761" spans="1:5" x14ac:dyDescent="0.25">
      <c r="A1761">
        <v>3</v>
      </c>
      <c r="B1761">
        <v>0.27972027972028002</v>
      </c>
      <c r="C1761">
        <f t="shared" si="54"/>
        <v>1.1559023427233677</v>
      </c>
      <c r="D1761">
        <v>6</v>
      </c>
      <c r="E1761">
        <f t="shared" si="55"/>
        <v>4.3642718356087309E-2</v>
      </c>
    </row>
    <row r="1762" spans="1:5" x14ac:dyDescent="0.25">
      <c r="A1762">
        <v>3</v>
      </c>
      <c r="B1762">
        <v>0.28037383177570102</v>
      </c>
      <c r="C1762">
        <f t="shared" si="54"/>
        <v>1.154112684249756</v>
      </c>
      <c r="D1762">
        <v>6</v>
      </c>
      <c r="E1762">
        <f t="shared" si="55"/>
        <v>4.3642718356087309E-2</v>
      </c>
    </row>
    <row r="1763" spans="1:5" x14ac:dyDescent="0.25">
      <c r="A1763">
        <v>3</v>
      </c>
      <c r="B1763">
        <v>0.28395061728395099</v>
      </c>
      <c r="C1763">
        <f t="shared" si="54"/>
        <v>1.1442550991941307</v>
      </c>
      <c r="D1763">
        <v>6</v>
      </c>
      <c r="E1763">
        <f t="shared" si="55"/>
        <v>4.3642718356087309E-2</v>
      </c>
    </row>
    <row r="1764" spans="1:5" x14ac:dyDescent="0.25">
      <c r="A1764">
        <v>3</v>
      </c>
      <c r="B1764">
        <v>0.28438228438228402</v>
      </c>
      <c r="C1764">
        <f t="shared" si="54"/>
        <v>1.14305833894834</v>
      </c>
      <c r="D1764">
        <v>6</v>
      </c>
      <c r="E1764">
        <f t="shared" si="55"/>
        <v>4.3642718356087309E-2</v>
      </c>
    </row>
    <row r="1765" spans="1:5" x14ac:dyDescent="0.25">
      <c r="A1765">
        <v>3</v>
      </c>
      <c r="B1765">
        <v>0.28571428571428598</v>
      </c>
      <c r="C1765">
        <f t="shared" si="54"/>
        <v>1.1393560436690298</v>
      </c>
      <c r="D1765">
        <v>6</v>
      </c>
      <c r="E1765">
        <f t="shared" si="55"/>
        <v>4.3642718356087309E-2</v>
      </c>
    </row>
    <row r="1766" spans="1:5" x14ac:dyDescent="0.25">
      <c r="A1766">
        <v>3</v>
      </c>
      <c r="B1766">
        <v>0.28738317757009302</v>
      </c>
      <c r="C1766">
        <f t="shared" si="54"/>
        <v>1.1346975095842151</v>
      </c>
      <c r="D1766">
        <v>6</v>
      </c>
      <c r="E1766">
        <f t="shared" si="55"/>
        <v>4.3642718356087309E-2</v>
      </c>
    </row>
    <row r="1767" spans="1:5" x14ac:dyDescent="0.25">
      <c r="A1767">
        <v>3</v>
      </c>
      <c r="B1767">
        <v>0.28799999999999998</v>
      </c>
      <c r="C1767">
        <f t="shared" si="54"/>
        <v>1.1329702044815915</v>
      </c>
      <c r="D1767">
        <v>6</v>
      </c>
      <c r="E1767">
        <f t="shared" si="55"/>
        <v>4.3642718356087309E-2</v>
      </c>
    </row>
    <row r="1768" spans="1:5" x14ac:dyDescent="0.25">
      <c r="A1768">
        <v>3</v>
      </c>
      <c r="B1768">
        <v>0.28904428904428903</v>
      </c>
      <c r="C1768">
        <f t="shared" si="54"/>
        <v>1.1300391603979321</v>
      </c>
      <c r="D1768">
        <v>6</v>
      </c>
      <c r="E1768">
        <f t="shared" si="55"/>
        <v>4.3642718356087309E-2</v>
      </c>
    </row>
    <row r="1769" spans="1:5" x14ac:dyDescent="0.25">
      <c r="A1769">
        <v>3</v>
      </c>
      <c r="B1769">
        <v>0.289719626168224</v>
      </c>
      <c r="C1769">
        <f t="shared" si="54"/>
        <v>1.1281392282600828</v>
      </c>
      <c r="D1769">
        <v>6</v>
      </c>
      <c r="E1769">
        <f t="shared" si="55"/>
        <v>4.3642718356087309E-2</v>
      </c>
    </row>
    <row r="1770" spans="1:5" x14ac:dyDescent="0.25">
      <c r="A1770">
        <v>3</v>
      </c>
      <c r="B1770">
        <v>0.28999999999999998</v>
      </c>
      <c r="C1770">
        <f t="shared" si="54"/>
        <v>1.1273494339900823</v>
      </c>
      <c r="D1770">
        <v>6</v>
      </c>
      <c r="E1770">
        <f t="shared" si="55"/>
        <v>4.3642718356087309E-2</v>
      </c>
    </row>
    <row r="1771" spans="1:5" x14ac:dyDescent="0.25">
      <c r="A1771">
        <v>3</v>
      </c>
      <c r="B1771">
        <v>0.29199999999999998</v>
      </c>
      <c r="C1771">
        <f t="shared" si="54"/>
        <v>1.1216984817861761</v>
      </c>
      <c r="D1771">
        <v>6</v>
      </c>
      <c r="E1771">
        <f t="shared" si="55"/>
        <v>4.3642718356087309E-2</v>
      </c>
    </row>
    <row r="1772" spans="1:5" x14ac:dyDescent="0.25">
      <c r="A1772">
        <v>3</v>
      </c>
      <c r="B1772">
        <v>0.293333333333333</v>
      </c>
      <c r="C1772">
        <f t="shared" si="54"/>
        <v>1.1179147755542411</v>
      </c>
      <c r="D1772">
        <v>6</v>
      </c>
      <c r="E1772">
        <f t="shared" si="55"/>
        <v>4.3642718356087309E-2</v>
      </c>
    </row>
    <row r="1773" spans="1:5" x14ac:dyDescent="0.25">
      <c r="A1773">
        <v>3</v>
      </c>
      <c r="B1773">
        <v>0.29429429429429399</v>
      </c>
      <c r="C1773">
        <f t="shared" si="54"/>
        <v>1.1151797873365807</v>
      </c>
      <c r="D1773">
        <v>6</v>
      </c>
      <c r="E1773">
        <f t="shared" si="55"/>
        <v>4.3642718356087309E-2</v>
      </c>
    </row>
    <row r="1774" spans="1:5" x14ac:dyDescent="0.25">
      <c r="A1774">
        <v>3</v>
      </c>
      <c r="B1774">
        <v>0.29599999999999999</v>
      </c>
      <c r="C1774">
        <f t="shared" si="54"/>
        <v>1.1103089725284994</v>
      </c>
      <c r="D1774">
        <v>6</v>
      </c>
      <c r="E1774">
        <f t="shared" si="55"/>
        <v>4.3642718356087309E-2</v>
      </c>
    </row>
    <row r="1775" spans="1:5" x14ac:dyDescent="0.25">
      <c r="A1775">
        <v>3</v>
      </c>
      <c r="B1775">
        <v>0.29672897196261699</v>
      </c>
      <c r="C1775">
        <f t="shared" si="54"/>
        <v>1.1082210866662257</v>
      </c>
      <c r="D1775">
        <v>6</v>
      </c>
      <c r="E1775">
        <f t="shared" si="55"/>
        <v>4.3642718356087309E-2</v>
      </c>
    </row>
    <row r="1776" spans="1:5" x14ac:dyDescent="0.25">
      <c r="A1776">
        <v>3</v>
      </c>
      <c r="B1776">
        <v>0.29729729729729698</v>
      </c>
      <c r="C1776">
        <f t="shared" si="54"/>
        <v>1.1065907617774686</v>
      </c>
      <c r="D1776">
        <v>6</v>
      </c>
      <c r="E1776">
        <f t="shared" si="55"/>
        <v>4.3642718356087309E-2</v>
      </c>
    </row>
    <row r="1777" spans="1:5" x14ac:dyDescent="0.25">
      <c r="A1777">
        <v>3</v>
      </c>
      <c r="B1777">
        <v>0.29729729729729698</v>
      </c>
      <c r="C1777">
        <f t="shared" si="54"/>
        <v>1.1065907617774686</v>
      </c>
      <c r="D1777">
        <v>6</v>
      </c>
      <c r="E1777">
        <f t="shared" si="55"/>
        <v>4.3642718356087309E-2</v>
      </c>
    </row>
    <row r="1778" spans="1:5" x14ac:dyDescent="0.25">
      <c r="A1778">
        <v>3</v>
      </c>
      <c r="B1778">
        <v>0.29940119760479</v>
      </c>
      <c r="C1778">
        <f t="shared" si="54"/>
        <v>1.1005362229124638</v>
      </c>
      <c r="D1778">
        <v>6</v>
      </c>
      <c r="E1778">
        <f t="shared" si="55"/>
        <v>4.3642718356087309E-2</v>
      </c>
    </row>
    <row r="1779" spans="1:5" x14ac:dyDescent="0.25">
      <c r="A1779">
        <v>3</v>
      </c>
      <c r="B1779">
        <v>0.3</v>
      </c>
      <c r="C1779">
        <f t="shared" si="54"/>
        <v>1.0988075649351636</v>
      </c>
      <c r="D1779">
        <v>6</v>
      </c>
      <c r="E1779">
        <f t="shared" si="55"/>
        <v>4.3642718356087309E-2</v>
      </c>
    </row>
    <row r="1780" spans="1:5" x14ac:dyDescent="0.25">
      <c r="A1780">
        <v>3</v>
      </c>
      <c r="B1780">
        <v>0.3</v>
      </c>
      <c r="C1780">
        <f t="shared" si="54"/>
        <v>1.0988075649351636</v>
      </c>
      <c r="D1780">
        <v>6</v>
      </c>
      <c r="E1780">
        <f t="shared" si="55"/>
        <v>4.3642718356087309E-2</v>
      </c>
    </row>
    <row r="1781" spans="1:5" x14ac:dyDescent="0.25">
      <c r="A1781">
        <v>3</v>
      </c>
      <c r="B1781">
        <v>0.3</v>
      </c>
      <c r="C1781">
        <f t="shared" si="54"/>
        <v>1.0988075649351636</v>
      </c>
      <c r="D1781">
        <v>6</v>
      </c>
      <c r="E1781">
        <f t="shared" si="55"/>
        <v>4.3642718356087309E-2</v>
      </c>
    </row>
    <row r="1782" spans="1:5" x14ac:dyDescent="0.25">
      <c r="A1782">
        <v>3</v>
      </c>
      <c r="B1782">
        <v>0.30303030303030298</v>
      </c>
      <c r="C1782">
        <f t="shared" si="54"/>
        <v>1.09002348970258</v>
      </c>
      <c r="D1782">
        <v>6</v>
      </c>
      <c r="E1782">
        <f t="shared" si="55"/>
        <v>4.3642718356087309E-2</v>
      </c>
    </row>
    <row r="1783" spans="1:5" x14ac:dyDescent="0.25">
      <c r="A1783">
        <v>3</v>
      </c>
      <c r="B1783">
        <v>0.30399999999999999</v>
      </c>
      <c r="C1783">
        <f t="shared" si="54"/>
        <v>1.0872001559889608</v>
      </c>
      <c r="D1783">
        <v>6</v>
      </c>
      <c r="E1783">
        <f t="shared" si="55"/>
        <v>4.3642718356087309E-2</v>
      </c>
    </row>
    <row r="1784" spans="1:5" x14ac:dyDescent="0.25">
      <c r="A1784">
        <v>3</v>
      </c>
      <c r="B1784">
        <v>0.30399999999999999</v>
      </c>
      <c r="C1784">
        <f t="shared" si="54"/>
        <v>1.0872001559889608</v>
      </c>
      <c r="D1784">
        <v>6</v>
      </c>
      <c r="E1784">
        <f t="shared" si="55"/>
        <v>4.3642718356087309E-2</v>
      </c>
    </row>
    <row r="1785" spans="1:5" x14ac:dyDescent="0.25">
      <c r="A1785">
        <v>3</v>
      </c>
      <c r="B1785">
        <v>0.30630630630630601</v>
      </c>
      <c r="C1785">
        <f t="shared" si="54"/>
        <v>1.0804617207660294</v>
      </c>
      <c r="D1785">
        <v>6</v>
      </c>
      <c r="E1785">
        <f t="shared" si="55"/>
        <v>4.3642718356087309E-2</v>
      </c>
    </row>
    <row r="1786" spans="1:5" x14ac:dyDescent="0.25">
      <c r="A1786">
        <v>3</v>
      </c>
      <c r="B1786">
        <v>0.31182795698924698</v>
      </c>
      <c r="C1786">
        <f t="shared" si="54"/>
        <v>1.0642003960886153</v>
      </c>
      <c r="D1786">
        <v>6</v>
      </c>
      <c r="E1786">
        <f t="shared" si="55"/>
        <v>4.3642718356087309E-2</v>
      </c>
    </row>
    <row r="1787" spans="1:5" x14ac:dyDescent="0.25">
      <c r="A1787">
        <v>3</v>
      </c>
      <c r="B1787">
        <v>0.312</v>
      </c>
      <c r="C1787">
        <f t="shared" si="54"/>
        <v>1.0636909361052709</v>
      </c>
      <c r="D1787">
        <v>6</v>
      </c>
      <c r="E1787">
        <f t="shared" si="55"/>
        <v>4.3642718356087309E-2</v>
      </c>
    </row>
    <row r="1788" spans="1:5" x14ac:dyDescent="0.25">
      <c r="A1788">
        <v>3</v>
      </c>
      <c r="B1788">
        <v>0.31466666666666698</v>
      </c>
      <c r="C1788">
        <f t="shared" si="54"/>
        <v>1.0557737062603276</v>
      </c>
      <c r="D1788">
        <v>6</v>
      </c>
      <c r="E1788">
        <f t="shared" si="55"/>
        <v>4.3642718356087309E-2</v>
      </c>
    </row>
    <row r="1789" spans="1:5" x14ac:dyDescent="0.25">
      <c r="A1789">
        <v>3</v>
      </c>
      <c r="B1789">
        <v>0.31468531468531502</v>
      </c>
      <c r="C1789">
        <f t="shared" si="54"/>
        <v>1.055718206937504</v>
      </c>
      <c r="D1789">
        <v>7</v>
      </c>
      <c r="E1789">
        <f t="shared" si="55"/>
        <v>4.2680129346644294E-2</v>
      </c>
    </row>
    <row r="1790" spans="1:5" x14ac:dyDescent="0.25">
      <c r="A1790">
        <v>3</v>
      </c>
      <c r="B1790">
        <v>0.316</v>
      </c>
      <c r="C1790">
        <f t="shared" si="54"/>
        <v>1.0518009186201192</v>
      </c>
      <c r="D1790">
        <v>7</v>
      </c>
      <c r="E1790">
        <f t="shared" si="55"/>
        <v>4.2680129346644294E-2</v>
      </c>
    </row>
    <row r="1791" spans="1:5" x14ac:dyDescent="0.25">
      <c r="A1791">
        <v>3</v>
      </c>
      <c r="B1791">
        <v>0.31733333333333302</v>
      </c>
      <c r="C1791">
        <f t="shared" si="54"/>
        <v>1.0478189728755753</v>
      </c>
      <c r="D1791">
        <v>7</v>
      </c>
      <c r="E1791">
        <f t="shared" si="55"/>
        <v>4.2680129346644294E-2</v>
      </c>
    </row>
    <row r="1792" spans="1:5" x14ac:dyDescent="0.25">
      <c r="A1792">
        <v>3</v>
      </c>
      <c r="B1792">
        <v>0.31733333333333302</v>
      </c>
      <c r="C1792">
        <f t="shared" si="54"/>
        <v>1.0478189728755753</v>
      </c>
      <c r="D1792">
        <v>7</v>
      </c>
      <c r="E1792">
        <f t="shared" si="55"/>
        <v>4.2680129346644294E-2</v>
      </c>
    </row>
    <row r="1793" spans="1:5" x14ac:dyDescent="0.25">
      <c r="A1793">
        <v>3</v>
      </c>
      <c r="B1793">
        <v>0.317647058823529</v>
      </c>
      <c r="C1793">
        <f t="shared" si="54"/>
        <v>1.0468807370905964</v>
      </c>
      <c r="D1793">
        <v>7</v>
      </c>
      <c r="E1793">
        <f t="shared" si="55"/>
        <v>4.2680129346644294E-2</v>
      </c>
    </row>
    <row r="1794" spans="1:5" x14ac:dyDescent="0.25">
      <c r="A1794">
        <v>3</v>
      </c>
      <c r="B1794">
        <v>0.31775700934579398</v>
      </c>
      <c r="C1794">
        <f t="shared" ref="C1794:C1857" si="56">_xlfn.NORM.DIST(B1794, I$10,I$13,FALSE)</f>
        <v>1.0465517995278495</v>
      </c>
      <c r="D1794">
        <v>7</v>
      </c>
      <c r="E1794">
        <f t="shared" si="55"/>
        <v>4.2680129346644294E-2</v>
      </c>
    </row>
    <row r="1795" spans="1:5" x14ac:dyDescent="0.25">
      <c r="A1795">
        <v>3</v>
      </c>
      <c r="B1795">
        <v>0.32333333333333297</v>
      </c>
      <c r="C1795">
        <f t="shared" si="56"/>
        <v>1.0297927133020996</v>
      </c>
      <c r="D1795">
        <v>7</v>
      </c>
      <c r="E1795">
        <f t="shared" ref="E1795:E1858" si="57">_xlfn.NORM.DIST(D1795, I$4,I$7,FALSE)</f>
        <v>4.2680129346644294E-2</v>
      </c>
    </row>
    <row r="1796" spans="1:5" x14ac:dyDescent="0.25">
      <c r="A1796">
        <v>3</v>
      </c>
      <c r="B1796">
        <v>0.32467532467532501</v>
      </c>
      <c r="C1796">
        <f t="shared" si="56"/>
        <v>1.0257380963407143</v>
      </c>
      <c r="D1796">
        <v>7</v>
      </c>
      <c r="E1796">
        <f t="shared" si="57"/>
        <v>4.2680129346644294E-2</v>
      </c>
    </row>
    <row r="1797" spans="1:5" x14ac:dyDescent="0.25">
      <c r="A1797">
        <v>3</v>
      </c>
      <c r="B1797">
        <v>0.32666666666666699</v>
      </c>
      <c r="C1797">
        <f t="shared" si="56"/>
        <v>1.0197071707850365</v>
      </c>
      <c r="D1797">
        <v>7</v>
      </c>
      <c r="E1797">
        <f t="shared" si="57"/>
        <v>4.2680129346644294E-2</v>
      </c>
    </row>
    <row r="1798" spans="1:5" x14ac:dyDescent="0.25">
      <c r="A1798">
        <v>3</v>
      </c>
      <c r="B1798">
        <v>0.32786885245901598</v>
      </c>
      <c r="C1798">
        <f t="shared" si="56"/>
        <v>1.0160581998253548</v>
      </c>
      <c r="D1798">
        <v>7</v>
      </c>
      <c r="E1798">
        <f t="shared" si="57"/>
        <v>4.2680129346644294E-2</v>
      </c>
    </row>
    <row r="1799" spans="1:5" x14ac:dyDescent="0.25">
      <c r="A1799">
        <v>3</v>
      </c>
      <c r="B1799">
        <v>0.32857142857142901</v>
      </c>
      <c r="C1799">
        <f t="shared" si="56"/>
        <v>1.013922952797127</v>
      </c>
      <c r="D1799">
        <v>7</v>
      </c>
      <c r="E1799">
        <f t="shared" si="57"/>
        <v>4.2680129346644294E-2</v>
      </c>
    </row>
    <row r="1800" spans="1:5" x14ac:dyDescent="0.25">
      <c r="A1800">
        <v>3</v>
      </c>
      <c r="B1800">
        <v>0.33</v>
      </c>
      <c r="C1800">
        <f t="shared" si="56"/>
        <v>1.0095752230764179</v>
      </c>
      <c r="D1800">
        <v>7</v>
      </c>
      <c r="E1800">
        <f t="shared" si="57"/>
        <v>4.2680129346644294E-2</v>
      </c>
    </row>
    <row r="1801" spans="1:5" x14ac:dyDescent="0.25">
      <c r="A1801">
        <v>3</v>
      </c>
      <c r="B1801">
        <v>0.33177570093457898</v>
      </c>
      <c r="C1801">
        <f t="shared" si="56"/>
        <v>1.0041600443787413</v>
      </c>
      <c r="D1801">
        <v>7</v>
      </c>
      <c r="E1801">
        <f t="shared" si="57"/>
        <v>4.2680129346644294E-2</v>
      </c>
    </row>
    <row r="1802" spans="1:5" x14ac:dyDescent="0.25">
      <c r="A1802">
        <v>3</v>
      </c>
      <c r="B1802">
        <v>0.33400000000000002</v>
      </c>
      <c r="C1802">
        <f t="shared" si="56"/>
        <v>0.99736036111035375</v>
      </c>
      <c r="D1802">
        <v>7</v>
      </c>
      <c r="E1802">
        <f t="shared" si="57"/>
        <v>4.2680129346644294E-2</v>
      </c>
    </row>
    <row r="1803" spans="1:5" x14ac:dyDescent="0.25">
      <c r="A1803">
        <v>3</v>
      </c>
      <c r="B1803">
        <v>0.33500000000000002</v>
      </c>
      <c r="C1803">
        <f t="shared" si="56"/>
        <v>0.99429763815679473</v>
      </c>
      <c r="D1803">
        <v>7</v>
      </c>
      <c r="E1803">
        <f t="shared" si="57"/>
        <v>4.2680129346644294E-2</v>
      </c>
    </row>
    <row r="1804" spans="1:5" x14ac:dyDescent="0.25">
      <c r="A1804">
        <v>3</v>
      </c>
      <c r="B1804">
        <v>0.33600000000000002</v>
      </c>
      <c r="C1804">
        <f t="shared" si="56"/>
        <v>0.99123149229949992</v>
      </c>
      <c r="D1804">
        <v>7</v>
      </c>
      <c r="E1804">
        <f t="shared" si="57"/>
        <v>4.2680129346644294E-2</v>
      </c>
    </row>
    <row r="1805" spans="1:5" x14ac:dyDescent="0.25">
      <c r="A1805">
        <v>3</v>
      </c>
      <c r="B1805">
        <v>0.33600000000000002</v>
      </c>
      <c r="C1805">
        <f t="shared" si="56"/>
        <v>0.99123149229949992</v>
      </c>
      <c r="D1805">
        <v>7</v>
      </c>
      <c r="E1805">
        <f t="shared" si="57"/>
        <v>4.2680129346644294E-2</v>
      </c>
    </row>
    <row r="1806" spans="1:5" x14ac:dyDescent="0.25">
      <c r="A1806">
        <v>3</v>
      </c>
      <c r="B1806">
        <v>0.33733333333333299</v>
      </c>
      <c r="C1806">
        <f t="shared" si="56"/>
        <v>0.98713812848242577</v>
      </c>
      <c r="D1806">
        <v>7</v>
      </c>
      <c r="E1806">
        <f t="shared" si="57"/>
        <v>4.2680129346644294E-2</v>
      </c>
    </row>
    <row r="1807" spans="1:5" x14ac:dyDescent="0.25">
      <c r="A1807">
        <v>3</v>
      </c>
      <c r="B1807">
        <v>0.33913043478260901</v>
      </c>
      <c r="C1807">
        <f t="shared" si="56"/>
        <v>0.98161198537279259</v>
      </c>
      <c r="D1807">
        <v>7</v>
      </c>
      <c r="E1807">
        <f t="shared" si="57"/>
        <v>4.2680129346644294E-2</v>
      </c>
    </row>
    <row r="1808" spans="1:5" x14ac:dyDescent="0.25">
      <c r="A1808">
        <v>3</v>
      </c>
      <c r="B1808">
        <v>0.34131736526946099</v>
      </c>
      <c r="C1808">
        <f t="shared" si="56"/>
        <v>0.97487385604344801</v>
      </c>
      <c r="D1808">
        <v>7</v>
      </c>
      <c r="E1808">
        <f t="shared" si="57"/>
        <v>4.2680129346644294E-2</v>
      </c>
    </row>
    <row r="1809" spans="1:5" x14ac:dyDescent="0.25">
      <c r="A1809">
        <v>3</v>
      </c>
      <c r="B1809">
        <v>0.34246575342465801</v>
      </c>
      <c r="C1809">
        <f t="shared" si="56"/>
        <v>0.97133003608877011</v>
      </c>
      <c r="D1809">
        <v>7</v>
      </c>
      <c r="E1809">
        <f t="shared" si="57"/>
        <v>4.2680129346644294E-2</v>
      </c>
    </row>
    <row r="1810" spans="1:5" x14ac:dyDescent="0.25">
      <c r="A1810">
        <v>3</v>
      </c>
      <c r="B1810">
        <v>0.342592592592593</v>
      </c>
      <c r="C1810">
        <f t="shared" si="56"/>
        <v>0.97093839675651672</v>
      </c>
      <c r="D1810">
        <v>7</v>
      </c>
      <c r="E1810">
        <f t="shared" si="57"/>
        <v>4.2680129346644294E-2</v>
      </c>
    </row>
    <row r="1811" spans="1:5" x14ac:dyDescent="0.25">
      <c r="A1811">
        <v>3</v>
      </c>
      <c r="B1811">
        <v>0.34399999999999997</v>
      </c>
      <c r="C1811">
        <f t="shared" si="56"/>
        <v>0.96658984386449409</v>
      </c>
      <c r="D1811">
        <v>7</v>
      </c>
      <c r="E1811">
        <f t="shared" si="57"/>
        <v>4.2680129346644294E-2</v>
      </c>
    </row>
    <row r="1812" spans="1:5" x14ac:dyDescent="0.25">
      <c r="A1812">
        <v>3</v>
      </c>
      <c r="B1812">
        <v>0.345345345345345</v>
      </c>
      <c r="C1812">
        <f t="shared" si="56"/>
        <v>0.96242819221850795</v>
      </c>
      <c r="D1812">
        <v>7</v>
      </c>
      <c r="E1812">
        <f t="shared" si="57"/>
        <v>4.2680129346644294E-2</v>
      </c>
    </row>
    <row r="1813" spans="1:5" x14ac:dyDescent="0.25">
      <c r="A1813">
        <v>3</v>
      </c>
      <c r="B1813">
        <v>0.34666666666666701</v>
      </c>
      <c r="C1813">
        <f t="shared" si="56"/>
        <v>0.95833644713585364</v>
      </c>
      <c r="D1813">
        <v>7</v>
      </c>
      <c r="E1813">
        <f t="shared" si="57"/>
        <v>4.2680129346644294E-2</v>
      </c>
    </row>
    <row r="1814" spans="1:5" x14ac:dyDescent="0.25">
      <c r="A1814">
        <v>3</v>
      </c>
      <c r="B1814">
        <v>0.349333333333333</v>
      </c>
      <c r="C1814">
        <f t="shared" si="56"/>
        <v>0.95006608706047413</v>
      </c>
      <c r="D1814">
        <v>7</v>
      </c>
      <c r="E1814">
        <f t="shared" si="57"/>
        <v>4.2680129346644294E-2</v>
      </c>
    </row>
    <row r="1815" spans="1:5" x14ac:dyDescent="0.25">
      <c r="A1815">
        <v>3</v>
      </c>
      <c r="B1815">
        <v>0.35166666666666702</v>
      </c>
      <c r="C1815">
        <f t="shared" si="56"/>
        <v>0.94281691351738339</v>
      </c>
      <c r="D1815">
        <v>7</v>
      </c>
      <c r="E1815">
        <f t="shared" si="57"/>
        <v>4.2680129346644294E-2</v>
      </c>
    </row>
    <row r="1816" spans="1:5" x14ac:dyDescent="0.25">
      <c r="A1816">
        <v>3</v>
      </c>
      <c r="B1816">
        <v>0.35199999999999998</v>
      </c>
      <c r="C1816">
        <f t="shared" si="56"/>
        <v>0.94178042559701247</v>
      </c>
      <c r="D1816">
        <v>7</v>
      </c>
      <c r="E1816">
        <f t="shared" si="57"/>
        <v>4.2680129346644294E-2</v>
      </c>
    </row>
    <row r="1817" spans="1:5" x14ac:dyDescent="0.25">
      <c r="A1817">
        <v>3</v>
      </c>
      <c r="B1817">
        <v>0.35299999999999998</v>
      </c>
      <c r="C1817">
        <f t="shared" si="56"/>
        <v>0.93866969511998566</v>
      </c>
      <c r="D1817">
        <v>7</v>
      </c>
      <c r="E1817">
        <f t="shared" si="57"/>
        <v>4.2680129346644294E-2</v>
      </c>
    </row>
    <row r="1818" spans="1:5" x14ac:dyDescent="0.25">
      <c r="A1818">
        <v>3</v>
      </c>
      <c r="B1818">
        <v>0.35399999999999998</v>
      </c>
      <c r="C1818">
        <f t="shared" si="56"/>
        <v>0.93555713199081214</v>
      </c>
      <c r="D1818">
        <v>7</v>
      </c>
      <c r="E1818">
        <f t="shared" si="57"/>
        <v>4.2680129346644294E-2</v>
      </c>
    </row>
    <row r="1819" spans="1:5" x14ac:dyDescent="0.25">
      <c r="A1819">
        <v>3</v>
      </c>
      <c r="B1819">
        <v>0.35466666666666702</v>
      </c>
      <c r="C1819">
        <f t="shared" si="56"/>
        <v>0.93348111449197457</v>
      </c>
      <c r="D1819">
        <v>7</v>
      </c>
      <c r="E1819">
        <f t="shared" si="57"/>
        <v>4.2680129346644294E-2</v>
      </c>
    </row>
    <row r="1820" spans="1:5" x14ac:dyDescent="0.25">
      <c r="A1820">
        <v>3</v>
      </c>
      <c r="B1820">
        <v>0.355140186915888</v>
      </c>
      <c r="C1820">
        <f t="shared" si="56"/>
        <v>0.93200610267227313</v>
      </c>
      <c r="D1820">
        <v>7</v>
      </c>
      <c r="E1820">
        <f t="shared" si="57"/>
        <v>4.2680129346644294E-2</v>
      </c>
    </row>
    <row r="1821" spans="1:5" x14ac:dyDescent="0.25">
      <c r="A1821">
        <v>3</v>
      </c>
      <c r="B1821">
        <v>0.35747663551401898</v>
      </c>
      <c r="C1821">
        <f t="shared" si="56"/>
        <v>0.92472285006422372</v>
      </c>
      <c r="D1821">
        <v>7</v>
      </c>
      <c r="E1821">
        <f t="shared" si="57"/>
        <v>4.2680129346644294E-2</v>
      </c>
    </row>
    <row r="1822" spans="1:5" x14ac:dyDescent="0.25">
      <c r="A1822">
        <v>3</v>
      </c>
      <c r="B1822">
        <v>0.36</v>
      </c>
      <c r="C1822">
        <f t="shared" si="56"/>
        <v>0.91684809619419605</v>
      </c>
      <c r="D1822">
        <v>7</v>
      </c>
      <c r="E1822">
        <f t="shared" si="57"/>
        <v>4.2680129346644294E-2</v>
      </c>
    </row>
    <row r="1823" spans="1:5" x14ac:dyDescent="0.25">
      <c r="A1823">
        <v>3</v>
      </c>
      <c r="B1823">
        <v>0.36266666666666703</v>
      </c>
      <c r="C1823">
        <f t="shared" si="56"/>
        <v>0.90851763683461717</v>
      </c>
      <c r="D1823">
        <v>7</v>
      </c>
      <c r="E1823">
        <f t="shared" si="57"/>
        <v>4.2680129346644294E-2</v>
      </c>
    </row>
    <row r="1824" spans="1:5" x14ac:dyDescent="0.25">
      <c r="A1824">
        <v>3</v>
      </c>
      <c r="B1824">
        <v>0.36363636363636398</v>
      </c>
      <c r="C1824">
        <f t="shared" si="56"/>
        <v>0.90548652086459935</v>
      </c>
      <c r="D1824">
        <v>7</v>
      </c>
      <c r="E1824">
        <f t="shared" si="57"/>
        <v>4.2680129346644294E-2</v>
      </c>
    </row>
    <row r="1825" spans="1:5" x14ac:dyDescent="0.25">
      <c r="A1825">
        <v>3</v>
      </c>
      <c r="B1825">
        <v>0.36399999999999999</v>
      </c>
      <c r="C1825">
        <f t="shared" si="56"/>
        <v>0.90434962417095144</v>
      </c>
      <c r="D1825">
        <v>7</v>
      </c>
      <c r="E1825">
        <f t="shared" si="57"/>
        <v>4.2680129346644294E-2</v>
      </c>
    </row>
    <row r="1826" spans="1:5" x14ac:dyDescent="0.25">
      <c r="A1826">
        <v>3</v>
      </c>
      <c r="B1826">
        <v>0.36499999999999999</v>
      </c>
      <c r="C1826">
        <f t="shared" si="56"/>
        <v>0.90122256101455733</v>
      </c>
      <c r="D1826">
        <v>7</v>
      </c>
      <c r="E1826">
        <f t="shared" si="57"/>
        <v>4.2680129346644294E-2</v>
      </c>
    </row>
    <row r="1827" spans="1:5" x14ac:dyDescent="0.25">
      <c r="A1827">
        <v>3</v>
      </c>
      <c r="B1827">
        <v>0.36666666666666697</v>
      </c>
      <c r="C1827">
        <f t="shared" si="56"/>
        <v>0.89600903060860271</v>
      </c>
      <c r="D1827">
        <v>7</v>
      </c>
      <c r="E1827">
        <f t="shared" si="57"/>
        <v>4.2680129346644294E-2</v>
      </c>
    </row>
    <row r="1828" spans="1:5" x14ac:dyDescent="0.25">
      <c r="A1828">
        <v>3</v>
      </c>
      <c r="B1828">
        <v>0.36799999999999999</v>
      </c>
      <c r="C1828">
        <f t="shared" si="56"/>
        <v>0.89183684636936778</v>
      </c>
      <c r="D1828">
        <v>7</v>
      </c>
      <c r="E1828">
        <f t="shared" si="57"/>
        <v>4.2680129346644294E-2</v>
      </c>
    </row>
    <row r="1829" spans="1:5" x14ac:dyDescent="0.25">
      <c r="A1829">
        <v>3</v>
      </c>
      <c r="B1829">
        <v>0.36986301369863001</v>
      </c>
      <c r="C1829">
        <f t="shared" si="56"/>
        <v>0.88600559577863569</v>
      </c>
      <c r="D1829">
        <v>7</v>
      </c>
      <c r="E1829">
        <f t="shared" si="57"/>
        <v>4.2680129346644294E-2</v>
      </c>
    </row>
    <row r="1830" spans="1:5" x14ac:dyDescent="0.25">
      <c r="A1830">
        <v>3</v>
      </c>
      <c r="B1830">
        <v>0.37</v>
      </c>
      <c r="C1830">
        <f t="shared" si="56"/>
        <v>0.88557676526931317</v>
      </c>
      <c r="D1830">
        <v>7</v>
      </c>
      <c r="E1830">
        <f t="shared" si="57"/>
        <v>4.2680129346644294E-2</v>
      </c>
    </row>
    <row r="1831" spans="1:5" x14ac:dyDescent="0.25">
      <c r="A1831">
        <v>3</v>
      </c>
      <c r="B1831">
        <v>0.37062937062937101</v>
      </c>
      <c r="C1831">
        <f t="shared" si="56"/>
        <v>0.88360645212436262</v>
      </c>
      <c r="D1831">
        <v>7</v>
      </c>
      <c r="E1831">
        <f t="shared" si="57"/>
        <v>4.2680129346644294E-2</v>
      </c>
    </row>
    <row r="1832" spans="1:5" x14ac:dyDescent="0.25">
      <c r="A1832">
        <v>3</v>
      </c>
      <c r="B1832">
        <v>0.37333333333333302</v>
      </c>
      <c r="C1832">
        <f t="shared" si="56"/>
        <v>0.87514011485277921</v>
      </c>
      <c r="D1832">
        <v>7</v>
      </c>
      <c r="E1832">
        <f t="shared" si="57"/>
        <v>4.2680129346644294E-2</v>
      </c>
    </row>
    <row r="1833" spans="1:5" x14ac:dyDescent="0.25">
      <c r="A1833">
        <v>3</v>
      </c>
      <c r="B1833">
        <v>0.37362637362637402</v>
      </c>
      <c r="C1833">
        <f t="shared" si="56"/>
        <v>0.87422249870970681</v>
      </c>
      <c r="D1833">
        <v>7</v>
      </c>
      <c r="E1833">
        <f t="shared" si="57"/>
        <v>4.2680129346644294E-2</v>
      </c>
    </row>
    <row r="1834" spans="1:5" x14ac:dyDescent="0.25">
      <c r="A1834">
        <v>3</v>
      </c>
      <c r="B1834">
        <v>0.376</v>
      </c>
      <c r="C1834">
        <f t="shared" si="56"/>
        <v>0.86678967810985874</v>
      </c>
      <c r="D1834">
        <v>7</v>
      </c>
      <c r="E1834">
        <f t="shared" si="57"/>
        <v>4.2680129346644294E-2</v>
      </c>
    </row>
    <row r="1835" spans="1:5" x14ac:dyDescent="0.25">
      <c r="A1835">
        <v>3</v>
      </c>
      <c r="B1835">
        <v>0.37878787878787901</v>
      </c>
      <c r="C1835">
        <f t="shared" si="56"/>
        <v>0.85806042202537347</v>
      </c>
      <c r="D1835">
        <v>7</v>
      </c>
      <c r="E1835">
        <f t="shared" si="57"/>
        <v>4.2680129346644294E-2</v>
      </c>
    </row>
    <row r="1836" spans="1:5" x14ac:dyDescent="0.25">
      <c r="A1836">
        <v>3</v>
      </c>
      <c r="B1836">
        <v>0.38</v>
      </c>
      <c r="C1836">
        <f t="shared" si="56"/>
        <v>0.85426576425589718</v>
      </c>
      <c r="D1836">
        <v>7</v>
      </c>
      <c r="E1836">
        <f t="shared" si="57"/>
        <v>4.2680129346644294E-2</v>
      </c>
    </row>
    <row r="1837" spans="1:5" x14ac:dyDescent="0.25">
      <c r="A1837">
        <v>3</v>
      </c>
      <c r="B1837">
        <v>0.38</v>
      </c>
      <c r="C1837">
        <f t="shared" si="56"/>
        <v>0.85426576425589718</v>
      </c>
      <c r="D1837">
        <v>7</v>
      </c>
      <c r="E1837">
        <f t="shared" si="57"/>
        <v>4.2680129346644294E-2</v>
      </c>
    </row>
    <row r="1838" spans="1:5" x14ac:dyDescent="0.25">
      <c r="A1838">
        <v>3</v>
      </c>
      <c r="B1838">
        <v>0.38461538461538503</v>
      </c>
      <c r="C1838">
        <f t="shared" si="56"/>
        <v>0.83982366907727968</v>
      </c>
      <c r="D1838">
        <v>7</v>
      </c>
      <c r="E1838">
        <f t="shared" si="57"/>
        <v>4.2680129346644294E-2</v>
      </c>
    </row>
    <row r="1839" spans="1:5" x14ac:dyDescent="0.25">
      <c r="A1839">
        <v>3</v>
      </c>
      <c r="B1839">
        <v>0.38800000000000001</v>
      </c>
      <c r="C1839">
        <f t="shared" si="56"/>
        <v>0.82924290688293711</v>
      </c>
      <c r="D1839">
        <v>7</v>
      </c>
      <c r="E1839">
        <f t="shared" si="57"/>
        <v>4.2680129346644294E-2</v>
      </c>
    </row>
    <row r="1840" spans="1:5" x14ac:dyDescent="0.25">
      <c r="A1840">
        <v>3</v>
      </c>
      <c r="B1840">
        <v>0.38927738927738897</v>
      </c>
      <c r="C1840">
        <f t="shared" si="56"/>
        <v>0.82525255560813549</v>
      </c>
      <c r="D1840">
        <v>7</v>
      </c>
      <c r="E1840">
        <f t="shared" si="57"/>
        <v>4.2680129346644294E-2</v>
      </c>
    </row>
    <row r="1841" spans="1:5" x14ac:dyDescent="0.25">
      <c r="A1841">
        <v>3</v>
      </c>
      <c r="B1841">
        <v>0.38927738927738897</v>
      </c>
      <c r="C1841">
        <f t="shared" si="56"/>
        <v>0.82525255560813549</v>
      </c>
      <c r="D1841">
        <v>7</v>
      </c>
      <c r="E1841">
        <f t="shared" si="57"/>
        <v>4.2680129346644294E-2</v>
      </c>
    </row>
    <row r="1842" spans="1:5" x14ac:dyDescent="0.25">
      <c r="A1842">
        <v>3</v>
      </c>
      <c r="B1842">
        <v>0.391608391608392</v>
      </c>
      <c r="C1842">
        <f t="shared" si="56"/>
        <v>0.8179757970643885</v>
      </c>
      <c r="D1842">
        <v>7</v>
      </c>
      <c r="E1842">
        <f t="shared" si="57"/>
        <v>4.2680129346644294E-2</v>
      </c>
    </row>
    <row r="1843" spans="1:5" x14ac:dyDescent="0.25">
      <c r="A1843">
        <v>3</v>
      </c>
      <c r="B1843">
        <v>0.391666666666667</v>
      </c>
      <c r="C1843">
        <f t="shared" si="56"/>
        <v>0.81779396577244012</v>
      </c>
      <c r="D1843">
        <v>7</v>
      </c>
      <c r="E1843">
        <f t="shared" si="57"/>
        <v>4.2680129346644294E-2</v>
      </c>
    </row>
    <row r="1844" spans="1:5" x14ac:dyDescent="0.25">
      <c r="A1844">
        <v>3</v>
      </c>
      <c r="B1844">
        <v>0.39393939393939398</v>
      </c>
      <c r="C1844">
        <f t="shared" si="56"/>
        <v>0.8107061929250805</v>
      </c>
      <c r="D1844">
        <v>7</v>
      </c>
      <c r="E1844">
        <f t="shared" si="57"/>
        <v>4.2680129346644294E-2</v>
      </c>
    </row>
    <row r="1845" spans="1:5" x14ac:dyDescent="0.25">
      <c r="A1845">
        <v>3</v>
      </c>
      <c r="B1845">
        <v>0.394666666666667</v>
      </c>
      <c r="C1845">
        <f t="shared" si="56"/>
        <v>0.80843969152604123</v>
      </c>
      <c r="D1845">
        <v>7</v>
      </c>
      <c r="E1845">
        <f t="shared" si="57"/>
        <v>4.2680129346644294E-2</v>
      </c>
    </row>
    <row r="1846" spans="1:5" x14ac:dyDescent="0.25">
      <c r="A1846">
        <v>3</v>
      </c>
      <c r="B1846">
        <v>0.394859813084112</v>
      </c>
      <c r="C1846">
        <f t="shared" si="56"/>
        <v>0.80783789873212075</v>
      </c>
      <c r="D1846">
        <v>7</v>
      </c>
      <c r="E1846">
        <f t="shared" si="57"/>
        <v>4.2680129346644294E-2</v>
      </c>
    </row>
    <row r="1847" spans="1:5" x14ac:dyDescent="0.25">
      <c r="A1847">
        <v>3</v>
      </c>
      <c r="B1847">
        <v>0.39600000000000002</v>
      </c>
      <c r="C1847">
        <f t="shared" si="56"/>
        <v>0.80428658464471514</v>
      </c>
      <c r="D1847">
        <v>7</v>
      </c>
      <c r="E1847">
        <f t="shared" si="57"/>
        <v>4.2680129346644294E-2</v>
      </c>
    </row>
    <row r="1848" spans="1:5" x14ac:dyDescent="0.25">
      <c r="A1848">
        <v>3</v>
      </c>
      <c r="B1848">
        <v>0.401666666666667</v>
      </c>
      <c r="C1848">
        <f t="shared" si="56"/>
        <v>0.7866706399498069</v>
      </c>
      <c r="D1848">
        <v>7</v>
      </c>
      <c r="E1848">
        <f t="shared" si="57"/>
        <v>4.2680129346644294E-2</v>
      </c>
    </row>
    <row r="1849" spans="1:5" x14ac:dyDescent="0.25">
      <c r="A1849">
        <v>3</v>
      </c>
      <c r="B1849">
        <v>0.40400000000000003</v>
      </c>
      <c r="C1849">
        <f t="shared" si="56"/>
        <v>0.77943549632943843</v>
      </c>
      <c r="D1849">
        <v>7</v>
      </c>
      <c r="E1849">
        <f t="shared" si="57"/>
        <v>4.2680129346644294E-2</v>
      </c>
    </row>
    <row r="1850" spans="1:5" x14ac:dyDescent="0.25">
      <c r="A1850">
        <v>3</v>
      </c>
      <c r="B1850">
        <v>0.40533333333333299</v>
      </c>
      <c r="C1850">
        <f t="shared" si="56"/>
        <v>0.7753065174706103</v>
      </c>
      <c r="D1850">
        <v>7</v>
      </c>
      <c r="E1850">
        <f t="shared" si="57"/>
        <v>4.2680129346644294E-2</v>
      </c>
    </row>
    <row r="1851" spans="1:5" x14ac:dyDescent="0.25">
      <c r="A1851">
        <v>3</v>
      </c>
      <c r="B1851">
        <v>0.40533333333333299</v>
      </c>
      <c r="C1851">
        <f t="shared" si="56"/>
        <v>0.7753065174706103</v>
      </c>
      <c r="D1851">
        <v>7</v>
      </c>
      <c r="E1851">
        <f t="shared" si="57"/>
        <v>4.2680129346644294E-2</v>
      </c>
    </row>
    <row r="1852" spans="1:5" x14ac:dyDescent="0.25">
      <c r="A1852">
        <v>3</v>
      </c>
      <c r="B1852">
        <v>0.415584415584416</v>
      </c>
      <c r="C1852">
        <f t="shared" si="56"/>
        <v>0.7437119159004979</v>
      </c>
      <c r="D1852">
        <v>7</v>
      </c>
      <c r="E1852">
        <f t="shared" si="57"/>
        <v>4.2680129346644294E-2</v>
      </c>
    </row>
    <row r="1853" spans="1:5" x14ac:dyDescent="0.25">
      <c r="A1853">
        <v>3</v>
      </c>
      <c r="B1853">
        <v>0.41599999999999998</v>
      </c>
      <c r="C1853">
        <f t="shared" si="56"/>
        <v>0.7424372748156377</v>
      </c>
      <c r="D1853">
        <v>7</v>
      </c>
      <c r="E1853">
        <f t="shared" si="57"/>
        <v>4.2680129346644294E-2</v>
      </c>
    </row>
    <row r="1854" spans="1:5" x14ac:dyDescent="0.25">
      <c r="A1854">
        <v>3</v>
      </c>
      <c r="B1854">
        <v>0.41866666666666702</v>
      </c>
      <c r="C1854">
        <f t="shared" si="56"/>
        <v>0.73427109692665959</v>
      </c>
      <c r="D1854">
        <v>7</v>
      </c>
      <c r="E1854">
        <f t="shared" si="57"/>
        <v>4.2680129346644294E-2</v>
      </c>
    </row>
    <row r="1855" spans="1:5" x14ac:dyDescent="0.25">
      <c r="A1855">
        <v>3</v>
      </c>
      <c r="B1855">
        <v>0.42</v>
      </c>
      <c r="C1855">
        <f t="shared" si="56"/>
        <v>0.7301965530608634</v>
      </c>
      <c r="D1855">
        <v>7</v>
      </c>
      <c r="E1855">
        <f t="shared" si="57"/>
        <v>4.2680129346644294E-2</v>
      </c>
    </row>
    <row r="1856" spans="1:5" x14ac:dyDescent="0.25">
      <c r="A1856">
        <v>3</v>
      </c>
      <c r="B1856">
        <v>0.42</v>
      </c>
      <c r="C1856">
        <f t="shared" si="56"/>
        <v>0.7301965530608634</v>
      </c>
      <c r="D1856">
        <v>7</v>
      </c>
      <c r="E1856">
        <f t="shared" si="57"/>
        <v>4.2680129346644294E-2</v>
      </c>
    </row>
    <row r="1857" spans="1:5" x14ac:dyDescent="0.25">
      <c r="A1857">
        <v>3</v>
      </c>
      <c r="B1857">
        <v>0.42533333333333301</v>
      </c>
      <c r="C1857">
        <f t="shared" si="56"/>
        <v>0.71395894804294424</v>
      </c>
      <c r="D1857">
        <v>7</v>
      </c>
      <c r="E1857">
        <f t="shared" si="57"/>
        <v>4.2680129346644294E-2</v>
      </c>
    </row>
    <row r="1858" spans="1:5" x14ac:dyDescent="0.25">
      <c r="A1858">
        <v>3</v>
      </c>
      <c r="B1858">
        <v>0.42599999999999999</v>
      </c>
      <c r="C1858">
        <f t="shared" ref="C1858:C1921" si="58">_xlfn.NORM.DIST(B1858, I$10,I$13,FALSE)</f>
        <v>0.71193637516272035</v>
      </c>
      <c r="D1858">
        <v>7</v>
      </c>
      <c r="E1858">
        <f t="shared" si="57"/>
        <v>4.2680129346644294E-2</v>
      </c>
    </row>
    <row r="1859" spans="1:5" x14ac:dyDescent="0.25">
      <c r="A1859">
        <v>3</v>
      </c>
      <c r="B1859">
        <v>0.42814371257485001</v>
      </c>
      <c r="C1859">
        <f t="shared" si="58"/>
        <v>0.70544390491449227</v>
      </c>
      <c r="D1859">
        <v>7</v>
      </c>
      <c r="E1859">
        <f t="shared" ref="E1859:E1922" si="59">_xlfn.NORM.DIST(D1859, I$4,I$7,FALSE)</f>
        <v>4.2680129346644294E-2</v>
      </c>
    </row>
    <row r="1860" spans="1:5" x14ac:dyDescent="0.25">
      <c r="A1860">
        <v>3</v>
      </c>
      <c r="B1860">
        <v>0.42857142857142899</v>
      </c>
      <c r="C1860">
        <f t="shared" si="58"/>
        <v>0.70415061092001563</v>
      </c>
      <c r="D1860">
        <v>7</v>
      </c>
      <c r="E1860">
        <f t="shared" si="59"/>
        <v>4.2680129346644294E-2</v>
      </c>
    </row>
    <row r="1861" spans="1:5" x14ac:dyDescent="0.25">
      <c r="A1861">
        <v>3</v>
      </c>
      <c r="B1861">
        <v>0.43055555555555602</v>
      </c>
      <c r="C1861">
        <f t="shared" si="58"/>
        <v>0.69816048665831343</v>
      </c>
      <c r="D1861">
        <v>7</v>
      </c>
      <c r="E1861">
        <f t="shared" si="59"/>
        <v>4.2680129346644294E-2</v>
      </c>
    </row>
    <row r="1862" spans="1:5" x14ac:dyDescent="0.25">
      <c r="A1862">
        <v>3</v>
      </c>
      <c r="B1862">
        <v>0.43113772455089799</v>
      </c>
      <c r="C1862">
        <f t="shared" si="58"/>
        <v>0.69640586156307904</v>
      </c>
      <c r="D1862">
        <v>7</v>
      </c>
      <c r="E1862">
        <f t="shared" si="59"/>
        <v>4.2680129346644294E-2</v>
      </c>
    </row>
    <row r="1863" spans="1:5" x14ac:dyDescent="0.25">
      <c r="A1863">
        <v>3</v>
      </c>
      <c r="B1863">
        <v>0.43123543123543101</v>
      </c>
      <c r="C1863">
        <f t="shared" si="58"/>
        <v>0.69611151227043677</v>
      </c>
      <c r="D1863">
        <v>7</v>
      </c>
      <c r="E1863">
        <f t="shared" si="59"/>
        <v>4.2680129346644294E-2</v>
      </c>
    </row>
    <row r="1864" spans="1:5" x14ac:dyDescent="0.25">
      <c r="A1864">
        <v>3</v>
      </c>
      <c r="B1864">
        <v>0.432</v>
      </c>
      <c r="C1864">
        <f t="shared" si="58"/>
        <v>0.69380951896350174</v>
      </c>
      <c r="D1864">
        <v>7</v>
      </c>
      <c r="E1864">
        <f t="shared" si="59"/>
        <v>4.2680129346644294E-2</v>
      </c>
    </row>
    <row r="1865" spans="1:5" x14ac:dyDescent="0.25">
      <c r="A1865">
        <v>3</v>
      </c>
      <c r="B1865">
        <v>0.43269230769230799</v>
      </c>
      <c r="C1865">
        <f t="shared" si="58"/>
        <v>0.69172714560494397</v>
      </c>
      <c r="D1865">
        <v>7</v>
      </c>
      <c r="E1865">
        <f t="shared" si="59"/>
        <v>4.2680129346644294E-2</v>
      </c>
    </row>
    <row r="1866" spans="1:5" x14ac:dyDescent="0.25">
      <c r="A1866">
        <v>3</v>
      </c>
      <c r="B1866">
        <v>0.43333333333333302</v>
      </c>
      <c r="C1866">
        <f t="shared" si="58"/>
        <v>0.68980078023974933</v>
      </c>
      <c r="D1866">
        <v>7</v>
      </c>
      <c r="E1866">
        <f t="shared" si="59"/>
        <v>4.2680129346644294E-2</v>
      </c>
    </row>
    <row r="1867" spans="1:5" x14ac:dyDescent="0.25">
      <c r="A1867">
        <v>3</v>
      </c>
      <c r="B1867">
        <v>0.43666666666666698</v>
      </c>
      <c r="C1867">
        <f t="shared" si="58"/>
        <v>0.67981154438015157</v>
      </c>
      <c r="D1867">
        <v>7</v>
      </c>
      <c r="E1867">
        <f t="shared" si="59"/>
        <v>4.2680129346644294E-2</v>
      </c>
    </row>
    <row r="1868" spans="1:5" x14ac:dyDescent="0.25">
      <c r="A1868">
        <v>3</v>
      </c>
      <c r="B1868">
        <v>0.43956043956044</v>
      </c>
      <c r="C1868">
        <f t="shared" si="58"/>
        <v>0.67117868241998224</v>
      </c>
      <c r="D1868">
        <v>7</v>
      </c>
      <c r="E1868">
        <f t="shared" si="59"/>
        <v>4.2680129346644294E-2</v>
      </c>
    </row>
    <row r="1869" spans="1:5" x14ac:dyDescent="0.25">
      <c r="A1869">
        <v>3</v>
      </c>
      <c r="B1869">
        <v>0.44</v>
      </c>
      <c r="C1869">
        <f t="shared" si="58"/>
        <v>0.66987063616364584</v>
      </c>
      <c r="D1869">
        <v>7</v>
      </c>
      <c r="E1869">
        <f t="shared" si="59"/>
        <v>4.2680129346644294E-2</v>
      </c>
    </row>
    <row r="1870" spans="1:5" x14ac:dyDescent="0.25">
      <c r="A1870">
        <v>3</v>
      </c>
      <c r="B1870">
        <v>0.44055944055944102</v>
      </c>
      <c r="C1870">
        <f t="shared" si="58"/>
        <v>0.66820711978230563</v>
      </c>
      <c r="D1870">
        <v>7</v>
      </c>
      <c r="E1870">
        <f t="shared" si="59"/>
        <v>4.2680129346644294E-2</v>
      </c>
    </row>
    <row r="1871" spans="1:5" x14ac:dyDescent="0.25">
      <c r="A1871">
        <v>3</v>
      </c>
      <c r="B1871">
        <v>0.44055944055944102</v>
      </c>
      <c r="C1871">
        <f t="shared" si="58"/>
        <v>0.66820711978230563</v>
      </c>
      <c r="D1871">
        <v>7</v>
      </c>
      <c r="E1871">
        <f t="shared" si="59"/>
        <v>4.2680129346644294E-2</v>
      </c>
    </row>
    <row r="1872" spans="1:5" x14ac:dyDescent="0.25">
      <c r="A1872">
        <v>3</v>
      </c>
      <c r="B1872">
        <v>0.44166666666666698</v>
      </c>
      <c r="C1872">
        <f t="shared" si="58"/>
        <v>0.66491897294244762</v>
      </c>
      <c r="D1872">
        <v>7</v>
      </c>
      <c r="E1872">
        <f t="shared" si="59"/>
        <v>4.2680129346644294E-2</v>
      </c>
    </row>
    <row r="1873" spans="1:5" x14ac:dyDescent="0.25">
      <c r="A1873">
        <v>3</v>
      </c>
      <c r="B1873">
        <v>0.442</v>
      </c>
      <c r="C1873">
        <f t="shared" si="58"/>
        <v>0.66393017722318559</v>
      </c>
      <c r="D1873">
        <v>7</v>
      </c>
      <c r="E1873">
        <f t="shared" si="59"/>
        <v>4.2680129346644294E-2</v>
      </c>
    </row>
    <row r="1874" spans="1:5" x14ac:dyDescent="0.25">
      <c r="A1874">
        <v>3</v>
      </c>
      <c r="B1874">
        <v>0.44289044289044299</v>
      </c>
      <c r="C1874">
        <f t="shared" si="58"/>
        <v>0.66129132051754891</v>
      </c>
      <c r="D1874">
        <v>7</v>
      </c>
      <c r="E1874">
        <f t="shared" si="59"/>
        <v>4.2680129346644294E-2</v>
      </c>
    </row>
    <row r="1875" spans="1:5" x14ac:dyDescent="0.25">
      <c r="A1875">
        <v>3</v>
      </c>
      <c r="B1875">
        <v>0.44400000000000001</v>
      </c>
      <c r="C1875">
        <f t="shared" si="58"/>
        <v>0.65800833561592276</v>
      </c>
      <c r="D1875">
        <v>7</v>
      </c>
      <c r="E1875">
        <f t="shared" si="59"/>
        <v>4.2680129346644294E-2</v>
      </c>
    </row>
    <row r="1876" spans="1:5" x14ac:dyDescent="0.25">
      <c r="A1876">
        <v>3</v>
      </c>
      <c r="B1876">
        <v>0.45166666666666699</v>
      </c>
      <c r="C1876">
        <f t="shared" si="58"/>
        <v>0.63548832630838203</v>
      </c>
      <c r="D1876">
        <v>7</v>
      </c>
      <c r="E1876">
        <f t="shared" si="59"/>
        <v>4.2680129346644294E-2</v>
      </c>
    </row>
    <row r="1877" spans="1:5" x14ac:dyDescent="0.25">
      <c r="A1877">
        <v>3</v>
      </c>
      <c r="B1877">
        <v>0.45333333333333298</v>
      </c>
      <c r="C1877">
        <f t="shared" si="58"/>
        <v>0.63063210494476463</v>
      </c>
      <c r="D1877">
        <v>7</v>
      </c>
      <c r="E1877">
        <f t="shared" si="59"/>
        <v>4.2680129346644294E-2</v>
      </c>
    </row>
    <row r="1878" spans="1:5" x14ac:dyDescent="0.25">
      <c r="A1878">
        <v>3</v>
      </c>
      <c r="B1878">
        <v>0.45744680851063801</v>
      </c>
      <c r="C1878">
        <f t="shared" si="58"/>
        <v>0.61870956941208111</v>
      </c>
      <c r="D1878">
        <v>7</v>
      </c>
      <c r="E1878">
        <f t="shared" si="59"/>
        <v>4.2680129346644294E-2</v>
      </c>
    </row>
    <row r="1879" spans="1:5" x14ac:dyDescent="0.25">
      <c r="A1879">
        <v>3</v>
      </c>
      <c r="B1879">
        <v>0.46153846153846201</v>
      </c>
      <c r="C1879">
        <f t="shared" si="58"/>
        <v>0.60694203915273026</v>
      </c>
      <c r="D1879">
        <v>7</v>
      </c>
      <c r="E1879">
        <f t="shared" si="59"/>
        <v>4.2680129346644294E-2</v>
      </c>
    </row>
    <row r="1880" spans="1:5" x14ac:dyDescent="0.25">
      <c r="A1880">
        <v>3</v>
      </c>
      <c r="B1880">
        <v>0.461666666666667</v>
      </c>
      <c r="C1880">
        <f t="shared" si="58"/>
        <v>0.60657483844384064</v>
      </c>
      <c r="D1880">
        <v>7</v>
      </c>
      <c r="E1880">
        <f t="shared" si="59"/>
        <v>4.2680129346644294E-2</v>
      </c>
    </row>
    <row r="1881" spans="1:5" x14ac:dyDescent="0.25">
      <c r="A1881">
        <v>3</v>
      </c>
      <c r="B1881">
        <v>0.46261682242990698</v>
      </c>
      <c r="C1881">
        <f t="shared" si="58"/>
        <v>0.60385634689818579</v>
      </c>
      <c r="D1881">
        <v>7</v>
      </c>
      <c r="E1881">
        <f t="shared" si="59"/>
        <v>4.2680129346644294E-2</v>
      </c>
    </row>
    <row r="1882" spans="1:5" x14ac:dyDescent="0.25">
      <c r="A1882">
        <v>3</v>
      </c>
      <c r="B1882">
        <v>0.46666666666666701</v>
      </c>
      <c r="C1882">
        <f t="shared" si="58"/>
        <v>0.59232768825862281</v>
      </c>
      <c r="D1882">
        <v>7</v>
      </c>
      <c r="E1882">
        <f t="shared" si="59"/>
        <v>4.2680129346644294E-2</v>
      </c>
    </row>
    <row r="1883" spans="1:5" x14ac:dyDescent="0.25">
      <c r="A1883">
        <v>3</v>
      </c>
      <c r="B1883">
        <v>0.47</v>
      </c>
      <c r="C1883">
        <f t="shared" si="58"/>
        <v>0.58291120278317166</v>
      </c>
      <c r="D1883">
        <v>7</v>
      </c>
      <c r="E1883">
        <f t="shared" si="59"/>
        <v>4.2680129346644294E-2</v>
      </c>
    </row>
    <row r="1884" spans="1:5" x14ac:dyDescent="0.25">
      <c r="A1884">
        <v>3</v>
      </c>
      <c r="B1884">
        <v>0.47</v>
      </c>
      <c r="C1884">
        <f t="shared" si="58"/>
        <v>0.58291120278317166</v>
      </c>
      <c r="D1884">
        <v>7</v>
      </c>
      <c r="E1884">
        <f t="shared" si="59"/>
        <v>4.2680129346644294E-2</v>
      </c>
    </row>
    <row r="1885" spans="1:5" x14ac:dyDescent="0.25">
      <c r="A1885">
        <v>3</v>
      </c>
      <c r="B1885">
        <v>0.47199999999999998</v>
      </c>
      <c r="C1885">
        <f t="shared" si="58"/>
        <v>0.57729347302347611</v>
      </c>
      <c r="D1885">
        <v>7</v>
      </c>
      <c r="E1885">
        <f t="shared" si="59"/>
        <v>4.2680129346644294E-2</v>
      </c>
    </row>
    <row r="1886" spans="1:5" x14ac:dyDescent="0.25">
      <c r="A1886">
        <v>3</v>
      </c>
      <c r="B1886">
        <v>0.47199999999999998</v>
      </c>
      <c r="C1886">
        <f t="shared" si="58"/>
        <v>0.57729347302347611</v>
      </c>
      <c r="D1886">
        <v>7</v>
      </c>
      <c r="E1886">
        <f t="shared" si="59"/>
        <v>4.2680129346644294E-2</v>
      </c>
    </row>
    <row r="1887" spans="1:5" x14ac:dyDescent="0.25">
      <c r="A1887">
        <v>3</v>
      </c>
      <c r="B1887">
        <v>0.47319347319347299</v>
      </c>
      <c r="C1887">
        <f t="shared" si="58"/>
        <v>0.57395283985486989</v>
      </c>
      <c r="D1887">
        <v>7</v>
      </c>
      <c r="E1887">
        <f t="shared" si="59"/>
        <v>4.2680129346644294E-2</v>
      </c>
    </row>
    <row r="1888" spans="1:5" x14ac:dyDescent="0.25">
      <c r="A1888">
        <v>3</v>
      </c>
      <c r="B1888">
        <v>0.473333333333333</v>
      </c>
      <c r="C1888">
        <f t="shared" si="58"/>
        <v>0.57356193490375673</v>
      </c>
      <c r="D1888">
        <v>7</v>
      </c>
      <c r="E1888">
        <f t="shared" si="59"/>
        <v>4.2680129346644294E-2</v>
      </c>
    </row>
    <row r="1889" spans="1:5" x14ac:dyDescent="0.25">
      <c r="A1889">
        <v>3</v>
      </c>
      <c r="B1889">
        <v>0.476190476190476</v>
      </c>
      <c r="C1889">
        <f t="shared" si="58"/>
        <v>0.56560298232346806</v>
      </c>
      <c r="D1889">
        <v>7</v>
      </c>
      <c r="E1889">
        <f t="shared" si="59"/>
        <v>4.2680129346644294E-2</v>
      </c>
    </row>
    <row r="1890" spans="1:5" x14ac:dyDescent="0.25">
      <c r="A1890">
        <v>3</v>
      </c>
      <c r="B1890">
        <v>0.48</v>
      </c>
      <c r="C1890">
        <f t="shared" si="58"/>
        <v>0.5550713523866887</v>
      </c>
      <c r="D1890">
        <v>7</v>
      </c>
      <c r="E1890">
        <f t="shared" si="59"/>
        <v>4.2680129346644294E-2</v>
      </c>
    </row>
    <row r="1891" spans="1:5" x14ac:dyDescent="0.25">
      <c r="A1891">
        <v>3</v>
      </c>
      <c r="B1891">
        <v>0.48148148148148101</v>
      </c>
      <c r="C1891">
        <f t="shared" si="58"/>
        <v>0.55100093237388914</v>
      </c>
      <c r="D1891">
        <v>7</v>
      </c>
      <c r="E1891">
        <f t="shared" si="59"/>
        <v>4.2680129346644294E-2</v>
      </c>
    </row>
    <row r="1892" spans="1:5" x14ac:dyDescent="0.25">
      <c r="A1892">
        <v>3</v>
      </c>
      <c r="B1892">
        <v>0.483333333333333</v>
      </c>
      <c r="C1892">
        <f t="shared" si="58"/>
        <v>0.54593305040429341</v>
      </c>
      <c r="D1892">
        <v>7</v>
      </c>
      <c r="E1892">
        <f t="shared" si="59"/>
        <v>4.2680129346644294E-2</v>
      </c>
    </row>
    <row r="1893" spans="1:5" x14ac:dyDescent="0.25">
      <c r="A1893">
        <v>3</v>
      </c>
      <c r="B1893">
        <v>0.48499999999999999</v>
      </c>
      <c r="C1893">
        <f t="shared" si="58"/>
        <v>0.54139127868324288</v>
      </c>
      <c r="D1893">
        <v>7</v>
      </c>
      <c r="E1893">
        <f t="shared" si="59"/>
        <v>4.2680129346644294E-2</v>
      </c>
    </row>
    <row r="1894" spans="1:5" x14ac:dyDescent="0.25">
      <c r="A1894">
        <v>3</v>
      </c>
      <c r="B1894">
        <v>0.48948948948949</v>
      </c>
      <c r="C1894">
        <f t="shared" si="58"/>
        <v>0.52924956808431367</v>
      </c>
      <c r="D1894">
        <v>7</v>
      </c>
      <c r="E1894">
        <f t="shared" si="59"/>
        <v>4.2680129346644294E-2</v>
      </c>
    </row>
    <row r="1895" spans="1:5" x14ac:dyDescent="0.25">
      <c r="A1895">
        <v>3</v>
      </c>
      <c r="B1895">
        <v>0.490566037735849</v>
      </c>
      <c r="C1895">
        <f t="shared" si="58"/>
        <v>0.52635837061752666</v>
      </c>
      <c r="D1895">
        <v>7</v>
      </c>
      <c r="E1895">
        <f t="shared" si="59"/>
        <v>4.2680129346644294E-2</v>
      </c>
    </row>
    <row r="1896" spans="1:5" x14ac:dyDescent="0.25">
      <c r="A1896">
        <v>3</v>
      </c>
      <c r="B1896">
        <v>0.492307692307692</v>
      </c>
      <c r="C1896">
        <f t="shared" si="58"/>
        <v>0.5216977894238255</v>
      </c>
      <c r="D1896">
        <v>7</v>
      </c>
      <c r="E1896">
        <f t="shared" si="59"/>
        <v>4.2680129346644294E-2</v>
      </c>
    </row>
    <row r="1897" spans="1:5" x14ac:dyDescent="0.25">
      <c r="A1897">
        <v>3</v>
      </c>
      <c r="B1897">
        <v>0.49333333333333301</v>
      </c>
      <c r="C1897">
        <f t="shared" si="58"/>
        <v>0.51896302349773238</v>
      </c>
      <c r="D1897">
        <v>7</v>
      </c>
      <c r="E1897">
        <f t="shared" si="59"/>
        <v>4.2680129346644294E-2</v>
      </c>
    </row>
    <row r="1898" spans="1:5" x14ac:dyDescent="0.25">
      <c r="A1898">
        <v>3</v>
      </c>
      <c r="B1898">
        <v>0.49397590361445798</v>
      </c>
      <c r="C1898">
        <f t="shared" si="58"/>
        <v>0.51725339734392861</v>
      </c>
      <c r="D1898">
        <v>7</v>
      </c>
      <c r="E1898">
        <f t="shared" si="59"/>
        <v>4.2680129346644294E-2</v>
      </c>
    </row>
    <row r="1899" spans="1:5" x14ac:dyDescent="0.25">
      <c r="A1899">
        <v>3</v>
      </c>
      <c r="B1899">
        <v>0.49666666666666698</v>
      </c>
      <c r="C1899">
        <f t="shared" si="58"/>
        <v>0.51012568850656537</v>
      </c>
      <c r="D1899">
        <v>7</v>
      </c>
      <c r="E1899">
        <f t="shared" si="59"/>
        <v>4.2680129346644294E-2</v>
      </c>
    </row>
    <row r="1900" spans="1:5" x14ac:dyDescent="0.25">
      <c r="A1900">
        <v>3</v>
      </c>
      <c r="B1900">
        <v>0.502</v>
      </c>
      <c r="C1900">
        <f t="shared" si="58"/>
        <v>0.49614948724769264</v>
      </c>
      <c r="D1900">
        <v>8</v>
      </c>
      <c r="E1900">
        <f t="shared" si="59"/>
        <v>4.1231546319325095E-2</v>
      </c>
    </row>
    <row r="1901" spans="1:5" x14ac:dyDescent="0.25">
      <c r="A1901">
        <v>3</v>
      </c>
      <c r="B1901">
        <v>0.51866666666666705</v>
      </c>
      <c r="C1901">
        <f t="shared" si="58"/>
        <v>0.45381633314625591</v>
      </c>
      <c r="D1901">
        <v>8</v>
      </c>
      <c r="E1901">
        <f t="shared" si="59"/>
        <v>4.1231546319325095E-2</v>
      </c>
    </row>
    <row r="1902" spans="1:5" x14ac:dyDescent="0.25">
      <c r="A1902">
        <v>3</v>
      </c>
      <c r="B1902">
        <v>0.51948051948051899</v>
      </c>
      <c r="C1902">
        <f t="shared" si="58"/>
        <v>0.45180267036162175</v>
      </c>
      <c r="D1902">
        <v>8</v>
      </c>
      <c r="E1902">
        <f t="shared" si="59"/>
        <v>4.1231546319325095E-2</v>
      </c>
    </row>
    <row r="1903" spans="1:5" x14ac:dyDescent="0.25">
      <c r="A1903">
        <v>3</v>
      </c>
      <c r="B1903">
        <v>0.52</v>
      </c>
      <c r="C1903">
        <f t="shared" si="58"/>
        <v>0.45052000876808945</v>
      </c>
      <c r="D1903">
        <v>8</v>
      </c>
      <c r="E1903">
        <f t="shared" si="59"/>
        <v>4.1231546319325095E-2</v>
      </c>
    </row>
    <row r="1904" spans="1:5" x14ac:dyDescent="0.25">
      <c r="A1904">
        <v>3</v>
      </c>
      <c r="B1904">
        <v>0.52447552447552404</v>
      </c>
      <c r="C1904">
        <f t="shared" si="58"/>
        <v>0.43955554542431258</v>
      </c>
      <c r="D1904">
        <v>8</v>
      </c>
      <c r="E1904">
        <f t="shared" si="59"/>
        <v>4.1231546319325095E-2</v>
      </c>
    </row>
    <row r="1905" spans="1:5" x14ac:dyDescent="0.25">
      <c r="A1905">
        <v>3</v>
      </c>
      <c r="B1905">
        <v>0.52600000000000002</v>
      </c>
      <c r="C1905">
        <f t="shared" si="58"/>
        <v>0.43585623442676791</v>
      </c>
      <c r="D1905">
        <v>8</v>
      </c>
      <c r="E1905">
        <f t="shared" si="59"/>
        <v>4.1231546319325095E-2</v>
      </c>
    </row>
    <row r="1906" spans="1:5" x14ac:dyDescent="0.25">
      <c r="A1906">
        <v>3</v>
      </c>
      <c r="B1906">
        <v>0.52913752913752898</v>
      </c>
      <c r="C1906">
        <f t="shared" si="58"/>
        <v>0.42829981281398516</v>
      </c>
      <c r="D1906">
        <v>8</v>
      </c>
      <c r="E1906">
        <f t="shared" si="59"/>
        <v>4.1231546319325095E-2</v>
      </c>
    </row>
    <row r="1907" spans="1:5" x14ac:dyDescent="0.25">
      <c r="A1907">
        <v>3</v>
      </c>
      <c r="B1907">
        <v>0.53066666666666695</v>
      </c>
      <c r="C1907">
        <f t="shared" si="58"/>
        <v>0.42464505585850504</v>
      </c>
      <c r="D1907">
        <v>8</v>
      </c>
      <c r="E1907">
        <f t="shared" si="59"/>
        <v>4.1231546319325095E-2</v>
      </c>
    </row>
    <row r="1908" spans="1:5" x14ac:dyDescent="0.25">
      <c r="A1908">
        <v>3</v>
      </c>
      <c r="B1908">
        <v>0.53066666666666695</v>
      </c>
      <c r="C1908">
        <f t="shared" si="58"/>
        <v>0.42464505585850504</v>
      </c>
      <c r="D1908">
        <v>8</v>
      </c>
      <c r="E1908">
        <f t="shared" si="59"/>
        <v>4.1231546319325095E-2</v>
      </c>
    </row>
    <row r="1909" spans="1:5" x14ac:dyDescent="0.25">
      <c r="A1909">
        <v>3</v>
      </c>
      <c r="B1909">
        <v>0.53333333333333299</v>
      </c>
      <c r="C1909">
        <f t="shared" si="58"/>
        <v>0.41831568707103778</v>
      </c>
      <c r="D1909">
        <v>8</v>
      </c>
      <c r="E1909">
        <f t="shared" si="59"/>
        <v>4.1231546319325095E-2</v>
      </c>
    </row>
    <row r="1910" spans="1:5" x14ac:dyDescent="0.25">
      <c r="A1910">
        <v>3</v>
      </c>
      <c r="B1910">
        <v>0.53500000000000003</v>
      </c>
      <c r="C1910">
        <f t="shared" si="58"/>
        <v>0.41438846220921188</v>
      </c>
      <c r="D1910">
        <v>8</v>
      </c>
      <c r="E1910">
        <f t="shared" si="59"/>
        <v>4.1231546319325095E-2</v>
      </c>
    </row>
    <row r="1911" spans="1:5" x14ac:dyDescent="0.25">
      <c r="A1911">
        <v>3</v>
      </c>
      <c r="B1911">
        <v>0.53613053613053596</v>
      </c>
      <c r="C1911">
        <f t="shared" si="58"/>
        <v>0.41173712326918566</v>
      </c>
      <c r="D1911">
        <v>8</v>
      </c>
      <c r="E1911">
        <f t="shared" si="59"/>
        <v>4.1231546319325095E-2</v>
      </c>
    </row>
    <row r="1912" spans="1:5" x14ac:dyDescent="0.25">
      <c r="A1912">
        <v>3</v>
      </c>
      <c r="B1912">
        <v>0.53846153846153799</v>
      </c>
      <c r="C1912">
        <f t="shared" si="58"/>
        <v>0.40630265680370725</v>
      </c>
      <c r="D1912">
        <v>8</v>
      </c>
      <c r="E1912">
        <f t="shared" si="59"/>
        <v>4.1231546319325095E-2</v>
      </c>
    </row>
    <row r="1913" spans="1:5" x14ac:dyDescent="0.25">
      <c r="A1913">
        <v>3</v>
      </c>
      <c r="B1913">
        <v>0.54054054054054101</v>
      </c>
      <c r="C1913">
        <f t="shared" si="58"/>
        <v>0.4014924257659272</v>
      </c>
      <c r="D1913">
        <v>8</v>
      </c>
      <c r="E1913">
        <f t="shared" si="59"/>
        <v>4.1231546319325095E-2</v>
      </c>
    </row>
    <row r="1914" spans="1:5" x14ac:dyDescent="0.25">
      <c r="A1914">
        <v>3</v>
      </c>
      <c r="B1914">
        <v>0.54400000000000004</v>
      </c>
      <c r="C1914">
        <f t="shared" si="58"/>
        <v>0.39356529670423035</v>
      </c>
      <c r="D1914">
        <v>8</v>
      </c>
      <c r="E1914">
        <f t="shared" si="59"/>
        <v>4.1231546319325095E-2</v>
      </c>
    </row>
    <row r="1915" spans="1:5" x14ac:dyDescent="0.25">
      <c r="A1915">
        <v>3</v>
      </c>
      <c r="B1915">
        <v>0.54400000000000004</v>
      </c>
      <c r="C1915">
        <f t="shared" si="58"/>
        <v>0.39356529670423035</v>
      </c>
      <c r="D1915">
        <v>8</v>
      </c>
      <c r="E1915">
        <f t="shared" si="59"/>
        <v>4.1231546319325095E-2</v>
      </c>
    </row>
    <row r="1916" spans="1:5" x14ac:dyDescent="0.25">
      <c r="A1916">
        <v>3</v>
      </c>
      <c r="B1916">
        <v>0.54666666666666697</v>
      </c>
      <c r="C1916">
        <f t="shared" si="58"/>
        <v>0.38752081995142978</v>
      </c>
      <c r="D1916">
        <v>8</v>
      </c>
      <c r="E1916">
        <f t="shared" si="59"/>
        <v>4.1231546319325095E-2</v>
      </c>
    </row>
    <row r="1917" spans="1:5" x14ac:dyDescent="0.25">
      <c r="A1917">
        <v>3</v>
      </c>
      <c r="B1917">
        <v>0.54933333333333301</v>
      </c>
      <c r="C1917">
        <f t="shared" si="58"/>
        <v>0.3815340625044723</v>
      </c>
      <c r="D1917">
        <v>8</v>
      </c>
      <c r="E1917">
        <f t="shared" si="59"/>
        <v>4.1231546319325095E-2</v>
      </c>
    </row>
    <row r="1918" spans="1:5" x14ac:dyDescent="0.25">
      <c r="A1918">
        <v>3</v>
      </c>
      <c r="B1918">
        <v>0.55200000000000005</v>
      </c>
      <c r="C1918">
        <f t="shared" si="58"/>
        <v>0.37560522599871871</v>
      </c>
      <c r="D1918">
        <v>8</v>
      </c>
      <c r="E1918">
        <f t="shared" si="59"/>
        <v>4.1231546319325095E-2</v>
      </c>
    </row>
    <row r="1919" spans="1:5" x14ac:dyDescent="0.25">
      <c r="A1919">
        <v>3</v>
      </c>
      <c r="B1919">
        <v>0.55841121495327095</v>
      </c>
      <c r="C1919">
        <f t="shared" si="58"/>
        <v>0.36158916613556763</v>
      </c>
      <c r="D1919">
        <v>8</v>
      </c>
      <c r="E1919">
        <f t="shared" si="59"/>
        <v>4.1231546319325095E-2</v>
      </c>
    </row>
    <row r="1920" spans="1:5" x14ac:dyDescent="0.25">
      <c r="A1920">
        <v>3</v>
      </c>
      <c r="B1920">
        <v>0.55932203389830504</v>
      </c>
      <c r="C1920">
        <f t="shared" si="58"/>
        <v>0.35962532486200527</v>
      </c>
      <c r="D1920">
        <v>8</v>
      </c>
      <c r="E1920">
        <f t="shared" si="59"/>
        <v>4.1231546319325095E-2</v>
      </c>
    </row>
    <row r="1921" spans="1:5" x14ac:dyDescent="0.25">
      <c r="A1921">
        <v>3</v>
      </c>
      <c r="B1921">
        <v>0.55944055944055904</v>
      </c>
      <c r="C1921">
        <f t="shared" si="58"/>
        <v>0.35937027056862003</v>
      </c>
      <c r="D1921">
        <v>8</v>
      </c>
      <c r="E1921">
        <f t="shared" si="59"/>
        <v>4.1231546319325095E-2</v>
      </c>
    </row>
    <row r="1922" spans="1:5" x14ac:dyDescent="0.25">
      <c r="A1922">
        <v>3</v>
      </c>
      <c r="B1922">
        <v>0.56000000000000005</v>
      </c>
      <c r="C1922">
        <f t="shared" ref="C1922:C1985" si="60">_xlfn.NORM.DIST(B1922, I$10,I$13,FALSE)</f>
        <v>0.35816797500705216</v>
      </c>
      <c r="D1922">
        <v>8</v>
      </c>
      <c r="E1922">
        <f t="shared" si="59"/>
        <v>4.1231546319325095E-2</v>
      </c>
    </row>
    <row r="1923" spans="1:5" x14ac:dyDescent="0.25">
      <c r="A1923">
        <v>3</v>
      </c>
      <c r="B1923">
        <v>0.56799999999999995</v>
      </c>
      <c r="C1923">
        <f t="shared" si="60"/>
        <v>0.34125747475407714</v>
      </c>
      <c r="D1923">
        <v>8</v>
      </c>
      <c r="E1923">
        <f t="shared" ref="E1923:E1986" si="61">_xlfn.NORM.DIST(D1923, I$4,I$7,FALSE)</f>
        <v>4.1231546319325095E-2</v>
      </c>
    </row>
    <row r="1924" spans="1:5" x14ac:dyDescent="0.25">
      <c r="A1924">
        <v>3</v>
      </c>
      <c r="B1924">
        <v>0.57142857142857095</v>
      </c>
      <c r="C1924">
        <f t="shared" si="60"/>
        <v>0.33417203001823648</v>
      </c>
      <c r="D1924">
        <v>8</v>
      </c>
      <c r="E1924">
        <f t="shared" si="61"/>
        <v>4.1231546319325095E-2</v>
      </c>
    </row>
    <row r="1925" spans="1:5" x14ac:dyDescent="0.25">
      <c r="A1925">
        <v>3</v>
      </c>
      <c r="B1925">
        <v>0.57399999999999995</v>
      </c>
      <c r="C1925">
        <f t="shared" si="60"/>
        <v>0.32892181863632425</v>
      </c>
      <c r="D1925">
        <v>8</v>
      </c>
      <c r="E1925">
        <f t="shared" si="61"/>
        <v>4.1231546319325095E-2</v>
      </c>
    </row>
    <row r="1926" spans="1:5" x14ac:dyDescent="0.25">
      <c r="A1926">
        <v>3</v>
      </c>
      <c r="B1926">
        <v>0.57466666666666699</v>
      </c>
      <c r="C1926">
        <f t="shared" si="60"/>
        <v>0.32756959452548273</v>
      </c>
      <c r="D1926">
        <v>8</v>
      </c>
      <c r="E1926">
        <f t="shared" si="61"/>
        <v>4.1231546319325095E-2</v>
      </c>
    </row>
    <row r="1927" spans="1:5" x14ac:dyDescent="0.25">
      <c r="A1927">
        <v>3</v>
      </c>
      <c r="B1927">
        <v>0.57499999999999996</v>
      </c>
      <c r="C1927">
        <f t="shared" si="60"/>
        <v>0.32689486348396934</v>
      </c>
      <c r="D1927">
        <v>8</v>
      </c>
      <c r="E1927">
        <f t="shared" si="61"/>
        <v>4.1231546319325095E-2</v>
      </c>
    </row>
    <row r="1928" spans="1:5" x14ac:dyDescent="0.25">
      <c r="A1928">
        <v>3</v>
      </c>
      <c r="B1928">
        <v>0.57599999999999996</v>
      </c>
      <c r="C1928">
        <f t="shared" si="60"/>
        <v>0.32487619490675834</v>
      </c>
      <c r="D1928">
        <v>8</v>
      </c>
      <c r="E1928">
        <f t="shared" si="61"/>
        <v>4.1231546319325095E-2</v>
      </c>
    </row>
    <row r="1929" spans="1:5" x14ac:dyDescent="0.25">
      <c r="A1929">
        <v>3</v>
      </c>
      <c r="B1929">
        <v>0.57692307692307698</v>
      </c>
      <c r="C1929">
        <f t="shared" si="60"/>
        <v>0.32302016427302699</v>
      </c>
      <c r="D1929">
        <v>8</v>
      </c>
      <c r="E1929">
        <f t="shared" si="61"/>
        <v>4.1231546319325095E-2</v>
      </c>
    </row>
    <row r="1930" spans="1:5" x14ac:dyDescent="0.25">
      <c r="A1930">
        <v>3</v>
      </c>
      <c r="B1930">
        <v>0.58024691358024705</v>
      </c>
      <c r="C1930">
        <f t="shared" si="60"/>
        <v>0.31639542467193982</v>
      </c>
      <c r="D1930">
        <v>8</v>
      </c>
      <c r="E1930">
        <f t="shared" si="61"/>
        <v>4.1231546319325095E-2</v>
      </c>
    </row>
    <row r="1931" spans="1:5" x14ac:dyDescent="0.25">
      <c r="A1931">
        <v>3</v>
      </c>
      <c r="B1931">
        <v>0.58041958041957997</v>
      </c>
      <c r="C1931">
        <f t="shared" si="60"/>
        <v>0.3160537842610085</v>
      </c>
      <c r="D1931">
        <v>8</v>
      </c>
      <c r="E1931">
        <f t="shared" si="61"/>
        <v>4.1231546319325095E-2</v>
      </c>
    </row>
    <row r="1932" spans="1:5" x14ac:dyDescent="0.25">
      <c r="A1932">
        <v>3</v>
      </c>
      <c r="B1932">
        <v>0.58399999999999996</v>
      </c>
      <c r="C1932">
        <f t="shared" si="60"/>
        <v>0.30902520476958295</v>
      </c>
      <c r="D1932">
        <v>8</v>
      </c>
      <c r="E1932">
        <f t="shared" si="61"/>
        <v>4.1231546319325095E-2</v>
      </c>
    </row>
    <row r="1933" spans="1:5" x14ac:dyDescent="0.25">
      <c r="A1933">
        <v>3</v>
      </c>
      <c r="B1933">
        <v>0.58399999999999996</v>
      </c>
      <c r="C1933">
        <f t="shared" si="60"/>
        <v>0.30902520476958295</v>
      </c>
      <c r="D1933">
        <v>8</v>
      </c>
      <c r="E1933">
        <f t="shared" si="61"/>
        <v>4.1231546319325095E-2</v>
      </c>
    </row>
    <row r="1934" spans="1:5" x14ac:dyDescent="0.25">
      <c r="A1934">
        <v>3</v>
      </c>
      <c r="B1934">
        <v>0.58558558558558604</v>
      </c>
      <c r="C1934">
        <f t="shared" si="60"/>
        <v>0.30594653320034165</v>
      </c>
      <c r="D1934">
        <v>8</v>
      </c>
      <c r="E1934">
        <f t="shared" si="61"/>
        <v>4.1231546319325095E-2</v>
      </c>
    </row>
    <row r="1935" spans="1:5" x14ac:dyDescent="0.25">
      <c r="A1935">
        <v>3</v>
      </c>
      <c r="B1935">
        <v>0.58933333333333304</v>
      </c>
      <c r="C1935">
        <f t="shared" si="60"/>
        <v>0.29875240442588086</v>
      </c>
      <c r="D1935">
        <v>8</v>
      </c>
      <c r="E1935">
        <f t="shared" si="61"/>
        <v>4.1231546319325095E-2</v>
      </c>
    </row>
    <row r="1936" spans="1:5" x14ac:dyDescent="0.25">
      <c r="A1936">
        <v>3</v>
      </c>
      <c r="B1936">
        <v>0.59</v>
      </c>
      <c r="C1936">
        <f t="shared" si="60"/>
        <v>0.29748485238813049</v>
      </c>
      <c r="D1936">
        <v>8</v>
      </c>
      <c r="E1936">
        <f t="shared" si="61"/>
        <v>4.1231546319325095E-2</v>
      </c>
    </row>
    <row r="1937" spans="1:5" x14ac:dyDescent="0.25">
      <c r="A1937">
        <v>3</v>
      </c>
      <c r="B1937">
        <v>0.59199999999999997</v>
      </c>
      <c r="C1937">
        <f t="shared" si="60"/>
        <v>0.29370423703287929</v>
      </c>
      <c r="D1937">
        <v>8</v>
      </c>
      <c r="E1937">
        <f t="shared" si="61"/>
        <v>4.1231546319325095E-2</v>
      </c>
    </row>
    <row r="1938" spans="1:5" x14ac:dyDescent="0.25">
      <c r="A1938">
        <v>3</v>
      </c>
      <c r="B1938">
        <v>0.59599999999999997</v>
      </c>
      <c r="C1938">
        <f t="shared" si="60"/>
        <v>0.28624207876661023</v>
      </c>
      <c r="D1938">
        <v>8</v>
      </c>
      <c r="E1938">
        <f t="shared" si="61"/>
        <v>4.1231546319325095E-2</v>
      </c>
    </row>
    <row r="1939" spans="1:5" x14ac:dyDescent="0.25">
      <c r="A1939">
        <v>3</v>
      </c>
      <c r="B1939">
        <v>0.59638554216867501</v>
      </c>
      <c r="C1939">
        <f t="shared" si="60"/>
        <v>0.28552980588258553</v>
      </c>
      <c r="D1939">
        <v>8</v>
      </c>
      <c r="E1939">
        <f t="shared" si="61"/>
        <v>4.1231546319325095E-2</v>
      </c>
    </row>
    <row r="1940" spans="1:5" x14ac:dyDescent="0.25">
      <c r="A1940">
        <v>3</v>
      </c>
      <c r="B1940">
        <v>0.59673659673659696</v>
      </c>
      <c r="C1940">
        <f t="shared" si="60"/>
        <v>0.28488231249083068</v>
      </c>
      <c r="D1940">
        <v>8</v>
      </c>
      <c r="E1940">
        <f t="shared" si="61"/>
        <v>4.1231546319325095E-2</v>
      </c>
    </row>
    <row r="1941" spans="1:5" x14ac:dyDescent="0.25">
      <c r="A1941">
        <v>3</v>
      </c>
      <c r="B1941">
        <v>0.59799999999999998</v>
      </c>
      <c r="C1941">
        <f t="shared" si="60"/>
        <v>0.28256045917303801</v>
      </c>
      <c r="D1941">
        <v>8</v>
      </c>
      <c r="E1941">
        <f t="shared" si="61"/>
        <v>4.1231546319325095E-2</v>
      </c>
    </row>
    <row r="1942" spans="1:5" x14ac:dyDescent="0.25">
      <c r="A1942">
        <v>3</v>
      </c>
      <c r="B1942">
        <v>0.59906759906759899</v>
      </c>
      <c r="C1942">
        <f t="shared" si="60"/>
        <v>0.28060868954138718</v>
      </c>
      <c r="D1942">
        <v>8</v>
      </c>
      <c r="E1942">
        <f t="shared" si="61"/>
        <v>4.1231546319325095E-2</v>
      </c>
    </row>
    <row r="1943" spans="1:5" x14ac:dyDescent="0.25">
      <c r="A1943">
        <v>3</v>
      </c>
      <c r="B1943">
        <v>0.6</v>
      </c>
      <c r="C1943">
        <f t="shared" si="60"/>
        <v>0.2789117538331024</v>
      </c>
      <c r="D1943">
        <v>8</v>
      </c>
      <c r="E1943">
        <f t="shared" si="61"/>
        <v>4.1231546319325095E-2</v>
      </c>
    </row>
    <row r="1944" spans="1:5" x14ac:dyDescent="0.25">
      <c r="A1944">
        <v>3</v>
      </c>
      <c r="B1944">
        <v>0.602739726027397</v>
      </c>
      <c r="C1944">
        <f t="shared" si="60"/>
        <v>0.273966862158255</v>
      </c>
      <c r="D1944">
        <v>8</v>
      </c>
      <c r="E1944">
        <f t="shared" si="61"/>
        <v>4.1231546319325095E-2</v>
      </c>
    </row>
    <row r="1945" spans="1:5" x14ac:dyDescent="0.25">
      <c r="A1945">
        <v>3</v>
      </c>
      <c r="B1945">
        <v>0.60533333333333295</v>
      </c>
      <c r="C1945">
        <f t="shared" si="60"/>
        <v>0.26934239496864887</v>
      </c>
      <c r="D1945">
        <v>8</v>
      </c>
      <c r="E1945">
        <f t="shared" si="61"/>
        <v>4.1231546319325095E-2</v>
      </c>
    </row>
    <row r="1946" spans="1:5" x14ac:dyDescent="0.25">
      <c r="A1946">
        <v>3</v>
      </c>
      <c r="B1946">
        <v>0.60599999999999998</v>
      </c>
      <c r="C1946">
        <f t="shared" si="60"/>
        <v>0.26816260410744369</v>
      </c>
      <c r="D1946">
        <v>8</v>
      </c>
      <c r="E1946">
        <f t="shared" si="61"/>
        <v>4.1231546319325095E-2</v>
      </c>
    </row>
    <row r="1947" spans="1:5" x14ac:dyDescent="0.25">
      <c r="A1947">
        <v>3</v>
      </c>
      <c r="B1947">
        <v>0.61</v>
      </c>
      <c r="C1947">
        <f t="shared" si="60"/>
        <v>0.26116004736482251</v>
      </c>
      <c r="D1947">
        <v>8</v>
      </c>
      <c r="E1947">
        <f t="shared" si="61"/>
        <v>4.1231546319325095E-2</v>
      </c>
    </row>
    <row r="1948" spans="1:5" x14ac:dyDescent="0.25">
      <c r="A1948">
        <v>3</v>
      </c>
      <c r="B1948">
        <v>0.61066666666666702</v>
      </c>
      <c r="C1948">
        <f t="shared" si="60"/>
        <v>0.26000562875991196</v>
      </c>
      <c r="D1948">
        <v>8</v>
      </c>
      <c r="E1948">
        <f t="shared" si="61"/>
        <v>4.1231546319325095E-2</v>
      </c>
    </row>
    <row r="1949" spans="1:5" x14ac:dyDescent="0.25">
      <c r="A1949">
        <v>3</v>
      </c>
      <c r="B1949">
        <v>0.61363636363636398</v>
      </c>
      <c r="C1949">
        <f t="shared" si="60"/>
        <v>0.2549070856095883</v>
      </c>
      <c r="D1949">
        <v>8</v>
      </c>
      <c r="E1949">
        <f t="shared" si="61"/>
        <v>4.1231546319325095E-2</v>
      </c>
    </row>
    <row r="1950" spans="1:5" x14ac:dyDescent="0.25">
      <c r="A1950">
        <v>3</v>
      </c>
      <c r="B1950">
        <v>0.61448598130841103</v>
      </c>
      <c r="C1950">
        <f t="shared" si="60"/>
        <v>0.25346157212758824</v>
      </c>
      <c r="D1950">
        <v>9</v>
      </c>
      <c r="E1950">
        <f t="shared" si="61"/>
        <v>3.9348074088356236E-2</v>
      </c>
    </row>
    <row r="1951" spans="1:5" x14ac:dyDescent="0.25">
      <c r="A1951">
        <v>3</v>
      </c>
      <c r="B1951">
        <v>0.61538461538461497</v>
      </c>
      <c r="C1951">
        <f t="shared" si="60"/>
        <v>0.25193902165967569</v>
      </c>
      <c r="D1951">
        <v>9</v>
      </c>
      <c r="E1951">
        <f t="shared" si="61"/>
        <v>3.9348074088356236E-2</v>
      </c>
    </row>
    <row r="1952" spans="1:5" x14ac:dyDescent="0.25">
      <c r="A1952">
        <v>3</v>
      </c>
      <c r="B1952">
        <v>0.61599999999999999</v>
      </c>
      <c r="C1952">
        <f t="shared" si="60"/>
        <v>0.25090014591542364</v>
      </c>
      <c r="D1952">
        <v>9</v>
      </c>
      <c r="E1952">
        <f t="shared" si="61"/>
        <v>3.9348074088356236E-2</v>
      </c>
    </row>
    <row r="1953" spans="1:5" x14ac:dyDescent="0.25">
      <c r="A1953">
        <v>3</v>
      </c>
      <c r="B1953">
        <v>0.61599999999999999</v>
      </c>
      <c r="C1953">
        <f t="shared" si="60"/>
        <v>0.25090014591542364</v>
      </c>
      <c r="D1953">
        <v>9</v>
      </c>
      <c r="E1953">
        <f t="shared" si="61"/>
        <v>3.9348074088356236E-2</v>
      </c>
    </row>
    <row r="1954" spans="1:5" x14ac:dyDescent="0.25">
      <c r="A1954">
        <v>3</v>
      </c>
      <c r="B1954">
        <v>0.61599999999999999</v>
      </c>
      <c r="C1954">
        <f t="shared" si="60"/>
        <v>0.25090014591542364</v>
      </c>
      <c r="D1954">
        <v>9</v>
      </c>
      <c r="E1954">
        <f t="shared" si="61"/>
        <v>3.9348074088356236E-2</v>
      </c>
    </row>
    <row r="1955" spans="1:5" x14ac:dyDescent="0.25">
      <c r="A1955">
        <v>3</v>
      </c>
      <c r="B1955">
        <v>0.61666666666666703</v>
      </c>
      <c r="C1955">
        <f t="shared" si="60"/>
        <v>0.2497781494117661</v>
      </c>
      <c r="D1955">
        <v>9</v>
      </c>
      <c r="E1955">
        <f t="shared" si="61"/>
        <v>3.9348074088356236E-2</v>
      </c>
    </row>
    <row r="1956" spans="1:5" x14ac:dyDescent="0.25">
      <c r="A1956">
        <v>3</v>
      </c>
      <c r="B1956">
        <v>0.62004662004662003</v>
      </c>
      <c r="C1956">
        <f t="shared" si="60"/>
        <v>0.24414483414446259</v>
      </c>
      <c r="D1956">
        <v>9</v>
      </c>
      <c r="E1956">
        <f t="shared" si="61"/>
        <v>3.9348074088356236E-2</v>
      </c>
    </row>
    <row r="1957" spans="1:5" x14ac:dyDescent="0.25">
      <c r="A1957">
        <v>3</v>
      </c>
      <c r="B1957">
        <v>0.624</v>
      </c>
      <c r="C1957">
        <f t="shared" si="60"/>
        <v>0.23767221103424219</v>
      </c>
      <c r="D1957">
        <v>10</v>
      </c>
      <c r="E1957">
        <f t="shared" si="61"/>
        <v>3.7094310293993765E-2</v>
      </c>
    </row>
    <row r="1958" spans="1:5" x14ac:dyDescent="0.25">
      <c r="A1958">
        <v>3</v>
      </c>
      <c r="B1958">
        <v>0.63063063063063096</v>
      </c>
      <c r="C1958">
        <f t="shared" si="60"/>
        <v>0.22709608996444874</v>
      </c>
      <c r="D1958">
        <v>10</v>
      </c>
      <c r="E1958">
        <f t="shared" si="61"/>
        <v>3.7094310293993765E-2</v>
      </c>
    </row>
    <row r="1959" spans="1:5" x14ac:dyDescent="0.25">
      <c r="A1959">
        <v>3</v>
      </c>
      <c r="B1959">
        <v>0.63166666666666704</v>
      </c>
      <c r="C1959">
        <f t="shared" si="60"/>
        <v>0.2254750378569661</v>
      </c>
      <c r="D1959">
        <v>10</v>
      </c>
      <c r="E1959">
        <f t="shared" si="61"/>
        <v>3.7094310293993765E-2</v>
      </c>
    </row>
    <row r="1960" spans="1:5" x14ac:dyDescent="0.25">
      <c r="A1960">
        <v>3</v>
      </c>
      <c r="B1960">
        <v>0.63500000000000001</v>
      </c>
      <c r="C1960">
        <f t="shared" si="60"/>
        <v>0.22031680719038757</v>
      </c>
      <c r="D1960">
        <v>10</v>
      </c>
      <c r="E1960">
        <f t="shared" si="61"/>
        <v>3.7094310293993765E-2</v>
      </c>
    </row>
    <row r="1961" spans="1:5" x14ac:dyDescent="0.25">
      <c r="A1961">
        <v>3</v>
      </c>
      <c r="B1961">
        <v>0.63513513513513498</v>
      </c>
      <c r="C1961">
        <f t="shared" si="60"/>
        <v>0.22010952955996024</v>
      </c>
      <c r="D1961">
        <v>10</v>
      </c>
      <c r="E1961">
        <f t="shared" si="61"/>
        <v>3.7094310293993765E-2</v>
      </c>
    </row>
    <row r="1962" spans="1:5" x14ac:dyDescent="0.25">
      <c r="A1962">
        <v>3</v>
      </c>
      <c r="B1962">
        <v>0.63600000000000001</v>
      </c>
      <c r="C1962">
        <f t="shared" si="60"/>
        <v>0.21878633836091851</v>
      </c>
      <c r="D1962">
        <v>11</v>
      </c>
      <c r="E1962">
        <f t="shared" si="61"/>
        <v>3.454467274483277E-2</v>
      </c>
    </row>
    <row r="1963" spans="1:5" x14ac:dyDescent="0.25">
      <c r="A1963">
        <v>3</v>
      </c>
      <c r="B1963">
        <v>0.64516129032258096</v>
      </c>
      <c r="C1963">
        <f t="shared" si="60"/>
        <v>0.20512728859177246</v>
      </c>
      <c r="D1963">
        <v>11</v>
      </c>
      <c r="E1963">
        <f t="shared" si="61"/>
        <v>3.454467274483277E-2</v>
      </c>
    </row>
    <row r="1964" spans="1:5" x14ac:dyDescent="0.25">
      <c r="A1964">
        <v>3</v>
      </c>
      <c r="B1964">
        <v>0.64705882352941202</v>
      </c>
      <c r="C1964">
        <f t="shared" si="60"/>
        <v>0.20237908928031684</v>
      </c>
      <c r="D1964">
        <v>11</v>
      </c>
      <c r="E1964">
        <f t="shared" si="61"/>
        <v>3.454467274483277E-2</v>
      </c>
    </row>
    <row r="1965" spans="1:5" x14ac:dyDescent="0.25">
      <c r="A1965">
        <v>3</v>
      </c>
      <c r="B1965">
        <v>0.65066666666666695</v>
      </c>
      <c r="C1965">
        <f t="shared" si="60"/>
        <v>0.19722964138589547</v>
      </c>
      <c r="D1965">
        <v>11</v>
      </c>
      <c r="E1965">
        <f t="shared" si="61"/>
        <v>3.454467274483277E-2</v>
      </c>
    </row>
    <row r="1966" spans="1:5" x14ac:dyDescent="0.25">
      <c r="A1966">
        <v>3</v>
      </c>
      <c r="B1966">
        <v>0.65333333333333299</v>
      </c>
      <c r="C1966">
        <f t="shared" si="60"/>
        <v>0.19348697896631392</v>
      </c>
      <c r="D1966">
        <v>11</v>
      </c>
      <c r="E1966">
        <f t="shared" si="61"/>
        <v>3.454467274483277E-2</v>
      </c>
    </row>
    <row r="1967" spans="1:5" x14ac:dyDescent="0.25">
      <c r="A1967">
        <v>3</v>
      </c>
      <c r="B1967">
        <v>0.65866666666666696</v>
      </c>
      <c r="C1967">
        <f t="shared" si="60"/>
        <v>0.18616196729503881</v>
      </c>
      <c r="D1967">
        <v>11</v>
      </c>
      <c r="E1967">
        <f t="shared" si="61"/>
        <v>3.454467274483277E-2</v>
      </c>
    </row>
    <row r="1968" spans="1:5" x14ac:dyDescent="0.25">
      <c r="A1968">
        <v>3</v>
      </c>
      <c r="B1968">
        <v>0.66</v>
      </c>
      <c r="C1968">
        <f t="shared" si="60"/>
        <v>0.18436385661236279</v>
      </c>
      <c r="D1968">
        <v>12</v>
      </c>
      <c r="E1968">
        <f t="shared" si="61"/>
        <v>3.1779336622083057E-2</v>
      </c>
    </row>
    <row r="1969" spans="1:5" x14ac:dyDescent="0.25">
      <c r="A1969">
        <v>3</v>
      </c>
      <c r="B1969">
        <v>0.66300366300366298</v>
      </c>
      <c r="C1969">
        <f t="shared" si="60"/>
        <v>0.18036133925202766</v>
      </c>
      <c r="D1969">
        <v>12</v>
      </c>
      <c r="E1969">
        <f t="shared" si="61"/>
        <v>3.1779336622083057E-2</v>
      </c>
    </row>
    <row r="1970" spans="1:5" x14ac:dyDescent="0.25">
      <c r="A1970">
        <v>3</v>
      </c>
      <c r="B1970">
        <v>0.66400000000000003</v>
      </c>
      <c r="C1970">
        <f t="shared" si="60"/>
        <v>0.17904834345790183</v>
      </c>
      <c r="D1970">
        <v>12</v>
      </c>
      <c r="E1970">
        <f t="shared" si="61"/>
        <v>3.1779336622083057E-2</v>
      </c>
    </row>
    <row r="1971" spans="1:5" x14ac:dyDescent="0.25">
      <c r="A1971">
        <v>3</v>
      </c>
      <c r="B1971">
        <v>0.66400000000000003</v>
      </c>
      <c r="C1971">
        <f t="shared" si="60"/>
        <v>0.17904834345790183</v>
      </c>
      <c r="D1971">
        <v>12</v>
      </c>
      <c r="E1971">
        <f t="shared" si="61"/>
        <v>3.1779336622083057E-2</v>
      </c>
    </row>
    <row r="1972" spans="1:5" x14ac:dyDescent="0.25">
      <c r="A1972">
        <v>3</v>
      </c>
      <c r="B1972">
        <v>0.66588785046729004</v>
      </c>
      <c r="C1972">
        <f t="shared" si="60"/>
        <v>0.17658042623912903</v>
      </c>
      <c r="D1972">
        <v>12</v>
      </c>
      <c r="E1972">
        <f t="shared" si="61"/>
        <v>3.1779336622083057E-2</v>
      </c>
    </row>
    <row r="1973" spans="1:5" x14ac:dyDescent="0.25">
      <c r="A1973">
        <v>3</v>
      </c>
      <c r="B1973">
        <v>0.68400000000000005</v>
      </c>
      <c r="C1973">
        <f t="shared" si="60"/>
        <v>0.15420342922454303</v>
      </c>
      <c r="D1973">
        <v>12</v>
      </c>
      <c r="E1973">
        <f t="shared" si="61"/>
        <v>3.1779336622083057E-2</v>
      </c>
    </row>
    <row r="1974" spans="1:5" x14ac:dyDescent="0.25">
      <c r="A1974">
        <v>3</v>
      </c>
      <c r="B1974">
        <v>0.686746987951807</v>
      </c>
      <c r="C1974">
        <f t="shared" si="60"/>
        <v>0.15101069900564909</v>
      </c>
      <c r="D1974">
        <v>13</v>
      </c>
      <c r="E1974">
        <f t="shared" si="61"/>
        <v>2.8880089446076652E-2</v>
      </c>
    </row>
    <row r="1975" spans="1:5" x14ac:dyDescent="0.25">
      <c r="A1975">
        <v>3</v>
      </c>
      <c r="B1975">
        <v>0.68925233644859796</v>
      </c>
      <c r="C1975">
        <f t="shared" si="60"/>
        <v>0.14814387646929672</v>
      </c>
      <c r="D1975">
        <v>13</v>
      </c>
      <c r="E1975">
        <f t="shared" si="61"/>
        <v>2.8880089446076652E-2</v>
      </c>
    </row>
    <row r="1976" spans="1:5" x14ac:dyDescent="0.25">
      <c r="A1976">
        <v>3</v>
      </c>
      <c r="B1976">
        <v>0.69158878504672905</v>
      </c>
      <c r="C1976">
        <f t="shared" si="60"/>
        <v>0.14550873671224918</v>
      </c>
      <c r="D1976">
        <v>13</v>
      </c>
      <c r="E1976">
        <f t="shared" si="61"/>
        <v>2.8880089446076652E-2</v>
      </c>
    </row>
    <row r="1977" spans="1:5" x14ac:dyDescent="0.25">
      <c r="A1977">
        <v>3</v>
      </c>
      <c r="B1977">
        <v>0.69499999999999995</v>
      </c>
      <c r="C1977">
        <f t="shared" si="60"/>
        <v>0.141727395440195</v>
      </c>
      <c r="D1977">
        <v>13</v>
      </c>
      <c r="E1977">
        <f t="shared" si="61"/>
        <v>2.8880089446076652E-2</v>
      </c>
    </row>
    <row r="1978" spans="1:5" x14ac:dyDescent="0.25">
      <c r="A1978">
        <v>3</v>
      </c>
      <c r="B1978">
        <v>0.69696969696969702</v>
      </c>
      <c r="C1978">
        <f t="shared" si="60"/>
        <v>0.13957932506819895</v>
      </c>
      <c r="D1978">
        <v>13</v>
      </c>
      <c r="E1978">
        <f t="shared" si="61"/>
        <v>2.8880089446076652E-2</v>
      </c>
    </row>
    <row r="1979" spans="1:5" x14ac:dyDescent="0.25">
      <c r="A1979">
        <v>3</v>
      </c>
      <c r="B1979">
        <v>0.69736842105263197</v>
      </c>
      <c r="C1979">
        <f t="shared" si="60"/>
        <v>0.13914762109451509</v>
      </c>
      <c r="D1979">
        <v>13</v>
      </c>
      <c r="E1979">
        <f t="shared" si="61"/>
        <v>2.8880089446076652E-2</v>
      </c>
    </row>
    <row r="1980" spans="1:5" x14ac:dyDescent="0.25">
      <c r="A1980">
        <v>3</v>
      </c>
      <c r="B1980">
        <v>0.69833333333333303</v>
      </c>
      <c r="C1980">
        <f t="shared" si="60"/>
        <v>0.13810723891542701</v>
      </c>
      <c r="D1980">
        <v>13</v>
      </c>
      <c r="E1980">
        <f t="shared" si="61"/>
        <v>2.8880089446076652E-2</v>
      </c>
    </row>
    <row r="1981" spans="1:5" x14ac:dyDescent="0.25">
      <c r="A1981">
        <v>3</v>
      </c>
      <c r="B1981">
        <v>0.70133333333333303</v>
      </c>
      <c r="C1981">
        <f t="shared" si="60"/>
        <v>0.13491164019735213</v>
      </c>
      <c r="D1981">
        <v>13</v>
      </c>
      <c r="E1981">
        <f t="shared" si="61"/>
        <v>2.8880089446076652E-2</v>
      </c>
    </row>
    <row r="1982" spans="1:5" x14ac:dyDescent="0.25">
      <c r="A1982">
        <v>3</v>
      </c>
      <c r="B1982">
        <v>0.703962703962704</v>
      </c>
      <c r="C1982">
        <f t="shared" si="60"/>
        <v>0.13215903890125369</v>
      </c>
      <c r="D1982">
        <v>14</v>
      </c>
      <c r="E1982">
        <f t="shared" si="61"/>
        <v>2.5926399146862966E-2</v>
      </c>
    </row>
    <row r="1983" spans="1:5" x14ac:dyDescent="0.25">
      <c r="A1983">
        <v>3</v>
      </c>
      <c r="B1983">
        <v>0.70533333333333303</v>
      </c>
      <c r="C1983">
        <f t="shared" si="60"/>
        <v>0.13074187520060035</v>
      </c>
      <c r="D1983">
        <v>14</v>
      </c>
      <c r="E1983">
        <f t="shared" si="61"/>
        <v>2.5926399146862966E-2</v>
      </c>
    </row>
    <row r="1984" spans="1:5" x14ac:dyDescent="0.25">
      <c r="A1984">
        <v>3</v>
      </c>
      <c r="B1984">
        <v>0.710666666666667</v>
      </c>
      <c r="C1984">
        <f t="shared" si="60"/>
        <v>0.1253415924040551</v>
      </c>
      <c r="D1984">
        <v>14</v>
      </c>
      <c r="E1984">
        <f t="shared" si="61"/>
        <v>2.5926399146862966E-2</v>
      </c>
    </row>
    <row r="1985" spans="1:5" x14ac:dyDescent="0.25">
      <c r="A1985">
        <v>3</v>
      </c>
      <c r="B1985">
        <v>0.71199999999999997</v>
      </c>
      <c r="C1985">
        <f t="shared" si="60"/>
        <v>0.12401960763116869</v>
      </c>
      <c r="D1985">
        <v>14</v>
      </c>
      <c r="E1985">
        <f t="shared" si="61"/>
        <v>2.5926399146862966E-2</v>
      </c>
    </row>
    <row r="1986" spans="1:5" x14ac:dyDescent="0.25">
      <c r="A1986">
        <v>3</v>
      </c>
      <c r="B1986">
        <v>0.71261682242990698</v>
      </c>
      <c r="C1986">
        <f t="shared" ref="C1986:C2049" si="62">_xlfn.NORM.DIST(B1986, I$10,I$13,FALSE)</f>
        <v>0.12341180074257296</v>
      </c>
      <c r="D1986">
        <v>14</v>
      </c>
      <c r="E1986">
        <f t="shared" si="61"/>
        <v>2.5926399146862966E-2</v>
      </c>
    </row>
    <row r="1987" spans="1:5" x14ac:dyDescent="0.25">
      <c r="A1987">
        <v>3</v>
      </c>
      <c r="B1987">
        <v>0.71590909090909105</v>
      </c>
      <c r="C1987">
        <f t="shared" si="62"/>
        <v>0.12020766638902276</v>
      </c>
      <c r="D1987">
        <v>14</v>
      </c>
      <c r="E1987">
        <f t="shared" ref="E1987:E2050" si="63">_xlfn.NORM.DIST(D1987, I$4,I$7,FALSE)</f>
        <v>2.5926399146862966E-2</v>
      </c>
    </row>
    <row r="1988" spans="1:5" x14ac:dyDescent="0.25">
      <c r="A1988">
        <v>3</v>
      </c>
      <c r="B1988">
        <v>0.71751412429378503</v>
      </c>
      <c r="C1988">
        <f t="shared" si="62"/>
        <v>0.11866986272943601</v>
      </c>
      <c r="D1988">
        <v>14</v>
      </c>
      <c r="E1988">
        <f t="shared" si="63"/>
        <v>2.5926399146862966E-2</v>
      </c>
    </row>
    <row r="1989" spans="1:5" x14ac:dyDescent="0.25">
      <c r="A1989">
        <v>3</v>
      </c>
      <c r="B1989">
        <v>0.72289156626506001</v>
      </c>
      <c r="C1989">
        <f t="shared" si="62"/>
        <v>0.11363199187128033</v>
      </c>
      <c r="D1989">
        <v>14</v>
      </c>
      <c r="E1989">
        <f t="shared" si="63"/>
        <v>2.5926399146862966E-2</v>
      </c>
    </row>
    <row r="1990" spans="1:5" x14ac:dyDescent="0.25">
      <c r="A1990">
        <v>3</v>
      </c>
      <c r="B1990">
        <v>0.73333333333333295</v>
      </c>
      <c r="C1990">
        <f t="shared" si="62"/>
        <v>0.10434071119179973</v>
      </c>
      <c r="D1990">
        <v>15</v>
      </c>
      <c r="E1990">
        <f t="shared" si="63"/>
        <v>2.2991951463379623E-2</v>
      </c>
    </row>
    <row r="1991" spans="1:5" x14ac:dyDescent="0.25">
      <c r="A1991">
        <v>3</v>
      </c>
      <c r="B1991">
        <v>0.74166666666666703</v>
      </c>
      <c r="C1991">
        <f t="shared" si="62"/>
        <v>9.7375095172514942E-2</v>
      </c>
      <c r="D1991">
        <v>15</v>
      </c>
      <c r="E1991">
        <f t="shared" si="63"/>
        <v>2.2991951463379623E-2</v>
      </c>
    </row>
    <row r="1992" spans="1:5" x14ac:dyDescent="0.25">
      <c r="A1992">
        <v>3</v>
      </c>
      <c r="B1992">
        <v>0.74333333333333296</v>
      </c>
      <c r="C1992">
        <f t="shared" si="62"/>
        <v>9.6028441209570561E-2</v>
      </c>
      <c r="D1992">
        <v>15</v>
      </c>
      <c r="E1992">
        <f t="shared" si="63"/>
        <v>2.2991951463379623E-2</v>
      </c>
    </row>
    <row r="1993" spans="1:5" x14ac:dyDescent="0.25">
      <c r="A1993">
        <v>3</v>
      </c>
      <c r="B1993">
        <v>0.74418604651162801</v>
      </c>
      <c r="C1993">
        <f t="shared" si="62"/>
        <v>9.5345348019072046E-2</v>
      </c>
      <c r="D1993">
        <v>15</v>
      </c>
      <c r="E1993">
        <f t="shared" si="63"/>
        <v>2.2991951463379623E-2</v>
      </c>
    </row>
    <row r="1994" spans="1:5" x14ac:dyDescent="0.25">
      <c r="A1994">
        <v>3</v>
      </c>
      <c r="B1994">
        <v>0.746</v>
      </c>
      <c r="C1994">
        <f t="shared" si="62"/>
        <v>9.390540290406571E-2</v>
      </c>
      <c r="D1994">
        <v>15</v>
      </c>
      <c r="E1994">
        <f t="shared" si="63"/>
        <v>2.2991951463379623E-2</v>
      </c>
    </row>
    <row r="1995" spans="1:5" x14ac:dyDescent="0.25">
      <c r="A1995">
        <v>3</v>
      </c>
      <c r="B1995">
        <v>0.746835443037975</v>
      </c>
      <c r="C1995">
        <f t="shared" si="62"/>
        <v>9.3248213692493934E-2</v>
      </c>
      <c r="D1995">
        <v>16</v>
      </c>
      <c r="E1995">
        <f t="shared" si="63"/>
        <v>2.0141853242981605E-2</v>
      </c>
    </row>
    <row r="1996" spans="1:5" x14ac:dyDescent="0.25">
      <c r="A1996">
        <v>3</v>
      </c>
      <c r="B1996">
        <v>0.74766355140186902</v>
      </c>
      <c r="C1996">
        <f t="shared" si="62"/>
        <v>9.2600507734799081E-2</v>
      </c>
      <c r="D1996">
        <v>16</v>
      </c>
      <c r="E1996">
        <f t="shared" si="63"/>
        <v>2.0141853242981605E-2</v>
      </c>
    </row>
    <row r="1997" spans="1:5" x14ac:dyDescent="0.25">
      <c r="A1997">
        <v>3</v>
      </c>
      <c r="B1997">
        <v>0.752</v>
      </c>
      <c r="C1997">
        <f t="shared" si="62"/>
        <v>8.9268559808715675E-2</v>
      </c>
      <c r="D1997">
        <v>16</v>
      </c>
      <c r="E1997">
        <f t="shared" si="63"/>
        <v>2.0141853242981605E-2</v>
      </c>
    </row>
    <row r="1998" spans="1:5" x14ac:dyDescent="0.25">
      <c r="A1998">
        <v>3</v>
      </c>
      <c r="B1998">
        <v>0.75833333333333297</v>
      </c>
      <c r="C1998">
        <f t="shared" si="62"/>
        <v>8.4579514621076712E-2</v>
      </c>
      <c r="D1998">
        <v>16</v>
      </c>
      <c r="E1998">
        <f t="shared" si="63"/>
        <v>2.0141853242981605E-2</v>
      </c>
    </row>
    <row r="1999" spans="1:5" x14ac:dyDescent="0.25">
      <c r="A1999">
        <v>3</v>
      </c>
      <c r="B1999">
        <v>0.76</v>
      </c>
      <c r="C1999">
        <f t="shared" si="62"/>
        <v>8.3379838767570297E-2</v>
      </c>
      <c r="D1999">
        <v>16</v>
      </c>
      <c r="E1999">
        <f t="shared" si="63"/>
        <v>2.0141853242981605E-2</v>
      </c>
    </row>
    <row r="2000" spans="1:5" x14ac:dyDescent="0.25">
      <c r="A2000">
        <v>3</v>
      </c>
      <c r="B2000">
        <v>0.76200000000000001</v>
      </c>
      <c r="C2000">
        <f t="shared" si="62"/>
        <v>8.1958778648230035E-2</v>
      </c>
      <c r="D2000">
        <v>16</v>
      </c>
      <c r="E2000">
        <f t="shared" si="63"/>
        <v>2.0141853242981605E-2</v>
      </c>
    </row>
    <row r="2001" spans="1:5" x14ac:dyDescent="0.25">
      <c r="A2001">
        <v>3</v>
      </c>
      <c r="B2001">
        <v>0.76333333333333298</v>
      </c>
      <c r="C2001">
        <f t="shared" si="62"/>
        <v>8.1022555964794823E-2</v>
      </c>
      <c r="D2001">
        <v>16</v>
      </c>
      <c r="E2001">
        <f t="shared" si="63"/>
        <v>2.0141853242981605E-2</v>
      </c>
    </row>
    <row r="2002" spans="1:5" x14ac:dyDescent="0.25">
      <c r="A2002">
        <v>3</v>
      </c>
      <c r="B2002">
        <v>0.76333333333333298</v>
      </c>
      <c r="C2002">
        <f t="shared" si="62"/>
        <v>8.1022555964794823E-2</v>
      </c>
      <c r="D2002">
        <v>17</v>
      </c>
      <c r="E2002">
        <f t="shared" si="63"/>
        <v>1.7430625930398881E-2</v>
      </c>
    </row>
    <row r="2003" spans="1:5" x14ac:dyDescent="0.25">
      <c r="A2003">
        <v>3</v>
      </c>
      <c r="B2003">
        <v>0.78787878787878796</v>
      </c>
      <c r="C2003">
        <f t="shared" si="62"/>
        <v>6.5308246368437073E-2</v>
      </c>
      <c r="D2003">
        <v>17</v>
      </c>
      <c r="E2003">
        <f t="shared" si="63"/>
        <v>1.7430625930398881E-2</v>
      </c>
    </row>
    <row r="2004" spans="1:5" x14ac:dyDescent="0.25">
      <c r="A2004">
        <v>3</v>
      </c>
      <c r="B2004">
        <v>0.78800000000000003</v>
      </c>
      <c r="C2004">
        <f t="shared" si="62"/>
        <v>6.5237485113950971E-2</v>
      </c>
      <c r="D2004">
        <v>17</v>
      </c>
      <c r="E2004">
        <f t="shared" si="63"/>
        <v>1.7430625930398881E-2</v>
      </c>
    </row>
    <row r="2005" spans="1:5" x14ac:dyDescent="0.25">
      <c r="A2005">
        <v>3</v>
      </c>
      <c r="B2005">
        <v>0.793333333333333</v>
      </c>
      <c r="C2005">
        <f t="shared" si="62"/>
        <v>6.2187020210414369E-2</v>
      </c>
      <c r="D2005">
        <v>18</v>
      </c>
      <c r="E2005">
        <f t="shared" si="63"/>
        <v>1.4901037255941956E-2</v>
      </c>
    </row>
    <row r="2006" spans="1:5" x14ac:dyDescent="0.25">
      <c r="A2006">
        <v>3</v>
      </c>
      <c r="B2006">
        <v>0.796875</v>
      </c>
      <c r="C2006">
        <f t="shared" si="62"/>
        <v>6.0228299480763497E-2</v>
      </c>
      <c r="D2006">
        <v>18</v>
      </c>
      <c r="E2006">
        <f t="shared" si="63"/>
        <v>1.4901037255941956E-2</v>
      </c>
    </row>
    <row r="2007" spans="1:5" x14ac:dyDescent="0.25">
      <c r="A2007">
        <v>3</v>
      </c>
      <c r="B2007">
        <v>0.80147058823529405</v>
      </c>
      <c r="C2007">
        <f t="shared" si="62"/>
        <v>5.776440292138204E-2</v>
      </c>
      <c r="D2007">
        <v>18</v>
      </c>
      <c r="E2007">
        <f t="shared" si="63"/>
        <v>1.4901037255941956E-2</v>
      </c>
    </row>
    <row r="2008" spans="1:5" x14ac:dyDescent="0.25">
      <c r="A2008">
        <v>3</v>
      </c>
      <c r="B2008">
        <v>0.80400000000000005</v>
      </c>
      <c r="C2008">
        <f t="shared" si="62"/>
        <v>5.6444965926593094E-2</v>
      </c>
      <c r="D2008">
        <v>18</v>
      </c>
      <c r="E2008">
        <f t="shared" si="63"/>
        <v>1.4901037255941956E-2</v>
      </c>
    </row>
    <row r="2009" spans="1:5" x14ac:dyDescent="0.25">
      <c r="A2009">
        <v>3</v>
      </c>
      <c r="B2009">
        <v>0.80412371134020599</v>
      </c>
      <c r="C2009">
        <f t="shared" si="62"/>
        <v>5.6381092385989165E-2</v>
      </c>
      <c r="D2009">
        <v>18</v>
      </c>
      <c r="E2009">
        <f t="shared" si="63"/>
        <v>1.4901037255941956E-2</v>
      </c>
    </row>
    <row r="2010" spans="1:5" x14ac:dyDescent="0.25">
      <c r="A2010">
        <v>3</v>
      </c>
      <c r="B2010">
        <v>0.80519480519480502</v>
      </c>
      <c r="C2010">
        <f t="shared" si="62"/>
        <v>5.5830625663148795E-2</v>
      </c>
      <c r="D2010">
        <v>19</v>
      </c>
      <c r="E2010">
        <f t="shared" si="63"/>
        <v>1.258374706966439E-2</v>
      </c>
    </row>
    <row r="2011" spans="1:5" x14ac:dyDescent="0.25">
      <c r="A2011">
        <v>3</v>
      </c>
      <c r="B2011">
        <v>0.80800000000000005</v>
      </c>
      <c r="C2011">
        <f t="shared" si="62"/>
        <v>5.4410460463427936E-2</v>
      </c>
      <c r="D2011">
        <v>19</v>
      </c>
      <c r="E2011">
        <f t="shared" si="63"/>
        <v>1.258374706966439E-2</v>
      </c>
    </row>
    <row r="2012" spans="1:5" x14ac:dyDescent="0.25">
      <c r="A2012">
        <v>3</v>
      </c>
      <c r="B2012">
        <v>0.81200000000000006</v>
      </c>
      <c r="C2012">
        <f t="shared" si="62"/>
        <v>5.2438427680265284E-2</v>
      </c>
      <c r="D2012">
        <v>19</v>
      </c>
      <c r="E2012">
        <f t="shared" si="63"/>
        <v>1.258374706966439E-2</v>
      </c>
    </row>
    <row r="2013" spans="1:5" x14ac:dyDescent="0.25">
      <c r="A2013">
        <v>3</v>
      </c>
      <c r="B2013">
        <v>0.82133333333333303</v>
      </c>
      <c r="C2013">
        <f t="shared" si="62"/>
        <v>4.8071782089004388E-2</v>
      </c>
      <c r="D2013">
        <v>20</v>
      </c>
      <c r="E2013">
        <f t="shared" si="63"/>
        <v>1.0497682237421797E-2</v>
      </c>
    </row>
    <row r="2014" spans="1:5" x14ac:dyDescent="0.25">
      <c r="A2014">
        <v>3</v>
      </c>
      <c r="B2014">
        <v>0.82533333333333303</v>
      </c>
      <c r="C2014">
        <f t="shared" si="62"/>
        <v>4.6297520103485354E-2</v>
      </c>
      <c r="D2014">
        <v>20</v>
      </c>
      <c r="E2014">
        <f t="shared" si="63"/>
        <v>1.0497682237421797E-2</v>
      </c>
    </row>
    <row r="2015" spans="1:5" x14ac:dyDescent="0.25">
      <c r="A2015">
        <v>3</v>
      </c>
      <c r="B2015">
        <v>0.86153846153846203</v>
      </c>
      <c r="C2015">
        <f t="shared" si="62"/>
        <v>3.2631506554618918E-2</v>
      </c>
      <c r="D2015">
        <v>21</v>
      </c>
      <c r="E2015">
        <f t="shared" si="63"/>
        <v>8.6510102579285004E-3</v>
      </c>
    </row>
    <row r="2016" spans="1:5" x14ac:dyDescent="0.25">
      <c r="A2016">
        <v>3</v>
      </c>
      <c r="B2016">
        <v>0.86399999999999999</v>
      </c>
      <c r="C2016">
        <f t="shared" si="62"/>
        <v>3.1844964802194412E-2</v>
      </c>
      <c r="D2016">
        <v>22</v>
      </c>
      <c r="E2016">
        <f t="shared" si="63"/>
        <v>7.0425541271687524E-3</v>
      </c>
    </row>
    <row r="2017" spans="1:5" x14ac:dyDescent="0.25">
      <c r="A2017">
        <v>3</v>
      </c>
      <c r="B2017">
        <v>1</v>
      </c>
      <c r="C2017">
        <f t="shared" si="62"/>
        <v>7.3227519836332206E-3</v>
      </c>
      <c r="D2017">
        <v>22</v>
      </c>
      <c r="E2017">
        <f t="shared" si="63"/>
        <v>7.0425541271687524E-3</v>
      </c>
    </row>
    <row r="2018" spans="1:5" x14ac:dyDescent="0.25">
      <c r="A2018">
        <v>3</v>
      </c>
      <c r="B2018">
        <v>1</v>
      </c>
      <c r="C2018">
        <f t="shared" si="62"/>
        <v>7.3227519836332206E-3</v>
      </c>
      <c r="D2018">
        <v>22</v>
      </c>
      <c r="E2018">
        <f t="shared" si="63"/>
        <v>7.0425541271687524E-3</v>
      </c>
    </row>
    <row r="2019" spans="1:5" x14ac:dyDescent="0.25">
      <c r="A2019">
        <v>3</v>
      </c>
      <c r="B2019">
        <v>1</v>
      </c>
      <c r="C2019">
        <f t="shared" si="62"/>
        <v>7.3227519836332206E-3</v>
      </c>
      <c r="D2019">
        <v>22</v>
      </c>
      <c r="E2019">
        <f t="shared" si="63"/>
        <v>7.0425541271687524E-3</v>
      </c>
    </row>
    <row r="2020" spans="1:5" x14ac:dyDescent="0.25">
      <c r="A2020">
        <v>3</v>
      </c>
      <c r="B2020">
        <v>1</v>
      </c>
      <c r="C2020">
        <f t="shared" si="62"/>
        <v>7.3227519836332206E-3</v>
      </c>
      <c r="D2020">
        <v>23</v>
      </c>
      <c r="E2020">
        <f t="shared" si="63"/>
        <v>5.6634819707533273E-3</v>
      </c>
    </row>
    <row r="2021" spans="1:5" x14ac:dyDescent="0.25">
      <c r="A2021">
        <v>3</v>
      </c>
      <c r="B2021">
        <v>1</v>
      </c>
      <c r="C2021">
        <f t="shared" si="62"/>
        <v>7.3227519836332206E-3</v>
      </c>
      <c r="D2021">
        <v>23</v>
      </c>
      <c r="E2021">
        <f t="shared" si="63"/>
        <v>5.6634819707533273E-3</v>
      </c>
    </row>
    <row r="2022" spans="1:5" x14ac:dyDescent="0.25">
      <c r="A2022">
        <v>3</v>
      </c>
      <c r="B2022">
        <v>1</v>
      </c>
      <c r="C2022">
        <f t="shared" si="62"/>
        <v>7.3227519836332206E-3</v>
      </c>
      <c r="D2022">
        <v>24</v>
      </c>
      <c r="E2022">
        <f t="shared" si="63"/>
        <v>4.4991120905358128E-3</v>
      </c>
    </row>
    <row r="2023" spans="1:5" x14ac:dyDescent="0.25">
      <c r="A2023">
        <v>3</v>
      </c>
      <c r="B2023">
        <v>1</v>
      </c>
      <c r="C2023">
        <f t="shared" si="62"/>
        <v>7.3227519836332206E-3</v>
      </c>
      <c r="D2023">
        <v>24</v>
      </c>
      <c r="E2023">
        <f t="shared" si="63"/>
        <v>4.4991120905358128E-3</v>
      </c>
    </row>
    <row r="2024" spans="1:5" x14ac:dyDescent="0.25">
      <c r="A2024">
        <v>3</v>
      </c>
      <c r="B2024">
        <v>1</v>
      </c>
      <c r="C2024">
        <f t="shared" si="62"/>
        <v>7.3227519836332206E-3</v>
      </c>
      <c r="D2024">
        <v>25</v>
      </c>
      <c r="E2024">
        <f t="shared" si="63"/>
        <v>3.5306938936925185E-3</v>
      </c>
    </row>
    <row r="2025" spans="1:5" x14ac:dyDescent="0.25">
      <c r="A2025">
        <v>3</v>
      </c>
      <c r="B2025">
        <v>1</v>
      </c>
      <c r="C2025">
        <f t="shared" si="62"/>
        <v>7.3227519836332206E-3</v>
      </c>
      <c r="D2025">
        <v>25</v>
      </c>
      <c r="E2025">
        <f t="shared" si="63"/>
        <v>3.5306938936925185E-3</v>
      </c>
    </row>
    <row r="2026" spans="1:5" x14ac:dyDescent="0.25">
      <c r="A2026">
        <v>3</v>
      </c>
      <c r="B2026">
        <v>1</v>
      </c>
      <c r="C2026">
        <f t="shared" si="62"/>
        <v>7.3227519836332206E-3</v>
      </c>
      <c r="D2026">
        <v>25</v>
      </c>
      <c r="E2026">
        <f t="shared" si="63"/>
        <v>3.5306938936925185E-3</v>
      </c>
    </row>
    <row r="2027" spans="1:5" x14ac:dyDescent="0.25">
      <c r="A2027">
        <v>3</v>
      </c>
      <c r="B2027">
        <v>1</v>
      </c>
      <c r="C2027">
        <f t="shared" si="62"/>
        <v>7.3227519836332206E-3</v>
      </c>
      <c r="D2027">
        <v>26</v>
      </c>
      <c r="E2027">
        <f t="shared" si="63"/>
        <v>2.7370534709413572E-3</v>
      </c>
    </row>
    <row r="2028" spans="1:5" x14ac:dyDescent="0.25">
      <c r="A2028">
        <v>3</v>
      </c>
      <c r="B2028">
        <v>1</v>
      </c>
      <c r="C2028">
        <f t="shared" si="62"/>
        <v>7.3227519836332206E-3</v>
      </c>
      <c r="D2028">
        <v>27</v>
      </c>
      <c r="E2028">
        <f t="shared" si="63"/>
        <v>2.0960250054240345E-3</v>
      </c>
    </row>
    <row r="2029" spans="1:5" x14ac:dyDescent="0.25">
      <c r="A2029">
        <v>3</v>
      </c>
      <c r="B2029">
        <v>1</v>
      </c>
      <c r="C2029">
        <f t="shared" si="62"/>
        <v>7.3227519836332206E-3</v>
      </c>
      <c r="D2029">
        <v>28</v>
      </c>
      <c r="E2029">
        <f t="shared" si="63"/>
        <v>1.58562176766976E-3</v>
      </c>
    </row>
    <row r="2030" spans="1:5" x14ac:dyDescent="0.25">
      <c r="A2030">
        <v>3</v>
      </c>
      <c r="B2030">
        <v>1</v>
      </c>
      <c r="C2030">
        <f t="shared" si="62"/>
        <v>7.3227519836332206E-3</v>
      </c>
      <c r="D2030">
        <v>28</v>
      </c>
      <c r="E2030">
        <f t="shared" si="63"/>
        <v>1.58562176766976E-3</v>
      </c>
    </row>
    <row r="2031" spans="1:5" x14ac:dyDescent="0.25">
      <c r="A2031">
        <v>3</v>
      </c>
      <c r="B2031">
        <v>1</v>
      </c>
      <c r="C2031">
        <f t="shared" si="62"/>
        <v>7.3227519836332206E-3</v>
      </c>
      <c r="D2031">
        <v>28</v>
      </c>
      <c r="E2031">
        <f t="shared" si="63"/>
        <v>1.58562176766976E-3</v>
      </c>
    </row>
    <row r="2032" spans="1:5" x14ac:dyDescent="0.25">
      <c r="A2032">
        <v>3</v>
      </c>
      <c r="B2032">
        <v>1</v>
      </c>
      <c r="C2032">
        <f t="shared" si="62"/>
        <v>7.3227519836332206E-3</v>
      </c>
      <c r="D2032">
        <v>29</v>
      </c>
      <c r="E2032">
        <f t="shared" si="63"/>
        <v>1.1849300169004726E-3</v>
      </c>
    </row>
    <row r="2033" spans="1:5" x14ac:dyDescent="0.25">
      <c r="A2033">
        <v>3</v>
      </c>
      <c r="B2033">
        <v>1</v>
      </c>
      <c r="C2033">
        <f t="shared" si="62"/>
        <v>7.3227519836332206E-3</v>
      </c>
      <c r="D2033">
        <v>31</v>
      </c>
      <c r="E2033">
        <f t="shared" si="63"/>
        <v>6.3789440345330306E-4</v>
      </c>
    </row>
    <row r="2034" spans="1:5" x14ac:dyDescent="0.25">
      <c r="A2034">
        <v>3</v>
      </c>
      <c r="B2034">
        <v>1</v>
      </c>
      <c r="C2034">
        <f t="shared" si="62"/>
        <v>7.3227519836332206E-3</v>
      </c>
      <c r="D2034">
        <v>31</v>
      </c>
      <c r="E2034">
        <f t="shared" si="63"/>
        <v>6.3789440345330306E-4</v>
      </c>
    </row>
    <row r="2035" spans="1:5" x14ac:dyDescent="0.25">
      <c r="A2035">
        <v>3</v>
      </c>
      <c r="B2035">
        <v>1</v>
      </c>
      <c r="C2035">
        <f t="shared" si="62"/>
        <v>7.3227519836332206E-3</v>
      </c>
      <c r="D2035">
        <v>31</v>
      </c>
      <c r="E2035">
        <f t="shared" si="63"/>
        <v>6.3789440345330306E-4</v>
      </c>
    </row>
    <row r="2036" spans="1:5" x14ac:dyDescent="0.25">
      <c r="A2036">
        <v>3</v>
      </c>
      <c r="B2036">
        <v>1</v>
      </c>
      <c r="C2036">
        <f t="shared" si="62"/>
        <v>7.3227519836332206E-3</v>
      </c>
      <c r="D2036">
        <v>32</v>
      </c>
      <c r="E2036">
        <f t="shared" si="63"/>
        <v>4.5952779000109307E-4</v>
      </c>
    </row>
    <row r="2037" spans="1:5" x14ac:dyDescent="0.25">
      <c r="A2037">
        <v>3</v>
      </c>
      <c r="B2037">
        <v>1</v>
      </c>
      <c r="C2037">
        <f t="shared" si="62"/>
        <v>7.3227519836332206E-3</v>
      </c>
      <c r="D2037">
        <v>32</v>
      </c>
      <c r="E2037">
        <f t="shared" si="63"/>
        <v>4.5952779000109307E-4</v>
      </c>
    </row>
    <row r="2038" spans="1:5" x14ac:dyDescent="0.25">
      <c r="A2038">
        <v>3</v>
      </c>
      <c r="B2038">
        <v>1</v>
      </c>
      <c r="C2038">
        <f t="shared" si="62"/>
        <v>7.3227519836332206E-3</v>
      </c>
      <c r="D2038">
        <v>32</v>
      </c>
      <c r="E2038">
        <f t="shared" si="63"/>
        <v>4.5952779000109307E-4</v>
      </c>
    </row>
    <row r="2039" spans="1:5" x14ac:dyDescent="0.25">
      <c r="A2039">
        <v>3</v>
      </c>
      <c r="B2039">
        <v>1</v>
      </c>
      <c r="C2039">
        <f t="shared" si="62"/>
        <v>7.3227519836332206E-3</v>
      </c>
      <c r="D2039">
        <v>32</v>
      </c>
      <c r="E2039">
        <f t="shared" si="63"/>
        <v>4.5952779000109307E-4</v>
      </c>
    </row>
    <row r="2040" spans="1:5" x14ac:dyDescent="0.25">
      <c r="A2040">
        <v>3</v>
      </c>
      <c r="B2040">
        <v>1</v>
      </c>
      <c r="C2040">
        <f t="shared" si="62"/>
        <v>7.3227519836332206E-3</v>
      </c>
      <c r="D2040">
        <v>32</v>
      </c>
      <c r="E2040">
        <f t="shared" si="63"/>
        <v>4.5952779000109307E-4</v>
      </c>
    </row>
    <row r="2041" spans="1:5" x14ac:dyDescent="0.25">
      <c r="A2041">
        <v>3</v>
      </c>
      <c r="B2041">
        <v>1</v>
      </c>
      <c r="C2041">
        <f t="shared" si="62"/>
        <v>7.3227519836332206E-3</v>
      </c>
      <c r="D2041">
        <v>33</v>
      </c>
      <c r="E2041">
        <f t="shared" si="63"/>
        <v>3.2701278428934219E-4</v>
      </c>
    </row>
    <row r="2042" spans="1:5" x14ac:dyDescent="0.25">
      <c r="A2042">
        <v>3</v>
      </c>
      <c r="B2042">
        <v>1</v>
      </c>
      <c r="C2042">
        <f t="shared" si="62"/>
        <v>7.3227519836332206E-3</v>
      </c>
      <c r="D2042">
        <v>33</v>
      </c>
      <c r="E2042">
        <f t="shared" si="63"/>
        <v>3.2701278428934219E-4</v>
      </c>
    </row>
    <row r="2043" spans="1:5" x14ac:dyDescent="0.25">
      <c r="A2043">
        <v>3</v>
      </c>
      <c r="B2043">
        <v>1</v>
      </c>
      <c r="C2043">
        <f t="shared" si="62"/>
        <v>7.3227519836332206E-3</v>
      </c>
      <c r="D2043">
        <v>34</v>
      </c>
      <c r="E2043">
        <f t="shared" si="63"/>
        <v>2.2988341727972773E-4</v>
      </c>
    </row>
    <row r="2044" spans="1:5" x14ac:dyDescent="0.25">
      <c r="A2044">
        <v>3</v>
      </c>
      <c r="B2044">
        <v>1</v>
      </c>
      <c r="C2044">
        <f t="shared" si="62"/>
        <v>7.3227519836332206E-3</v>
      </c>
      <c r="D2044">
        <v>34</v>
      </c>
      <c r="E2044">
        <f t="shared" si="63"/>
        <v>2.2988341727972773E-4</v>
      </c>
    </row>
    <row r="2045" spans="1:5" x14ac:dyDescent="0.25">
      <c r="A2045">
        <v>3</v>
      </c>
      <c r="B2045">
        <v>1</v>
      </c>
      <c r="C2045">
        <f t="shared" si="62"/>
        <v>7.3227519836332206E-3</v>
      </c>
      <c r="D2045">
        <v>34</v>
      </c>
      <c r="E2045">
        <f t="shared" si="63"/>
        <v>2.2988341727972773E-4</v>
      </c>
    </row>
    <row r="2046" spans="1:5" x14ac:dyDescent="0.25">
      <c r="A2046">
        <v>3</v>
      </c>
      <c r="B2046">
        <v>1</v>
      </c>
      <c r="C2046">
        <f t="shared" si="62"/>
        <v>7.3227519836332206E-3</v>
      </c>
      <c r="D2046">
        <v>35</v>
      </c>
      <c r="E2046">
        <f t="shared" si="63"/>
        <v>1.5963955910390737E-4</v>
      </c>
    </row>
    <row r="2047" spans="1:5" x14ac:dyDescent="0.25">
      <c r="A2047">
        <v>3</v>
      </c>
      <c r="B2047">
        <v>1</v>
      </c>
      <c r="C2047">
        <f t="shared" si="62"/>
        <v>7.3227519836332206E-3</v>
      </c>
      <c r="D2047">
        <v>35</v>
      </c>
      <c r="E2047">
        <f t="shared" si="63"/>
        <v>1.5963955910390737E-4</v>
      </c>
    </row>
    <row r="2048" spans="1:5" x14ac:dyDescent="0.25">
      <c r="A2048">
        <v>3</v>
      </c>
      <c r="B2048">
        <v>1</v>
      </c>
      <c r="C2048">
        <f t="shared" si="62"/>
        <v>7.3227519836332206E-3</v>
      </c>
      <c r="D2048">
        <v>36</v>
      </c>
      <c r="E2048">
        <f t="shared" si="63"/>
        <v>1.0951241522028164E-4</v>
      </c>
    </row>
    <row r="2049" spans="1:5" x14ac:dyDescent="0.25">
      <c r="A2049">
        <v>3</v>
      </c>
      <c r="B2049">
        <v>1</v>
      </c>
      <c r="C2049">
        <f t="shared" si="62"/>
        <v>7.3227519836332206E-3</v>
      </c>
      <c r="D2049">
        <v>36</v>
      </c>
      <c r="E2049">
        <f t="shared" si="63"/>
        <v>1.0951241522028164E-4</v>
      </c>
    </row>
    <row r="2050" spans="1:5" x14ac:dyDescent="0.25">
      <c r="A2050">
        <v>3</v>
      </c>
      <c r="B2050">
        <v>1</v>
      </c>
      <c r="C2050">
        <f t="shared" ref="C2050:C2096" si="64">_xlfn.NORM.DIST(B2050, I$10,I$13,FALSE)</f>
        <v>7.3227519836332206E-3</v>
      </c>
      <c r="D2050">
        <v>37</v>
      </c>
      <c r="E2050">
        <f t="shared" si="63"/>
        <v>7.4212345330149757E-5</v>
      </c>
    </row>
    <row r="2051" spans="1:5" x14ac:dyDescent="0.25">
      <c r="A2051">
        <v>3</v>
      </c>
      <c r="B2051">
        <v>1</v>
      </c>
      <c r="C2051">
        <f t="shared" si="64"/>
        <v>7.3227519836332206E-3</v>
      </c>
      <c r="D2051">
        <v>37</v>
      </c>
      <c r="E2051">
        <f t="shared" ref="E2051:E2096" si="65">_xlfn.NORM.DIST(D2051, I$4,I$7,FALSE)</f>
        <v>7.4212345330149757E-5</v>
      </c>
    </row>
    <row r="2052" spans="1:5" x14ac:dyDescent="0.25">
      <c r="A2052">
        <v>3</v>
      </c>
      <c r="B2052">
        <v>1</v>
      </c>
      <c r="C2052">
        <f t="shared" si="64"/>
        <v>7.3227519836332206E-3</v>
      </c>
      <c r="D2052">
        <v>37</v>
      </c>
      <c r="E2052">
        <f t="shared" si="65"/>
        <v>7.4212345330149757E-5</v>
      </c>
    </row>
    <row r="2053" spans="1:5" x14ac:dyDescent="0.25">
      <c r="A2053">
        <v>3</v>
      </c>
      <c r="B2053">
        <v>1</v>
      </c>
      <c r="C2053">
        <f t="shared" si="64"/>
        <v>7.3227519836332206E-3</v>
      </c>
      <c r="D2053">
        <v>38</v>
      </c>
      <c r="E2053">
        <f t="shared" si="65"/>
        <v>4.967969474547441E-5</v>
      </c>
    </row>
    <row r="2054" spans="1:5" x14ac:dyDescent="0.25">
      <c r="A2054">
        <v>3</v>
      </c>
      <c r="B2054">
        <v>1</v>
      </c>
      <c r="C2054">
        <f t="shared" si="64"/>
        <v>7.3227519836332206E-3</v>
      </c>
      <c r="D2054">
        <v>38</v>
      </c>
      <c r="E2054">
        <f t="shared" si="65"/>
        <v>4.967969474547441E-5</v>
      </c>
    </row>
    <row r="2055" spans="1:5" x14ac:dyDescent="0.25">
      <c r="A2055">
        <v>3</v>
      </c>
      <c r="B2055">
        <v>1</v>
      </c>
      <c r="C2055">
        <f t="shared" si="64"/>
        <v>7.3227519836332206E-3</v>
      </c>
      <c r="D2055">
        <v>39</v>
      </c>
      <c r="E2055">
        <f t="shared" si="65"/>
        <v>3.2852743488403618E-5</v>
      </c>
    </row>
    <row r="2056" spans="1:5" x14ac:dyDescent="0.25">
      <c r="A2056">
        <v>3</v>
      </c>
      <c r="B2056">
        <v>1</v>
      </c>
      <c r="C2056">
        <f t="shared" si="64"/>
        <v>7.3227519836332206E-3</v>
      </c>
      <c r="D2056">
        <v>40</v>
      </c>
      <c r="E2056">
        <f t="shared" si="65"/>
        <v>2.1461216170201131E-5</v>
      </c>
    </row>
    <row r="2057" spans="1:5" x14ac:dyDescent="0.25">
      <c r="A2057">
        <v>3</v>
      </c>
      <c r="B2057">
        <v>1</v>
      </c>
      <c r="C2057">
        <f t="shared" si="64"/>
        <v>7.3227519836332206E-3</v>
      </c>
      <c r="D2057">
        <v>40</v>
      </c>
      <c r="E2057">
        <f t="shared" si="65"/>
        <v>2.1461216170201131E-5</v>
      </c>
    </row>
    <row r="2058" spans="1:5" x14ac:dyDescent="0.25">
      <c r="A2058">
        <v>3</v>
      </c>
      <c r="B2058">
        <v>1</v>
      </c>
      <c r="C2058">
        <f t="shared" si="64"/>
        <v>7.3227519836332206E-3</v>
      </c>
      <c r="D2058">
        <v>40</v>
      </c>
      <c r="E2058">
        <f t="shared" si="65"/>
        <v>2.1461216170201131E-5</v>
      </c>
    </row>
    <row r="2059" spans="1:5" x14ac:dyDescent="0.25">
      <c r="A2059">
        <v>3</v>
      </c>
      <c r="B2059">
        <v>1</v>
      </c>
      <c r="C2059">
        <f t="shared" si="64"/>
        <v>7.3227519836332206E-3</v>
      </c>
      <c r="D2059">
        <v>40</v>
      </c>
      <c r="E2059">
        <f t="shared" si="65"/>
        <v>2.1461216170201131E-5</v>
      </c>
    </row>
    <row r="2060" spans="1:5" x14ac:dyDescent="0.25">
      <c r="A2060">
        <v>3</v>
      </c>
      <c r="B2060">
        <v>1</v>
      </c>
      <c r="C2060">
        <f t="shared" si="64"/>
        <v>7.3227519836332206E-3</v>
      </c>
      <c r="D2060">
        <v>42</v>
      </c>
      <c r="E2060">
        <f t="shared" si="65"/>
        <v>8.8285542139106793E-6</v>
      </c>
    </row>
    <row r="2061" spans="1:5" x14ac:dyDescent="0.25">
      <c r="A2061">
        <v>3</v>
      </c>
      <c r="B2061">
        <v>1</v>
      </c>
      <c r="C2061">
        <f t="shared" si="64"/>
        <v>7.3227519836332206E-3</v>
      </c>
      <c r="D2061">
        <v>43</v>
      </c>
      <c r="E2061">
        <f t="shared" si="65"/>
        <v>5.5595822689027657E-6</v>
      </c>
    </row>
    <row r="2062" spans="1:5" x14ac:dyDescent="0.25">
      <c r="A2062">
        <v>3</v>
      </c>
      <c r="B2062">
        <v>1</v>
      </c>
      <c r="C2062">
        <f t="shared" si="64"/>
        <v>7.3227519836332206E-3</v>
      </c>
      <c r="D2062">
        <v>44</v>
      </c>
      <c r="E2062">
        <f t="shared" si="65"/>
        <v>3.4584754428226342E-6</v>
      </c>
    </row>
    <row r="2063" spans="1:5" x14ac:dyDescent="0.25">
      <c r="A2063">
        <v>3</v>
      </c>
      <c r="B2063">
        <v>1</v>
      </c>
      <c r="C2063">
        <f t="shared" si="64"/>
        <v>7.3227519836332206E-3</v>
      </c>
      <c r="D2063">
        <v>45</v>
      </c>
      <c r="E2063">
        <f t="shared" si="65"/>
        <v>2.1252850811158493E-6</v>
      </c>
    </row>
    <row r="2064" spans="1:5" x14ac:dyDescent="0.25">
      <c r="A2064">
        <v>3</v>
      </c>
      <c r="B2064">
        <v>1</v>
      </c>
      <c r="C2064">
        <f t="shared" si="64"/>
        <v>7.3227519836332206E-3</v>
      </c>
      <c r="D2064">
        <v>45</v>
      </c>
      <c r="E2064">
        <f t="shared" si="65"/>
        <v>2.1252850811158493E-6</v>
      </c>
    </row>
    <row r="2065" spans="1:5" x14ac:dyDescent="0.25">
      <c r="A2065">
        <v>3</v>
      </c>
      <c r="B2065">
        <v>1</v>
      </c>
      <c r="C2065">
        <f t="shared" si="64"/>
        <v>7.3227519836332206E-3</v>
      </c>
      <c r="D2065">
        <v>46</v>
      </c>
      <c r="E2065">
        <f t="shared" si="65"/>
        <v>1.2901483555010256E-6</v>
      </c>
    </row>
    <row r="2066" spans="1:5" x14ac:dyDescent="0.25">
      <c r="A2066">
        <v>3</v>
      </c>
      <c r="B2066">
        <v>1</v>
      </c>
      <c r="C2066">
        <f t="shared" si="64"/>
        <v>7.3227519836332206E-3</v>
      </c>
      <c r="D2066">
        <v>46</v>
      </c>
      <c r="E2066">
        <f t="shared" si="65"/>
        <v>1.2901483555010256E-6</v>
      </c>
    </row>
    <row r="2067" spans="1:5" x14ac:dyDescent="0.25">
      <c r="A2067">
        <v>3</v>
      </c>
      <c r="B2067">
        <v>1</v>
      </c>
      <c r="C2067">
        <f t="shared" si="64"/>
        <v>7.3227519836332206E-3</v>
      </c>
      <c r="D2067">
        <v>47</v>
      </c>
      <c r="E2067">
        <f t="shared" si="65"/>
        <v>7.7366344076543556E-7</v>
      </c>
    </row>
    <row r="2068" spans="1:5" x14ac:dyDescent="0.25">
      <c r="A2068">
        <v>3</v>
      </c>
      <c r="B2068">
        <v>1</v>
      </c>
      <c r="C2068">
        <f t="shared" si="64"/>
        <v>7.3227519836332206E-3</v>
      </c>
      <c r="D2068">
        <v>49</v>
      </c>
      <c r="E2068">
        <f t="shared" si="65"/>
        <v>2.6819260890031762E-7</v>
      </c>
    </row>
    <row r="2069" spans="1:5" x14ac:dyDescent="0.25">
      <c r="A2069">
        <v>3</v>
      </c>
      <c r="B2069">
        <v>1</v>
      </c>
      <c r="C2069">
        <f t="shared" si="64"/>
        <v>7.3227519836332206E-3</v>
      </c>
      <c r="D2069">
        <v>50</v>
      </c>
      <c r="E2069">
        <f t="shared" si="65"/>
        <v>1.5503477144639041E-7</v>
      </c>
    </row>
    <row r="2070" spans="1:5" x14ac:dyDescent="0.25">
      <c r="A2070">
        <v>3</v>
      </c>
      <c r="B2070">
        <v>1</v>
      </c>
      <c r="C2070">
        <f t="shared" si="64"/>
        <v>7.3227519836332206E-3</v>
      </c>
      <c r="D2070">
        <v>51</v>
      </c>
      <c r="E2070">
        <f t="shared" si="65"/>
        <v>8.8532225986864558E-8</v>
      </c>
    </row>
    <row r="2071" spans="1:5" x14ac:dyDescent="0.25">
      <c r="A2071">
        <v>3</v>
      </c>
      <c r="B2071">
        <v>1</v>
      </c>
      <c r="C2071">
        <f t="shared" si="64"/>
        <v>7.3227519836332206E-3</v>
      </c>
      <c r="D2071">
        <v>51</v>
      </c>
      <c r="E2071">
        <f t="shared" si="65"/>
        <v>8.8532225986864558E-8</v>
      </c>
    </row>
    <row r="2072" spans="1:5" x14ac:dyDescent="0.25">
      <c r="A2072">
        <v>3</v>
      </c>
      <c r="B2072">
        <v>1</v>
      </c>
      <c r="C2072">
        <f t="shared" si="64"/>
        <v>7.3227519836332206E-3</v>
      </c>
      <c r="D2072">
        <v>53</v>
      </c>
      <c r="E2072">
        <f t="shared" si="65"/>
        <v>2.7830166954202026E-8</v>
      </c>
    </row>
    <row r="2073" spans="1:5" x14ac:dyDescent="0.25">
      <c r="A2073">
        <v>3</v>
      </c>
      <c r="B2073">
        <v>1</v>
      </c>
      <c r="C2073">
        <f t="shared" si="64"/>
        <v>7.3227519836332206E-3</v>
      </c>
      <c r="D2073">
        <v>53</v>
      </c>
      <c r="E2073">
        <f t="shared" si="65"/>
        <v>2.7830166954202026E-8</v>
      </c>
    </row>
    <row r="2074" spans="1:5" x14ac:dyDescent="0.25">
      <c r="A2074">
        <v>3</v>
      </c>
      <c r="B2074">
        <v>1</v>
      </c>
      <c r="C2074">
        <f t="shared" si="64"/>
        <v>7.3227519836332206E-3</v>
      </c>
      <c r="D2074">
        <v>53</v>
      </c>
      <c r="E2074">
        <f t="shared" si="65"/>
        <v>2.7830166954202026E-8</v>
      </c>
    </row>
    <row r="2075" spans="1:5" x14ac:dyDescent="0.25">
      <c r="A2075">
        <v>3</v>
      </c>
      <c r="B2075">
        <v>1</v>
      </c>
      <c r="C2075">
        <f t="shared" si="64"/>
        <v>7.3227519836332206E-3</v>
      </c>
      <c r="D2075">
        <v>54</v>
      </c>
      <c r="E2075">
        <f t="shared" si="65"/>
        <v>1.5319971906072922E-8</v>
      </c>
    </row>
    <row r="2076" spans="1:5" x14ac:dyDescent="0.25">
      <c r="A2076">
        <v>3</v>
      </c>
      <c r="B2076">
        <v>1</v>
      </c>
      <c r="C2076">
        <f t="shared" si="64"/>
        <v>7.3227519836332206E-3</v>
      </c>
      <c r="D2076">
        <v>54</v>
      </c>
      <c r="E2076">
        <f t="shared" si="65"/>
        <v>1.5319971906072922E-8</v>
      </c>
    </row>
    <row r="2077" spans="1:5" x14ac:dyDescent="0.25">
      <c r="A2077">
        <v>3</v>
      </c>
      <c r="B2077">
        <v>1</v>
      </c>
      <c r="C2077">
        <f t="shared" si="64"/>
        <v>7.3227519836332206E-3</v>
      </c>
      <c r="D2077">
        <v>56</v>
      </c>
      <c r="E2077">
        <f t="shared" si="65"/>
        <v>4.4751971236349675E-9</v>
      </c>
    </row>
    <row r="2078" spans="1:5" x14ac:dyDescent="0.25">
      <c r="A2078">
        <v>3</v>
      </c>
      <c r="B2078">
        <v>1</v>
      </c>
      <c r="C2078">
        <f t="shared" si="64"/>
        <v>7.3227519836332206E-3</v>
      </c>
      <c r="D2078">
        <v>57</v>
      </c>
      <c r="E2078">
        <f t="shared" si="65"/>
        <v>2.3747845439810184E-9</v>
      </c>
    </row>
    <row r="2079" spans="1:5" x14ac:dyDescent="0.25">
      <c r="A2079">
        <v>3</v>
      </c>
      <c r="B2079">
        <v>1</v>
      </c>
      <c r="C2079">
        <f t="shared" si="64"/>
        <v>7.3227519836332206E-3</v>
      </c>
      <c r="D2079">
        <v>59</v>
      </c>
      <c r="E2079">
        <f t="shared" si="65"/>
        <v>6.4464139218297477E-10</v>
      </c>
    </row>
    <row r="2080" spans="1:5" x14ac:dyDescent="0.25">
      <c r="A2080">
        <v>3</v>
      </c>
      <c r="B2080">
        <v>1</v>
      </c>
      <c r="C2080">
        <f t="shared" si="64"/>
        <v>7.3227519836332206E-3</v>
      </c>
      <c r="D2080">
        <v>60</v>
      </c>
      <c r="E2080">
        <f t="shared" si="65"/>
        <v>3.2976162791369383E-10</v>
      </c>
    </row>
    <row r="2081" spans="1:5" x14ac:dyDescent="0.25">
      <c r="A2081">
        <v>3</v>
      </c>
      <c r="B2081">
        <v>1</v>
      </c>
      <c r="C2081">
        <f t="shared" si="64"/>
        <v>7.3227519836332206E-3</v>
      </c>
      <c r="D2081">
        <v>60</v>
      </c>
      <c r="E2081">
        <f t="shared" si="65"/>
        <v>3.2976162791369383E-10</v>
      </c>
    </row>
    <row r="2082" spans="1:5" x14ac:dyDescent="0.25">
      <c r="A2082">
        <v>3</v>
      </c>
      <c r="B2082">
        <v>1</v>
      </c>
      <c r="C2082">
        <f t="shared" si="64"/>
        <v>7.3227519836332206E-3</v>
      </c>
      <c r="D2082">
        <v>62</v>
      </c>
      <c r="E2082">
        <f t="shared" si="65"/>
        <v>8.3182863381777129E-11</v>
      </c>
    </row>
    <row r="2083" spans="1:5" x14ac:dyDescent="0.25">
      <c r="A2083">
        <v>3</v>
      </c>
      <c r="B2083">
        <v>1</v>
      </c>
      <c r="C2083">
        <f t="shared" si="64"/>
        <v>7.3227519836332206E-3</v>
      </c>
      <c r="D2083">
        <v>62</v>
      </c>
      <c r="E2083">
        <f t="shared" si="65"/>
        <v>8.3182863381777129E-11</v>
      </c>
    </row>
    <row r="2084" spans="1:5" x14ac:dyDescent="0.25">
      <c r="A2084">
        <v>3</v>
      </c>
      <c r="B2084">
        <v>1</v>
      </c>
      <c r="C2084">
        <f t="shared" si="64"/>
        <v>7.3227519836332206E-3</v>
      </c>
      <c r="D2084">
        <v>63</v>
      </c>
      <c r="E2084">
        <f t="shared" si="65"/>
        <v>4.1019058032793598E-11</v>
      </c>
    </row>
    <row r="2085" spans="1:5" x14ac:dyDescent="0.25">
      <c r="A2085">
        <v>3</v>
      </c>
      <c r="B2085">
        <v>1</v>
      </c>
      <c r="C2085">
        <f t="shared" si="64"/>
        <v>7.3227519836332206E-3</v>
      </c>
      <c r="D2085">
        <v>65</v>
      </c>
      <c r="E2085">
        <f t="shared" si="65"/>
        <v>9.6152195167565446E-12</v>
      </c>
    </row>
    <row r="2086" spans="1:5" x14ac:dyDescent="0.25">
      <c r="A2086">
        <v>3</v>
      </c>
      <c r="B2086">
        <v>1</v>
      </c>
      <c r="C2086">
        <f t="shared" si="64"/>
        <v>7.3227519836332206E-3</v>
      </c>
      <c r="D2086">
        <v>67</v>
      </c>
      <c r="E2086">
        <f t="shared" si="65"/>
        <v>2.146310613985311E-12</v>
      </c>
    </row>
    <row r="2087" spans="1:5" x14ac:dyDescent="0.25">
      <c r="A2087">
        <v>3</v>
      </c>
      <c r="B2087">
        <v>1</v>
      </c>
      <c r="C2087">
        <f t="shared" si="64"/>
        <v>7.3227519836332206E-3</v>
      </c>
      <c r="D2087">
        <v>69</v>
      </c>
      <c r="E2087">
        <f t="shared" si="65"/>
        <v>4.5623205078131726E-13</v>
      </c>
    </row>
    <row r="2088" spans="1:5" x14ac:dyDescent="0.25">
      <c r="A2088">
        <v>3</v>
      </c>
      <c r="B2088">
        <v>1</v>
      </c>
      <c r="C2088">
        <f t="shared" si="64"/>
        <v>7.3227519836332206E-3</v>
      </c>
      <c r="D2088">
        <v>70</v>
      </c>
      <c r="E2088">
        <f t="shared" si="65"/>
        <v>2.0652248598589613E-13</v>
      </c>
    </row>
    <row r="2089" spans="1:5" x14ac:dyDescent="0.25">
      <c r="A2089">
        <v>3</v>
      </c>
      <c r="B2089">
        <v>1</v>
      </c>
      <c r="C2089">
        <f t="shared" si="64"/>
        <v>7.3227519836332206E-3</v>
      </c>
      <c r="D2089">
        <v>72</v>
      </c>
      <c r="E2089">
        <f t="shared" si="65"/>
        <v>4.0794379884954099E-14</v>
      </c>
    </row>
    <row r="2090" spans="1:5" x14ac:dyDescent="0.25">
      <c r="A2090">
        <v>3</v>
      </c>
      <c r="B2090">
        <v>1</v>
      </c>
      <c r="C2090">
        <f t="shared" si="64"/>
        <v>7.3227519836332206E-3</v>
      </c>
      <c r="D2090">
        <v>72</v>
      </c>
      <c r="E2090">
        <f t="shared" si="65"/>
        <v>4.0794379884954099E-14</v>
      </c>
    </row>
    <row r="2091" spans="1:5" x14ac:dyDescent="0.25">
      <c r="A2091">
        <v>3</v>
      </c>
      <c r="B2091">
        <v>1</v>
      </c>
      <c r="C2091">
        <f t="shared" si="64"/>
        <v>7.3227519836332206E-3</v>
      </c>
      <c r="D2091">
        <v>74</v>
      </c>
      <c r="E2091">
        <f t="shared" si="65"/>
        <v>7.6734943252264394E-15</v>
      </c>
    </row>
    <row r="2092" spans="1:5" x14ac:dyDescent="0.25">
      <c r="A2092">
        <v>3</v>
      </c>
      <c r="B2092">
        <v>1</v>
      </c>
      <c r="C2092">
        <f t="shared" si="64"/>
        <v>7.3227519836332206E-3</v>
      </c>
      <c r="D2092">
        <v>77</v>
      </c>
      <c r="E2092">
        <f t="shared" si="65"/>
        <v>5.711591696418495E-16</v>
      </c>
    </row>
    <row r="2093" spans="1:5" x14ac:dyDescent="0.25">
      <c r="A2093">
        <v>3</v>
      </c>
      <c r="B2093">
        <v>1</v>
      </c>
      <c r="C2093">
        <f t="shared" si="64"/>
        <v>7.3227519836332206E-3</v>
      </c>
      <c r="D2093">
        <v>77</v>
      </c>
      <c r="E2093">
        <f t="shared" si="65"/>
        <v>5.711591696418495E-16</v>
      </c>
    </row>
    <row r="2094" spans="1:5" x14ac:dyDescent="0.25">
      <c r="A2094">
        <v>3</v>
      </c>
      <c r="B2094">
        <v>1</v>
      </c>
      <c r="C2094">
        <f t="shared" si="64"/>
        <v>7.3227519836332206E-3</v>
      </c>
      <c r="D2094">
        <v>79</v>
      </c>
      <c r="E2094">
        <f t="shared" si="65"/>
        <v>9.5071340195389755E-17</v>
      </c>
    </row>
    <row r="2095" spans="1:5" x14ac:dyDescent="0.25">
      <c r="A2095">
        <v>3</v>
      </c>
      <c r="B2095">
        <v>1</v>
      </c>
      <c r="C2095">
        <f t="shared" si="64"/>
        <v>7.3227519836332206E-3</v>
      </c>
      <c r="D2095">
        <v>79</v>
      </c>
      <c r="E2095">
        <f t="shared" si="65"/>
        <v>9.5071340195389755E-17</v>
      </c>
    </row>
    <row r="2096" spans="1:5" x14ac:dyDescent="0.25">
      <c r="A2096">
        <v>3</v>
      </c>
      <c r="B2096">
        <v>1</v>
      </c>
      <c r="C2096">
        <f t="shared" si="64"/>
        <v>7.3227519836332206E-3</v>
      </c>
      <c r="D2096">
        <v>80</v>
      </c>
      <c r="E2096">
        <f t="shared" si="65"/>
        <v>3.8082968250263343E-17</v>
      </c>
    </row>
  </sheetData>
  <sortState xmlns:xlrd2="http://schemas.microsoft.com/office/spreadsheetml/2017/richdata2" ref="D2:D2096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C5AFC-D44D-4D30-A5A2-025E28E27161}">
  <dimension ref="A1:I524"/>
  <sheetViews>
    <sheetView workbookViewId="0">
      <selection activeCell="I10" sqref="I10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70</v>
      </c>
      <c r="B1" t="s">
        <v>71</v>
      </c>
      <c r="C1" t="s">
        <v>78</v>
      </c>
      <c r="D1" t="s">
        <v>72</v>
      </c>
    </row>
    <row r="2" spans="1:9" x14ac:dyDescent="0.25">
      <c r="A2">
        <v>15</v>
      </c>
      <c r="B2">
        <v>-0.91600000000000004</v>
      </c>
      <c r="C2">
        <f t="shared" ref="C2:C65" si="0">_xlfn.NORM.DIST(B2, I$10,I$13,FALSE)</f>
        <v>2.3723926884866488E-3</v>
      </c>
      <c r="D2">
        <v>0</v>
      </c>
      <c r="E2">
        <f>_xlfn.NORM.DIST(D2, I$4,I$7,FALSE)</f>
        <v>4.1066209829843638E-2</v>
      </c>
    </row>
    <row r="3" spans="1:9" x14ac:dyDescent="0.25">
      <c r="A3">
        <v>15</v>
      </c>
      <c r="B3">
        <v>-0.7</v>
      </c>
      <c r="C3">
        <f t="shared" si="0"/>
        <v>2.4990541218072117E-2</v>
      </c>
      <c r="D3">
        <v>0</v>
      </c>
      <c r="E3">
        <f t="shared" ref="E3:E66" si="1">_xlfn.NORM.DIST(D3, I$4,I$7,FALSE)</f>
        <v>4.1066209829843638E-2</v>
      </c>
      <c r="G3" t="s">
        <v>73</v>
      </c>
    </row>
    <row r="4" spans="1:9" x14ac:dyDescent="0.25">
      <c r="A4">
        <v>17</v>
      </c>
      <c r="B4">
        <v>-0.68266666666666698</v>
      </c>
      <c r="C4">
        <f t="shared" si="0"/>
        <v>2.9486099018799054E-2</v>
      </c>
      <c r="D4">
        <v>0</v>
      </c>
      <c r="E4">
        <f t="shared" si="1"/>
        <v>4.1066209829843638E-2</v>
      </c>
      <c r="H4" t="s">
        <v>34</v>
      </c>
      <c r="I4">
        <f>AVERAGE(D:D)</f>
        <v>5.2045889101338432</v>
      </c>
    </row>
    <row r="5" spans="1:9" x14ac:dyDescent="0.25">
      <c r="A5">
        <v>10</v>
      </c>
      <c r="B5">
        <v>-0.64</v>
      </c>
      <c r="C5">
        <f t="shared" si="0"/>
        <v>4.3650647665555743E-2</v>
      </c>
      <c r="D5">
        <v>0</v>
      </c>
      <c r="E5">
        <f t="shared" si="1"/>
        <v>4.1066209829843638E-2</v>
      </c>
      <c r="H5" t="s">
        <v>74</v>
      </c>
      <c r="I5">
        <f>MIN(D:D)</f>
        <v>0</v>
      </c>
    </row>
    <row r="6" spans="1:9" x14ac:dyDescent="0.25">
      <c r="A6">
        <v>10</v>
      </c>
      <c r="B6">
        <v>-0.62307692307692297</v>
      </c>
      <c r="C6">
        <f t="shared" si="0"/>
        <v>5.070127988873132E-2</v>
      </c>
      <c r="D6">
        <v>0</v>
      </c>
      <c r="E6">
        <f t="shared" si="1"/>
        <v>4.1066209829843638E-2</v>
      </c>
      <c r="H6" t="s">
        <v>75</v>
      </c>
      <c r="I6">
        <f>MAX(D:D)</f>
        <v>56</v>
      </c>
    </row>
    <row r="7" spans="1:9" x14ac:dyDescent="0.25">
      <c r="A7">
        <v>10</v>
      </c>
      <c r="B7">
        <v>-0.57714285714285696</v>
      </c>
      <c r="C7">
        <f t="shared" si="0"/>
        <v>7.4856519738565289E-2</v>
      </c>
      <c r="D7">
        <v>0</v>
      </c>
      <c r="E7">
        <f t="shared" si="1"/>
        <v>4.1066209829843638E-2</v>
      </c>
      <c r="H7" t="s">
        <v>76</v>
      </c>
      <c r="I7">
        <f>STDEV(D:D)</f>
        <v>7.7562370140447419</v>
      </c>
    </row>
    <row r="8" spans="1:9" x14ac:dyDescent="0.25">
      <c r="A8">
        <v>17</v>
      </c>
      <c r="B8">
        <v>-0.55373831775700899</v>
      </c>
      <c r="C8">
        <f t="shared" si="0"/>
        <v>9.0437113530347599E-2</v>
      </c>
      <c r="D8">
        <v>0</v>
      </c>
      <c r="E8">
        <f t="shared" si="1"/>
        <v>4.1066209829843638E-2</v>
      </c>
    </row>
    <row r="9" spans="1:9" x14ac:dyDescent="0.25">
      <c r="A9">
        <v>17</v>
      </c>
      <c r="B9">
        <v>-0.54666666666666697</v>
      </c>
      <c r="C9">
        <f t="shared" si="0"/>
        <v>9.5634318937813656E-2</v>
      </c>
      <c r="D9">
        <v>0</v>
      </c>
      <c r="E9">
        <f t="shared" si="1"/>
        <v>4.1066209829843638E-2</v>
      </c>
      <c r="G9" t="s">
        <v>77</v>
      </c>
    </row>
    <row r="10" spans="1:9" x14ac:dyDescent="0.25">
      <c r="A10">
        <v>17</v>
      </c>
      <c r="B10">
        <v>-0.487179487179487</v>
      </c>
      <c r="C10">
        <f t="shared" si="0"/>
        <v>0.14953638263539698</v>
      </c>
      <c r="D10">
        <v>0</v>
      </c>
      <c r="E10">
        <f t="shared" si="1"/>
        <v>4.1066209829843638E-2</v>
      </c>
      <c r="H10" t="s">
        <v>34</v>
      </c>
      <c r="I10">
        <f>AVERAGE(B:B)</f>
        <v>0.12894065111706243</v>
      </c>
    </row>
    <row r="11" spans="1:9" x14ac:dyDescent="0.25">
      <c r="A11">
        <v>10</v>
      </c>
      <c r="B11">
        <v>-0.48666666666666702</v>
      </c>
      <c r="C11">
        <f t="shared" si="0"/>
        <v>0.15008686834706017</v>
      </c>
      <c r="D11">
        <v>0</v>
      </c>
      <c r="E11">
        <f t="shared" si="1"/>
        <v>4.1066209829843638E-2</v>
      </c>
      <c r="H11" t="s">
        <v>74</v>
      </c>
      <c r="I11">
        <f>MIN(B:B)</f>
        <v>-0.91600000000000004</v>
      </c>
    </row>
    <row r="12" spans="1:9" x14ac:dyDescent="0.25">
      <c r="A12">
        <v>17</v>
      </c>
      <c r="B12">
        <v>-0.47967479674796698</v>
      </c>
      <c r="C12">
        <f t="shared" si="0"/>
        <v>0.15774944690190898</v>
      </c>
      <c r="D12">
        <v>0</v>
      </c>
      <c r="E12">
        <f t="shared" si="1"/>
        <v>4.1066209829843638E-2</v>
      </c>
      <c r="H12" t="s">
        <v>75</v>
      </c>
      <c r="I12">
        <f>MAX(B:B)</f>
        <v>1</v>
      </c>
    </row>
    <row r="13" spans="1:9" x14ac:dyDescent="0.25">
      <c r="A13">
        <v>15</v>
      </c>
      <c r="B13">
        <v>-0.46153846153846201</v>
      </c>
      <c r="C13">
        <f t="shared" si="0"/>
        <v>0.17902361777325748</v>
      </c>
      <c r="D13">
        <v>0</v>
      </c>
      <c r="E13">
        <f t="shared" si="1"/>
        <v>4.1066209829843638E-2</v>
      </c>
      <c r="H13" t="s">
        <v>76</v>
      </c>
      <c r="I13">
        <f>STDEV(B:B)</f>
        <v>0.2931733542779949</v>
      </c>
    </row>
    <row r="14" spans="1:9" x14ac:dyDescent="0.25">
      <c r="A14">
        <v>10</v>
      </c>
      <c r="B14">
        <v>-0.45066666666666699</v>
      </c>
      <c r="C14">
        <f t="shared" si="0"/>
        <v>0.19277412867737345</v>
      </c>
      <c r="D14">
        <v>0</v>
      </c>
      <c r="E14">
        <f t="shared" si="1"/>
        <v>4.1066209829843638E-2</v>
      </c>
    </row>
    <row r="15" spans="1:9" x14ac:dyDescent="0.25">
      <c r="A15">
        <v>17</v>
      </c>
      <c r="B15">
        <v>-0.43466666666666698</v>
      </c>
      <c r="C15">
        <f t="shared" si="0"/>
        <v>0.21441766872400245</v>
      </c>
      <c r="D15">
        <v>0</v>
      </c>
      <c r="E15">
        <f t="shared" si="1"/>
        <v>4.1066209829843638E-2</v>
      </c>
    </row>
    <row r="16" spans="1:9" x14ac:dyDescent="0.25">
      <c r="A16">
        <v>15</v>
      </c>
      <c r="B16">
        <v>-0.43</v>
      </c>
      <c r="C16">
        <f t="shared" si="0"/>
        <v>0.22105246314624299</v>
      </c>
      <c r="D16">
        <v>0</v>
      </c>
      <c r="E16">
        <f t="shared" si="1"/>
        <v>4.1066209829843638E-2</v>
      </c>
    </row>
    <row r="17" spans="1:5" x14ac:dyDescent="0.25">
      <c r="A17">
        <v>17</v>
      </c>
      <c r="B17">
        <v>-0.41141141141141102</v>
      </c>
      <c r="C17">
        <f t="shared" si="0"/>
        <v>0.24895505886890562</v>
      </c>
      <c r="D17">
        <v>0</v>
      </c>
      <c r="E17">
        <f t="shared" si="1"/>
        <v>4.1066209829843638E-2</v>
      </c>
    </row>
    <row r="18" spans="1:5" x14ac:dyDescent="0.25">
      <c r="A18">
        <v>17</v>
      </c>
      <c r="B18">
        <v>-0.376811594202899</v>
      </c>
      <c r="C18">
        <f t="shared" si="0"/>
        <v>0.30730153168312463</v>
      </c>
      <c r="D18">
        <v>0</v>
      </c>
      <c r="E18">
        <f t="shared" si="1"/>
        <v>4.1066209829843638E-2</v>
      </c>
    </row>
    <row r="19" spans="1:5" x14ac:dyDescent="0.25">
      <c r="A19">
        <v>15</v>
      </c>
      <c r="B19">
        <v>-0.30399999999999999</v>
      </c>
      <c r="C19">
        <f t="shared" si="0"/>
        <v>0.4573405368872378</v>
      </c>
      <c r="D19">
        <v>0</v>
      </c>
      <c r="E19">
        <f t="shared" si="1"/>
        <v>4.1066209829843638E-2</v>
      </c>
    </row>
    <row r="20" spans="1:5" x14ac:dyDescent="0.25">
      <c r="A20">
        <v>17</v>
      </c>
      <c r="B20">
        <v>-0.30133333333333301</v>
      </c>
      <c r="C20">
        <f t="shared" si="0"/>
        <v>0.46350590867335595</v>
      </c>
      <c r="D20">
        <v>0</v>
      </c>
      <c r="E20">
        <f t="shared" si="1"/>
        <v>4.1066209829843638E-2</v>
      </c>
    </row>
    <row r="21" spans="1:5" x14ac:dyDescent="0.25">
      <c r="A21">
        <v>14</v>
      </c>
      <c r="B21">
        <v>-0.26400000000000001</v>
      </c>
      <c r="C21">
        <f t="shared" si="0"/>
        <v>0.55424345749509207</v>
      </c>
      <c r="D21">
        <v>0</v>
      </c>
      <c r="E21">
        <f t="shared" si="1"/>
        <v>4.1066209829843638E-2</v>
      </c>
    </row>
    <row r="22" spans="1:5" x14ac:dyDescent="0.25">
      <c r="A22">
        <v>15</v>
      </c>
      <c r="B22">
        <v>-0.24941724941724899</v>
      </c>
      <c r="C22">
        <f t="shared" si="0"/>
        <v>0.59172083227219896</v>
      </c>
      <c r="D22">
        <v>0</v>
      </c>
      <c r="E22">
        <f t="shared" si="1"/>
        <v>4.1066209829843638E-2</v>
      </c>
    </row>
    <row r="23" spans="1:5" x14ac:dyDescent="0.25">
      <c r="A23">
        <v>6</v>
      </c>
      <c r="B23">
        <v>-0.229333333333333</v>
      </c>
      <c r="C23">
        <f t="shared" si="0"/>
        <v>0.64490217516025805</v>
      </c>
      <c r="D23">
        <v>0</v>
      </c>
      <c r="E23">
        <f t="shared" si="1"/>
        <v>4.1066209829843638E-2</v>
      </c>
    </row>
    <row r="24" spans="1:5" x14ac:dyDescent="0.25">
      <c r="A24">
        <v>12</v>
      </c>
      <c r="B24">
        <v>-0.22500000000000001</v>
      </c>
      <c r="C24">
        <f t="shared" si="0"/>
        <v>0.65658511863181346</v>
      </c>
      <c r="D24">
        <v>0</v>
      </c>
      <c r="E24">
        <f t="shared" si="1"/>
        <v>4.1066209829843638E-2</v>
      </c>
    </row>
    <row r="25" spans="1:5" x14ac:dyDescent="0.25">
      <c r="A25">
        <v>8</v>
      </c>
      <c r="B25">
        <v>-0.21621621621621601</v>
      </c>
      <c r="C25">
        <f t="shared" si="0"/>
        <v>0.68046386668424452</v>
      </c>
      <c r="D25">
        <v>0</v>
      </c>
      <c r="E25">
        <f t="shared" si="1"/>
        <v>4.1066209829843638E-2</v>
      </c>
    </row>
    <row r="26" spans="1:5" x14ac:dyDescent="0.25">
      <c r="A26">
        <v>8</v>
      </c>
      <c r="B26">
        <v>-0.214</v>
      </c>
      <c r="C26">
        <f t="shared" si="0"/>
        <v>0.68652726341386572</v>
      </c>
      <c r="D26">
        <v>0</v>
      </c>
      <c r="E26">
        <f t="shared" si="1"/>
        <v>4.1066209829843638E-2</v>
      </c>
    </row>
    <row r="27" spans="1:5" x14ac:dyDescent="0.25">
      <c r="A27">
        <v>8</v>
      </c>
      <c r="B27">
        <v>-0.210280373831776</v>
      </c>
      <c r="C27">
        <f t="shared" si="0"/>
        <v>0.69673606129253507</v>
      </c>
      <c r="D27">
        <v>0</v>
      </c>
      <c r="E27">
        <f t="shared" si="1"/>
        <v>4.1066209829843638E-2</v>
      </c>
    </row>
    <row r="28" spans="1:5" x14ac:dyDescent="0.25">
      <c r="A28">
        <v>8</v>
      </c>
      <c r="B28">
        <v>-0.20799999999999999</v>
      </c>
      <c r="C28">
        <f t="shared" si="0"/>
        <v>0.70301368243485995</v>
      </c>
      <c r="D28">
        <v>0</v>
      </c>
      <c r="E28">
        <f t="shared" si="1"/>
        <v>4.1066209829843638E-2</v>
      </c>
    </row>
    <row r="29" spans="1:5" x14ac:dyDescent="0.25">
      <c r="A29">
        <v>11</v>
      </c>
      <c r="B29">
        <v>-0.20420420420420399</v>
      </c>
      <c r="C29">
        <f t="shared" si="0"/>
        <v>0.71349304338536645</v>
      </c>
      <c r="D29">
        <v>0</v>
      </c>
      <c r="E29">
        <f t="shared" si="1"/>
        <v>4.1066209829843638E-2</v>
      </c>
    </row>
    <row r="30" spans="1:5" x14ac:dyDescent="0.25">
      <c r="A30">
        <v>15</v>
      </c>
      <c r="B30">
        <v>-0.20327102803738301</v>
      </c>
      <c r="C30">
        <f t="shared" si="0"/>
        <v>0.71607478857616869</v>
      </c>
      <c r="D30">
        <v>0</v>
      </c>
      <c r="E30">
        <f t="shared" si="1"/>
        <v>4.1066209829843638E-2</v>
      </c>
    </row>
    <row r="31" spans="1:5" x14ac:dyDescent="0.25">
      <c r="A31">
        <v>14</v>
      </c>
      <c r="B31">
        <v>-0.20266666666666699</v>
      </c>
      <c r="C31">
        <f t="shared" si="0"/>
        <v>0.71774792999881132</v>
      </c>
      <c r="D31">
        <v>0</v>
      </c>
      <c r="E31">
        <f t="shared" si="1"/>
        <v>4.1066209829843638E-2</v>
      </c>
    </row>
    <row r="32" spans="1:5" x14ac:dyDescent="0.25">
      <c r="A32">
        <v>10</v>
      </c>
      <c r="B32">
        <v>-0.18918918918918901</v>
      </c>
      <c r="C32">
        <f t="shared" si="0"/>
        <v>0.75525800489988826</v>
      </c>
      <c r="D32">
        <v>0</v>
      </c>
      <c r="E32">
        <f t="shared" si="1"/>
        <v>4.1066209829843638E-2</v>
      </c>
    </row>
    <row r="33" spans="1:5" x14ac:dyDescent="0.25">
      <c r="A33">
        <v>11</v>
      </c>
      <c r="B33">
        <v>-0.184</v>
      </c>
      <c r="C33">
        <f t="shared" si="0"/>
        <v>0.76978370193626777</v>
      </c>
      <c r="D33">
        <v>0</v>
      </c>
      <c r="E33">
        <f t="shared" si="1"/>
        <v>4.1066209829843638E-2</v>
      </c>
    </row>
    <row r="34" spans="1:5" x14ac:dyDescent="0.25">
      <c r="A34">
        <v>17</v>
      </c>
      <c r="B34">
        <v>-0.18018018018018001</v>
      </c>
      <c r="C34">
        <f t="shared" si="0"/>
        <v>0.78049817856045989</v>
      </c>
      <c r="D34">
        <v>0</v>
      </c>
      <c r="E34">
        <f t="shared" si="1"/>
        <v>4.1066209829843638E-2</v>
      </c>
    </row>
    <row r="35" spans="1:5" x14ac:dyDescent="0.25">
      <c r="A35">
        <v>10</v>
      </c>
      <c r="B35">
        <v>-0.17990654205607501</v>
      </c>
      <c r="C35">
        <f t="shared" si="0"/>
        <v>0.78126633405357182</v>
      </c>
      <c r="D35">
        <v>0</v>
      </c>
      <c r="E35">
        <f t="shared" si="1"/>
        <v>4.1066209829843638E-2</v>
      </c>
    </row>
    <row r="36" spans="1:5" x14ac:dyDescent="0.25">
      <c r="A36">
        <v>16</v>
      </c>
      <c r="B36">
        <v>-0.17499999999999999</v>
      </c>
      <c r="C36">
        <f t="shared" si="0"/>
        <v>0.79505141684845138</v>
      </c>
      <c r="D36">
        <v>0</v>
      </c>
      <c r="E36">
        <f t="shared" si="1"/>
        <v>4.1066209829843638E-2</v>
      </c>
    </row>
    <row r="37" spans="1:5" x14ac:dyDescent="0.25">
      <c r="A37">
        <v>17</v>
      </c>
      <c r="B37">
        <v>-0.174174174174174</v>
      </c>
      <c r="C37">
        <f t="shared" si="0"/>
        <v>0.79737343974949082</v>
      </c>
      <c r="D37">
        <v>0</v>
      </c>
      <c r="E37">
        <f t="shared" si="1"/>
        <v>4.1066209829843638E-2</v>
      </c>
    </row>
    <row r="38" spans="1:5" x14ac:dyDescent="0.25">
      <c r="A38">
        <v>12</v>
      </c>
      <c r="B38">
        <v>-0.165165165165165</v>
      </c>
      <c r="C38">
        <f t="shared" si="0"/>
        <v>0.82272524351301735</v>
      </c>
      <c r="D38">
        <v>0</v>
      </c>
      <c r="E38">
        <f t="shared" si="1"/>
        <v>4.1066209829843638E-2</v>
      </c>
    </row>
    <row r="39" spans="1:5" x14ac:dyDescent="0.25">
      <c r="A39">
        <v>15</v>
      </c>
      <c r="B39">
        <v>-0.16355140186915901</v>
      </c>
      <c r="C39">
        <f t="shared" si="0"/>
        <v>0.8272683455465315</v>
      </c>
      <c r="D39">
        <v>0</v>
      </c>
      <c r="E39">
        <f t="shared" si="1"/>
        <v>4.1066209829843638E-2</v>
      </c>
    </row>
    <row r="40" spans="1:5" x14ac:dyDescent="0.25">
      <c r="A40">
        <v>8</v>
      </c>
      <c r="B40">
        <v>-0.162162162162162</v>
      </c>
      <c r="C40">
        <f t="shared" si="0"/>
        <v>0.83117928077561665</v>
      </c>
      <c r="D40">
        <v>0</v>
      </c>
      <c r="E40">
        <f t="shared" si="1"/>
        <v>4.1066209829843638E-2</v>
      </c>
    </row>
    <row r="41" spans="1:5" x14ac:dyDescent="0.25">
      <c r="A41">
        <v>10</v>
      </c>
      <c r="B41">
        <v>-0.162162162162162</v>
      </c>
      <c r="C41">
        <f t="shared" si="0"/>
        <v>0.83117928077561665</v>
      </c>
      <c r="D41">
        <v>0</v>
      </c>
      <c r="E41">
        <f t="shared" si="1"/>
        <v>4.1066209829843638E-2</v>
      </c>
    </row>
    <row r="42" spans="1:5" x14ac:dyDescent="0.25">
      <c r="A42">
        <v>8</v>
      </c>
      <c r="B42">
        <v>-0.161214953271028</v>
      </c>
      <c r="C42">
        <f t="shared" si="0"/>
        <v>0.83384568763161238</v>
      </c>
      <c r="D42">
        <v>0</v>
      </c>
      <c r="E42">
        <f t="shared" si="1"/>
        <v>4.1066209829843638E-2</v>
      </c>
    </row>
    <row r="43" spans="1:5" x14ac:dyDescent="0.25">
      <c r="A43">
        <v>12</v>
      </c>
      <c r="B43">
        <v>-0.16</v>
      </c>
      <c r="C43">
        <f t="shared" si="0"/>
        <v>0.83726553006264648</v>
      </c>
      <c r="D43">
        <v>0</v>
      </c>
      <c r="E43">
        <f t="shared" si="1"/>
        <v>4.1066209829843638E-2</v>
      </c>
    </row>
    <row r="44" spans="1:5" x14ac:dyDescent="0.25">
      <c r="A44">
        <v>8</v>
      </c>
      <c r="B44">
        <v>-0.15584415584415601</v>
      </c>
      <c r="C44">
        <f t="shared" si="0"/>
        <v>0.84895952677279429</v>
      </c>
      <c r="D44">
        <v>0</v>
      </c>
      <c r="E44">
        <f t="shared" si="1"/>
        <v>4.1066209829843638E-2</v>
      </c>
    </row>
    <row r="45" spans="1:5" x14ac:dyDescent="0.25">
      <c r="A45">
        <v>17</v>
      </c>
      <c r="B45">
        <v>-0.15</v>
      </c>
      <c r="C45">
        <f t="shared" si="0"/>
        <v>0.8653868092221394</v>
      </c>
      <c r="D45">
        <v>0</v>
      </c>
      <c r="E45">
        <f t="shared" si="1"/>
        <v>4.1066209829843638E-2</v>
      </c>
    </row>
    <row r="46" spans="1:5" x14ac:dyDescent="0.25">
      <c r="A46">
        <v>11</v>
      </c>
      <c r="B46">
        <v>-0.14918414918414899</v>
      </c>
      <c r="C46">
        <f t="shared" si="0"/>
        <v>0.86767779552867919</v>
      </c>
      <c r="D46">
        <v>0</v>
      </c>
      <c r="E46">
        <f t="shared" si="1"/>
        <v>4.1066209829843638E-2</v>
      </c>
    </row>
    <row r="47" spans="1:5" x14ac:dyDescent="0.25">
      <c r="A47">
        <v>8</v>
      </c>
      <c r="B47">
        <v>-0.14499999999999999</v>
      </c>
      <c r="C47">
        <f t="shared" si="0"/>
        <v>0.87941591192714674</v>
      </c>
      <c r="D47">
        <v>0</v>
      </c>
      <c r="E47">
        <f t="shared" si="1"/>
        <v>4.1066209829843638E-2</v>
      </c>
    </row>
    <row r="48" spans="1:5" x14ac:dyDescent="0.25">
      <c r="A48">
        <v>17</v>
      </c>
      <c r="B48">
        <v>-0.13813813813813799</v>
      </c>
      <c r="C48">
        <f t="shared" si="0"/>
        <v>0.89861444969114823</v>
      </c>
      <c r="D48">
        <v>0</v>
      </c>
      <c r="E48">
        <f t="shared" si="1"/>
        <v>4.1066209829843638E-2</v>
      </c>
    </row>
    <row r="49" spans="1:5" x14ac:dyDescent="0.25">
      <c r="A49">
        <v>6</v>
      </c>
      <c r="B49">
        <v>-0.13785046728972</v>
      </c>
      <c r="C49">
        <f t="shared" si="0"/>
        <v>0.89941764233631083</v>
      </c>
      <c r="D49">
        <v>0</v>
      </c>
      <c r="E49">
        <f t="shared" si="1"/>
        <v>4.1066209829843638E-2</v>
      </c>
    </row>
    <row r="50" spans="1:5" x14ac:dyDescent="0.25">
      <c r="A50">
        <v>8</v>
      </c>
      <c r="B50">
        <v>-0.13600000000000001</v>
      </c>
      <c r="C50">
        <f t="shared" si="0"/>
        <v>0.90458061667771616</v>
      </c>
      <c r="D50">
        <v>0</v>
      </c>
      <c r="E50">
        <f t="shared" si="1"/>
        <v>4.1066209829843638E-2</v>
      </c>
    </row>
    <row r="51" spans="1:5" x14ac:dyDescent="0.25">
      <c r="A51">
        <v>11</v>
      </c>
      <c r="B51">
        <v>-0.13600000000000001</v>
      </c>
      <c r="C51">
        <f t="shared" si="0"/>
        <v>0.90458061667771616</v>
      </c>
      <c r="D51">
        <v>0</v>
      </c>
      <c r="E51">
        <f t="shared" si="1"/>
        <v>4.1066209829843638E-2</v>
      </c>
    </row>
    <row r="52" spans="1:5" x14ac:dyDescent="0.25">
      <c r="A52">
        <v>8</v>
      </c>
      <c r="B52">
        <v>-0.133333333333333</v>
      </c>
      <c r="C52">
        <f t="shared" si="0"/>
        <v>0.9120091255031495</v>
      </c>
      <c r="D52">
        <v>0</v>
      </c>
      <c r="E52">
        <f t="shared" si="1"/>
        <v>4.1066209829843638E-2</v>
      </c>
    </row>
    <row r="53" spans="1:5" x14ac:dyDescent="0.25">
      <c r="A53">
        <v>12</v>
      </c>
      <c r="B53">
        <v>-0.13173652694610799</v>
      </c>
      <c r="C53">
        <f t="shared" si="0"/>
        <v>0.91645020822290924</v>
      </c>
      <c r="D53">
        <v>0</v>
      </c>
      <c r="E53">
        <f t="shared" si="1"/>
        <v>4.1066209829843638E-2</v>
      </c>
    </row>
    <row r="54" spans="1:5" x14ac:dyDescent="0.25">
      <c r="A54">
        <v>17</v>
      </c>
      <c r="B54">
        <v>-0.13173652694610799</v>
      </c>
      <c r="C54">
        <f t="shared" si="0"/>
        <v>0.91645020822290924</v>
      </c>
      <c r="D54">
        <v>0</v>
      </c>
      <c r="E54">
        <f t="shared" si="1"/>
        <v>4.1066209829843638E-2</v>
      </c>
    </row>
    <row r="55" spans="1:5" x14ac:dyDescent="0.25">
      <c r="A55">
        <v>14</v>
      </c>
      <c r="B55">
        <v>-0.12533333333333299</v>
      </c>
      <c r="C55">
        <f t="shared" si="0"/>
        <v>0.93419882211946081</v>
      </c>
      <c r="D55">
        <v>0</v>
      </c>
      <c r="E55">
        <f t="shared" si="1"/>
        <v>4.1066209829843638E-2</v>
      </c>
    </row>
    <row r="56" spans="1:5" x14ac:dyDescent="0.25">
      <c r="A56">
        <v>11</v>
      </c>
      <c r="B56">
        <v>-0.123123123123123</v>
      </c>
      <c r="C56">
        <f t="shared" si="0"/>
        <v>0.9403004913971027</v>
      </c>
      <c r="D56">
        <v>0</v>
      </c>
      <c r="E56">
        <f t="shared" si="1"/>
        <v>4.1066209829843638E-2</v>
      </c>
    </row>
    <row r="57" spans="1:5" x14ac:dyDescent="0.25">
      <c r="A57">
        <v>17</v>
      </c>
      <c r="B57">
        <v>-0.12</v>
      </c>
      <c r="C57">
        <f t="shared" si="0"/>
        <v>0.94889847048247333</v>
      </c>
      <c r="D57">
        <v>0</v>
      </c>
      <c r="E57">
        <f t="shared" si="1"/>
        <v>4.1066209829843638E-2</v>
      </c>
    </row>
    <row r="58" spans="1:5" x14ac:dyDescent="0.25">
      <c r="A58">
        <v>11</v>
      </c>
      <c r="B58">
        <v>-0.116766467065868</v>
      </c>
      <c r="C58">
        <f t="shared" si="0"/>
        <v>0.95776872582720773</v>
      </c>
      <c r="D58">
        <v>0</v>
      </c>
      <c r="E58">
        <f t="shared" si="1"/>
        <v>4.1066209829843638E-2</v>
      </c>
    </row>
    <row r="59" spans="1:5" x14ac:dyDescent="0.25">
      <c r="A59">
        <v>6</v>
      </c>
      <c r="B59">
        <v>-0.112903225806452</v>
      </c>
      <c r="C59">
        <f t="shared" si="0"/>
        <v>0.96832073120172535</v>
      </c>
      <c r="D59">
        <v>0</v>
      </c>
      <c r="E59">
        <f t="shared" si="1"/>
        <v>4.1066209829843638E-2</v>
      </c>
    </row>
    <row r="60" spans="1:5" x14ac:dyDescent="0.25">
      <c r="A60">
        <v>8</v>
      </c>
      <c r="B60">
        <v>-0.112</v>
      </c>
      <c r="C60">
        <f t="shared" si="0"/>
        <v>0.97078019752042366</v>
      </c>
      <c r="D60">
        <v>0</v>
      </c>
      <c r="E60">
        <f t="shared" si="1"/>
        <v>4.1066209829843638E-2</v>
      </c>
    </row>
    <row r="61" spans="1:5" x14ac:dyDescent="0.25">
      <c r="A61">
        <v>8</v>
      </c>
      <c r="B61">
        <v>-0.112</v>
      </c>
      <c r="C61">
        <f t="shared" si="0"/>
        <v>0.97078019752042366</v>
      </c>
      <c r="D61">
        <v>0</v>
      </c>
      <c r="E61">
        <f t="shared" si="1"/>
        <v>4.1066209829843638E-2</v>
      </c>
    </row>
    <row r="62" spans="1:5" x14ac:dyDescent="0.25">
      <c r="A62">
        <v>14</v>
      </c>
      <c r="B62">
        <v>-0.112</v>
      </c>
      <c r="C62">
        <f t="shared" si="0"/>
        <v>0.97078019752042366</v>
      </c>
      <c r="D62">
        <v>0</v>
      </c>
      <c r="E62">
        <f t="shared" si="1"/>
        <v>4.1066209829843638E-2</v>
      </c>
    </row>
    <row r="63" spans="1:5" x14ac:dyDescent="0.25">
      <c r="A63">
        <v>15</v>
      </c>
      <c r="B63">
        <v>-0.112</v>
      </c>
      <c r="C63">
        <f t="shared" si="0"/>
        <v>0.97078019752042366</v>
      </c>
      <c r="D63">
        <v>0</v>
      </c>
      <c r="E63">
        <f t="shared" si="1"/>
        <v>4.1066209829843638E-2</v>
      </c>
    </row>
    <row r="64" spans="1:5" x14ac:dyDescent="0.25">
      <c r="A64">
        <v>11</v>
      </c>
      <c r="B64">
        <v>-0.109333333333333</v>
      </c>
      <c r="C64">
        <f t="shared" si="0"/>
        <v>0.97802382302555047</v>
      </c>
      <c r="D64">
        <v>0</v>
      </c>
      <c r="E64">
        <f t="shared" si="1"/>
        <v>4.1066209829843638E-2</v>
      </c>
    </row>
    <row r="65" spans="1:5" x14ac:dyDescent="0.25">
      <c r="A65">
        <v>15</v>
      </c>
      <c r="B65">
        <v>-0.109333333333333</v>
      </c>
      <c r="C65">
        <f t="shared" si="0"/>
        <v>0.97802382302555047</v>
      </c>
      <c r="D65">
        <v>0</v>
      </c>
      <c r="E65">
        <f t="shared" si="1"/>
        <v>4.1066209829843638E-2</v>
      </c>
    </row>
    <row r="66" spans="1:5" x14ac:dyDescent="0.25">
      <c r="A66">
        <v>8</v>
      </c>
      <c r="B66">
        <v>-0.104790419161677</v>
      </c>
      <c r="C66">
        <f t="shared" ref="C66:C129" si="2">_xlfn.NORM.DIST(B66, I$10,I$13,FALSE)</f>
        <v>0.99029999929492685</v>
      </c>
      <c r="D66">
        <v>0</v>
      </c>
      <c r="E66">
        <f t="shared" si="1"/>
        <v>4.1066209829843638E-2</v>
      </c>
    </row>
    <row r="67" spans="1:5" x14ac:dyDescent="0.25">
      <c r="A67">
        <v>11</v>
      </c>
      <c r="B67">
        <v>-0.10199999999999999</v>
      </c>
      <c r="C67">
        <f t="shared" si="2"/>
        <v>0.99779794728117077</v>
      </c>
      <c r="D67">
        <v>0</v>
      </c>
      <c r="E67">
        <f t="shared" ref="E67:E130" si="3">_xlfn.NORM.DIST(D67, I$4,I$7,FALSE)</f>
        <v>4.1066209829843638E-2</v>
      </c>
    </row>
    <row r="68" spans="1:5" x14ac:dyDescent="0.25">
      <c r="A68">
        <v>8</v>
      </c>
      <c r="B68">
        <v>-0.101796407185629</v>
      </c>
      <c r="C68">
        <f t="shared" si="2"/>
        <v>0.99834368467295187</v>
      </c>
      <c r="D68">
        <v>0</v>
      </c>
      <c r="E68">
        <f t="shared" si="3"/>
        <v>4.1066209829843638E-2</v>
      </c>
    </row>
    <row r="69" spans="1:5" x14ac:dyDescent="0.25">
      <c r="A69">
        <v>8</v>
      </c>
      <c r="B69">
        <v>-0.100467289719626</v>
      </c>
      <c r="C69">
        <f t="shared" si="2"/>
        <v>1.0019018977401213</v>
      </c>
      <c r="D69">
        <v>0</v>
      </c>
      <c r="E69">
        <f t="shared" si="3"/>
        <v>4.1066209829843638E-2</v>
      </c>
    </row>
    <row r="70" spans="1:5" x14ac:dyDescent="0.25">
      <c r="A70">
        <v>8</v>
      </c>
      <c r="B70">
        <v>-0.1</v>
      </c>
      <c r="C70">
        <f t="shared" si="2"/>
        <v>1.0031510026750396</v>
      </c>
      <c r="D70">
        <v>1</v>
      </c>
      <c r="E70">
        <f t="shared" si="3"/>
        <v>4.4406592584313148E-2</v>
      </c>
    </row>
    <row r="71" spans="1:5" x14ac:dyDescent="0.25">
      <c r="A71">
        <v>15</v>
      </c>
      <c r="B71">
        <v>-9.90990990990991E-2</v>
      </c>
      <c r="C71">
        <f t="shared" si="2"/>
        <v>1.0055563737244424</v>
      </c>
      <c r="D71">
        <v>1</v>
      </c>
      <c r="E71">
        <f t="shared" si="3"/>
        <v>4.4406592584313148E-2</v>
      </c>
    </row>
    <row r="72" spans="1:5" x14ac:dyDescent="0.25">
      <c r="A72">
        <v>17</v>
      </c>
      <c r="B72">
        <v>-9.90990990990991E-2</v>
      </c>
      <c r="C72">
        <f t="shared" si="2"/>
        <v>1.0055563737244424</v>
      </c>
      <c r="D72">
        <v>1</v>
      </c>
      <c r="E72">
        <f t="shared" si="3"/>
        <v>4.4406592584313148E-2</v>
      </c>
    </row>
    <row r="73" spans="1:5" x14ac:dyDescent="0.25">
      <c r="A73">
        <v>11</v>
      </c>
      <c r="B73">
        <v>-9.8666666666666694E-2</v>
      </c>
      <c r="C73">
        <f t="shared" si="2"/>
        <v>1.0067096230158192</v>
      </c>
      <c r="D73">
        <v>1</v>
      </c>
      <c r="E73">
        <f t="shared" si="3"/>
        <v>4.4406592584313148E-2</v>
      </c>
    </row>
    <row r="74" spans="1:5" x14ac:dyDescent="0.25">
      <c r="A74">
        <v>12</v>
      </c>
      <c r="B74">
        <v>-9.8666666666666694E-2</v>
      </c>
      <c r="C74">
        <f t="shared" si="2"/>
        <v>1.0067096230158192</v>
      </c>
      <c r="D74">
        <v>1</v>
      </c>
      <c r="E74">
        <f t="shared" si="3"/>
        <v>4.4406592584313148E-2</v>
      </c>
    </row>
    <row r="75" spans="1:5" x14ac:dyDescent="0.25">
      <c r="A75">
        <v>17</v>
      </c>
      <c r="B75">
        <v>-9.8130841121495296E-2</v>
      </c>
      <c r="C75">
        <f t="shared" si="2"/>
        <v>1.0081374025479171</v>
      </c>
      <c r="D75">
        <v>1</v>
      </c>
      <c r="E75">
        <f t="shared" si="3"/>
        <v>4.4406592584313148E-2</v>
      </c>
    </row>
    <row r="76" spans="1:5" x14ac:dyDescent="0.25">
      <c r="A76">
        <v>8</v>
      </c>
      <c r="B76">
        <v>-9.6666666666666706E-2</v>
      </c>
      <c r="C76">
        <f t="shared" si="2"/>
        <v>1.0120319881712307</v>
      </c>
      <c r="D76">
        <v>1</v>
      </c>
      <c r="E76">
        <f t="shared" si="3"/>
        <v>4.4406592584313148E-2</v>
      </c>
    </row>
    <row r="77" spans="1:5" x14ac:dyDescent="0.25">
      <c r="A77">
        <v>6</v>
      </c>
      <c r="B77">
        <v>-9.6096096096096095E-2</v>
      </c>
      <c r="C77">
        <f t="shared" si="2"/>
        <v>1.0135468852138403</v>
      </c>
      <c r="D77">
        <v>1</v>
      </c>
      <c r="E77">
        <f t="shared" si="3"/>
        <v>4.4406592584313148E-2</v>
      </c>
    </row>
    <row r="78" spans="1:5" x14ac:dyDescent="0.25">
      <c r="A78">
        <v>8</v>
      </c>
      <c r="B78">
        <v>-9.6096096096096095E-2</v>
      </c>
      <c r="C78">
        <f t="shared" si="2"/>
        <v>1.0135468852138403</v>
      </c>
      <c r="D78">
        <v>1</v>
      </c>
      <c r="E78">
        <f t="shared" si="3"/>
        <v>4.4406592584313148E-2</v>
      </c>
    </row>
    <row r="79" spans="1:5" x14ac:dyDescent="0.25">
      <c r="A79">
        <v>11</v>
      </c>
      <c r="B79">
        <v>-9.6096096096096095E-2</v>
      </c>
      <c r="C79">
        <f t="shared" si="2"/>
        <v>1.0135468852138403</v>
      </c>
      <c r="D79">
        <v>1</v>
      </c>
      <c r="E79">
        <f t="shared" si="3"/>
        <v>4.4406592584313148E-2</v>
      </c>
    </row>
    <row r="80" spans="1:5" x14ac:dyDescent="0.25">
      <c r="A80">
        <v>11</v>
      </c>
      <c r="B80">
        <v>-9.6000000000000002E-2</v>
      </c>
      <c r="C80">
        <f t="shared" si="2"/>
        <v>1.0138018709722452</v>
      </c>
      <c r="D80">
        <v>1</v>
      </c>
      <c r="E80">
        <f t="shared" si="3"/>
        <v>4.4406592584313148E-2</v>
      </c>
    </row>
    <row r="81" spans="1:5" x14ac:dyDescent="0.25">
      <c r="A81">
        <v>10</v>
      </c>
      <c r="B81">
        <v>-9.3333333333333296E-2</v>
      </c>
      <c r="C81">
        <f t="shared" si="2"/>
        <v>1.0208596195058643</v>
      </c>
      <c r="D81">
        <v>1</v>
      </c>
      <c r="E81">
        <f t="shared" si="3"/>
        <v>4.4406592584313148E-2</v>
      </c>
    </row>
    <row r="82" spans="1:5" x14ac:dyDescent="0.25">
      <c r="A82">
        <v>14</v>
      </c>
      <c r="B82">
        <v>-9.3333333333333296E-2</v>
      </c>
      <c r="C82">
        <f t="shared" si="2"/>
        <v>1.0208596195058643</v>
      </c>
      <c r="D82">
        <v>1</v>
      </c>
      <c r="E82">
        <f t="shared" si="3"/>
        <v>4.4406592584313148E-2</v>
      </c>
    </row>
    <row r="83" spans="1:5" x14ac:dyDescent="0.25">
      <c r="A83">
        <v>15</v>
      </c>
      <c r="B83">
        <v>-9.3333333333333296E-2</v>
      </c>
      <c r="C83">
        <f t="shared" si="2"/>
        <v>1.0208596195058643</v>
      </c>
      <c r="D83">
        <v>1</v>
      </c>
      <c r="E83">
        <f t="shared" si="3"/>
        <v>4.4406592584313148E-2</v>
      </c>
    </row>
    <row r="84" spans="1:5" x14ac:dyDescent="0.25">
      <c r="A84">
        <v>17</v>
      </c>
      <c r="B84">
        <v>-9.3093093093093104E-2</v>
      </c>
      <c r="C84">
        <f t="shared" si="2"/>
        <v>1.0214937103786439</v>
      </c>
      <c r="D84">
        <v>1</v>
      </c>
      <c r="E84">
        <f t="shared" si="3"/>
        <v>4.4406592584313148E-2</v>
      </c>
    </row>
    <row r="85" spans="1:5" x14ac:dyDescent="0.25">
      <c r="A85">
        <v>8</v>
      </c>
      <c r="B85">
        <v>-9.00900900900901E-2</v>
      </c>
      <c r="C85">
        <f t="shared" si="2"/>
        <v>1.029394832663709</v>
      </c>
      <c r="D85">
        <v>1</v>
      </c>
      <c r="E85">
        <f t="shared" si="3"/>
        <v>4.4406592584313148E-2</v>
      </c>
    </row>
    <row r="86" spans="1:5" x14ac:dyDescent="0.25">
      <c r="A86">
        <v>8</v>
      </c>
      <c r="B86">
        <v>-9.00900900900901E-2</v>
      </c>
      <c r="C86">
        <f t="shared" si="2"/>
        <v>1.029394832663709</v>
      </c>
      <c r="D86">
        <v>1</v>
      </c>
      <c r="E86">
        <f t="shared" si="3"/>
        <v>4.4406592584313148E-2</v>
      </c>
    </row>
    <row r="87" spans="1:5" x14ac:dyDescent="0.25">
      <c r="A87">
        <v>11</v>
      </c>
      <c r="B87">
        <v>-8.8785046728972E-2</v>
      </c>
      <c r="C87">
        <f t="shared" si="2"/>
        <v>1.0328137410632299</v>
      </c>
      <c r="D87">
        <v>1</v>
      </c>
      <c r="E87">
        <f t="shared" si="3"/>
        <v>4.4406592584313148E-2</v>
      </c>
    </row>
    <row r="88" spans="1:5" x14ac:dyDescent="0.25">
      <c r="A88">
        <v>6</v>
      </c>
      <c r="B88">
        <v>-8.7999999999999995E-2</v>
      </c>
      <c r="C88">
        <f t="shared" si="2"/>
        <v>1.0348659693433551</v>
      </c>
      <c r="D88">
        <v>1</v>
      </c>
      <c r="E88">
        <f t="shared" si="3"/>
        <v>4.4406592584313148E-2</v>
      </c>
    </row>
    <row r="89" spans="1:5" x14ac:dyDescent="0.25">
      <c r="A89">
        <v>10</v>
      </c>
      <c r="B89">
        <v>-8.6826347305389198E-2</v>
      </c>
      <c r="C89">
        <f t="shared" si="2"/>
        <v>1.0379277985978654</v>
      </c>
      <c r="D89">
        <v>1</v>
      </c>
      <c r="E89">
        <f t="shared" si="3"/>
        <v>4.4406592584313148E-2</v>
      </c>
    </row>
    <row r="90" spans="1:5" x14ac:dyDescent="0.25">
      <c r="A90">
        <v>10</v>
      </c>
      <c r="B90">
        <v>-8.5333333333333303E-2</v>
      </c>
      <c r="C90">
        <f t="shared" si="2"/>
        <v>1.0418117445617119</v>
      </c>
      <c r="D90">
        <v>1</v>
      </c>
      <c r="E90">
        <f t="shared" si="3"/>
        <v>4.4406592584313148E-2</v>
      </c>
    </row>
    <row r="91" spans="1:5" x14ac:dyDescent="0.25">
      <c r="A91">
        <v>13</v>
      </c>
      <c r="B91">
        <v>-8.4084084084084104E-2</v>
      </c>
      <c r="C91">
        <f t="shared" si="2"/>
        <v>1.0450518968975606</v>
      </c>
      <c r="D91">
        <v>1</v>
      </c>
      <c r="E91">
        <f t="shared" si="3"/>
        <v>4.4406592584313148E-2</v>
      </c>
    </row>
    <row r="92" spans="1:5" x14ac:dyDescent="0.25">
      <c r="A92">
        <v>6</v>
      </c>
      <c r="B92">
        <v>-8.3832335329341298E-2</v>
      </c>
      <c r="C92">
        <f t="shared" si="2"/>
        <v>1.0457037728348895</v>
      </c>
      <c r="D92">
        <v>1</v>
      </c>
      <c r="E92">
        <f t="shared" si="3"/>
        <v>4.4406592584313148E-2</v>
      </c>
    </row>
    <row r="93" spans="1:5" x14ac:dyDescent="0.25">
      <c r="A93">
        <v>12</v>
      </c>
      <c r="B93">
        <v>-8.1585081585081598E-2</v>
      </c>
      <c r="C93">
        <f t="shared" si="2"/>
        <v>1.0515064839321111</v>
      </c>
      <c r="D93">
        <v>1</v>
      </c>
      <c r="E93">
        <f t="shared" si="3"/>
        <v>4.4406592584313148E-2</v>
      </c>
    </row>
    <row r="94" spans="1:5" x14ac:dyDescent="0.25">
      <c r="A94">
        <v>6</v>
      </c>
      <c r="B94">
        <v>-8.1081081081081099E-2</v>
      </c>
      <c r="C94">
        <f t="shared" si="2"/>
        <v>1.0528038027870821</v>
      </c>
      <c r="D94">
        <v>1</v>
      </c>
      <c r="E94">
        <f t="shared" si="3"/>
        <v>4.4406592584313148E-2</v>
      </c>
    </row>
    <row r="95" spans="1:5" x14ac:dyDescent="0.25">
      <c r="A95">
        <v>8</v>
      </c>
      <c r="B95">
        <v>-0.08</v>
      </c>
      <c r="C95">
        <f t="shared" si="2"/>
        <v>1.0555814304586386</v>
      </c>
      <c r="D95">
        <v>1</v>
      </c>
      <c r="E95">
        <f t="shared" si="3"/>
        <v>4.4406592584313148E-2</v>
      </c>
    </row>
    <row r="96" spans="1:5" x14ac:dyDescent="0.25">
      <c r="A96">
        <v>17</v>
      </c>
      <c r="B96">
        <v>-0.08</v>
      </c>
      <c r="C96">
        <f t="shared" si="2"/>
        <v>1.0555814304586386</v>
      </c>
      <c r="D96">
        <v>1</v>
      </c>
      <c r="E96">
        <f t="shared" si="3"/>
        <v>4.4406592584313148E-2</v>
      </c>
    </row>
    <row r="97" spans="1:5" x14ac:dyDescent="0.25">
      <c r="A97">
        <v>12</v>
      </c>
      <c r="B97">
        <v>-7.8078078078078095E-2</v>
      </c>
      <c r="C97">
        <f t="shared" si="2"/>
        <v>1.0605019353784424</v>
      </c>
      <c r="D97">
        <v>1</v>
      </c>
      <c r="E97">
        <f t="shared" si="3"/>
        <v>4.4406592584313148E-2</v>
      </c>
    </row>
    <row r="98" spans="1:5" x14ac:dyDescent="0.25">
      <c r="A98">
        <v>8</v>
      </c>
      <c r="B98">
        <v>-7.7844311377245498E-2</v>
      </c>
      <c r="C98">
        <f t="shared" si="2"/>
        <v>1.0610988767606064</v>
      </c>
      <c r="D98">
        <v>1</v>
      </c>
      <c r="E98">
        <f t="shared" si="3"/>
        <v>4.4406592584313148E-2</v>
      </c>
    </row>
    <row r="99" spans="1:5" x14ac:dyDescent="0.25">
      <c r="A99">
        <v>6</v>
      </c>
      <c r="B99">
        <v>-7.5075075075075104E-2</v>
      </c>
      <c r="C99">
        <f t="shared" si="2"/>
        <v>1.068144280266861</v>
      </c>
      <c r="D99">
        <v>1</v>
      </c>
      <c r="E99">
        <f t="shared" si="3"/>
        <v>4.4406592584313148E-2</v>
      </c>
    </row>
    <row r="100" spans="1:5" x14ac:dyDescent="0.25">
      <c r="A100">
        <v>8</v>
      </c>
      <c r="B100">
        <v>-7.2072072072072099E-2</v>
      </c>
      <c r="C100">
        <f t="shared" si="2"/>
        <v>1.0757288260474898</v>
      </c>
      <c r="D100">
        <v>1</v>
      </c>
      <c r="E100">
        <f t="shared" si="3"/>
        <v>4.4406592584313148E-2</v>
      </c>
    </row>
    <row r="101" spans="1:5" x14ac:dyDescent="0.25">
      <c r="A101">
        <v>6</v>
      </c>
      <c r="B101">
        <v>-7.1999999999999995E-2</v>
      </c>
      <c r="C101">
        <f t="shared" si="2"/>
        <v>1.0759101282588113</v>
      </c>
      <c r="D101">
        <v>1</v>
      </c>
      <c r="E101">
        <f t="shared" si="3"/>
        <v>4.4406592584313148E-2</v>
      </c>
    </row>
    <row r="102" spans="1:5" x14ac:dyDescent="0.25">
      <c r="A102">
        <v>8</v>
      </c>
      <c r="B102">
        <v>-7.1999999999999995E-2</v>
      </c>
      <c r="C102">
        <f t="shared" si="2"/>
        <v>1.0759101282588113</v>
      </c>
      <c r="D102">
        <v>1</v>
      </c>
      <c r="E102">
        <f t="shared" si="3"/>
        <v>4.4406592584313148E-2</v>
      </c>
    </row>
    <row r="103" spans="1:5" x14ac:dyDescent="0.25">
      <c r="A103">
        <v>8</v>
      </c>
      <c r="B103">
        <v>-6.9930069930069894E-2</v>
      </c>
      <c r="C103">
        <f t="shared" si="2"/>
        <v>1.0811023550417032</v>
      </c>
      <c r="D103">
        <v>1</v>
      </c>
      <c r="E103">
        <f t="shared" si="3"/>
        <v>4.4406592584313148E-2</v>
      </c>
    </row>
    <row r="104" spans="1:5" x14ac:dyDescent="0.25">
      <c r="A104">
        <v>6</v>
      </c>
      <c r="B104">
        <v>-6.9333333333333302E-2</v>
      </c>
      <c r="C104">
        <f t="shared" si="2"/>
        <v>1.0825938393189647</v>
      </c>
      <c r="D104">
        <v>1</v>
      </c>
      <c r="E104">
        <f t="shared" si="3"/>
        <v>4.4406592584313148E-2</v>
      </c>
    </row>
    <row r="105" spans="1:5" x14ac:dyDescent="0.25">
      <c r="A105">
        <v>12</v>
      </c>
      <c r="B105">
        <v>-6.9333333333333302E-2</v>
      </c>
      <c r="C105">
        <f t="shared" si="2"/>
        <v>1.0825938393189647</v>
      </c>
      <c r="D105">
        <v>1</v>
      </c>
      <c r="E105">
        <f t="shared" si="3"/>
        <v>4.4406592584313148E-2</v>
      </c>
    </row>
    <row r="106" spans="1:5" x14ac:dyDescent="0.25">
      <c r="A106">
        <v>11</v>
      </c>
      <c r="B106">
        <v>-6.9069069069069094E-2</v>
      </c>
      <c r="C106">
        <f t="shared" si="2"/>
        <v>1.0832535651841564</v>
      </c>
      <c r="D106">
        <v>1</v>
      </c>
      <c r="E106">
        <f t="shared" si="3"/>
        <v>4.4406592584313148E-2</v>
      </c>
    </row>
    <row r="107" spans="1:5" x14ac:dyDescent="0.25">
      <c r="A107">
        <v>8</v>
      </c>
      <c r="B107">
        <v>-6.6666666666666693E-2</v>
      </c>
      <c r="C107">
        <f t="shared" si="2"/>
        <v>1.0892289496501966</v>
      </c>
      <c r="D107">
        <v>1</v>
      </c>
      <c r="E107">
        <f t="shared" si="3"/>
        <v>4.4406592584313148E-2</v>
      </c>
    </row>
    <row r="108" spans="1:5" x14ac:dyDescent="0.25">
      <c r="A108">
        <v>5</v>
      </c>
      <c r="B108">
        <v>-6.6066066066066104E-2</v>
      </c>
      <c r="C108">
        <f t="shared" si="2"/>
        <v>1.0907164948822847</v>
      </c>
      <c r="D108">
        <v>1</v>
      </c>
      <c r="E108">
        <f t="shared" si="3"/>
        <v>4.4406592584313148E-2</v>
      </c>
    </row>
    <row r="109" spans="1:5" x14ac:dyDescent="0.25">
      <c r="A109">
        <v>8</v>
      </c>
      <c r="B109">
        <v>-6.5268065268065306E-2</v>
      </c>
      <c r="C109">
        <f t="shared" si="2"/>
        <v>1.0926890024439493</v>
      </c>
      <c r="D109">
        <v>1</v>
      </c>
      <c r="E109">
        <f t="shared" si="3"/>
        <v>4.4406592584313148E-2</v>
      </c>
    </row>
    <row r="110" spans="1:5" x14ac:dyDescent="0.25">
      <c r="A110">
        <v>12</v>
      </c>
      <c r="B110">
        <v>-6.3084112149532703E-2</v>
      </c>
      <c r="C110">
        <f t="shared" si="2"/>
        <v>1.0980639816135038</v>
      </c>
      <c r="D110">
        <v>1</v>
      </c>
      <c r="E110">
        <f t="shared" si="3"/>
        <v>4.4406592584313148E-2</v>
      </c>
    </row>
    <row r="111" spans="1:5" x14ac:dyDescent="0.25">
      <c r="A111">
        <v>12</v>
      </c>
      <c r="B111">
        <v>-6.3063063063063099E-2</v>
      </c>
      <c r="C111">
        <f t="shared" si="2"/>
        <v>1.0981156179654747</v>
      </c>
      <c r="D111">
        <v>1</v>
      </c>
      <c r="E111">
        <f t="shared" si="3"/>
        <v>4.4406592584313148E-2</v>
      </c>
    </row>
    <row r="112" spans="1:5" x14ac:dyDescent="0.25">
      <c r="A112">
        <v>14</v>
      </c>
      <c r="B112">
        <v>-5.7057057057057103E-2</v>
      </c>
      <c r="C112">
        <f t="shared" si="2"/>
        <v>1.1127144889531304</v>
      </c>
      <c r="D112">
        <v>1</v>
      </c>
      <c r="E112">
        <f t="shared" si="3"/>
        <v>4.4406592584313148E-2</v>
      </c>
    </row>
    <row r="113" spans="1:5" x14ac:dyDescent="0.25">
      <c r="A113">
        <v>6</v>
      </c>
      <c r="B113">
        <v>-5.6000000000000001E-2</v>
      </c>
      <c r="C113">
        <f t="shared" si="2"/>
        <v>1.1152554636165246</v>
      </c>
      <c r="D113">
        <v>1</v>
      </c>
      <c r="E113">
        <f t="shared" si="3"/>
        <v>4.4406592584313148E-2</v>
      </c>
    </row>
    <row r="114" spans="1:5" x14ac:dyDescent="0.25">
      <c r="A114">
        <v>11</v>
      </c>
      <c r="B114">
        <v>-5.6000000000000001E-2</v>
      </c>
      <c r="C114">
        <f t="shared" si="2"/>
        <v>1.1152554636165246</v>
      </c>
      <c r="D114">
        <v>1</v>
      </c>
      <c r="E114">
        <f t="shared" si="3"/>
        <v>4.4406592584313148E-2</v>
      </c>
    </row>
    <row r="115" spans="1:5" x14ac:dyDescent="0.25">
      <c r="A115">
        <v>5</v>
      </c>
      <c r="B115">
        <v>-5.4054054054054099E-2</v>
      </c>
      <c r="C115">
        <f t="shared" si="2"/>
        <v>1.1199102785254424</v>
      </c>
      <c r="D115">
        <v>1</v>
      </c>
      <c r="E115">
        <f t="shared" si="3"/>
        <v>4.4406592584313148E-2</v>
      </c>
    </row>
    <row r="116" spans="1:5" x14ac:dyDescent="0.25">
      <c r="A116">
        <v>10</v>
      </c>
      <c r="B116">
        <v>-5.3892215568862298E-2</v>
      </c>
      <c r="C116">
        <f t="shared" si="2"/>
        <v>1.1202960563615987</v>
      </c>
      <c r="D116">
        <v>1</v>
      </c>
      <c r="E116">
        <f t="shared" si="3"/>
        <v>4.4406592584313148E-2</v>
      </c>
    </row>
    <row r="117" spans="1:5" x14ac:dyDescent="0.25">
      <c r="A117">
        <v>14</v>
      </c>
      <c r="B117">
        <v>-5.3892215568862298E-2</v>
      </c>
      <c r="C117">
        <f t="shared" si="2"/>
        <v>1.1202960563615987</v>
      </c>
      <c r="D117">
        <v>2</v>
      </c>
      <c r="E117">
        <f t="shared" si="3"/>
        <v>4.7227090726384854E-2</v>
      </c>
    </row>
    <row r="118" spans="1:5" x14ac:dyDescent="0.25">
      <c r="A118">
        <v>8</v>
      </c>
      <c r="B118">
        <v>-5.1401869158878503E-2</v>
      </c>
      <c r="C118">
        <f t="shared" si="2"/>
        <v>1.1262058590094342</v>
      </c>
      <c r="D118">
        <v>2</v>
      </c>
      <c r="E118">
        <f t="shared" si="3"/>
        <v>4.7227090726384854E-2</v>
      </c>
    </row>
    <row r="119" spans="1:5" x14ac:dyDescent="0.25">
      <c r="A119">
        <v>10</v>
      </c>
      <c r="B119">
        <v>-5.06666666666667E-2</v>
      </c>
      <c r="C119">
        <f t="shared" si="2"/>
        <v>1.1279409493080494</v>
      </c>
      <c r="D119">
        <v>2</v>
      </c>
      <c r="E119">
        <f t="shared" si="3"/>
        <v>4.7227090726384854E-2</v>
      </c>
    </row>
    <row r="120" spans="1:5" x14ac:dyDescent="0.25">
      <c r="A120">
        <v>14</v>
      </c>
      <c r="B120">
        <v>-5.06666666666667E-2</v>
      </c>
      <c r="C120">
        <f t="shared" si="2"/>
        <v>1.1279409493080494</v>
      </c>
      <c r="D120">
        <v>2</v>
      </c>
      <c r="E120">
        <f t="shared" si="3"/>
        <v>4.7227090726384854E-2</v>
      </c>
    </row>
    <row r="121" spans="1:5" x14ac:dyDescent="0.25">
      <c r="A121">
        <v>12</v>
      </c>
      <c r="B121">
        <v>-0.05</v>
      </c>
      <c r="C121">
        <f t="shared" si="2"/>
        <v>1.1295104639308529</v>
      </c>
      <c r="D121">
        <v>2</v>
      </c>
      <c r="E121">
        <f t="shared" si="3"/>
        <v>4.7227090726384854E-2</v>
      </c>
    </row>
    <row r="122" spans="1:5" x14ac:dyDescent="0.25">
      <c r="A122">
        <v>14</v>
      </c>
      <c r="B122">
        <v>-4.8951048951049E-2</v>
      </c>
      <c r="C122">
        <f t="shared" si="2"/>
        <v>1.1319725521999002</v>
      </c>
      <c r="D122">
        <v>2</v>
      </c>
      <c r="E122">
        <f t="shared" si="3"/>
        <v>4.7227090726384854E-2</v>
      </c>
    </row>
    <row r="123" spans="1:5" x14ac:dyDescent="0.25">
      <c r="A123">
        <v>8</v>
      </c>
      <c r="B123">
        <v>-4.8000000000000001E-2</v>
      </c>
      <c r="C123">
        <f t="shared" si="2"/>
        <v>1.1341969340599645</v>
      </c>
      <c r="D123">
        <v>2</v>
      </c>
      <c r="E123">
        <f t="shared" si="3"/>
        <v>4.7227090726384854E-2</v>
      </c>
    </row>
    <row r="124" spans="1:5" x14ac:dyDescent="0.25">
      <c r="A124">
        <v>6</v>
      </c>
      <c r="B124">
        <v>-4.7904191616766498E-2</v>
      </c>
      <c r="C124">
        <f t="shared" si="2"/>
        <v>1.1344205979286843</v>
      </c>
      <c r="D124">
        <v>2</v>
      </c>
      <c r="E124">
        <f t="shared" si="3"/>
        <v>4.7227090726384854E-2</v>
      </c>
    </row>
    <row r="125" spans="1:5" x14ac:dyDescent="0.25">
      <c r="A125">
        <v>13</v>
      </c>
      <c r="B125">
        <v>-4.7904191616766498E-2</v>
      </c>
      <c r="C125">
        <f t="shared" si="2"/>
        <v>1.1344205979286843</v>
      </c>
      <c r="D125">
        <v>2</v>
      </c>
      <c r="E125">
        <f t="shared" si="3"/>
        <v>4.7227090726384854E-2</v>
      </c>
    </row>
    <row r="126" spans="1:5" x14ac:dyDescent="0.25">
      <c r="A126">
        <v>5</v>
      </c>
      <c r="B126">
        <v>-4.6620046620046603E-2</v>
      </c>
      <c r="C126">
        <f t="shared" si="2"/>
        <v>1.1374109593802182</v>
      </c>
      <c r="D126">
        <v>2</v>
      </c>
      <c r="E126">
        <f t="shared" si="3"/>
        <v>4.7227090726384854E-2</v>
      </c>
    </row>
    <row r="127" spans="1:5" x14ac:dyDescent="0.25">
      <c r="A127">
        <v>5</v>
      </c>
      <c r="B127">
        <v>-4.6620046620046603E-2</v>
      </c>
      <c r="C127">
        <f t="shared" si="2"/>
        <v>1.1374109593802182</v>
      </c>
      <c r="D127">
        <v>2</v>
      </c>
      <c r="E127">
        <f t="shared" si="3"/>
        <v>4.7227090726384854E-2</v>
      </c>
    </row>
    <row r="128" spans="1:5" x14ac:dyDescent="0.25">
      <c r="A128">
        <v>10</v>
      </c>
      <c r="B128">
        <v>-4.26666666666667E-2</v>
      </c>
      <c r="C128">
        <f t="shared" si="2"/>
        <v>1.1465285812232013</v>
      </c>
      <c r="D128">
        <v>2</v>
      </c>
      <c r="E128">
        <f t="shared" si="3"/>
        <v>4.7227090726384854E-2</v>
      </c>
    </row>
    <row r="129" spans="1:5" x14ac:dyDescent="0.25">
      <c r="A129">
        <v>13</v>
      </c>
      <c r="B129">
        <v>-4.2056074766355103E-2</v>
      </c>
      <c r="C129">
        <f t="shared" si="2"/>
        <v>1.1479246721370944</v>
      </c>
      <c r="D129">
        <v>2</v>
      </c>
      <c r="E129">
        <f t="shared" si="3"/>
        <v>4.7227090726384854E-2</v>
      </c>
    </row>
    <row r="130" spans="1:5" x14ac:dyDescent="0.25">
      <c r="A130">
        <v>14</v>
      </c>
      <c r="B130">
        <v>-4.2000000000000003E-2</v>
      </c>
      <c r="C130">
        <f t="shared" ref="C130:C193" si="4">_xlfn.NORM.DIST(B130, I$10,I$13,FALSE)</f>
        <v>1.14805272009959</v>
      </c>
      <c r="D130">
        <v>2</v>
      </c>
      <c r="E130">
        <f t="shared" si="3"/>
        <v>4.7227090726384854E-2</v>
      </c>
    </row>
    <row r="131" spans="1:5" x14ac:dyDescent="0.25">
      <c r="A131">
        <v>14</v>
      </c>
      <c r="B131">
        <v>-4.1916167664670698E-2</v>
      </c>
      <c r="C131">
        <f t="shared" si="4"/>
        <v>1.1482441013768114</v>
      </c>
      <c r="D131">
        <v>2</v>
      </c>
      <c r="E131">
        <f t="shared" ref="E131:E194" si="5">_xlfn.NORM.DIST(D131, I$4,I$7,FALSE)</f>
        <v>4.7227090726384854E-2</v>
      </c>
    </row>
    <row r="132" spans="1:5" x14ac:dyDescent="0.25">
      <c r="A132">
        <v>6</v>
      </c>
      <c r="B132">
        <v>-0.04</v>
      </c>
      <c r="C132">
        <f t="shared" si="4"/>
        <v>1.1526015435266772</v>
      </c>
      <c r="D132">
        <v>2</v>
      </c>
      <c r="E132">
        <f t="shared" si="5"/>
        <v>4.7227090726384854E-2</v>
      </c>
    </row>
    <row r="133" spans="1:5" x14ac:dyDescent="0.25">
      <c r="A133">
        <v>10</v>
      </c>
      <c r="B133">
        <v>-3.7333333333333302E-2</v>
      </c>
      <c r="C133">
        <f t="shared" si="4"/>
        <v>1.1586108117995293</v>
      </c>
      <c r="D133">
        <v>2</v>
      </c>
      <c r="E133">
        <f t="shared" si="5"/>
        <v>4.7227090726384854E-2</v>
      </c>
    </row>
    <row r="134" spans="1:5" x14ac:dyDescent="0.25">
      <c r="A134">
        <v>15</v>
      </c>
      <c r="B134">
        <v>-3.7333333333333302E-2</v>
      </c>
      <c r="C134">
        <f t="shared" si="4"/>
        <v>1.1586108117995293</v>
      </c>
      <c r="D134">
        <v>2</v>
      </c>
      <c r="E134">
        <f t="shared" si="5"/>
        <v>4.7227090726384854E-2</v>
      </c>
    </row>
    <row r="135" spans="1:5" x14ac:dyDescent="0.25">
      <c r="A135">
        <v>8</v>
      </c>
      <c r="B135">
        <v>-3.6036036036036001E-2</v>
      </c>
      <c r="C135">
        <f t="shared" si="4"/>
        <v>1.1615108106312069</v>
      </c>
      <c r="D135">
        <v>2</v>
      </c>
      <c r="E135">
        <f t="shared" si="5"/>
        <v>4.7227090726384854E-2</v>
      </c>
    </row>
    <row r="136" spans="1:5" x14ac:dyDescent="0.25">
      <c r="A136">
        <v>8</v>
      </c>
      <c r="B136">
        <v>-3.59281437125748E-2</v>
      </c>
      <c r="C136">
        <f t="shared" si="4"/>
        <v>1.1617512969142159</v>
      </c>
      <c r="D136">
        <v>2</v>
      </c>
      <c r="E136">
        <f t="shared" si="5"/>
        <v>4.7227090726384854E-2</v>
      </c>
    </row>
    <row r="137" spans="1:5" x14ac:dyDescent="0.25">
      <c r="A137">
        <v>6</v>
      </c>
      <c r="B137">
        <v>-3.3033033033033003E-2</v>
      </c>
      <c r="C137">
        <f t="shared" si="4"/>
        <v>1.1681638902543741</v>
      </c>
      <c r="D137">
        <v>2</v>
      </c>
      <c r="E137">
        <f t="shared" si="5"/>
        <v>4.7227090726384854E-2</v>
      </c>
    </row>
    <row r="138" spans="1:5" x14ac:dyDescent="0.25">
      <c r="A138">
        <v>8</v>
      </c>
      <c r="B138">
        <v>-3.2634032634032598E-2</v>
      </c>
      <c r="C138">
        <f t="shared" si="4"/>
        <v>1.1690414979415398</v>
      </c>
      <c r="D138">
        <v>2</v>
      </c>
      <c r="E138">
        <f t="shared" si="5"/>
        <v>4.7227090726384854E-2</v>
      </c>
    </row>
    <row r="139" spans="1:5" x14ac:dyDescent="0.25">
      <c r="A139">
        <v>8</v>
      </c>
      <c r="B139">
        <v>-3.2000000000000001E-2</v>
      </c>
      <c r="C139">
        <f t="shared" si="4"/>
        <v>1.1704329596340803</v>
      </c>
      <c r="D139">
        <v>2</v>
      </c>
      <c r="E139">
        <f t="shared" si="5"/>
        <v>4.7227090726384854E-2</v>
      </c>
    </row>
    <row r="140" spans="1:5" x14ac:dyDescent="0.25">
      <c r="A140">
        <v>8</v>
      </c>
      <c r="B140">
        <v>-3.03738317757009E-2</v>
      </c>
      <c r="C140">
        <f t="shared" si="4"/>
        <v>1.1739842579720152</v>
      </c>
      <c r="D140">
        <v>2</v>
      </c>
      <c r="E140">
        <f t="shared" si="5"/>
        <v>4.7227090726384854E-2</v>
      </c>
    </row>
    <row r="141" spans="1:5" x14ac:dyDescent="0.25">
      <c r="A141">
        <v>16</v>
      </c>
      <c r="B141">
        <v>-3.0030030030029999E-2</v>
      </c>
      <c r="C141">
        <f t="shared" si="4"/>
        <v>1.1747318178692936</v>
      </c>
      <c r="D141">
        <v>2</v>
      </c>
      <c r="E141">
        <f t="shared" si="5"/>
        <v>4.7227090726384854E-2</v>
      </c>
    </row>
    <row r="142" spans="1:5" x14ac:dyDescent="0.25">
      <c r="A142">
        <v>5</v>
      </c>
      <c r="B142">
        <v>-2.9333333333333302E-2</v>
      </c>
      <c r="C142">
        <f t="shared" si="4"/>
        <v>1.1762432096379032</v>
      </c>
      <c r="D142">
        <v>2</v>
      </c>
      <c r="E142">
        <f t="shared" si="5"/>
        <v>4.7227090726384854E-2</v>
      </c>
    </row>
    <row r="143" spans="1:5" x14ac:dyDescent="0.25">
      <c r="A143">
        <v>5</v>
      </c>
      <c r="B143">
        <v>-2.9333333333333302E-2</v>
      </c>
      <c r="C143">
        <f t="shared" si="4"/>
        <v>1.1762432096379032</v>
      </c>
      <c r="D143">
        <v>2</v>
      </c>
      <c r="E143">
        <f t="shared" si="5"/>
        <v>4.7227090726384854E-2</v>
      </c>
    </row>
    <row r="144" spans="1:5" x14ac:dyDescent="0.25">
      <c r="A144">
        <v>14</v>
      </c>
      <c r="B144">
        <v>-2.7972027972028E-2</v>
      </c>
      <c r="C144">
        <f t="shared" si="4"/>
        <v>1.1791827785222166</v>
      </c>
      <c r="D144">
        <v>2</v>
      </c>
      <c r="E144">
        <f t="shared" si="5"/>
        <v>4.7227090726384854E-2</v>
      </c>
    </row>
    <row r="145" spans="1:5" x14ac:dyDescent="0.25">
      <c r="A145">
        <v>13</v>
      </c>
      <c r="B145">
        <v>-2.7027027027027001E-2</v>
      </c>
      <c r="C145">
        <f t="shared" si="4"/>
        <v>1.181212732684741</v>
      </c>
      <c r="D145">
        <v>2</v>
      </c>
      <c r="E145">
        <f t="shared" si="5"/>
        <v>4.7227090726384854E-2</v>
      </c>
    </row>
    <row r="146" spans="1:5" x14ac:dyDescent="0.25">
      <c r="A146">
        <v>14</v>
      </c>
      <c r="B146">
        <v>-2.7027027027027001E-2</v>
      </c>
      <c r="C146">
        <f t="shared" si="4"/>
        <v>1.181212732684741</v>
      </c>
      <c r="D146">
        <v>2</v>
      </c>
      <c r="E146">
        <f t="shared" si="5"/>
        <v>4.7227090726384854E-2</v>
      </c>
    </row>
    <row r="147" spans="1:5" x14ac:dyDescent="0.25">
      <c r="A147">
        <v>7</v>
      </c>
      <c r="B147">
        <v>-2.69461077844311E-2</v>
      </c>
      <c r="C147">
        <f t="shared" si="4"/>
        <v>1.1813861469205318</v>
      </c>
      <c r="D147">
        <v>2</v>
      </c>
      <c r="E147">
        <f t="shared" si="5"/>
        <v>4.7227090726384854E-2</v>
      </c>
    </row>
    <row r="148" spans="1:5" x14ac:dyDescent="0.25">
      <c r="A148">
        <v>10</v>
      </c>
      <c r="B148">
        <v>-2.33644859813084E-2</v>
      </c>
      <c r="C148">
        <f t="shared" si="4"/>
        <v>1.1889965723815537</v>
      </c>
      <c r="D148">
        <v>2</v>
      </c>
      <c r="E148">
        <f t="shared" si="5"/>
        <v>4.7227090726384854E-2</v>
      </c>
    </row>
    <row r="149" spans="1:5" x14ac:dyDescent="0.25">
      <c r="A149">
        <v>14</v>
      </c>
      <c r="B149">
        <v>-2.1333333333333301E-2</v>
      </c>
      <c r="C149">
        <f t="shared" si="4"/>
        <v>1.1932551024317708</v>
      </c>
      <c r="D149">
        <v>2</v>
      </c>
      <c r="E149">
        <f t="shared" si="5"/>
        <v>4.7227090726384854E-2</v>
      </c>
    </row>
    <row r="150" spans="1:5" x14ac:dyDescent="0.25">
      <c r="A150">
        <v>15</v>
      </c>
      <c r="B150">
        <v>-2.1021021021020998E-2</v>
      </c>
      <c r="C150">
        <f t="shared" si="4"/>
        <v>1.193906167118453</v>
      </c>
      <c r="D150">
        <v>2</v>
      </c>
      <c r="E150">
        <f t="shared" si="5"/>
        <v>4.7227090726384854E-2</v>
      </c>
    </row>
    <row r="151" spans="1:5" x14ac:dyDescent="0.25">
      <c r="A151">
        <v>15</v>
      </c>
      <c r="B151">
        <v>-1.8666666666666699E-2</v>
      </c>
      <c r="C151">
        <f t="shared" si="4"/>
        <v>1.1987818560666006</v>
      </c>
      <c r="D151">
        <v>2</v>
      </c>
      <c r="E151">
        <f t="shared" si="5"/>
        <v>4.7227090726384854E-2</v>
      </c>
    </row>
    <row r="152" spans="1:5" x14ac:dyDescent="0.25">
      <c r="A152">
        <v>10</v>
      </c>
      <c r="B152">
        <v>-1.63551401869159E-2</v>
      </c>
      <c r="C152">
        <f t="shared" si="4"/>
        <v>1.2035127103224204</v>
      </c>
      <c r="D152">
        <v>2</v>
      </c>
      <c r="E152">
        <f t="shared" si="5"/>
        <v>4.7227090726384854E-2</v>
      </c>
    </row>
    <row r="153" spans="1:5" x14ac:dyDescent="0.25">
      <c r="A153">
        <v>8</v>
      </c>
      <c r="B153">
        <v>-1.6E-2</v>
      </c>
      <c r="C153">
        <f t="shared" si="4"/>
        <v>1.2042345714673641</v>
      </c>
      <c r="D153">
        <v>2</v>
      </c>
      <c r="E153">
        <f t="shared" si="5"/>
        <v>4.7227090726384854E-2</v>
      </c>
    </row>
    <row r="154" spans="1:5" x14ac:dyDescent="0.25">
      <c r="A154">
        <v>5</v>
      </c>
      <c r="B154">
        <v>-1.5015015015014999E-2</v>
      </c>
      <c r="C154">
        <f t="shared" si="4"/>
        <v>1.2062296648391881</v>
      </c>
      <c r="D154">
        <v>2</v>
      </c>
      <c r="E154">
        <f t="shared" si="5"/>
        <v>4.7227090726384854E-2</v>
      </c>
    </row>
    <row r="155" spans="1:5" x14ac:dyDescent="0.25">
      <c r="A155">
        <v>10</v>
      </c>
      <c r="B155">
        <v>-1.5015015015014999E-2</v>
      </c>
      <c r="C155">
        <f t="shared" si="4"/>
        <v>1.2062296648391881</v>
      </c>
      <c r="D155">
        <v>2</v>
      </c>
      <c r="E155">
        <f t="shared" si="5"/>
        <v>4.7227090726384854E-2</v>
      </c>
    </row>
    <row r="156" spans="1:5" x14ac:dyDescent="0.25">
      <c r="A156">
        <v>13</v>
      </c>
      <c r="B156">
        <v>-1.5015015015014999E-2</v>
      </c>
      <c r="C156">
        <f t="shared" si="4"/>
        <v>1.2062296648391881</v>
      </c>
      <c r="D156">
        <v>2</v>
      </c>
      <c r="E156">
        <f t="shared" si="5"/>
        <v>4.7227090726384854E-2</v>
      </c>
    </row>
    <row r="157" spans="1:5" x14ac:dyDescent="0.25">
      <c r="A157">
        <v>15</v>
      </c>
      <c r="B157">
        <v>-1.5015015015014999E-2</v>
      </c>
      <c r="C157">
        <f t="shared" si="4"/>
        <v>1.2062296648391881</v>
      </c>
      <c r="D157">
        <v>2</v>
      </c>
      <c r="E157">
        <f t="shared" si="5"/>
        <v>4.7227090726384854E-2</v>
      </c>
    </row>
    <row r="158" spans="1:5" x14ac:dyDescent="0.25">
      <c r="A158">
        <v>15</v>
      </c>
      <c r="B158">
        <v>-1.5015015015014999E-2</v>
      </c>
      <c r="C158">
        <f t="shared" si="4"/>
        <v>1.2062296648391881</v>
      </c>
      <c r="D158">
        <v>2</v>
      </c>
      <c r="E158">
        <f t="shared" si="5"/>
        <v>4.7227090726384854E-2</v>
      </c>
    </row>
    <row r="159" spans="1:5" x14ac:dyDescent="0.25">
      <c r="A159">
        <v>13</v>
      </c>
      <c r="B159">
        <v>-1.3333333333333299E-2</v>
      </c>
      <c r="C159">
        <f t="shared" si="4"/>
        <v>1.2096120075939529</v>
      </c>
      <c r="D159">
        <v>2</v>
      </c>
      <c r="E159">
        <f t="shared" si="5"/>
        <v>4.7227090726384854E-2</v>
      </c>
    </row>
    <row r="160" spans="1:5" x14ac:dyDescent="0.25">
      <c r="A160">
        <v>8</v>
      </c>
      <c r="B160">
        <v>-1.2012012012012E-2</v>
      </c>
      <c r="C160">
        <f t="shared" si="4"/>
        <v>1.2122482326139878</v>
      </c>
      <c r="D160">
        <v>2</v>
      </c>
      <c r="E160">
        <f t="shared" si="5"/>
        <v>4.7227090726384854E-2</v>
      </c>
    </row>
    <row r="161" spans="1:5" x14ac:dyDescent="0.25">
      <c r="A161">
        <v>5</v>
      </c>
      <c r="B161">
        <v>-1.16822429906542E-2</v>
      </c>
      <c r="C161">
        <f t="shared" si="4"/>
        <v>1.212903222630157</v>
      </c>
      <c r="D161">
        <v>2</v>
      </c>
      <c r="E161">
        <f t="shared" si="5"/>
        <v>4.7227090726384854E-2</v>
      </c>
    </row>
    <row r="162" spans="1:5" x14ac:dyDescent="0.25">
      <c r="A162">
        <v>5</v>
      </c>
      <c r="B162">
        <v>-1.0666666666666699E-2</v>
      </c>
      <c r="C162">
        <f t="shared" si="4"/>
        <v>1.2149129365388429</v>
      </c>
      <c r="D162">
        <v>2</v>
      </c>
      <c r="E162">
        <f t="shared" si="5"/>
        <v>4.7227090726384854E-2</v>
      </c>
    </row>
    <row r="163" spans="1:5" x14ac:dyDescent="0.25">
      <c r="A163">
        <v>5</v>
      </c>
      <c r="B163">
        <v>-9.3240093240093205E-3</v>
      </c>
      <c r="C163">
        <f t="shared" si="4"/>
        <v>1.2175525934619222</v>
      </c>
      <c r="D163">
        <v>2</v>
      </c>
      <c r="E163">
        <f t="shared" si="5"/>
        <v>4.7227090726384854E-2</v>
      </c>
    </row>
    <row r="164" spans="1:5" x14ac:dyDescent="0.25">
      <c r="A164">
        <v>6</v>
      </c>
      <c r="B164">
        <v>-9.3240093240093205E-3</v>
      </c>
      <c r="C164">
        <f t="shared" si="4"/>
        <v>1.2175525934619222</v>
      </c>
      <c r="D164">
        <v>2</v>
      </c>
      <c r="E164">
        <f t="shared" si="5"/>
        <v>4.7227090726384854E-2</v>
      </c>
    </row>
    <row r="165" spans="1:5" x14ac:dyDescent="0.25">
      <c r="A165">
        <v>10</v>
      </c>
      <c r="B165">
        <v>-9.3240093240093205E-3</v>
      </c>
      <c r="C165">
        <f t="shared" si="4"/>
        <v>1.2175525934619222</v>
      </c>
      <c r="D165">
        <v>2</v>
      </c>
      <c r="E165">
        <f t="shared" si="5"/>
        <v>4.7227090726384854E-2</v>
      </c>
    </row>
    <row r="166" spans="1:5" x14ac:dyDescent="0.25">
      <c r="A166">
        <v>14</v>
      </c>
      <c r="B166">
        <v>-9.0090090090090107E-3</v>
      </c>
      <c r="C166">
        <f t="shared" si="4"/>
        <v>1.2181690122046034</v>
      </c>
      <c r="D166">
        <v>2</v>
      </c>
      <c r="E166">
        <f t="shared" si="5"/>
        <v>4.7227090726384854E-2</v>
      </c>
    </row>
    <row r="167" spans="1:5" x14ac:dyDescent="0.25">
      <c r="A167">
        <v>7</v>
      </c>
      <c r="B167">
        <v>-8.9820359281437105E-3</v>
      </c>
      <c r="C167">
        <f t="shared" si="4"/>
        <v>1.2182217445009758</v>
      </c>
      <c r="D167">
        <v>2</v>
      </c>
      <c r="E167">
        <f t="shared" si="5"/>
        <v>4.7227090726384854E-2</v>
      </c>
    </row>
    <row r="168" spans="1:5" x14ac:dyDescent="0.25">
      <c r="A168">
        <v>11</v>
      </c>
      <c r="B168">
        <v>-8.3333333333333297E-3</v>
      </c>
      <c r="C168">
        <f t="shared" si="4"/>
        <v>1.2194875346170608</v>
      </c>
      <c r="D168">
        <v>2</v>
      </c>
      <c r="E168">
        <f t="shared" si="5"/>
        <v>4.7227090726384854E-2</v>
      </c>
    </row>
    <row r="169" spans="1:5" x14ac:dyDescent="0.25">
      <c r="A169">
        <v>8</v>
      </c>
      <c r="B169">
        <v>-8.0000000000000002E-3</v>
      </c>
      <c r="C169">
        <f t="shared" si="4"/>
        <v>1.2201361439929832</v>
      </c>
      <c r="D169">
        <v>2</v>
      </c>
      <c r="E169">
        <f t="shared" si="5"/>
        <v>4.7227090726384854E-2</v>
      </c>
    </row>
    <row r="170" spans="1:5" x14ac:dyDescent="0.25">
      <c r="A170">
        <v>8</v>
      </c>
      <c r="B170">
        <v>-6.9930069930069904E-3</v>
      </c>
      <c r="C170">
        <f t="shared" si="4"/>
        <v>1.2220880799433642</v>
      </c>
      <c r="D170">
        <v>2</v>
      </c>
      <c r="E170">
        <f t="shared" si="5"/>
        <v>4.7227090726384854E-2</v>
      </c>
    </row>
    <row r="171" spans="1:5" x14ac:dyDescent="0.25">
      <c r="A171">
        <v>14</v>
      </c>
      <c r="B171">
        <v>-5.9880239520958096E-3</v>
      </c>
      <c r="C171">
        <f t="shared" si="4"/>
        <v>1.2240248353407952</v>
      </c>
      <c r="D171">
        <v>2</v>
      </c>
      <c r="E171">
        <f t="shared" si="5"/>
        <v>4.7227090726384854E-2</v>
      </c>
    </row>
    <row r="172" spans="1:5" x14ac:dyDescent="0.25">
      <c r="A172">
        <v>12</v>
      </c>
      <c r="B172">
        <v>-4.6728971962616802E-3</v>
      </c>
      <c r="C172">
        <f t="shared" si="4"/>
        <v>1.2265421507614593</v>
      </c>
      <c r="D172">
        <v>2</v>
      </c>
      <c r="E172">
        <f t="shared" si="5"/>
        <v>4.7227090726384854E-2</v>
      </c>
    </row>
    <row r="173" spans="1:5" x14ac:dyDescent="0.25">
      <c r="A173">
        <v>5</v>
      </c>
      <c r="B173">
        <v>-2.3364485981308401E-3</v>
      </c>
      <c r="C173">
        <f t="shared" si="4"/>
        <v>1.2309660821816024</v>
      </c>
      <c r="D173">
        <v>2</v>
      </c>
      <c r="E173">
        <f t="shared" si="5"/>
        <v>4.7227090726384854E-2</v>
      </c>
    </row>
    <row r="174" spans="1:5" x14ac:dyDescent="0.25">
      <c r="A174">
        <v>17</v>
      </c>
      <c r="B174">
        <v>-2.3310023310023301E-3</v>
      </c>
      <c r="C174">
        <f t="shared" si="4"/>
        <v>1.2309763216592988</v>
      </c>
      <c r="D174">
        <v>2</v>
      </c>
      <c r="E174">
        <f t="shared" si="5"/>
        <v>4.7227090726384854E-2</v>
      </c>
    </row>
    <row r="175" spans="1:5" x14ac:dyDescent="0.25">
      <c r="A175">
        <v>6</v>
      </c>
      <c r="B175">
        <v>0</v>
      </c>
      <c r="C175">
        <f t="shared" si="4"/>
        <v>1.2353275079789352</v>
      </c>
      <c r="D175">
        <v>2</v>
      </c>
      <c r="E175">
        <f t="shared" si="5"/>
        <v>4.7227090726384854E-2</v>
      </c>
    </row>
    <row r="176" spans="1:5" x14ac:dyDescent="0.25">
      <c r="A176">
        <v>8</v>
      </c>
      <c r="B176">
        <v>0</v>
      </c>
      <c r="C176">
        <f t="shared" si="4"/>
        <v>1.2353275079789352</v>
      </c>
      <c r="D176">
        <v>2</v>
      </c>
      <c r="E176">
        <f t="shared" si="5"/>
        <v>4.7227090726384854E-2</v>
      </c>
    </row>
    <row r="177" spans="1:5" x14ac:dyDescent="0.25">
      <c r="A177">
        <v>8</v>
      </c>
      <c r="B177">
        <v>0</v>
      </c>
      <c r="C177">
        <f t="shared" si="4"/>
        <v>1.2353275079789352</v>
      </c>
      <c r="D177">
        <v>2</v>
      </c>
      <c r="E177">
        <f t="shared" si="5"/>
        <v>4.7227090726384854E-2</v>
      </c>
    </row>
    <row r="178" spans="1:5" x14ac:dyDescent="0.25">
      <c r="A178">
        <v>8</v>
      </c>
      <c r="B178">
        <v>0</v>
      </c>
      <c r="C178">
        <f t="shared" si="4"/>
        <v>1.2353275079789352</v>
      </c>
      <c r="D178">
        <v>2</v>
      </c>
      <c r="E178">
        <f t="shared" si="5"/>
        <v>4.7227090726384854E-2</v>
      </c>
    </row>
    <row r="179" spans="1:5" x14ac:dyDescent="0.25">
      <c r="A179">
        <v>8</v>
      </c>
      <c r="B179">
        <v>0</v>
      </c>
      <c r="C179">
        <f t="shared" si="4"/>
        <v>1.2353275079789352</v>
      </c>
      <c r="D179">
        <v>2</v>
      </c>
      <c r="E179">
        <f t="shared" si="5"/>
        <v>4.7227090726384854E-2</v>
      </c>
    </row>
    <row r="180" spans="1:5" x14ac:dyDescent="0.25">
      <c r="A180">
        <v>8</v>
      </c>
      <c r="B180">
        <v>0</v>
      </c>
      <c r="C180">
        <f t="shared" si="4"/>
        <v>1.2353275079789352</v>
      </c>
      <c r="D180">
        <v>2</v>
      </c>
      <c r="E180">
        <f t="shared" si="5"/>
        <v>4.7227090726384854E-2</v>
      </c>
    </row>
    <row r="181" spans="1:5" x14ac:dyDescent="0.25">
      <c r="A181">
        <v>12</v>
      </c>
      <c r="B181">
        <v>0</v>
      </c>
      <c r="C181">
        <f t="shared" si="4"/>
        <v>1.2353275079789352</v>
      </c>
      <c r="D181">
        <v>2</v>
      </c>
      <c r="E181">
        <f t="shared" si="5"/>
        <v>4.7227090726384854E-2</v>
      </c>
    </row>
    <row r="182" spans="1:5" x14ac:dyDescent="0.25">
      <c r="A182">
        <v>16</v>
      </c>
      <c r="B182">
        <v>0</v>
      </c>
      <c r="C182">
        <f t="shared" si="4"/>
        <v>1.2353275079789352</v>
      </c>
      <c r="D182">
        <v>2</v>
      </c>
      <c r="E182">
        <f t="shared" si="5"/>
        <v>4.7227090726384854E-2</v>
      </c>
    </row>
    <row r="183" spans="1:5" x14ac:dyDescent="0.25">
      <c r="A183">
        <v>16</v>
      </c>
      <c r="B183">
        <v>0</v>
      </c>
      <c r="C183">
        <f t="shared" si="4"/>
        <v>1.2353275079789352</v>
      </c>
      <c r="D183">
        <v>2</v>
      </c>
      <c r="E183">
        <f t="shared" si="5"/>
        <v>4.7227090726384854E-2</v>
      </c>
    </row>
    <row r="184" spans="1:5" x14ac:dyDescent="0.25">
      <c r="A184">
        <v>17</v>
      </c>
      <c r="B184">
        <v>0</v>
      </c>
      <c r="C184">
        <f t="shared" si="4"/>
        <v>1.2353275079789352</v>
      </c>
      <c r="D184">
        <v>2</v>
      </c>
      <c r="E184">
        <f t="shared" si="5"/>
        <v>4.7227090726384854E-2</v>
      </c>
    </row>
    <row r="185" spans="1:5" x14ac:dyDescent="0.25">
      <c r="A185">
        <v>8</v>
      </c>
      <c r="B185">
        <v>2.3310023310023301E-3</v>
      </c>
      <c r="C185">
        <f t="shared" si="4"/>
        <v>1.2396157069070386</v>
      </c>
      <c r="D185">
        <v>2</v>
      </c>
      <c r="E185">
        <f t="shared" si="5"/>
        <v>4.7227090726384854E-2</v>
      </c>
    </row>
    <row r="186" spans="1:5" x14ac:dyDescent="0.25">
      <c r="A186">
        <v>8</v>
      </c>
      <c r="B186">
        <v>3.0030030030029999E-3</v>
      </c>
      <c r="C186">
        <f t="shared" si="4"/>
        <v>1.2408401395919855</v>
      </c>
      <c r="D186">
        <v>2</v>
      </c>
      <c r="E186">
        <f t="shared" si="5"/>
        <v>4.7227090726384854E-2</v>
      </c>
    </row>
    <row r="187" spans="1:5" x14ac:dyDescent="0.25">
      <c r="A187">
        <v>8</v>
      </c>
      <c r="B187">
        <v>4.6620046620046603E-3</v>
      </c>
      <c r="C187">
        <f t="shared" si="4"/>
        <v>1.2438401566939619</v>
      </c>
      <c r="D187">
        <v>2</v>
      </c>
      <c r="E187">
        <f t="shared" si="5"/>
        <v>4.7227090726384854E-2</v>
      </c>
    </row>
    <row r="188" spans="1:5" x14ac:dyDescent="0.25">
      <c r="A188">
        <v>14</v>
      </c>
      <c r="B188">
        <v>6.0060060060060103E-3</v>
      </c>
      <c r="C188">
        <f t="shared" si="4"/>
        <v>1.2462466069098008</v>
      </c>
      <c r="D188">
        <v>2</v>
      </c>
      <c r="E188">
        <f t="shared" si="5"/>
        <v>4.7227090726384854E-2</v>
      </c>
    </row>
    <row r="189" spans="1:5" x14ac:dyDescent="0.25">
      <c r="A189">
        <v>13</v>
      </c>
      <c r="B189">
        <v>8.0000000000000002E-3</v>
      </c>
      <c r="C189">
        <f t="shared" si="4"/>
        <v>1.2497770651824569</v>
      </c>
      <c r="D189">
        <v>2</v>
      </c>
      <c r="E189">
        <f t="shared" si="5"/>
        <v>4.7227090726384854E-2</v>
      </c>
    </row>
    <row r="190" spans="1:5" x14ac:dyDescent="0.25">
      <c r="A190">
        <v>14</v>
      </c>
      <c r="B190">
        <v>8.0000000000000002E-3</v>
      </c>
      <c r="C190">
        <f t="shared" si="4"/>
        <v>1.2497770651824569</v>
      </c>
      <c r="D190">
        <v>2</v>
      </c>
      <c r="E190">
        <f t="shared" si="5"/>
        <v>4.7227090726384854E-2</v>
      </c>
    </row>
    <row r="191" spans="1:5" x14ac:dyDescent="0.25">
      <c r="A191">
        <v>8</v>
      </c>
      <c r="B191">
        <v>9.0090090090090107E-3</v>
      </c>
      <c r="C191">
        <f t="shared" si="4"/>
        <v>1.2515453104475363</v>
      </c>
      <c r="D191">
        <v>2</v>
      </c>
      <c r="E191">
        <f t="shared" si="5"/>
        <v>4.7227090726384854E-2</v>
      </c>
    </row>
    <row r="192" spans="1:5" x14ac:dyDescent="0.25">
      <c r="A192">
        <v>6</v>
      </c>
      <c r="B192">
        <v>1.0666666666666699E-2</v>
      </c>
      <c r="C192">
        <f t="shared" si="4"/>
        <v>1.2544234598900099</v>
      </c>
      <c r="D192">
        <v>2</v>
      </c>
      <c r="E192">
        <f t="shared" si="5"/>
        <v>4.7227090726384854E-2</v>
      </c>
    </row>
    <row r="193" spans="1:5" x14ac:dyDescent="0.25">
      <c r="A193">
        <v>14</v>
      </c>
      <c r="B193">
        <v>1.0666666666666699E-2</v>
      </c>
      <c r="C193">
        <f t="shared" si="4"/>
        <v>1.2544234598900099</v>
      </c>
      <c r="D193">
        <v>2</v>
      </c>
      <c r="E193">
        <f t="shared" si="5"/>
        <v>4.7227090726384854E-2</v>
      </c>
    </row>
    <row r="194" spans="1:5" x14ac:dyDescent="0.25">
      <c r="A194">
        <v>17</v>
      </c>
      <c r="B194">
        <v>1.19760479041916E-2</v>
      </c>
      <c r="C194">
        <f t="shared" ref="C194:C257" si="6">_xlfn.NORM.DIST(B194, I$10,I$13,FALSE)</f>
        <v>1.2566731826644608</v>
      </c>
      <c r="D194">
        <v>2</v>
      </c>
      <c r="E194">
        <f t="shared" si="5"/>
        <v>4.7227090726384854E-2</v>
      </c>
    </row>
    <row r="195" spans="1:5" x14ac:dyDescent="0.25">
      <c r="A195">
        <v>6</v>
      </c>
      <c r="B195">
        <v>1.2012012012012E-2</v>
      </c>
      <c r="C195">
        <f t="shared" si="6"/>
        <v>1.2567346778266106</v>
      </c>
      <c r="D195">
        <v>2</v>
      </c>
      <c r="E195">
        <f t="shared" ref="E195:E258" si="7">_xlfn.NORM.DIST(D195, I$4,I$7,FALSE)</f>
        <v>4.7227090726384854E-2</v>
      </c>
    </row>
    <row r="196" spans="1:5" x14ac:dyDescent="0.25">
      <c r="A196">
        <v>8</v>
      </c>
      <c r="B196">
        <v>1.3986013986014E-2</v>
      </c>
      <c r="C196">
        <f t="shared" si="6"/>
        <v>1.2600855662660881</v>
      </c>
      <c r="D196">
        <v>2</v>
      </c>
      <c r="E196">
        <f t="shared" si="7"/>
        <v>4.7227090726384854E-2</v>
      </c>
    </row>
    <row r="197" spans="1:5" x14ac:dyDescent="0.25">
      <c r="A197">
        <v>16</v>
      </c>
      <c r="B197">
        <v>1.5015015015014999E-2</v>
      </c>
      <c r="C197">
        <f t="shared" si="6"/>
        <v>1.2618131645512025</v>
      </c>
      <c r="D197">
        <v>2</v>
      </c>
      <c r="E197">
        <f t="shared" si="7"/>
        <v>4.7227090726384854E-2</v>
      </c>
    </row>
    <row r="198" spans="1:5" x14ac:dyDescent="0.25">
      <c r="A198">
        <v>12</v>
      </c>
      <c r="B198">
        <v>1.6E-2</v>
      </c>
      <c r="C198">
        <f t="shared" si="6"/>
        <v>1.2634545022613699</v>
      </c>
      <c r="D198">
        <v>2</v>
      </c>
      <c r="E198">
        <f t="shared" si="7"/>
        <v>4.7227090726384854E-2</v>
      </c>
    </row>
    <row r="199" spans="1:5" x14ac:dyDescent="0.25">
      <c r="A199">
        <v>16</v>
      </c>
      <c r="B199">
        <v>1.6E-2</v>
      </c>
      <c r="C199">
        <f t="shared" si="6"/>
        <v>1.2634545022613699</v>
      </c>
      <c r="D199">
        <v>3</v>
      </c>
      <c r="E199">
        <f t="shared" si="7"/>
        <v>4.9398737638462989E-2</v>
      </c>
    </row>
    <row r="200" spans="1:5" x14ac:dyDescent="0.25">
      <c r="A200">
        <v>8</v>
      </c>
      <c r="B200">
        <v>1.7316017316017299E-2</v>
      </c>
      <c r="C200">
        <f t="shared" si="6"/>
        <v>1.2656284956348374</v>
      </c>
      <c r="D200">
        <v>3</v>
      </c>
      <c r="E200">
        <f t="shared" si="7"/>
        <v>4.9398737638462989E-2</v>
      </c>
    </row>
    <row r="201" spans="1:5" x14ac:dyDescent="0.25">
      <c r="A201">
        <v>10</v>
      </c>
      <c r="B201">
        <v>1.8018018018018001E-2</v>
      </c>
      <c r="C201">
        <f t="shared" si="6"/>
        <v>1.2667792547733514</v>
      </c>
      <c r="D201">
        <v>3</v>
      </c>
      <c r="E201">
        <f t="shared" si="7"/>
        <v>4.9398737638462989E-2</v>
      </c>
    </row>
    <row r="202" spans="1:5" x14ac:dyDescent="0.25">
      <c r="A202">
        <v>8</v>
      </c>
      <c r="B202">
        <v>1.8666666666666699E-2</v>
      </c>
      <c r="C202">
        <f t="shared" si="6"/>
        <v>1.2678370246886688</v>
      </c>
      <c r="D202">
        <v>3</v>
      </c>
      <c r="E202">
        <f t="shared" si="7"/>
        <v>4.9398737638462989E-2</v>
      </c>
    </row>
    <row r="203" spans="1:5" x14ac:dyDescent="0.25">
      <c r="A203">
        <v>8</v>
      </c>
      <c r="B203">
        <v>2.0979020979021001E-2</v>
      </c>
      <c r="C203">
        <f t="shared" si="6"/>
        <v>1.2715643909362877</v>
      </c>
      <c r="D203">
        <v>3</v>
      </c>
      <c r="E203">
        <f t="shared" si="7"/>
        <v>4.9398737638462989E-2</v>
      </c>
    </row>
    <row r="204" spans="1:5" x14ac:dyDescent="0.25">
      <c r="A204">
        <v>8</v>
      </c>
      <c r="B204">
        <v>2.0979020979021001E-2</v>
      </c>
      <c r="C204">
        <f t="shared" si="6"/>
        <v>1.2715643909362877</v>
      </c>
      <c r="D204">
        <v>3</v>
      </c>
      <c r="E204">
        <f t="shared" si="7"/>
        <v>4.9398737638462989E-2</v>
      </c>
    </row>
    <row r="205" spans="1:5" x14ac:dyDescent="0.25">
      <c r="A205">
        <v>12</v>
      </c>
      <c r="B205">
        <v>2.1021021021020998E-2</v>
      </c>
      <c r="C205">
        <f t="shared" si="6"/>
        <v>1.2716314620461313</v>
      </c>
      <c r="D205">
        <v>3</v>
      </c>
      <c r="E205">
        <f t="shared" si="7"/>
        <v>4.9398737638462989E-2</v>
      </c>
    </row>
    <row r="206" spans="1:5" x14ac:dyDescent="0.25">
      <c r="A206">
        <v>6</v>
      </c>
      <c r="B206">
        <v>2.1333333333333301E-2</v>
      </c>
      <c r="C206">
        <f t="shared" si="6"/>
        <v>1.2721294949002366</v>
      </c>
      <c r="D206">
        <v>3</v>
      </c>
      <c r="E206">
        <f t="shared" si="7"/>
        <v>4.9398737638462989E-2</v>
      </c>
    </row>
    <row r="207" spans="1:5" x14ac:dyDescent="0.25">
      <c r="A207">
        <v>6</v>
      </c>
      <c r="B207">
        <v>2.1333333333333301E-2</v>
      </c>
      <c r="C207">
        <f t="shared" si="6"/>
        <v>1.2721294949002366</v>
      </c>
      <c r="D207">
        <v>3</v>
      </c>
      <c r="E207">
        <f t="shared" si="7"/>
        <v>4.9398737638462989E-2</v>
      </c>
    </row>
    <row r="208" spans="1:5" x14ac:dyDescent="0.25">
      <c r="A208">
        <v>6</v>
      </c>
      <c r="B208">
        <v>2.1333333333333301E-2</v>
      </c>
      <c r="C208">
        <f t="shared" si="6"/>
        <v>1.2721294949002366</v>
      </c>
      <c r="D208">
        <v>3</v>
      </c>
      <c r="E208">
        <f t="shared" si="7"/>
        <v>4.9398737638462989E-2</v>
      </c>
    </row>
    <row r="209" spans="1:5" x14ac:dyDescent="0.25">
      <c r="A209">
        <v>6</v>
      </c>
      <c r="B209">
        <v>2.1999999999999999E-2</v>
      </c>
      <c r="C209">
        <f t="shared" si="6"/>
        <v>1.2731884222731351</v>
      </c>
      <c r="D209">
        <v>3</v>
      </c>
      <c r="E209">
        <f t="shared" si="7"/>
        <v>4.9398737638462989E-2</v>
      </c>
    </row>
    <row r="210" spans="1:5" x14ac:dyDescent="0.25">
      <c r="A210">
        <v>7</v>
      </c>
      <c r="B210">
        <v>2.39520958083832E-2</v>
      </c>
      <c r="C210">
        <f t="shared" si="6"/>
        <v>1.2762562314077628</v>
      </c>
      <c r="D210">
        <v>3</v>
      </c>
      <c r="E210">
        <f t="shared" si="7"/>
        <v>4.9398737638462989E-2</v>
      </c>
    </row>
    <row r="211" spans="1:5" x14ac:dyDescent="0.25">
      <c r="A211">
        <v>13</v>
      </c>
      <c r="B211">
        <v>2.4E-2</v>
      </c>
      <c r="C211">
        <f t="shared" si="6"/>
        <v>1.2763308965628426</v>
      </c>
      <c r="D211">
        <v>3</v>
      </c>
      <c r="E211">
        <f t="shared" si="7"/>
        <v>4.9398737638462989E-2</v>
      </c>
    </row>
    <row r="212" spans="1:5" x14ac:dyDescent="0.25">
      <c r="A212">
        <v>17</v>
      </c>
      <c r="B212">
        <v>2.4E-2</v>
      </c>
      <c r="C212">
        <f t="shared" si="6"/>
        <v>1.2763308965628426</v>
      </c>
      <c r="D212">
        <v>3</v>
      </c>
      <c r="E212">
        <f t="shared" si="7"/>
        <v>4.9398737638462989E-2</v>
      </c>
    </row>
    <row r="213" spans="1:5" x14ac:dyDescent="0.25">
      <c r="A213">
        <v>16</v>
      </c>
      <c r="B213">
        <v>2.4024024024024E-2</v>
      </c>
      <c r="C213">
        <f t="shared" si="6"/>
        <v>1.2763683300643756</v>
      </c>
      <c r="D213">
        <v>3</v>
      </c>
      <c r="E213">
        <f t="shared" si="7"/>
        <v>4.9398737638462989E-2</v>
      </c>
    </row>
    <row r="214" spans="1:5" x14ac:dyDescent="0.25">
      <c r="A214">
        <v>8</v>
      </c>
      <c r="B214">
        <v>2.40963855421687E-2</v>
      </c>
      <c r="C214">
        <f t="shared" si="6"/>
        <v>1.2764810364177666</v>
      </c>
      <c r="D214">
        <v>3</v>
      </c>
      <c r="E214">
        <f t="shared" si="7"/>
        <v>4.9398737638462989E-2</v>
      </c>
    </row>
    <row r="215" spans="1:5" x14ac:dyDescent="0.25">
      <c r="A215">
        <v>8</v>
      </c>
      <c r="B215">
        <v>2.5000000000000001E-2</v>
      </c>
      <c r="C215">
        <f t="shared" si="6"/>
        <v>1.2778827394459278</v>
      </c>
      <c r="D215">
        <v>3</v>
      </c>
      <c r="E215">
        <f t="shared" si="7"/>
        <v>4.9398737638462989E-2</v>
      </c>
    </row>
    <row r="216" spans="1:5" x14ac:dyDescent="0.25">
      <c r="A216">
        <v>8</v>
      </c>
      <c r="B216">
        <v>2.5641025641025599E-2</v>
      </c>
      <c r="C216">
        <f t="shared" si="6"/>
        <v>1.2788706767966218</v>
      </c>
      <c r="D216">
        <v>3</v>
      </c>
      <c r="E216">
        <f t="shared" si="7"/>
        <v>4.9398737638462989E-2</v>
      </c>
    </row>
    <row r="217" spans="1:5" x14ac:dyDescent="0.25">
      <c r="A217">
        <v>14</v>
      </c>
      <c r="B217">
        <v>2.57009345794393E-2</v>
      </c>
      <c r="C217">
        <f t="shared" si="6"/>
        <v>1.2789627339805725</v>
      </c>
      <c r="D217">
        <v>3</v>
      </c>
      <c r="E217">
        <f t="shared" si="7"/>
        <v>4.9398737638462989E-2</v>
      </c>
    </row>
    <row r="218" spans="1:5" x14ac:dyDescent="0.25">
      <c r="A218">
        <v>12</v>
      </c>
      <c r="B218">
        <v>3.46666666666667E-2</v>
      </c>
      <c r="C218">
        <f t="shared" si="6"/>
        <v>1.2922061727418783</v>
      </c>
      <c r="D218">
        <v>3</v>
      </c>
      <c r="E218">
        <f t="shared" si="7"/>
        <v>4.9398737638462989E-2</v>
      </c>
    </row>
    <row r="219" spans="1:5" x14ac:dyDescent="0.25">
      <c r="A219">
        <v>14</v>
      </c>
      <c r="B219">
        <v>3.50467289719626E-2</v>
      </c>
      <c r="C219">
        <f t="shared" si="6"/>
        <v>1.2927438770518507</v>
      </c>
      <c r="D219">
        <v>3</v>
      </c>
      <c r="E219">
        <f t="shared" si="7"/>
        <v>4.9398737638462989E-2</v>
      </c>
    </row>
    <row r="220" spans="1:5" x14ac:dyDescent="0.25">
      <c r="A220">
        <v>16</v>
      </c>
      <c r="B220">
        <v>3.59281437125748E-2</v>
      </c>
      <c r="C220">
        <f t="shared" si="6"/>
        <v>1.2939833760294575</v>
      </c>
      <c r="D220">
        <v>3</v>
      </c>
      <c r="E220">
        <f t="shared" si="7"/>
        <v>4.9398737638462989E-2</v>
      </c>
    </row>
    <row r="221" spans="1:5" x14ac:dyDescent="0.25">
      <c r="A221">
        <v>8</v>
      </c>
      <c r="B221">
        <v>3.7333333333333302E-2</v>
      </c>
      <c r="C221">
        <f t="shared" si="6"/>
        <v>1.2959376737635342</v>
      </c>
      <c r="D221">
        <v>3</v>
      </c>
      <c r="E221">
        <f t="shared" si="7"/>
        <v>4.9398737638462989E-2</v>
      </c>
    </row>
    <row r="222" spans="1:5" x14ac:dyDescent="0.25">
      <c r="A222">
        <v>5</v>
      </c>
      <c r="B222">
        <v>3.9039039039038999E-2</v>
      </c>
      <c r="C222">
        <f t="shared" si="6"/>
        <v>1.2982738111277496</v>
      </c>
      <c r="D222">
        <v>3</v>
      </c>
      <c r="E222">
        <f t="shared" si="7"/>
        <v>4.9398737638462989E-2</v>
      </c>
    </row>
    <row r="223" spans="1:5" x14ac:dyDescent="0.25">
      <c r="A223">
        <v>5</v>
      </c>
      <c r="B223">
        <v>3.9627039627039597E-2</v>
      </c>
      <c r="C223">
        <f t="shared" si="6"/>
        <v>1.2990699211473862</v>
      </c>
      <c r="D223">
        <v>3</v>
      </c>
      <c r="E223">
        <f t="shared" si="7"/>
        <v>4.9398737638462989E-2</v>
      </c>
    </row>
    <row r="224" spans="1:5" x14ac:dyDescent="0.25">
      <c r="A224">
        <v>6</v>
      </c>
      <c r="B224">
        <v>3.9627039627039597E-2</v>
      </c>
      <c r="C224">
        <f t="shared" si="6"/>
        <v>1.2990699211473862</v>
      </c>
      <c r="D224">
        <v>3</v>
      </c>
      <c r="E224">
        <f t="shared" si="7"/>
        <v>4.9398737638462989E-2</v>
      </c>
    </row>
    <row r="225" spans="1:5" x14ac:dyDescent="0.25">
      <c r="A225">
        <v>12</v>
      </c>
      <c r="B225">
        <v>3.9627039627039597E-2</v>
      </c>
      <c r="C225">
        <f t="shared" si="6"/>
        <v>1.2990699211473862</v>
      </c>
      <c r="D225">
        <v>3</v>
      </c>
      <c r="E225">
        <f t="shared" si="7"/>
        <v>4.9398737638462989E-2</v>
      </c>
    </row>
    <row r="226" spans="1:5" x14ac:dyDescent="0.25">
      <c r="A226">
        <v>6</v>
      </c>
      <c r="B226">
        <v>0.04</v>
      </c>
      <c r="C226">
        <f t="shared" si="6"/>
        <v>1.2995724258578696</v>
      </c>
      <c r="D226">
        <v>3</v>
      </c>
      <c r="E226">
        <f t="shared" si="7"/>
        <v>4.9398737638462989E-2</v>
      </c>
    </row>
    <row r="227" spans="1:5" x14ac:dyDescent="0.25">
      <c r="A227">
        <v>10</v>
      </c>
      <c r="B227">
        <v>0.04</v>
      </c>
      <c r="C227">
        <f t="shared" si="6"/>
        <v>1.2995724258578696</v>
      </c>
      <c r="D227">
        <v>3</v>
      </c>
      <c r="E227">
        <f t="shared" si="7"/>
        <v>4.9398737638462989E-2</v>
      </c>
    </row>
    <row r="228" spans="1:5" x14ac:dyDescent="0.25">
      <c r="A228">
        <v>8</v>
      </c>
      <c r="B228">
        <v>4.2042042042041997E-2</v>
      </c>
      <c r="C228">
        <f t="shared" si="6"/>
        <v>1.3022898391069571</v>
      </c>
      <c r="D228">
        <v>3</v>
      </c>
      <c r="E228">
        <f t="shared" si="7"/>
        <v>4.9398737638462989E-2</v>
      </c>
    </row>
    <row r="229" spans="1:5" x14ac:dyDescent="0.25">
      <c r="A229">
        <v>12</v>
      </c>
      <c r="B229">
        <v>4.26666666666667E-2</v>
      </c>
      <c r="C229">
        <f t="shared" si="6"/>
        <v>1.3031095554106549</v>
      </c>
      <c r="D229">
        <v>3</v>
      </c>
      <c r="E229">
        <f t="shared" si="7"/>
        <v>4.9398737638462989E-2</v>
      </c>
    </row>
    <row r="230" spans="1:5" x14ac:dyDescent="0.25">
      <c r="A230">
        <v>13</v>
      </c>
      <c r="B230">
        <v>4.26666666666667E-2</v>
      </c>
      <c r="C230">
        <f t="shared" si="6"/>
        <v>1.3031095554106549</v>
      </c>
      <c r="D230">
        <v>3</v>
      </c>
      <c r="E230">
        <f t="shared" si="7"/>
        <v>4.9398737638462989E-2</v>
      </c>
    </row>
    <row r="231" spans="1:5" x14ac:dyDescent="0.25">
      <c r="A231">
        <v>14</v>
      </c>
      <c r="B231">
        <v>4.26666666666667E-2</v>
      </c>
      <c r="C231">
        <f t="shared" si="6"/>
        <v>1.3031095554106549</v>
      </c>
      <c r="D231">
        <v>3</v>
      </c>
      <c r="E231">
        <f t="shared" si="7"/>
        <v>4.9398737638462989E-2</v>
      </c>
    </row>
    <row r="232" spans="1:5" x14ac:dyDescent="0.25">
      <c r="A232">
        <v>8</v>
      </c>
      <c r="B232">
        <v>4.5045045045045001E-2</v>
      </c>
      <c r="C232">
        <f t="shared" si="6"/>
        <v>1.3061812370363872</v>
      </c>
      <c r="D232">
        <v>3</v>
      </c>
      <c r="E232">
        <f t="shared" si="7"/>
        <v>4.9398737638462989E-2</v>
      </c>
    </row>
    <row r="233" spans="1:5" x14ac:dyDescent="0.25">
      <c r="A233">
        <v>12</v>
      </c>
      <c r="B233">
        <v>4.5045045045045001E-2</v>
      </c>
      <c r="C233">
        <f t="shared" si="6"/>
        <v>1.3061812370363872</v>
      </c>
      <c r="D233">
        <v>3</v>
      </c>
      <c r="E233">
        <f t="shared" si="7"/>
        <v>4.9398737638462989E-2</v>
      </c>
    </row>
    <row r="234" spans="1:5" x14ac:dyDescent="0.25">
      <c r="A234">
        <v>16</v>
      </c>
      <c r="B234">
        <v>4.5045045045045001E-2</v>
      </c>
      <c r="C234">
        <f t="shared" si="6"/>
        <v>1.3061812370363872</v>
      </c>
      <c r="D234">
        <v>3</v>
      </c>
      <c r="E234">
        <f t="shared" si="7"/>
        <v>4.9398737638462989E-2</v>
      </c>
    </row>
    <row r="235" spans="1:5" x14ac:dyDescent="0.25">
      <c r="A235">
        <v>12</v>
      </c>
      <c r="B235">
        <v>4.5333333333333302E-2</v>
      </c>
      <c r="C235">
        <f t="shared" si="6"/>
        <v>1.306548210656348</v>
      </c>
      <c r="D235">
        <v>3</v>
      </c>
      <c r="E235">
        <f t="shared" si="7"/>
        <v>4.9398737638462989E-2</v>
      </c>
    </row>
    <row r="236" spans="1:5" x14ac:dyDescent="0.25">
      <c r="A236">
        <v>17</v>
      </c>
      <c r="B236">
        <v>4.9065420560747697E-2</v>
      </c>
      <c r="C236">
        <f t="shared" si="6"/>
        <v>1.3111937975496206</v>
      </c>
      <c r="D236">
        <v>3</v>
      </c>
      <c r="E236">
        <f t="shared" si="7"/>
        <v>4.9398737638462989E-2</v>
      </c>
    </row>
    <row r="237" spans="1:5" x14ac:dyDescent="0.25">
      <c r="A237">
        <v>8</v>
      </c>
      <c r="B237">
        <v>4.92957746478873E-2</v>
      </c>
      <c r="C237">
        <f t="shared" si="6"/>
        <v>1.3114741121198388</v>
      </c>
      <c r="D237">
        <v>3</v>
      </c>
      <c r="E237">
        <f t="shared" si="7"/>
        <v>4.9398737638462989E-2</v>
      </c>
    </row>
    <row r="238" spans="1:5" x14ac:dyDescent="0.25">
      <c r="A238">
        <v>11</v>
      </c>
      <c r="B238">
        <v>5.1051051051051101E-2</v>
      </c>
      <c r="C238">
        <f t="shared" si="6"/>
        <v>1.3135854182492024</v>
      </c>
      <c r="D238">
        <v>3</v>
      </c>
      <c r="E238">
        <f t="shared" si="7"/>
        <v>4.9398737638462989E-2</v>
      </c>
    </row>
    <row r="239" spans="1:5" x14ac:dyDescent="0.25">
      <c r="A239">
        <v>16</v>
      </c>
      <c r="B239">
        <v>5.1401869158878503E-2</v>
      </c>
      <c r="C239">
        <f t="shared" si="6"/>
        <v>1.3140021537898618</v>
      </c>
      <c r="D239">
        <v>3</v>
      </c>
      <c r="E239">
        <f t="shared" si="7"/>
        <v>4.9398737638462989E-2</v>
      </c>
    </row>
    <row r="240" spans="1:5" x14ac:dyDescent="0.25">
      <c r="A240">
        <v>8</v>
      </c>
      <c r="B240">
        <v>5.34351145038168E-2</v>
      </c>
      <c r="C240">
        <f t="shared" si="6"/>
        <v>1.3163829226245147</v>
      </c>
      <c r="D240">
        <v>3</v>
      </c>
      <c r="E240">
        <f t="shared" si="7"/>
        <v>4.9398737638462989E-2</v>
      </c>
    </row>
    <row r="241" spans="1:5" x14ac:dyDescent="0.25">
      <c r="A241">
        <v>8</v>
      </c>
      <c r="B241">
        <v>5.3613053613053602E-2</v>
      </c>
      <c r="C241">
        <f t="shared" si="6"/>
        <v>1.3165884668703418</v>
      </c>
      <c r="D241">
        <v>3</v>
      </c>
      <c r="E241">
        <f t="shared" si="7"/>
        <v>4.9398737638462989E-2</v>
      </c>
    </row>
    <row r="242" spans="1:5" x14ac:dyDescent="0.25">
      <c r="A242">
        <v>8</v>
      </c>
      <c r="B242">
        <v>5.5944055944055902E-2</v>
      </c>
      <c r="C242">
        <f t="shared" si="6"/>
        <v>1.3192391790900648</v>
      </c>
      <c r="D242">
        <v>3</v>
      </c>
      <c r="E242">
        <f t="shared" si="7"/>
        <v>4.9398737638462989E-2</v>
      </c>
    </row>
    <row r="243" spans="1:5" x14ac:dyDescent="0.25">
      <c r="A243">
        <v>14</v>
      </c>
      <c r="B243">
        <v>5.9880239520958098E-2</v>
      </c>
      <c r="C243">
        <f t="shared" si="6"/>
        <v>1.3235374035210814</v>
      </c>
      <c r="D243">
        <v>3</v>
      </c>
      <c r="E243">
        <f t="shared" si="7"/>
        <v>4.9398737638462989E-2</v>
      </c>
    </row>
    <row r="244" spans="1:5" x14ac:dyDescent="0.25">
      <c r="A244">
        <v>5</v>
      </c>
      <c r="B244">
        <v>0.06</v>
      </c>
      <c r="C244">
        <f t="shared" si="6"/>
        <v>1.3236646582892853</v>
      </c>
      <c r="D244">
        <v>3</v>
      </c>
      <c r="E244">
        <f t="shared" si="7"/>
        <v>4.9398737638462989E-2</v>
      </c>
    </row>
    <row r="245" spans="1:5" x14ac:dyDescent="0.25">
      <c r="A245">
        <v>10</v>
      </c>
      <c r="B245">
        <v>0.06</v>
      </c>
      <c r="C245">
        <f t="shared" si="6"/>
        <v>1.3236646582892853</v>
      </c>
      <c r="D245">
        <v>3</v>
      </c>
      <c r="E245">
        <f t="shared" si="7"/>
        <v>4.9398737638462989E-2</v>
      </c>
    </row>
    <row r="246" spans="1:5" x14ac:dyDescent="0.25">
      <c r="A246">
        <v>14</v>
      </c>
      <c r="B246">
        <v>6.1333333333333302E-2</v>
      </c>
      <c r="C246">
        <f t="shared" si="6"/>
        <v>1.3250673200977783</v>
      </c>
      <c r="D246">
        <v>3</v>
      </c>
      <c r="E246">
        <f t="shared" si="7"/>
        <v>4.9398737638462989E-2</v>
      </c>
    </row>
    <row r="247" spans="1:5" x14ac:dyDescent="0.25">
      <c r="A247">
        <v>15</v>
      </c>
      <c r="B247">
        <v>6.2E-2</v>
      </c>
      <c r="C247">
        <f t="shared" si="6"/>
        <v>1.3257589251479205</v>
      </c>
      <c r="D247">
        <v>3</v>
      </c>
      <c r="E247">
        <f t="shared" si="7"/>
        <v>4.9398737638462989E-2</v>
      </c>
    </row>
    <row r="248" spans="1:5" x14ac:dyDescent="0.25">
      <c r="A248">
        <v>7</v>
      </c>
      <c r="B248">
        <v>6.2874251497005998E-2</v>
      </c>
      <c r="C248">
        <f t="shared" si="6"/>
        <v>1.3266560306423432</v>
      </c>
      <c r="D248">
        <v>3</v>
      </c>
      <c r="E248">
        <f t="shared" si="7"/>
        <v>4.9398737638462989E-2</v>
      </c>
    </row>
    <row r="249" spans="1:5" x14ac:dyDescent="0.25">
      <c r="A249">
        <v>12</v>
      </c>
      <c r="B249">
        <v>6.4000000000000001E-2</v>
      </c>
      <c r="C249">
        <f t="shared" si="6"/>
        <v>1.3277947106841901</v>
      </c>
      <c r="D249">
        <v>3</v>
      </c>
      <c r="E249">
        <f t="shared" si="7"/>
        <v>4.9398737638462989E-2</v>
      </c>
    </row>
    <row r="250" spans="1:5" x14ac:dyDescent="0.25">
      <c r="A250">
        <v>13</v>
      </c>
      <c r="B250">
        <v>6.6066066066066104E-2</v>
      </c>
      <c r="C250">
        <f t="shared" si="6"/>
        <v>1.3298360368512516</v>
      </c>
      <c r="D250">
        <v>3</v>
      </c>
      <c r="E250">
        <f t="shared" si="7"/>
        <v>4.9398737638462989E-2</v>
      </c>
    </row>
    <row r="251" spans="1:5" x14ac:dyDescent="0.25">
      <c r="A251">
        <v>13</v>
      </c>
      <c r="B251">
        <v>6.75990675990676E-2</v>
      </c>
      <c r="C251">
        <f t="shared" si="6"/>
        <v>1.3313099788559184</v>
      </c>
      <c r="D251">
        <v>3</v>
      </c>
      <c r="E251">
        <f t="shared" si="7"/>
        <v>4.9398737638462989E-2</v>
      </c>
    </row>
    <row r="252" spans="1:5" x14ac:dyDescent="0.25">
      <c r="A252">
        <v>16</v>
      </c>
      <c r="B252">
        <v>6.8000000000000005E-2</v>
      </c>
      <c r="C252">
        <f t="shared" si="6"/>
        <v>1.3316897278689499</v>
      </c>
      <c r="D252">
        <v>3</v>
      </c>
      <c r="E252">
        <f t="shared" si="7"/>
        <v>4.9398737638462989E-2</v>
      </c>
    </row>
    <row r="253" spans="1:5" x14ac:dyDescent="0.25">
      <c r="A253">
        <v>12</v>
      </c>
      <c r="B253">
        <v>6.8862275449101798E-2</v>
      </c>
      <c r="C253">
        <f t="shared" si="6"/>
        <v>1.3324983685091103</v>
      </c>
      <c r="D253">
        <v>3</v>
      </c>
      <c r="E253">
        <f t="shared" si="7"/>
        <v>4.9398737638462989E-2</v>
      </c>
    </row>
    <row r="254" spans="1:5" x14ac:dyDescent="0.25">
      <c r="A254">
        <v>8</v>
      </c>
      <c r="B254">
        <v>7.1666666666666698E-2</v>
      </c>
      <c r="C254">
        <f t="shared" si="6"/>
        <v>1.3350518570664895</v>
      </c>
      <c r="D254">
        <v>3</v>
      </c>
      <c r="E254">
        <f t="shared" si="7"/>
        <v>4.9398737638462989E-2</v>
      </c>
    </row>
    <row r="255" spans="1:5" x14ac:dyDescent="0.25">
      <c r="A255">
        <v>15</v>
      </c>
      <c r="B255">
        <v>7.1856287425149698E-2</v>
      </c>
      <c r="C255">
        <f t="shared" si="6"/>
        <v>1.3352202796377306</v>
      </c>
      <c r="D255">
        <v>3</v>
      </c>
      <c r="E255">
        <f t="shared" si="7"/>
        <v>4.9398737638462989E-2</v>
      </c>
    </row>
    <row r="256" spans="1:5" x14ac:dyDescent="0.25">
      <c r="A256">
        <v>6</v>
      </c>
      <c r="B256">
        <v>7.2261072261072298E-2</v>
      </c>
      <c r="C256">
        <f t="shared" si="6"/>
        <v>1.3355780142593376</v>
      </c>
      <c r="D256">
        <v>3</v>
      </c>
      <c r="E256">
        <f t="shared" si="7"/>
        <v>4.9398737638462989E-2</v>
      </c>
    </row>
    <row r="257" spans="1:5" x14ac:dyDescent="0.25">
      <c r="A257">
        <v>6</v>
      </c>
      <c r="B257">
        <v>7.2261072261072298E-2</v>
      </c>
      <c r="C257">
        <f t="shared" si="6"/>
        <v>1.3355780142593376</v>
      </c>
      <c r="D257">
        <v>3</v>
      </c>
      <c r="E257">
        <f t="shared" si="7"/>
        <v>4.9398737638462989E-2</v>
      </c>
    </row>
    <row r="258" spans="1:5" x14ac:dyDescent="0.25">
      <c r="A258">
        <v>11</v>
      </c>
      <c r="B258">
        <v>7.3999999999999996E-2</v>
      </c>
      <c r="C258">
        <f t="shared" ref="C258:C321" si="8">_xlfn.NORM.DIST(B258, I$10,I$13,FALSE)</f>
        <v>1.3370869124347631</v>
      </c>
      <c r="D258">
        <v>3</v>
      </c>
      <c r="E258">
        <f t="shared" si="7"/>
        <v>4.9398737638462989E-2</v>
      </c>
    </row>
    <row r="259" spans="1:5" x14ac:dyDescent="0.25">
      <c r="A259">
        <v>16</v>
      </c>
      <c r="B259">
        <v>7.7333333333333296E-2</v>
      </c>
      <c r="C259">
        <f t="shared" si="8"/>
        <v>1.3398522827045403</v>
      </c>
      <c r="D259">
        <v>3</v>
      </c>
      <c r="E259">
        <f t="shared" ref="E259:E322" si="9">_xlfn.NORM.DIST(D259, I$4,I$7,FALSE)</f>
        <v>4.9398737638462989E-2</v>
      </c>
    </row>
    <row r="260" spans="1:5" x14ac:dyDescent="0.25">
      <c r="A260">
        <v>17</v>
      </c>
      <c r="B260">
        <v>7.7333333333333296E-2</v>
      </c>
      <c r="C260">
        <f t="shared" si="8"/>
        <v>1.3398522827045403</v>
      </c>
      <c r="D260">
        <v>3</v>
      </c>
      <c r="E260">
        <f t="shared" si="9"/>
        <v>4.9398737638462989E-2</v>
      </c>
    </row>
    <row r="261" spans="1:5" x14ac:dyDescent="0.25">
      <c r="A261">
        <v>17</v>
      </c>
      <c r="B261">
        <v>7.7844311377245498E-2</v>
      </c>
      <c r="C261">
        <f t="shared" si="8"/>
        <v>1.3402613854335903</v>
      </c>
      <c r="D261">
        <v>3</v>
      </c>
      <c r="E261">
        <f t="shared" si="9"/>
        <v>4.9398737638462989E-2</v>
      </c>
    </row>
    <row r="262" spans="1:5" x14ac:dyDescent="0.25">
      <c r="A262">
        <v>8</v>
      </c>
      <c r="B262">
        <v>7.9254079254079193E-2</v>
      </c>
      <c r="C262">
        <f t="shared" si="8"/>
        <v>1.3413696016958887</v>
      </c>
      <c r="D262">
        <v>3</v>
      </c>
      <c r="E262">
        <f t="shared" si="9"/>
        <v>4.9398737638462989E-2</v>
      </c>
    </row>
    <row r="263" spans="1:5" x14ac:dyDescent="0.25">
      <c r="A263">
        <v>17</v>
      </c>
      <c r="B263">
        <v>0.08</v>
      </c>
      <c r="C263">
        <f t="shared" si="8"/>
        <v>1.3419437867700337</v>
      </c>
      <c r="D263">
        <v>3</v>
      </c>
      <c r="E263">
        <f t="shared" si="9"/>
        <v>4.9398737638462989E-2</v>
      </c>
    </row>
    <row r="264" spans="1:5" x14ac:dyDescent="0.25">
      <c r="A264">
        <v>11</v>
      </c>
      <c r="B264">
        <v>8.1081081081081099E-2</v>
      </c>
      <c r="C264">
        <f t="shared" si="8"/>
        <v>1.3427609750949543</v>
      </c>
      <c r="D264">
        <v>3</v>
      </c>
      <c r="E264">
        <f t="shared" si="9"/>
        <v>4.9398737638462989E-2</v>
      </c>
    </row>
    <row r="265" spans="1:5" x14ac:dyDescent="0.25">
      <c r="A265">
        <v>17</v>
      </c>
      <c r="B265">
        <v>8.1081081081081099E-2</v>
      </c>
      <c r="C265">
        <f t="shared" si="8"/>
        <v>1.3427609750949543</v>
      </c>
      <c r="D265">
        <v>3</v>
      </c>
      <c r="E265">
        <f t="shared" si="9"/>
        <v>4.9398737638462989E-2</v>
      </c>
    </row>
    <row r="266" spans="1:5" x14ac:dyDescent="0.25">
      <c r="A266">
        <v>14</v>
      </c>
      <c r="B266">
        <v>8.2000000000000003E-2</v>
      </c>
      <c r="C266">
        <f t="shared" si="8"/>
        <v>1.3434416132863642</v>
      </c>
      <c r="D266">
        <v>3</v>
      </c>
      <c r="E266">
        <f t="shared" si="9"/>
        <v>4.9398737638462989E-2</v>
      </c>
    </row>
    <row r="267" spans="1:5" x14ac:dyDescent="0.25">
      <c r="A267">
        <v>14</v>
      </c>
      <c r="B267">
        <v>8.3832335329341298E-2</v>
      </c>
      <c r="C267">
        <f t="shared" si="8"/>
        <v>1.3447604066682159</v>
      </c>
      <c r="D267">
        <v>3</v>
      </c>
      <c r="E267">
        <f t="shared" si="9"/>
        <v>4.9398737638462989E-2</v>
      </c>
    </row>
    <row r="268" spans="1:5" x14ac:dyDescent="0.25">
      <c r="A268">
        <v>10</v>
      </c>
      <c r="B268">
        <v>8.4084084084084104E-2</v>
      </c>
      <c r="C268">
        <f t="shared" si="8"/>
        <v>1.3449375949048652</v>
      </c>
      <c r="D268">
        <v>3</v>
      </c>
      <c r="E268">
        <f t="shared" si="9"/>
        <v>4.9398737638462989E-2</v>
      </c>
    </row>
    <row r="269" spans="1:5" x14ac:dyDescent="0.25">
      <c r="A269">
        <v>16</v>
      </c>
      <c r="B269">
        <v>8.5333333333333303E-2</v>
      </c>
      <c r="C269">
        <f t="shared" si="8"/>
        <v>1.3458025187280933</v>
      </c>
      <c r="D269">
        <v>3</v>
      </c>
      <c r="E269">
        <f t="shared" si="9"/>
        <v>4.9398737638462989E-2</v>
      </c>
    </row>
    <row r="270" spans="1:5" x14ac:dyDescent="0.25">
      <c r="A270">
        <v>8</v>
      </c>
      <c r="B270">
        <v>8.6247086247086199E-2</v>
      </c>
      <c r="C270">
        <f t="shared" si="8"/>
        <v>1.3464200315493888</v>
      </c>
      <c r="D270">
        <v>3</v>
      </c>
      <c r="E270">
        <f t="shared" si="9"/>
        <v>4.9398737638462989E-2</v>
      </c>
    </row>
    <row r="271" spans="1:5" x14ac:dyDescent="0.25">
      <c r="A271">
        <v>8</v>
      </c>
      <c r="B271">
        <v>8.7999999999999995E-2</v>
      </c>
      <c r="C271">
        <f t="shared" si="8"/>
        <v>1.3475687968777894</v>
      </c>
      <c r="D271">
        <v>3</v>
      </c>
      <c r="E271">
        <f t="shared" si="9"/>
        <v>4.9398737638462989E-2</v>
      </c>
    </row>
    <row r="272" spans="1:5" x14ac:dyDescent="0.25">
      <c r="A272">
        <v>11</v>
      </c>
      <c r="B272">
        <v>8.8785046728972E-2</v>
      </c>
      <c r="C272">
        <f t="shared" si="8"/>
        <v>1.3480679671264637</v>
      </c>
      <c r="D272">
        <v>4</v>
      </c>
      <c r="E272">
        <f t="shared" si="9"/>
        <v>5.081845103484639E-2</v>
      </c>
    </row>
    <row r="273" spans="1:5" x14ac:dyDescent="0.25">
      <c r="A273">
        <v>8</v>
      </c>
      <c r="B273">
        <v>0.09</v>
      </c>
      <c r="C273">
        <f t="shared" si="8"/>
        <v>1.3488217906714401</v>
      </c>
      <c r="D273">
        <v>4</v>
      </c>
      <c r="E273">
        <f t="shared" si="9"/>
        <v>5.081845103484639E-2</v>
      </c>
    </row>
    <row r="274" spans="1:5" x14ac:dyDescent="0.25">
      <c r="A274">
        <v>5</v>
      </c>
      <c r="B274">
        <v>9.0666666666666701E-2</v>
      </c>
      <c r="C274">
        <f t="shared" si="8"/>
        <v>1.3492257605465789</v>
      </c>
      <c r="D274">
        <v>4</v>
      </c>
      <c r="E274">
        <f t="shared" si="9"/>
        <v>5.081845103484639E-2</v>
      </c>
    </row>
    <row r="275" spans="1:5" x14ac:dyDescent="0.25">
      <c r="A275">
        <v>13</v>
      </c>
      <c r="B275">
        <v>9.11214953271028E-2</v>
      </c>
      <c r="C275">
        <f t="shared" si="8"/>
        <v>1.3494974311748058</v>
      </c>
      <c r="D275">
        <v>4</v>
      </c>
      <c r="E275">
        <f t="shared" si="9"/>
        <v>5.081845103484639E-2</v>
      </c>
    </row>
    <row r="276" spans="1:5" x14ac:dyDescent="0.25">
      <c r="A276">
        <v>14</v>
      </c>
      <c r="B276">
        <v>9.2307692307692299E-2</v>
      </c>
      <c r="C276">
        <f t="shared" si="8"/>
        <v>1.3501909184410472</v>
      </c>
      <c r="D276">
        <v>4</v>
      </c>
      <c r="E276">
        <f t="shared" si="9"/>
        <v>5.081845103484639E-2</v>
      </c>
    </row>
    <row r="277" spans="1:5" x14ac:dyDescent="0.25">
      <c r="A277">
        <v>5</v>
      </c>
      <c r="B277">
        <v>9.2814371257484998E-2</v>
      </c>
      <c r="C277">
        <f t="shared" si="8"/>
        <v>1.3504805085821912</v>
      </c>
      <c r="D277">
        <v>4</v>
      </c>
      <c r="E277">
        <f t="shared" si="9"/>
        <v>5.081845103484639E-2</v>
      </c>
    </row>
    <row r="278" spans="1:5" x14ac:dyDescent="0.25">
      <c r="A278">
        <v>12</v>
      </c>
      <c r="B278">
        <v>9.3240093240093205E-2</v>
      </c>
      <c r="C278">
        <f t="shared" si="8"/>
        <v>1.3507207571363657</v>
      </c>
      <c r="D278">
        <v>4</v>
      </c>
      <c r="E278">
        <f t="shared" si="9"/>
        <v>5.081845103484639E-2</v>
      </c>
    </row>
    <row r="279" spans="1:5" x14ac:dyDescent="0.25">
      <c r="A279">
        <v>17</v>
      </c>
      <c r="B279">
        <v>9.4E-2</v>
      </c>
      <c r="C279">
        <f t="shared" si="8"/>
        <v>1.3511426214892095</v>
      </c>
      <c r="D279">
        <v>4</v>
      </c>
      <c r="E279">
        <f t="shared" si="9"/>
        <v>5.081845103484639E-2</v>
      </c>
    </row>
    <row r="280" spans="1:5" x14ac:dyDescent="0.25">
      <c r="A280">
        <v>8</v>
      </c>
      <c r="B280">
        <v>9.5000000000000001E-2</v>
      </c>
      <c r="C280">
        <f t="shared" si="8"/>
        <v>1.3516841365874197</v>
      </c>
      <c r="D280">
        <v>4</v>
      </c>
      <c r="E280">
        <f t="shared" si="9"/>
        <v>5.081845103484639E-2</v>
      </c>
    </row>
    <row r="281" spans="1:5" x14ac:dyDescent="0.25">
      <c r="A281">
        <v>15</v>
      </c>
      <c r="B281">
        <v>9.6000000000000002E-2</v>
      </c>
      <c r="C281">
        <f t="shared" si="8"/>
        <v>1.3522101362163974</v>
      </c>
      <c r="D281">
        <v>4</v>
      </c>
      <c r="E281">
        <f t="shared" si="9"/>
        <v>5.081845103484639E-2</v>
      </c>
    </row>
    <row r="282" spans="1:5" x14ac:dyDescent="0.25">
      <c r="A282">
        <v>17</v>
      </c>
      <c r="B282">
        <v>9.6096096096096095E-2</v>
      </c>
      <c r="C282">
        <f t="shared" si="8"/>
        <v>1.352259864923705</v>
      </c>
      <c r="D282">
        <v>4</v>
      </c>
      <c r="E282">
        <f t="shared" si="9"/>
        <v>5.081845103484639E-2</v>
      </c>
    </row>
    <row r="283" spans="1:5" x14ac:dyDescent="0.25">
      <c r="A283">
        <v>8</v>
      </c>
      <c r="B283">
        <v>9.7087378640776698E-2</v>
      </c>
      <c r="C283">
        <f t="shared" si="8"/>
        <v>1.3527644673614641</v>
      </c>
      <c r="D283">
        <v>4</v>
      </c>
      <c r="E283">
        <f t="shared" si="9"/>
        <v>5.081845103484639E-2</v>
      </c>
    </row>
    <row r="284" spans="1:5" x14ac:dyDescent="0.25">
      <c r="A284">
        <v>12</v>
      </c>
      <c r="B284">
        <v>9.73333333333333E-2</v>
      </c>
      <c r="C284">
        <f t="shared" si="8"/>
        <v>1.3528873023633134</v>
      </c>
      <c r="D284">
        <v>4</v>
      </c>
      <c r="E284">
        <f t="shared" si="9"/>
        <v>5.081845103484639E-2</v>
      </c>
    </row>
    <row r="285" spans="1:5" x14ac:dyDescent="0.25">
      <c r="A285">
        <v>12</v>
      </c>
      <c r="B285">
        <v>9.8000000000000004E-2</v>
      </c>
      <c r="C285">
        <f t="shared" si="8"/>
        <v>1.3532155164833803</v>
      </c>
      <c r="D285">
        <v>4</v>
      </c>
      <c r="E285">
        <f t="shared" si="9"/>
        <v>5.081845103484639E-2</v>
      </c>
    </row>
    <row r="286" spans="1:5" x14ac:dyDescent="0.25">
      <c r="A286">
        <v>5</v>
      </c>
      <c r="B286">
        <v>9.8666666666666694E-2</v>
      </c>
      <c r="C286">
        <f t="shared" si="8"/>
        <v>1.3535368111695998</v>
      </c>
      <c r="D286">
        <v>4</v>
      </c>
      <c r="E286">
        <f t="shared" si="9"/>
        <v>5.081845103484639E-2</v>
      </c>
    </row>
    <row r="287" spans="1:5" x14ac:dyDescent="0.25">
      <c r="A287">
        <v>12</v>
      </c>
      <c r="B287">
        <v>9.8666666666666694E-2</v>
      </c>
      <c r="C287">
        <f t="shared" si="8"/>
        <v>1.3535368111695998</v>
      </c>
      <c r="D287">
        <v>4</v>
      </c>
      <c r="E287">
        <f t="shared" si="9"/>
        <v>5.081845103484639E-2</v>
      </c>
    </row>
    <row r="288" spans="1:5" x14ac:dyDescent="0.25">
      <c r="A288">
        <v>11</v>
      </c>
      <c r="B288">
        <v>9.90990990990991E-2</v>
      </c>
      <c r="C288">
        <f t="shared" si="8"/>
        <v>1.3537415163853361</v>
      </c>
      <c r="D288">
        <v>4</v>
      </c>
      <c r="E288">
        <f t="shared" si="9"/>
        <v>5.081845103484639E-2</v>
      </c>
    </row>
    <row r="289" spans="1:5" x14ac:dyDescent="0.25">
      <c r="A289">
        <v>16</v>
      </c>
      <c r="B289">
        <v>9.90990990990991E-2</v>
      </c>
      <c r="C289">
        <f t="shared" si="8"/>
        <v>1.3537415163853361</v>
      </c>
      <c r="D289">
        <v>4</v>
      </c>
      <c r="E289">
        <f t="shared" si="9"/>
        <v>5.081845103484639E-2</v>
      </c>
    </row>
    <row r="290" spans="1:5" x14ac:dyDescent="0.25">
      <c r="A290">
        <v>7</v>
      </c>
      <c r="B290">
        <v>0.101333333333333</v>
      </c>
      <c r="C290">
        <f t="shared" si="8"/>
        <v>1.3547526978496107</v>
      </c>
      <c r="D290">
        <v>4</v>
      </c>
      <c r="E290">
        <f t="shared" si="9"/>
        <v>5.081845103484639E-2</v>
      </c>
    </row>
    <row r="291" spans="1:5" x14ac:dyDescent="0.25">
      <c r="A291">
        <v>5</v>
      </c>
      <c r="B291">
        <v>0.104</v>
      </c>
      <c r="C291">
        <f t="shared" si="8"/>
        <v>1.3558574954605136</v>
      </c>
      <c r="D291">
        <v>4</v>
      </c>
      <c r="E291">
        <f t="shared" si="9"/>
        <v>5.081845103484639E-2</v>
      </c>
    </row>
    <row r="292" spans="1:5" x14ac:dyDescent="0.25">
      <c r="A292">
        <v>14</v>
      </c>
      <c r="B292">
        <v>0.104</v>
      </c>
      <c r="C292">
        <f t="shared" si="8"/>
        <v>1.3558574954605136</v>
      </c>
      <c r="D292">
        <v>4</v>
      </c>
      <c r="E292">
        <f t="shared" si="9"/>
        <v>5.081845103484639E-2</v>
      </c>
    </row>
    <row r="293" spans="1:5" x14ac:dyDescent="0.25">
      <c r="A293">
        <v>17</v>
      </c>
      <c r="B293">
        <v>0.10489510489510501</v>
      </c>
      <c r="C293">
        <f t="shared" si="8"/>
        <v>1.3562033855421158</v>
      </c>
      <c r="D293">
        <v>4</v>
      </c>
      <c r="E293">
        <f t="shared" si="9"/>
        <v>5.081845103484639E-2</v>
      </c>
    </row>
    <row r="294" spans="1:5" x14ac:dyDescent="0.25">
      <c r="A294">
        <v>6</v>
      </c>
      <c r="B294">
        <v>0.106</v>
      </c>
      <c r="C294">
        <f t="shared" si="8"/>
        <v>1.3566130259269431</v>
      </c>
      <c r="D294">
        <v>4</v>
      </c>
      <c r="E294">
        <f t="shared" si="9"/>
        <v>5.081845103484639E-2</v>
      </c>
    </row>
    <row r="295" spans="1:5" x14ac:dyDescent="0.25">
      <c r="A295">
        <v>16</v>
      </c>
      <c r="B295">
        <v>0.106</v>
      </c>
      <c r="C295">
        <f t="shared" si="8"/>
        <v>1.3566130259269431</v>
      </c>
      <c r="D295">
        <v>4</v>
      </c>
      <c r="E295">
        <f t="shared" si="9"/>
        <v>5.081845103484639E-2</v>
      </c>
    </row>
    <row r="296" spans="1:5" x14ac:dyDescent="0.25">
      <c r="A296">
        <v>6</v>
      </c>
      <c r="B296">
        <v>0.107226107226107</v>
      </c>
      <c r="C296">
        <f t="shared" si="8"/>
        <v>1.3570451879527095</v>
      </c>
      <c r="D296">
        <v>4</v>
      </c>
      <c r="E296">
        <f t="shared" si="9"/>
        <v>5.081845103484639E-2</v>
      </c>
    </row>
    <row r="297" spans="1:5" x14ac:dyDescent="0.25">
      <c r="A297">
        <v>16</v>
      </c>
      <c r="B297">
        <v>0.108</v>
      </c>
      <c r="C297">
        <f t="shared" si="8"/>
        <v>1.3573058091556718</v>
      </c>
      <c r="D297">
        <v>4</v>
      </c>
      <c r="E297">
        <f t="shared" si="9"/>
        <v>5.081845103484639E-2</v>
      </c>
    </row>
    <row r="298" spans="1:5" x14ac:dyDescent="0.25">
      <c r="A298">
        <v>12</v>
      </c>
      <c r="B298">
        <v>0.108108108108108</v>
      </c>
      <c r="C298">
        <f t="shared" si="8"/>
        <v>1.3573414674344917</v>
      </c>
      <c r="D298">
        <v>4</v>
      </c>
      <c r="E298">
        <f t="shared" si="9"/>
        <v>5.081845103484639E-2</v>
      </c>
    </row>
    <row r="299" spans="1:5" x14ac:dyDescent="0.25">
      <c r="A299">
        <v>15</v>
      </c>
      <c r="B299">
        <v>0.108108108108108</v>
      </c>
      <c r="C299">
        <f t="shared" si="8"/>
        <v>1.3573414674344917</v>
      </c>
      <c r="D299">
        <v>4</v>
      </c>
      <c r="E299">
        <f t="shared" si="9"/>
        <v>5.081845103484639E-2</v>
      </c>
    </row>
    <row r="300" spans="1:5" x14ac:dyDescent="0.25">
      <c r="A300">
        <v>15</v>
      </c>
      <c r="B300">
        <v>0.108108108108108</v>
      </c>
      <c r="C300">
        <f t="shared" si="8"/>
        <v>1.3573414674344917</v>
      </c>
      <c r="D300">
        <v>4</v>
      </c>
      <c r="E300">
        <f t="shared" si="9"/>
        <v>5.081845103484639E-2</v>
      </c>
    </row>
    <row r="301" spans="1:5" x14ac:dyDescent="0.25">
      <c r="A301">
        <v>5</v>
      </c>
      <c r="B301">
        <v>0.111666666666667</v>
      </c>
      <c r="C301">
        <f t="shared" si="8"/>
        <v>1.3584126288708729</v>
      </c>
      <c r="D301">
        <v>4</v>
      </c>
      <c r="E301">
        <f t="shared" si="9"/>
        <v>5.081845103484639E-2</v>
      </c>
    </row>
    <row r="302" spans="1:5" x14ac:dyDescent="0.25">
      <c r="A302">
        <v>12</v>
      </c>
      <c r="B302">
        <v>0.111888111888112</v>
      </c>
      <c r="C302">
        <f t="shared" si="8"/>
        <v>1.3584726989856848</v>
      </c>
      <c r="D302">
        <v>4</v>
      </c>
      <c r="E302">
        <f t="shared" si="9"/>
        <v>5.081845103484639E-2</v>
      </c>
    </row>
    <row r="303" spans="1:5" x14ac:dyDescent="0.25">
      <c r="A303">
        <v>11</v>
      </c>
      <c r="B303">
        <v>0.114114114114114</v>
      </c>
      <c r="C303">
        <f t="shared" si="8"/>
        <v>1.3590336086127259</v>
      </c>
      <c r="D303">
        <v>4</v>
      </c>
      <c r="E303">
        <f t="shared" si="9"/>
        <v>5.081845103484639E-2</v>
      </c>
    </row>
    <row r="304" spans="1:5" x14ac:dyDescent="0.25">
      <c r="A304">
        <v>13</v>
      </c>
      <c r="B304">
        <v>0.114219114219114</v>
      </c>
      <c r="C304">
        <f t="shared" si="8"/>
        <v>1.3590581372848731</v>
      </c>
      <c r="D304">
        <v>4</v>
      </c>
      <c r="E304">
        <f t="shared" si="9"/>
        <v>5.081845103484639E-2</v>
      </c>
    </row>
    <row r="305" spans="1:5" x14ac:dyDescent="0.25">
      <c r="A305">
        <v>17</v>
      </c>
      <c r="B305">
        <v>0.114666666666667</v>
      </c>
      <c r="C305">
        <f t="shared" si="8"/>
        <v>1.3591607379789956</v>
      </c>
      <c r="D305">
        <v>4</v>
      </c>
      <c r="E305">
        <f t="shared" si="9"/>
        <v>5.081845103484639E-2</v>
      </c>
    </row>
    <row r="306" spans="1:5" x14ac:dyDescent="0.25">
      <c r="A306">
        <v>8</v>
      </c>
      <c r="B306">
        <v>0.11600000000000001</v>
      </c>
      <c r="C306">
        <f t="shared" si="8"/>
        <v>1.3594476699426998</v>
      </c>
      <c r="D306">
        <v>4</v>
      </c>
      <c r="E306">
        <f t="shared" si="9"/>
        <v>5.081845103484639E-2</v>
      </c>
    </row>
    <row r="307" spans="1:5" x14ac:dyDescent="0.25">
      <c r="A307">
        <v>10</v>
      </c>
      <c r="B307">
        <v>0.11600000000000001</v>
      </c>
      <c r="C307">
        <f t="shared" si="8"/>
        <v>1.3594476699426998</v>
      </c>
      <c r="D307">
        <v>4</v>
      </c>
      <c r="E307">
        <f t="shared" si="9"/>
        <v>5.081845103484639E-2</v>
      </c>
    </row>
    <row r="308" spans="1:5" x14ac:dyDescent="0.25">
      <c r="A308">
        <v>10</v>
      </c>
      <c r="B308">
        <v>0.116666666666667</v>
      </c>
      <c r="C308">
        <f t="shared" si="8"/>
        <v>1.3595806131579713</v>
      </c>
      <c r="D308">
        <v>4</v>
      </c>
      <c r="E308">
        <f t="shared" si="9"/>
        <v>5.081845103484639E-2</v>
      </c>
    </row>
    <row r="309" spans="1:5" x14ac:dyDescent="0.25">
      <c r="A309">
        <v>13</v>
      </c>
      <c r="B309">
        <v>0.117117117117117</v>
      </c>
      <c r="C309">
        <f t="shared" si="8"/>
        <v>1.3596664668615357</v>
      </c>
      <c r="D309">
        <v>4</v>
      </c>
      <c r="E309">
        <f t="shared" si="9"/>
        <v>5.081845103484639E-2</v>
      </c>
    </row>
    <row r="310" spans="1:5" x14ac:dyDescent="0.25">
      <c r="A310">
        <v>12</v>
      </c>
      <c r="B310">
        <v>0.117333333333333</v>
      </c>
      <c r="C310">
        <f t="shared" si="8"/>
        <v>1.3597065384112577</v>
      </c>
      <c r="D310">
        <v>4</v>
      </c>
      <c r="E310">
        <f t="shared" si="9"/>
        <v>5.081845103484639E-2</v>
      </c>
    </row>
    <row r="311" spans="1:5" x14ac:dyDescent="0.25">
      <c r="A311">
        <v>5</v>
      </c>
      <c r="B311">
        <v>0.118333333333333</v>
      </c>
      <c r="C311">
        <f t="shared" si="8"/>
        <v>1.3598822633713927</v>
      </c>
      <c r="D311">
        <v>4</v>
      </c>
      <c r="E311">
        <f t="shared" si="9"/>
        <v>5.081845103484639E-2</v>
      </c>
    </row>
    <row r="312" spans="1:5" x14ac:dyDescent="0.25">
      <c r="A312">
        <v>8</v>
      </c>
      <c r="B312">
        <v>0.11888111888111901</v>
      </c>
      <c r="C312">
        <f t="shared" si="8"/>
        <v>1.3599718248965504</v>
      </c>
      <c r="D312">
        <v>4</v>
      </c>
      <c r="E312">
        <f t="shared" si="9"/>
        <v>5.081845103484639E-2</v>
      </c>
    </row>
    <row r="313" spans="1:5" x14ac:dyDescent="0.25">
      <c r="A313">
        <v>10</v>
      </c>
      <c r="B313">
        <v>0.11915887850467299</v>
      </c>
      <c r="C313">
        <f t="shared" si="8"/>
        <v>1.3600154259748445</v>
      </c>
      <c r="D313">
        <v>4</v>
      </c>
      <c r="E313">
        <f t="shared" si="9"/>
        <v>5.081845103484639E-2</v>
      </c>
    </row>
    <row r="314" spans="1:5" x14ac:dyDescent="0.25">
      <c r="A314">
        <v>13</v>
      </c>
      <c r="B314">
        <v>0.12</v>
      </c>
      <c r="C314">
        <f t="shared" si="8"/>
        <v>1.3601400223884212</v>
      </c>
      <c r="D314">
        <v>4</v>
      </c>
      <c r="E314">
        <f t="shared" si="9"/>
        <v>5.081845103484639E-2</v>
      </c>
    </row>
    <row r="315" spans="1:5" x14ac:dyDescent="0.25">
      <c r="A315">
        <v>8</v>
      </c>
      <c r="B315">
        <v>0.12012012012011999</v>
      </c>
      <c r="C315">
        <f t="shared" si="8"/>
        <v>1.3601569032633687</v>
      </c>
      <c r="D315">
        <v>4</v>
      </c>
      <c r="E315">
        <f t="shared" si="9"/>
        <v>5.081845103484639E-2</v>
      </c>
    </row>
    <row r="316" spans="1:5" x14ac:dyDescent="0.25">
      <c r="A316">
        <v>16</v>
      </c>
      <c r="B316">
        <v>0.12266666666666701</v>
      </c>
      <c r="C316">
        <f t="shared" si="8"/>
        <v>1.3604610823662853</v>
      </c>
      <c r="D316">
        <v>4</v>
      </c>
      <c r="E316">
        <f t="shared" si="9"/>
        <v>5.081845103484639E-2</v>
      </c>
    </row>
    <row r="317" spans="1:5" x14ac:dyDescent="0.25">
      <c r="A317">
        <v>8</v>
      </c>
      <c r="B317">
        <v>0.125874125874126</v>
      </c>
      <c r="C317">
        <f t="shared" si="8"/>
        <v>1.3606982070135529</v>
      </c>
      <c r="D317">
        <v>4</v>
      </c>
      <c r="E317">
        <f t="shared" si="9"/>
        <v>5.081845103484639E-2</v>
      </c>
    </row>
    <row r="318" spans="1:5" x14ac:dyDescent="0.25">
      <c r="A318">
        <v>13</v>
      </c>
      <c r="B318">
        <v>0.126126126126126</v>
      </c>
      <c r="C318">
        <f t="shared" si="8"/>
        <v>1.3607099381628311</v>
      </c>
      <c r="D318">
        <v>4</v>
      </c>
      <c r="E318">
        <f t="shared" si="9"/>
        <v>5.081845103484639E-2</v>
      </c>
    </row>
    <row r="319" spans="1:5" x14ac:dyDescent="0.25">
      <c r="A319">
        <v>5</v>
      </c>
      <c r="B319">
        <v>0.13</v>
      </c>
      <c r="C319">
        <f t="shared" si="8"/>
        <v>1.3607637603489282</v>
      </c>
      <c r="D319">
        <v>4</v>
      </c>
      <c r="E319">
        <f t="shared" si="9"/>
        <v>5.081845103484639E-2</v>
      </c>
    </row>
    <row r="320" spans="1:5" x14ac:dyDescent="0.25">
      <c r="A320">
        <v>14</v>
      </c>
      <c r="B320">
        <v>0.13084112149532701</v>
      </c>
      <c r="C320">
        <f t="shared" si="8"/>
        <v>1.3607440531669859</v>
      </c>
      <c r="D320">
        <v>4</v>
      </c>
      <c r="E320">
        <f t="shared" si="9"/>
        <v>5.081845103484639E-2</v>
      </c>
    </row>
    <row r="321" spans="1:5" x14ac:dyDescent="0.25">
      <c r="A321">
        <v>15</v>
      </c>
      <c r="B321">
        <v>0.13173652694610799</v>
      </c>
      <c r="C321">
        <f t="shared" si="8"/>
        <v>1.3607107663717628</v>
      </c>
      <c r="D321">
        <v>4</v>
      </c>
      <c r="E321">
        <f t="shared" si="9"/>
        <v>5.081845103484639E-2</v>
      </c>
    </row>
    <row r="322" spans="1:5" x14ac:dyDescent="0.25">
      <c r="A322">
        <v>14</v>
      </c>
      <c r="B322">
        <v>0.135135135135135</v>
      </c>
      <c r="C322">
        <f t="shared" ref="C322:C385" si="10">_xlfn.NORM.DIST(B322, I$10,I$13,FALSE)</f>
        <v>1.3604689273309016</v>
      </c>
      <c r="D322">
        <v>4</v>
      </c>
      <c r="E322">
        <f t="shared" si="9"/>
        <v>5.081845103484639E-2</v>
      </c>
    </row>
    <row r="323" spans="1:5" x14ac:dyDescent="0.25">
      <c r="A323">
        <v>16</v>
      </c>
      <c r="B323">
        <v>0.135135135135135</v>
      </c>
      <c r="C323">
        <f t="shared" si="10"/>
        <v>1.3604689273309016</v>
      </c>
      <c r="D323">
        <v>4</v>
      </c>
      <c r="E323">
        <f t="shared" ref="E323:E386" si="11">_xlfn.NORM.DIST(D323, I$4,I$7,FALSE)</f>
        <v>5.081845103484639E-2</v>
      </c>
    </row>
    <row r="324" spans="1:5" x14ac:dyDescent="0.25">
      <c r="A324">
        <v>16</v>
      </c>
      <c r="B324">
        <v>0.135135135135135</v>
      </c>
      <c r="C324">
        <f t="shared" si="10"/>
        <v>1.3604689273309016</v>
      </c>
      <c r="D324">
        <v>4</v>
      </c>
      <c r="E324">
        <f t="shared" si="11"/>
        <v>5.081845103484639E-2</v>
      </c>
    </row>
    <row r="325" spans="1:5" x14ac:dyDescent="0.25">
      <c r="A325">
        <v>17</v>
      </c>
      <c r="B325">
        <v>0.135135135135135</v>
      </c>
      <c r="C325">
        <f t="shared" si="10"/>
        <v>1.3604689273309016</v>
      </c>
      <c r="D325">
        <v>4</v>
      </c>
      <c r="E325">
        <f t="shared" si="11"/>
        <v>5.081845103484639E-2</v>
      </c>
    </row>
    <row r="326" spans="1:5" x14ac:dyDescent="0.25">
      <c r="A326">
        <v>13</v>
      </c>
      <c r="B326">
        <v>0.13600000000000001</v>
      </c>
      <c r="C326">
        <f t="shared" si="10"/>
        <v>1.3603782111193981</v>
      </c>
      <c r="D326">
        <v>4</v>
      </c>
      <c r="E326">
        <f t="shared" si="11"/>
        <v>5.081845103484639E-2</v>
      </c>
    </row>
    <row r="327" spans="1:5" x14ac:dyDescent="0.25">
      <c r="A327">
        <v>5</v>
      </c>
      <c r="B327">
        <v>0.13785046728972</v>
      </c>
      <c r="C327">
        <f t="shared" si="10"/>
        <v>1.3601443774879753</v>
      </c>
      <c r="D327">
        <v>4</v>
      </c>
      <c r="E327">
        <f t="shared" si="11"/>
        <v>5.081845103484639E-2</v>
      </c>
    </row>
    <row r="328" spans="1:5" x14ac:dyDescent="0.25">
      <c r="A328">
        <v>12</v>
      </c>
      <c r="B328">
        <v>0.13800000000000001</v>
      </c>
      <c r="C328">
        <f t="shared" si="10"/>
        <v>1.3601231173180317</v>
      </c>
      <c r="D328">
        <v>4</v>
      </c>
      <c r="E328">
        <f t="shared" si="11"/>
        <v>5.081845103484639E-2</v>
      </c>
    </row>
    <row r="329" spans="1:5" x14ac:dyDescent="0.25">
      <c r="A329">
        <v>5</v>
      </c>
      <c r="B329">
        <v>0.140718562874251</v>
      </c>
      <c r="C329">
        <f t="shared" si="10"/>
        <v>1.3596749835350299</v>
      </c>
      <c r="D329">
        <v>4</v>
      </c>
      <c r="E329">
        <f t="shared" si="11"/>
        <v>5.081845103484639E-2</v>
      </c>
    </row>
    <row r="330" spans="1:5" x14ac:dyDescent="0.25">
      <c r="A330">
        <v>12</v>
      </c>
      <c r="B330">
        <v>0.14133333333333301</v>
      </c>
      <c r="C330">
        <f t="shared" si="10"/>
        <v>1.3595574565316819</v>
      </c>
      <c r="D330">
        <v>4</v>
      </c>
      <c r="E330">
        <f t="shared" si="11"/>
        <v>5.081845103484639E-2</v>
      </c>
    </row>
    <row r="331" spans="1:5" x14ac:dyDescent="0.25">
      <c r="A331">
        <v>10</v>
      </c>
      <c r="B331">
        <v>0.14399999999999999</v>
      </c>
      <c r="C331">
        <f t="shared" si="10"/>
        <v>1.3589786021532877</v>
      </c>
      <c r="D331">
        <v>4</v>
      </c>
      <c r="E331">
        <f t="shared" si="11"/>
        <v>5.081845103484639E-2</v>
      </c>
    </row>
    <row r="332" spans="1:5" x14ac:dyDescent="0.25">
      <c r="A332">
        <v>14</v>
      </c>
      <c r="B332">
        <v>0.144859813084112</v>
      </c>
      <c r="C332">
        <f t="shared" si="10"/>
        <v>1.3587680476318547</v>
      </c>
      <c r="D332">
        <v>4</v>
      </c>
      <c r="E332">
        <f t="shared" si="11"/>
        <v>5.081845103484639E-2</v>
      </c>
    </row>
    <row r="333" spans="1:5" x14ac:dyDescent="0.25">
      <c r="A333">
        <v>14</v>
      </c>
      <c r="B333">
        <v>0.146666666666667</v>
      </c>
      <c r="C333">
        <f t="shared" si="10"/>
        <v>1.3582876118640086</v>
      </c>
      <c r="D333">
        <v>4</v>
      </c>
      <c r="E333">
        <f t="shared" si="11"/>
        <v>5.081845103484639E-2</v>
      </c>
    </row>
    <row r="334" spans="1:5" x14ac:dyDescent="0.25">
      <c r="A334">
        <v>10</v>
      </c>
      <c r="B334">
        <v>0.15015015015015001</v>
      </c>
      <c r="C334">
        <f t="shared" si="10"/>
        <v>1.3572163365250989</v>
      </c>
      <c r="D334">
        <v>4</v>
      </c>
      <c r="E334">
        <f t="shared" si="11"/>
        <v>5.081845103484639E-2</v>
      </c>
    </row>
    <row r="335" spans="1:5" x14ac:dyDescent="0.25">
      <c r="A335">
        <v>11</v>
      </c>
      <c r="B335">
        <v>0.152</v>
      </c>
      <c r="C335">
        <f t="shared" si="10"/>
        <v>1.3565699365241981</v>
      </c>
      <c r="D335">
        <v>4</v>
      </c>
      <c r="E335">
        <f t="shared" si="11"/>
        <v>5.081845103484639E-2</v>
      </c>
    </row>
    <row r="336" spans="1:5" x14ac:dyDescent="0.25">
      <c r="A336">
        <v>12</v>
      </c>
      <c r="B336">
        <v>0.152</v>
      </c>
      <c r="C336">
        <f t="shared" si="10"/>
        <v>1.3565699365241981</v>
      </c>
      <c r="D336">
        <v>4</v>
      </c>
      <c r="E336">
        <f t="shared" si="11"/>
        <v>5.081845103484639E-2</v>
      </c>
    </row>
    <row r="337" spans="1:5" x14ac:dyDescent="0.25">
      <c r="A337">
        <v>17</v>
      </c>
      <c r="B337">
        <v>0.152</v>
      </c>
      <c r="C337">
        <f t="shared" si="10"/>
        <v>1.3565699365241981</v>
      </c>
      <c r="D337">
        <v>4</v>
      </c>
      <c r="E337">
        <f t="shared" si="11"/>
        <v>5.081845103484639E-2</v>
      </c>
    </row>
    <row r="338" spans="1:5" x14ac:dyDescent="0.25">
      <c r="A338">
        <v>14</v>
      </c>
      <c r="B338">
        <v>0.15269461077844301</v>
      </c>
      <c r="C338">
        <f t="shared" si="10"/>
        <v>1.3563133505104252</v>
      </c>
      <c r="D338">
        <v>4</v>
      </c>
      <c r="E338">
        <f t="shared" si="11"/>
        <v>5.081845103484639E-2</v>
      </c>
    </row>
    <row r="339" spans="1:5" x14ac:dyDescent="0.25">
      <c r="A339">
        <v>11</v>
      </c>
      <c r="B339">
        <v>0.156156156156156</v>
      </c>
      <c r="C339">
        <f t="shared" si="10"/>
        <v>1.3549219944055937</v>
      </c>
      <c r="D339">
        <v>4</v>
      </c>
      <c r="E339">
        <f t="shared" si="11"/>
        <v>5.081845103484639E-2</v>
      </c>
    </row>
    <row r="340" spans="1:5" x14ac:dyDescent="0.25">
      <c r="A340">
        <v>12</v>
      </c>
      <c r="B340">
        <v>0.15733333333333299</v>
      </c>
      <c r="C340">
        <f t="shared" si="10"/>
        <v>1.3544061328199455</v>
      </c>
      <c r="D340">
        <v>4</v>
      </c>
      <c r="E340">
        <f t="shared" si="11"/>
        <v>5.081845103484639E-2</v>
      </c>
    </row>
    <row r="341" spans="1:5" x14ac:dyDescent="0.25">
      <c r="A341">
        <v>5</v>
      </c>
      <c r="B341">
        <v>0.15868263473053901</v>
      </c>
      <c r="C341">
        <f t="shared" si="10"/>
        <v>1.3537882373792232</v>
      </c>
      <c r="D341">
        <v>4</v>
      </c>
      <c r="E341">
        <f t="shared" si="11"/>
        <v>5.081845103484639E-2</v>
      </c>
    </row>
    <row r="342" spans="1:5" x14ac:dyDescent="0.25">
      <c r="A342">
        <v>16</v>
      </c>
      <c r="B342">
        <v>0.16166666666666701</v>
      </c>
      <c r="C342">
        <f t="shared" si="10"/>
        <v>1.3523210102037366</v>
      </c>
      <c r="D342">
        <v>4</v>
      </c>
      <c r="E342">
        <f t="shared" si="11"/>
        <v>5.081845103484639E-2</v>
      </c>
    </row>
    <row r="343" spans="1:5" x14ac:dyDescent="0.25">
      <c r="A343">
        <v>16</v>
      </c>
      <c r="B343">
        <v>0.16266666666666699</v>
      </c>
      <c r="C343">
        <f t="shared" si="10"/>
        <v>1.3517983431473399</v>
      </c>
      <c r="D343">
        <v>4</v>
      </c>
      <c r="E343">
        <f t="shared" si="11"/>
        <v>5.081845103484639E-2</v>
      </c>
    </row>
    <row r="344" spans="1:5" x14ac:dyDescent="0.25">
      <c r="A344">
        <v>10</v>
      </c>
      <c r="B344">
        <v>0.164670658682635</v>
      </c>
      <c r="C344">
        <f t="shared" si="10"/>
        <v>1.3507042280547503</v>
      </c>
      <c r="D344">
        <v>4</v>
      </c>
      <c r="E344">
        <f t="shared" si="11"/>
        <v>5.081845103484639E-2</v>
      </c>
    </row>
    <row r="345" spans="1:5" x14ac:dyDescent="0.25">
      <c r="A345">
        <v>8</v>
      </c>
      <c r="B345">
        <v>0.165165165165165</v>
      </c>
      <c r="C345">
        <f t="shared" si="10"/>
        <v>1.3504246736082401</v>
      </c>
      <c r="D345">
        <v>4</v>
      </c>
      <c r="E345">
        <f t="shared" si="11"/>
        <v>5.081845103484639E-2</v>
      </c>
    </row>
    <row r="346" spans="1:5" x14ac:dyDescent="0.25">
      <c r="A346">
        <v>17</v>
      </c>
      <c r="B346">
        <v>0.16666666666666699</v>
      </c>
      <c r="C346">
        <f t="shared" si="10"/>
        <v>1.3495526702027882</v>
      </c>
      <c r="D346">
        <v>5</v>
      </c>
      <c r="E346">
        <f t="shared" si="11"/>
        <v>5.1417139387671555E-2</v>
      </c>
    </row>
    <row r="347" spans="1:5" x14ac:dyDescent="0.25">
      <c r="A347">
        <v>8</v>
      </c>
      <c r="B347">
        <v>0.17</v>
      </c>
      <c r="C347">
        <f t="shared" si="10"/>
        <v>1.3474924983670902</v>
      </c>
      <c r="D347">
        <v>5</v>
      </c>
      <c r="E347">
        <f t="shared" si="11"/>
        <v>5.1417139387671555E-2</v>
      </c>
    </row>
    <row r="348" spans="1:5" x14ac:dyDescent="0.25">
      <c r="A348">
        <v>10</v>
      </c>
      <c r="B348">
        <v>0.170560747663551</v>
      </c>
      <c r="C348">
        <f t="shared" si="10"/>
        <v>1.3471291243816201</v>
      </c>
      <c r="D348">
        <v>5</v>
      </c>
      <c r="E348">
        <f t="shared" si="11"/>
        <v>5.1417139387671555E-2</v>
      </c>
    </row>
    <row r="349" spans="1:5" x14ac:dyDescent="0.25">
      <c r="A349">
        <v>12</v>
      </c>
      <c r="B349">
        <v>0.171171171171171</v>
      </c>
      <c r="C349">
        <f t="shared" si="10"/>
        <v>1.3467280701586701</v>
      </c>
      <c r="D349">
        <v>5</v>
      </c>
      <c r="E349">
        <f t="shared" si="11"/>
        <v>5.1417139387671555E-2</v>
      </c>
    </row>
    <row r="350" spans="1:5" x14ac:dyDescent="0.25">
      <c r="A350">
        <v>7</v>
      </c>
      <c r="B350">
        <v>0.17523364485981299</v>
      </c>
      <c r="C350">
        <f t="shared" si="10"/>
        <v>1.3439136046648468</v>
      </c>
      <c r="D350">
        <v>5</v>
      </c>
      <c r="E350">
        <f t="shared" si="11"/>
        <v>5.1417139387671555E-2</v>
      </c>
    </row>
    <row r="351" spans="1:5" x14ac:dyDescent="0.25">
      <c r="A351">
        <v>17</v>
      </c>
      <c r="B351">
        <v>0.17599999999999999</v>
      </c>
      <c r="C351">
        <f t="shared" si="10"/>
        <v>1.343354417376647</v>
      </c>
      <c r="D351">
        <v>5</v>
      </c>
      <c r="E351">
        <f t="shared" si="11"/>
        <v>5.1417139387671555E-2</v>
      </c>
    </row>
    <row r="352" spans="1:5" x14ac:dyDescent="0.25">
      <c r="A352">
        <v>17</v>
      </c>
      <c r="B352">
        <v>0.177570093457944</v>
      </c>
      <c r="C352">
        <f t="shared" si="10"/>
        <v>1.342180848937341</v>
      </c>
      <c r="D352">
        <v>5</v>
      </c>
      <c r="E352">
        <f t="shared" si="11"/>
        <v>5.1417139387671555E-2</v>
      </c>
    </row>
    <row r="353" spans="1:5" x14ac:dyDescent="0.25">
      <c r="A353">
        <v>12</v>
      </c>
      <c r="B353">
        <v>0.17948717948717899</v>
      </c>
      <c r="C353">
        <f t="shared" si="10"/>
        <v>1.3406971698953483</v>
      </c>
      <c r="D353">
        <v>5</v>
      </c>
      <c r="E353">
        <f t="shared" si="11"/>
        <v>5.1417139387671555E-2</v>
      </c>
    </row>
    <row r="354" spans="1:5" x14ac:dyDescent="0.25">
      <c r="A354">
        <v>17</v>
      </c>
      <c r="B354">
        <v>0.17948717948717899</v>
      </c>
      <c r="C354">
        <f t="shared" si="10"/>
        <v>1.3406971698953483</v>
      </c>
      <c r="D354">
        <v>5</v>
      </c>
      <c r="E354">
        <f t="shared" si="11"/>
        <v>5.1417139387671555E-2</v>
      </c>
    </row>
    <row r="355" spans="1:5" x14ac:dyDescent="0.25">
      <c r="A355">
        <v>10</v>
      </c>
      <c r="B355">
        <v>0.18</v>
      </c>
      <c r="C355">
        <f t="shared" si="10"/>
        <v>1.3402908481128921</v>
      </c>
      <c r="D355">
        <v>5</v>
      </c>
      <c r="E355">
        <f t="shared" si="11"/>
        <v>5.1417139387671555E-2</v>
      </c>
    </row>
    <row r="356" spans="1:5" x14ac:dyDescent="0.25">
      <c r="A356">
        <v>5</v>
      </c>
      <c r="B356">
        <v>0.18181818181818199</v>
      </c>
      <c r="C356">
        <f t="shared" si="10"/>
        <v>1.3388182360464089</v>
      </c>
      <c r="D356">
        <v>5</v>
      </c>
      <c r="E356">
        <f t="shared" si="11"/>
        <v>5.1417139387671555E-2</v>
      </c>
    </row>
    <row r="357" spans="1:5" x14ac:dyDescent="0.25">
      <c r="A357">
        <v>16</v>
      </c>
      <c r="B357">
        <v>0.18181818181818199</v>
      </c>
      <c r="C357">
        <f t="shared" si="10"/>
        <v>1.3388182360464089</v>
      </c>
      <c r="D357">
        <v>5</v>
      </c>
      <c r="E357">
        <f t="shared" si="11"/>
        <v>5.1417139387671555E-2</v>
      </c>
    </row>
    <row r="358" spans="1:5" x14ac:dyDescent="0.25">
      <c r="A358">
        <v>6</v>
      </c>
      <c r="B358">
        <v>0.182</v>
      </c>
      <c r="C358">
        <f t="shared" si="10"/>
        <v>1.3386682320644236</v>
      </c>
      <c r="D358">
        <v>5</v>
      </c>
      <c r="E358">
        <f t="shared" si="11"/>
        <v>5.1417139387671555E-2</v>
      </c>
    </row>
    <row r="359" spans="1:5" x14ac:dyDescent="0.25">
      <c r="A359">
        <v>12</v>
      </c>
      <c r="B359">
        <v>0.182</v>
      </c>
      <c r="C359">
        <f t="shared" si="10"/>
        <v>1.3386682320644236</v>
      </c>
      <c r="D359">
        <v>5</v>
      </c>
      <c r="E359">
        <f t="shared" si="11"/>
        <v>5.1417139387671555E-2</v>
      </c>
    </row>
    <row r="360" spans="1:5" x14ac:dyDescent="0.25">
      <c r="A360">
        <v>5</v>
      </c>
      <c r="B360">
        <v>0.18263473053892201</v>
      </c>
      <c r="C360">
        <f t="shared" si="10"/>
        <v>1.3381406626580177</v>
      </c>
      <c r="D360">
        <v>5</v>
      </c>
      <c r="E360">
        <f t="shared" si="11"/>
        <v>5.1417139387671555E-2</v>
      </c>
    </row>
    <row r="361" spans="1:5" x14ac:dyDescent="0.25">
      <c r="A361">
        <v>8</v>
      </c>
      <c r="B361">
        <v>0.185</v>
      </c>
      <c r="C361">
        <f t="shared" si="10"/>
        <v>1.3361213962686547</v>
      </c>
      <c r="D361">
        <v>5</v>
      </c>
      <c r="E361">
        <f t="shared" si="11"/>
        <v>5.1417139387671555E-2</v>
      </c>
    </row>
    <row r="362" spans="1:5" x14ac:dyDescent="0.25">
      <c r="A362">
        <v>16</v>
      </c>
      <c r="B362">
        <v>0.185567010309278</v>
      </c>
      <c r="C362">
        <f t="shared" si="10"/>
        <v>1.3356248656717737</v>
      </c>
      <c r="D362">
        <v>5</v>
      </c>
      <c r="E362">
        <f t="shared" si="11"/>
        <v>5.1417139387671555E-2</v>
      </c>
    </row>
    <row r="363" spans="1:5" x14ac:dyDescent="0.25">
      <c r="A363">
        <v>17</v>
      </c>
      <c r="B363">
        <v>0.18618618618618599</v>
      </c>
      <c r="C363">
        <f t="shared" si="10"/>
        <v>1.3350771602756877</v>
      </c>
      <c r="D363">
        <v>5</v>
      </c>
      <c r="E363">
        <f t="shared" si="11"/>
        <v>5.1417139387671555E-2</v>
      </c>
    </row>
    <row r="364" spans="1:5" x14ac:dyDescent="0.25">
      <c r="A364">
        <v>15</v>
      </c>
      <c r="B364">
        <v>0.18648018648018599</v>
      </c>
      <c r="C364">
        <f t="shared" si="10"/>
        <v>1.3348150899068607</v>
      </c>
      <c r="D364">
        <v>5</v>
      </c>
      <c r="E364">
        <f t="shared" si="11"/>
        <v>5.1417139387671555E-2</v>
      </c>
    </row>
    <row r="365" spans="1:5" x14ac:dyDescent="0.25">
      <c r="A365">
        <v>16</v>
      </c>
      <c r="B365">
        <v>0.18833333333333299</v>
      </c>
      <c r="C365">
        <f t="shared" si="10"/>
        <v>1.333133529615584</v>
      </c>
      <c r="D365">
        <v>5</v>
      </c>
      <c r="E365">
        <f t="shared" si="11"/>
        <v>5.1417139387671555E-2</v>
      </c>
    </row>
    <row r="366" spans="1:5" x14ac:dyDescent="0.25">
      <c r="A366">
        <v>17</v>
      </c>
      <c r="B366">
        <v>0.18862275449101801</v>
      </c>
      <c r="C366">
        <f t="shared" si="10"/>
        <v>1.3328662897678922</v>
      </c>
      <c r="D366">
        <v>5</v>
      </c>
      <c r="E366">
        <f t="shared" si="11"/>
        <v>5.1417139387671555E-2</v>
      </c>
    </row>
    <row r="367" spans="1:5" x14ac:dyDescent="0.25">
      <c r="A367">
        <v>5</v>
      </c>
      <c r="B367">
        <v>0.18918918918918901</v>
      </c>
      <c r="C367">
        <f t="shared" si="10"/>
        <v>1.3323396643804817</v>
      </c>
      <c r="D367">
        <v>5</v>
      </c>
      <c r="E367">
        <f t="shared" si="11"/>
        <v>5.1417139387671555E-2</v>
      </c>
    </row>
    <row r="368" spans="1:5" x14ac:dyDescent="0.25">
      <c r="A368">
        <v>13</v>
      </c>
      <c r="B368">
        <v>0.18918918918918901</v>
      </c>
      <c r="C368">
        <f t="shared" si="10"/>
        <v>1.3323396643804817</v>
      </c>
      <c r="D368">
        <v>5</v>
      </c>
      <c r="E368">
        <f t="shared" si="11"/>
        <v>5.1417139387671555E-2</v>
      </c>
    </row>
    <row r="369" spans="1:5" x14ac:dyDescent="0.25">
      <c r="A369">
        <v>16</v>
      </c>
      <c r="B369">
        <v>0.18925233644859801</v>
      </c>
      <c r="C369">
        <f t="shared" si="10"/>
        <v>1.3322806599118198</v>
      </c>
      <c r="D369">
        <v>5</v>
      </c>
      <c r="E369">
        <f t="shared" si="11"/>
        <v>5.1417139387671555E-2</v>
      </c>
    </row>
    <row r="370" spans="1:5" x14ac:dyDescent="0.25">
      <c r="A370">
        <v>10</v>
      </c>
      <c r="B370">
        <v>0.197333333333333</v>
      </c>
      <c r="C370">
        <f t="shared" si="10"/>
        <v>1.3242442550160023</v>
      </c>
      <c r="D370">
        <v>5</v>
      </c>
      <c r="E370">
        <f t="shared" si="11"/>
        <v>5.1417139387671555E-2</v>
      </c>
    </row>
    <row r="371" spans="1:5" x14ac:dyDescent="0.25">
      <c r="A371">
        <v>12</v>
      </c>
      <c r="B371">
        <v>0.197333333333333</v>
      </c>
      <c r="C371">
        <f t="shared" si="10"/>
        <v>1.3242442550160023</v>
      </c>
      <c r="D371">
        <v>5</v>
      </c>
      <c r="E371">
        <f t="shared" si="11"/>
        <v>5.1417139387671555E-2</v>
      </c>
    </row>
    <row r="372" spans="1:5" x14ac:dyDescent="0.25">
      <c r="A372">
        <v>5</v>
      </c>
      <c r="B372">
        <v>0.20046620046620001</v>
      </c>
      <c r="C372">
        <f t="shared" si="10"/>
        <v>1.3208717563245986</v>
      </c>
      <c r="D372">
        <v>5</v>
      </c>
      <c r="E372">
        <f t="shared" si="11"/>
        <v>5.1417139387671555E-2</v>
      </c>
    </row>
    <row r="373" spans="1:5" x14ac:dyDescent="0.25">
      <c r="A373">
        <v>14</v>
      </c>
      <c r="B373">
        <v>0.20046620046620001</v>
      </c>
      <c r="C373">
        <f t="shared" si="10"/>
        <v>1.3208717563245986</v>
      </c>
      <c r="D373">
        <v>5</v>
      </c>
      <c r="E373">
        <f t="shared" si="11"/>
        <v>5.1417139387671555E-2</v>
      </c>
    </row>
    <row r="374" spans="1:5" x14ac:dyDescent="0.25">
      <c r="A374">
        <v>7</v>
      </c>
      <c r="B374">
        <v>0.204545454545455</v>
      </c>
      <c r="C374">
        <f t="shared" si="10"/>
        <v>1.3162680589844968</v>
      </c>
      <c r="D374">
        <v>5</v>
      </c>
      <c r="E374">
        <f t="shared" si="11"/>
        <v>5.1417139387671555E-2</v>
      </c>
    </row>
    <row r="375" spans="1:5" x14ac:dyDescent="0.25">
      <c r="A375">
        <v>11</v>
      </c>
      <c r="B375">
        <v>0.20599999999999999</v>
      </c>
      <c r="C375">
        <f t="shared" si="10"/>
        <v>1.3145688404012477</v>
      </c>
      <c r="D375">
        <v>5</v>
      </c>
      <c r="E375">
        <f t="shared" si="11"/>
        <v>5.1417139387671555E-2</v>
      </c>
    </row>
    <row r="376" spans="1:5" x14ac:dyDescent="0.25">
      <c r="A376">
        <v>13</v>
      </c>
      <c r="B376">
        <v>0.20599999999999999</v>
      </c>
      <c r="C376">
        <f t="shared" si="10"/>
        <v>1.3145688404012477</v>
      </c>
      <c r="D376">
        <v>5</v>
      </c>
      <c r="E376">
        <f t="shared" si="11"/>
        <v>5.1417139387671555E-2</v>
      </c>
    </row>
    <row r="377" spans="1:5" x14ac:dyDescent="0.25">
      <c r="A377">
        <v>5</v>
      </c>
      <c r="B377">
        <v>0.20745920745920701</v>
      </c>
      <c r="C377">
        <f t="shared" si="10"/>
        <v>1.3128339079746896</v>
      </c>
      <c r="D377">
        <v>5</v>
      </c>
      <c r="E377">
        <f t="shared" si="11"/>
        <v>5.1417139387671555E-2</v>
      </c>
    </row>
    <row r="378" spans="1:5" x14ac:dyDescent="0.25">
      <c r="A378">
        <v>11</v>
      </c>
      <c r="B378">
        <v>0.20745920745920701</v>
      </c>
      <c r="C378">
        <f t="shared" si="10"/>
        <v>1.3128339079746896</v>
      </c>
      <c r="D378">
        <v>5</v>
      </c>
      <c r="E378">
        <f t="shared" si="11"/>
        <v>5.1417139387671555E-2</v>
      </c>
    </row>
    <row r="379" spans="1:5" x14ac:dyDescent="0.25">
      <c r="A379">
        <v>5</v>
      </c>
      <c r="B379">
        <v>0.20833333333333301</v>
      </c>
      <c r="C379">
        <f t="shared" si="10"/>
        <v>1.3117801437297139</v>
      </c>
      <c r="D379">
        <v>5</v>
      </c>
      <c r="E379">
        <f t="shared" si="11"/>
        <v>5.1417139387671555E-2</v>
      </c>
    </row>
    <row r="380" spans="1:5" x14ac:dyDescent="0.25">
      <c r="A380">
        <v>7</v>
      </c>
      <c r="B380">
        <v>0.21333333333333299</v>
      </c>
      <c r="C380">
        <f t="shared" si="10"/>
        <v>1.3055457662331886</v>
      </c>
      <c r="D380">
        <v>5</v>
      </c>
      <c r="E380">
        <f t="shared" si="11"/>
        <v>5.1417139387671555E-2</v>
      </c>
    </row>
    <row r="381" spans="1:5" x14ac:dyDescent="0.25">
      <c r="A381">
        <v>10</v>
      </c>
      <c r="B381">
        <v>0.214</v>
      </c>
      <c r="C381">
        <f t="shared" si="10"/>
        <v>1.3046880849386886</v>
      </c>
      <c r="D381">
        <v>5</v>
      </c>
      <c r="E381">
        <f t="shared" si="11"/>
        <v>5.1417139387671555E-2</v>
      </c>
    </row>
    <row r="382" spans="1:5" x14ac:dyDescent="0.25">
      <c r="A382">
        <v>12</v>
      </c>
      <c r="B382">
        <v>0.21621621621621601</v>
      </c>
      <c r="C382">
        <f t="shared" si="10"/>
        <v>1.3017925371386927</v>
      </c>
      <c r="D382">
        <v>5</v>
      </c>
      <c r="E382">
        <f t="shared" si="11"/>
        <v>5.1417139387671555E-2</v>
      </c>
    </row>
    <row r="383" spans="1:5" x14ac:dyDescent="0.25">
      <c r="A383">
        <v>16</v>
      </c>
      <c r="B383">
        <v>0.21621621621621601</v>
      </c>
      <c r="C383">
        <f t="shared" si="10"/>
        <v>1.3017925371386927</v>
      </c>
      <c r="D383">
        <v>5</v>
      </c>
      <c r="E383">
        <f t="shared" si="11"/>
        <v>5.1417139387671555E-2</v>
      </c>
    </row>
    <row r="384" spans="1:5" x14ac:dyDescent="0.25">
      <c r="A384">
        <v>17</v>
      </c>
      <c r="B384">
        <v>0.217391304347826</v>
      </c>
      <c r="C384">
        <f t="shared" si="10"/>
        <v>1.3002297170893287</v>
      </c>
      <c r="D384">
        <v>5</v>
      </c>
      <c r="E384">
        <f t="shared" si="11"/>
        <v>5.1417139387671555E-2</v>
      </c>
    </row>
    <row r="385" spans="1:5" x14ac:dyDescent="0.25">
      <c r="A385">
        <v>16</v>
      </c>
      <c r="B385">
        <v>0.21866666666666701</v>
      </c>
      <c r="C385">
        <f t="shared" si="10"/>
        <v>1.2985120519687436</v>
      </c>
      <c r="D385">
        <v>5</v>
      </c>
      <c r="E385">
        <f t="shared" si="11"/>
        <v>5.1417139387671555E-2</v>
      </c>
    </row>
    <row r="386" spans="1:5" x14ac:dyDescent="0.25">
      <c r="A386">
        <v>14</v>
      </c>
      <c r="B386">
        <v>0.21911421911421899</v>
      </c>
      <c r="C386">
        <f t="shared" ref="C386:C449" si="12">_xlfn.NORM.DIST(B386, I$10,I$13,FALSE)</f>
        <v>1.2979040018339016</v>
      </c>
      <c r="D386">
        <v>5</v>
      </c>
      <c r="E386">
        <f t="shared" si="11"/>
        <v>5.1417139387671555E-2</v>
      </c>
    </row>
    <row r="387" spans="1:5" x14ac:dyDescent="0.25">
      <c r="A387">
        <v>8</v>
      </c>
      <c r="B387">
        <v>0.22166666666666701</v>
      </c>
      <c r="C387">
        <f t="shared" si="12"/>
        <v>1.2943839947103337</v>
      </c>
      <c r="D387">
        <v>5</v>
      </c>
      <c r="E387">
        <f t="shared" ref="E387:E450" si="13">_xlfn.NORM.DIST(D387, I$4,I$7,FALSE)</f>
        <v>5.1417139387671555E-2</v>
      </c>
    </row>
    <row r="388" spans="1:5" x14ac:dyDescent="0.25">
      <c r="A388">
        <v>6</v>
      </c>
      <c r="B388">
        <v>0.22429906542056099</v>
      </c>
      <c r="C388">
        <f t="shared" si="12"/>
        <v>1.2906612488736076</v>
      </c>
      <c r="D388">
        <v>5</v>
      </c>
      <c r="E388">
        <f t="shared" si="13"/>
        <v>5.1417139387671555E-2</v>
      </c>
    </row>
    <row r="389" spans="1:5" x14ac:dyDescent="0.25">
      <c r="A389">
        <v>16</v>
      </c>
      <c r="B389">
        <v>0.22666666666666699</v>
      </c>
      <c r="C389">
        <f t="shared" si="12"/>
        <v>1.287233478245859</v>
      </c>
      <c r="D389">
        <v>5</v>
      </c>
      <c r="E389">
        <f t="shared" si="13"/>
        <v>5.1417139387671555E-2</v>
      </c>
    </row>
    <row r="390" spans="1:5" x14ac:dyDescent="0.25">
      <c r="A390">
        <v>10</v>
      </c>
      <c r="B390">
        <v>0.23200000000000001</v>
      </c>
      <c r="C390">
        <f t="shared" si="12"/>
        <v>1.2792396077580688</v>
      </c>
      <c r="D390">
        <v>6</v>
      </c>
      <c r="E390">
        <f t="shared" si="13"/>
        <v>5.1165275037767105E-2</v>
      </c>
    </row>
    <row r="391" spans="1:5" x14ac:dyDescent="0.25">
      <c r="A391">
        <v>16</v>
      </c>
      <c r="B391">
        <v>0.23543123543123501</v>
      </c>
      <c r="C391">
        <f t="shared" si="12"/>
        <v>1.2739000780830412</v>
      </c>
      <c r="D391">
        <v>6</v>
      </c>
      <c r="E391">
        <f t="shared" si="13"/>
        <v>5.1165275037767105E-2</v>
      </c>
    </row>
    <row r="392" spans="1:5" x14ac:dyDescent="0.25">
      <c r="A392">
        <v>10</v>
      </c>
      <c r="B392">
        <v>0.241666666666667</v>
      </c>
      <c r="C392">
        <f t="shared" si="12"/>
        <v>1.2638105521965792</v>
      </c>
      <c r="D392">
        <v>6</v>
      </c>
      <c r="E392">
        <f t="shared" si="13"/>
        <v>5.1165275037767105E-2</v>
      </c>
    </row>
    <row r="393" spans="1:5" x14ac:dyDescent="0.25">
      <c r="A393">
        <v>16</v>
      </c>
      <c r="B393">
        <v>0.24199999999999999</v>
      </c>
      <c r="C393">
        <f t="shared" si="12"/>
        <v>1.2632573518363384</v>
      </c>
      <c r="D393">
        <v>6</v>
      </c>
      <c r="E393">
        <f t="shared" si="13"/>
        <v>5.1165275037767105E-2</v>
      </c>
    </row>
    <row r="394" spans="1:5" x14ac:dyDescent="0.25">
      <c r="A394">
        <v>16</v>
      </c>
      <c r="B394">
        <v>0.24475524475524499</v>
      </c>
      <c r="C394">
        <f t="shared" si="12"/>
        <v>1.2586316989372799</v>
      </c>
      <c r="D394">
        <v>6</v>
      </c>
      <c r="E394">
        <f t="shared" si="13"/>
        <v>5.1165275037767105E-2</v>
      </c>
    </row>
    <row r="395" spans="1:5" x14ac:dyDescent="0.25">
      <c r="A395">
        <v>5</v>
      </c>
      <c r="B395">
        <v>0.246</v>
      </c>
      <c r="C395">
        <f t="shared" si="12"/>
        <v>1.256511100572973</v>
      </c>
      <c r="D395">
        <v>6</v>
      </c>
      <c r="E395">
        <f t="shared" si="13"/>
        <v>5.1165275037767105E-2</v>
      </c>
    </row>
    <row r="396" spans="1:5" x14ac:dyDescent="0.25">
      <c r="A396">
        <v>12</v>
      </c>
      <c r="B396">
        <v>0.24833333333333299</v>
      </c>
      <c r="C396">
        <f t="shared" si="12"/>
        <v>1.252484760781428</v>
      </c>
      <c r="D396">
        <v>6</v>
      </c>
      <c r="E396">
        <f t="shared" si="13"/>
        <v>5.1165275037767105E-2</v>
      </c>
    </row>
    <row r="397" spans="1:5" x14ac:dyDescent="0.25">
      <c r="A397">
        <v>5</v>
      </c>
      <c r="B397">
        <v>0.252</v>
      </c>
      <c r="C397">
        <f t="shared" si="12"/>
        <v>1.2460242296651955</v>
      </c>
      <c r="D397">
        <v>6</v>
      </c>
      <c r="E397">
        <f t="shared" si="13"/>
        <v>5.1165275037767105E-2</v>
      </c>
    </row>
    <row r="398" spans="1:5" x14ac:dyDescent="0.25">
      <c r="A398">
        <v>13</v>
      </c>
      <c r="B398">
        <v>0.252</v>
      </c>
      <c r="C398">
        <f t="shared" si="12"/>
        <v>1.2460242296651955</v>
      </c>
      <c r="D398">
        <v>6</v>
      </c>
      <c r="E398">
        <f t="shared" si="13"/>
        <v>5.1165275037767105E-2</v>
      </c>
    </row>
    <row r="399" spans="1:5" x14ac:dyDescent="0.25">
      <c r="A399">
        <v>12</v>
      </c>
      <c r="B399">
        <v>0.256410256410256</v>
      </c>
      <c r="C399">
        <f t="shared" si="12"/>
        <v>1.2380410795320462</v>
      </c>
      <c r="D399">
        <v>6</v>
      </c>
      <c r="E399">
        <f t="shared" si="13"/>
        <v>5.1165275037767105E-2</v>
      </c>
    </row>
    <row r="400" spans="1:5" x14ac:dyDescent="0.25">
      <c r="A400">
        <v>16</v>
      </c>
      <c r="B400">
        <v>0.25800000000000001</v>
      </c>
      <c r="C400">
        <f t="shared" si="12"/>
        <v>1.2351074552840622</v>
      </c>
      <c r="D400">
        <v>6</v>
      </c>
      <c r="E400">
        <f t="shared" si="13"/>
        <v>5.1165275037767105E-2</v>
      </c>
    </row>
    <row r="401" spans="1:5" x14ac:dyDescent="0.25">
      <c r="A401">
        <v>10</v>
      </c>
      <c r="B401">
        <v>0.25874125874125897</v>
      </c>
      <c r="C401">
        <f t="shared" si="12"/>
        <v>1.2337295540392381</v>
      </c>
      <c r="D401">
        <v>6</v>
      </c>
      <c r="E401">
        <f t="shared" si="13"/>
        <v>5.1165275037767105E-2</v>
      </c>
    </row>
    <row r="402" spans="1:5" x14ac:dyDescent="0.25">
      <c r="A402">
        <v>10</v>
      </c>
      <c r="B402">
        <v>0.26133333333333297</v>
      </c>
      <c r="C402">
        <f t="shared" si="12"/>
        <v>1.2288615399833338</v>
      </c>
      <c r="D402">
        <v>6</v>
      </c>
      <c r="E402">
        <f t="shared" si="13"/>
        <v>5.1165275037767105E-2</v>
      </c>
    </row>
    <row r="403" spans="1:5" x14ac:dyDescent="0.25">
      <c r="A403">
        <v>16</v>
      </c>
      <c r="B403">
        <v>0.26133333333333297</v>
      </c>
      <c r="C403">
        <f t="shared" si="12"/>
        <v>1.2288615399833338</v>
      </c>
      <c r="D403">
        <v>6</v>
      </c>
      <c r="E403">
        <f t="shared" si="13"/>
        <v>5.1165275037767105E-2</v>
      </c>
    </row>
    <row r="404" spans="1:5" x14ac:dyDescent="0.25">
      <c r="A404">
        <v>7</v>
      </c>
      <c r="B404">
        <v>0.26340326340326298</v>
      </c>
      <c r="C404">
        <f t="shared" si="12"/>
        <v>1.2249191653868934</v>
      </c>
      <c r="D404">
        <v>6</v>
      </c>
      <c r="E404">
        <f t="shared" si="13"/>
        <v>5.1165275037767105E-2</v>
      </c>
    </row>
    <row r="405" spans="1:5" x14ac:dyDescent="0.25">
      <c r="A405">
        <v>10</v>
      </c>
      <c r="B405">
        <v>0.26415094339622602</v>
      </c>
      <c r="C405">
        <f t="shared" si="12"/>
        <v>1.2234832566437912</v>
      </c>
      <c r="D405">
        <v>6</v>
      </c>
      <c r="E405">
        <f t="shared" si="13"/>
        <v>5.1165275037767105E-2</v>
      </c>
    </row>
    <row r="406" spans="1:5" x14ac:dyDescent="0.25">
      <c r="A406">
        <v>14</v>
      </c>
      <c r="B406">
        <v>0.26573426573426601</v>
      </c>
      <c r="C406">
        <f t="shared" si="12"/>
        <v>1.2204218599328038</v>
      </c>
      <c r="D406">
        <v>6</v>
      </c>
      <c r="E406">
        <f t="shared" si="13"/>
        <v>5.1165275037767105E-2</v>
      </c>
    </row>
    <row r="407" spans="1:5" x14ac:dyDescent="0.25">
      <c r="A407">
        <v>7</v>
      </c>
      <c r="B407">
        <v>0.266666666666667</v>
      </c>
      <c r="C407">
        <f t="shared" si="12"/>
        <v>1.2186059939168241</v>
      </c>
      <c r="D407">
        <v>6</v>
      </c>
      <c r="E407">
        <f t="shared" si="13"/>
        <v>5.1165275037767105E-2</v>
      </c>
    </row>
    <row r="408" spans="1:5" x14ac:dyDescent="0.25">
      <c r="A408">
        <v>14</v>
      </c>
      <c r="B408">
        <v>0.26800000000000002</v>
      </c>
      <c r="C408">
        <f t="shared" si="12"/>
        <v>1.2159926288541514</v>
      </c>
      <c r="D408">
        <v>6</v>
      </c>
      <c r="E408">
        <f t="shared" si="13"/>
        <v>5.1165275037767105E-2</v>
      </c>
    </row>
    <row r="409" spans="1:5" x14ac:dyDescent="0.25">
      <c r="A409">
        <v>16</v>
      </c>
      <c r="B409">
        <v>0.269461077844311</v>
      </c>
      <c r="C409">
        <f t="shared" si="12"/>
        <v>1.2131065037093576</v>
      </c>
      <c r="D409">
        <v>6</v>
      </c>
      <c r="E409">
        <f t="shared" si="13"/>
        <v>5.1165275037767105E-2</v>
      </c>
    </row>
    <row r="410" spans="1:5" x14ac:dyDescent="0.25">
      <c r="A410">
        <v>15</v>
      </c>
      <c r="B410">
        <v>0.27027027027027001</v>
      </c>
      <c r="C410">
        <f t="shared" si="12"/>
        <v>1.2114980750862905</v>
      </c>
      <c r="D410">
        <v>6</v>
      </c>
      <c r="E410">
        <f t="shared" si="13"/>
        <v>5.1165275037767105E-2</v>
      </c>
    </row>
    <row r="411" spans="1:5" x14ac:dyDescent="0.25">
      <c r="A411">
        <v>11</v>
      </c>
      <c r="B411">
        <v>0.27544910179640703</v>
      </c>
      <c r="C411">
        <f t="shared" si="12"/>
        <v>1.2010378243053577</v>
      </c>
      <c r="D411">
        <v>6</v>
      </c>
      <c r="E411">
        <f t="shared" si="13"/>
        <v>5.1165275037767105E-2</v>
      </c>
    </row>
    <row r="412" spans="1:5" x14ac:dyDescent="0.25">
      <c r="A412">
        <v>6</v>
      </c>
      <c r="B412">
        <v>0.27600000000000002</v>
      </c>
      <c r="C412">
        <f t="shared" si="12"/>
        <v>1.1999084102363768</v>
      </c>
      <c r="D412">
        <v>6</v>
      </c>
      <c r="E412">
        <f t="shared" si="13"/>
        <v>5.1165275037767105E-2</v>
      </c>
    </row>
    <row r="413" spans="1:5" x14ac:dyDescent="0.25">
      <c r="A413">
        <v>14</v>
      </c>
      <c r="B413">
        <v>0.27800000000000002</v>
      </c>
      <c r="C413">
        <f t="shared" si="12"/>
        <v>1.1957815759384147</v>
      </c>
      <c r="D413">
        <v>6</v>
      </c>
      <c r="E413">
        <f t="shared" si="13"/>
        <v>5.1165275037767105E-2</v>
      </c>
    </row>
    <row r="414" spans="1:5" x14ac:dyDescent="0.25">
      <c r="A414">
        <v>10</v>
      </c>
      <c r="B414">
        <v>0.27972027972028002</v>
      </c>
      <c r="C414">
        <f t="shared" si="12"/>
        <v>1.1921988909927754</v>
      </c>
      <c r="D414">
        <v>6</v>
      </c>
      <c r="E414">
        <f t="shared" si="13"/>
        <v>5.1165275037767105E-2</v>
      </c>
    </row>
    <row r="415" spans="1:5" x14ac:dyDescent="0.25">
      <c r="A415">
        <v>10</v>
      </c>
      <c r="B415">
        <v>0.29066666666666702</v>
      </c>
      <c r="C415">
        <f t="shared" si="12"/>
        <v>1.1687088184907661</v>
      </c>
      <c r="D415">
        <v>6</v>
      </c>
      <c r="E415">
        <f t="shared" si="13"/>
        <v>5.1165275037767105E-2</v>
      </c>
    </row>
    <row r="416" spans="1:5" x14ac:dyDescent="0.25">
      <c r="A416">
        <v>13</v>
      </c>
      <c r="B416">
        <v>0.29672897196261699</v>
      </c>
      <c r="C416">
        <f t="shared" si="12"/>
        <v>1.1552061847577337</v>
      </c>
      <c r="D416">
        <v>6</v>
      </c>
      <c r="E416">
        <f t="shared" si="13"/>
        <v>5.1165275037767105E-2</v>
      </c>
    </row>
    <row r="417" spans="1:5" x14ac:dyDescent="0.25">
      <c r="A417">
        <v>13</v>
      </c>
      <c r="B417">
        <v>0.3</v>
      </c>
      <c r="C417">
        <f t="shared" si="12"/>
        <v>1.1477816383895014</v>
      </c>
      <c r="D417">
        <v>6</v>
      </c>
      <c r="E417">
        <f t="shared" si="13"/>
        <v>5.1165275037767105E-2</v>
      </c>
    </row>
    <row r="418" spans="1:5" x14ac:dyDescent="0.25">
      <c r="A418">
        <v>14</v>
      </c>
      <c r="B418">
        <v>0.30266666666666697</v>
      </c>
      <c r="C418">
        <f t="shared" si="12"/>
        <v>1.1416590237137443</v>
      </c>
      <c r="D418">
        <v>6</v>
      </c>
      <c r="E418">
        <f t="shared" si="13"/>
        <v>5.1165275037767105E-2</v>
      </c>
    </row>
    <row r="419" spans="1:5" x14ac:dyDescent="0.25">
      <c r="A419">
        <v>12</v>
      </c>
      <c r="B419">
        <v>0.30769230769230799</v>
      </c>
      <c r="C419">
        <f t="shared" si="12"/>
        <v>1.1299547426710659</v>
      </c>
      <c r="D419">
        <v>6</v>
      </c>
      <c r="E419">
        <f t="shared" si="13"/>
        <v>5.1165275037767105E-2</v>
      </c>
    </row>
    <row r="420" spans="1:5" x14ac:dyDescent="0.25">
      <c r="A420">
        <v>10</v>
      </c>
      <c r="B420">
        <v>0.30933333333333302</v>
      </c>
      <c r="C420">
        <f t="shared" si="12"/>
        <v>1.1260873152245079</v>
      </c>
      <c r="D420">
        <v>6</v>
      </c>
      <c r="E420">
        <f t="shared" si="13"/>
        <v>5.1165275037767105E-2</v>
      </c>
    </row>
    <row r="421" spans="1:5" x14ac:dyDescent="0.25">
      <c r="A421">
        <v>7</v>
      </c>
      <c r="B421">
        <v>0.32</v>
      </c>
      <c r="C421">
        <f t="shared" si="12"/>
        <v>1.1004289417625344</v>
      </c>
      <c r="D421">
        <v>6</v>
      </c>
      <c r="E421">
        <f t="shared" si="13"/>
        <v>5.1165275037767105E-2</v>
      </c>
    </row>
    <row r="422" spans="1:5" x14ac:dyDescent="0.25">
      <c r="A422">
        <v>16</v>
      </c>
      <c r="B422">
        <v>0.32</v>
      </c>
      <c r="C422">
        <f t="shared" si="12"/>
        <v>1.1004289417625344</v>
      </c>
      <c r="D422">
        <v>6</v>
      </c>
      <c r="E422">
        <f t="shared" si="13"/>
        <v>5.1165275037767105E-2</v>
      </c>
    </row>
    <row r="423" spans="1:5" x14ac:dyDescent="0.25">
      <c r="A423">
        <v>7</v>
      </c>
      <c r="B423">
        <v>0.32133333333333303</v>
      </c>
      <c r="C423">
        <f t="shared" si="12"/>
        <v>1.0971609036296248</v>
      </c>
      <c r="D423">
        <v>6</v>
      </c>
      <c r="E423">
        <f t="shared" si="13"/>
        <v>5.1165275037767105E-2</v>
      </c>
    </row>
    <row r="424" spans="1:5" x14ac:dyDescent="0.25">
      <c r="A424">
        <v>12</v>
      </c>
      <c r="B424">
        <v>0.32467532467532501</v>
      </c>
      <c r="C424">
        <f t="shared" si="12"/>
        <v>1.0889131931326443</v>
      </c>
      <c r="D424">
        <v>6</v>
      </c>
      <c r="E424">
        <f t="shared" si="13"/>
        <v>5.1165275037767105E-2</v>
      </c>
    </row>
    <row r="425" spans="1:5" x14ac:dyDescent="0.25">
      <c r="A425">
        <v>13</v>
      </c>
      <c r="B425">
        <v>0.32800000000000001</v>
      </c>
      <c r="C425">
        <f t="shared" si="12"/>
        <v>1.0806303946508127</v>
      </c>
      <c r="D425">
        <v>6</v>
      </c>
      <c r="E425">
        <f t="shared" si="13"/>
        <v>5.1165275037767105E-2</v>
      </c>
    </row>
    <row r="426" spans="1:5" x14ac:dyDescent="0.25">
      <c r="A426">
        <v>16</v>
      </c>
      <c r="B426">
        <v>0.33644859813084099</v>
      </c>
      <c r="C426">
        <f t="shared" si="12"/>
        <v>1.0592515868624917</v>
      </c>
      <c r="D426">
        <v>6</v>
      </c>
      <c r="E426">
        <f t="shared" si="13"/>
        <v>5.1165275037767105E-2</v>
      </c>
    </row>
    <row r="427" spans="1:5" x14ac:dyDescent="0.25">
      <c r="A427">
        <v>10</v>
      </c>
      <c r="B427">
        <v>0.34</v>
      </c>
      <c r="C427">
        <f t="shared" si="12"/>
        <v>1.0501312928555981</v>
      </c>
      <c r="D427">
        <v>6</v>
      </c>
      <c r="E427">
        <f t="shared" si="13"/>
        <v>5.1165275037767105E-2</v>
      </c>
    </row>
    <row r="428" spans="1:5" x14ac:dyDescent="0.25">
      <c r="A428">
        <v>8</v>
      </c>
      <c r="B428">
        <v>0.34399999999999997</v>
      </c>
      <c r="C428">
        <f t="shared" si="12"/>
        <v>1.0397702405594837</v>
      </c>
      <c r="D428">
        <v>6</v>
      </c>
      <c r="E428">
        <f t="shared" si="13"/>
        <v>5.1165275037767105E-2</v>
      </c>
    </row>
    <row r="429" spans="1:5" x14ac:dyDescent="0.25">
      <c r="A429">
        <v>5</v>
      </c>
      <c r="B429">
        <v>0.348333333333333</v>
      </c>
      <c r="C429">
        <f t="shared" si="12"/>
        <v>1.028445028425383</v>
      </c>
      <c r="D429">
        <v>6</v>
      </c>
      <c r="E429">
        <f t="shared" si="13"/>
        <v>5.1165275037767105E-2</v>
      </c>
    </row>
    <row r="430" spans="1:5" x14ac:dyDescent="0.25">
      <c r="A430">
        <v>5</v>
      </c>
      <c r="B430">
        <v>0.348333333333333</v>
      </c>
      <c r="C430">
        <f t="shared" si="12"/>
        <v>1.028445028425383</v>
      </c>
      <c r="D430">
        <v>6</v>
      </c>
      <c r="E430">
        <f t="shared" si="13"/>
        <v>5.1165275037767105E-2</v>
      </c>
    </row>
    <row r="431" spans="1:5" x14ac:dyDescent="0.25">
      <c r="A431">
        <v>5</v>
      </c>
      <c r="B431">
        <v>0.35164835164835201</v>
      </c>
      <c r="C431">
        <f t="shared" si="12"/>
        <v>1.0197141304934711</v>
      </c>
      <c r="D431">
        <v>6</v>
      </c>
      <c r="E431">
        <f t="shared" si="13"/>
        <v>5.1165275037767105E-2</v>
      </c>
    </row>
    <row r="432" spans="1:5" x14ac:dyDescent="0.25">
      <c r="A432">
        <v>14</v>
      </c>
      <c r="B432">
        <v>0.35666666666666702</v>
      </c>
      <c r="C432">
        <f t="shared" si="12"/>
        <v>1.0063931556363084</v>
      </c>
      <c r="D432">
        <v>6</v>
      </c>
      <c r="E432">
        <f t="shared" si="13"/>
        <v>5.1165275037767105E-2</v>
      </c>
    </row>
    <row r="433" spans="1:5" x14ac:dyDescent="0.25">
      <c r="A433">
        <v>13</v>
      </c>
      <c r="B433">
        <v>0.35981308411215002</v>
      </c>
      <c r="C433">
        <f t="shared" si="12"/>
        <v>0.99798082862649784</v>
      </c>
      <c r="D433">
        <v>6</v>
      </c>
      <c r="E433">
        <f t="shared" si="13"/>
        <v>5.1165275037767105E-2</v>
      </c>
    </row>
    <row r="434" spans="1:5" x14ac:dyDescent="0.25">
      <c r="A434">
        <v>16</v>
      </c>
      <c r="B434">
        <v>0.36</v>
      </c>
      <c r="C434">
        <f t="shared" si="12"/>
        <v>0.99747968961885647</v>
      </c>
      <c r="D434">
        <v>6</v>
      </c>
      <c r="E434">
        <f t="shared" si="13"/>
        <v>5.1165275037767105E-2</v>
      </c>
    </row>
    <row r="435" spans="1:5" x14ac:dyDescent="0.25">
      <c r="A435">
        <v>13</v>
      </c>
      <c r="B435">
        <v>0.36199999999999999</v>
      </c>
      <c r="C435">
        <f t="shared" si="12"/>
        <v>0.99210798523986532</v>
      </c>
      <c r="D435">
        <v>6</v>
      </c>
      <c r="E435">
        <f t="shared" si="13"/>
        <v>5.1165275037767105E-2</v>
      </c>
    </row>
    <row r="436" spans="1:5" x14ac:dyDescent="0.25">
      <c r="A436">
        <v>10</v>
      </c>
      <c r="B436">
        <v>0.36231884057970998</v>
      </c>
      <c r="C436">
        <f t="shared" si="12"/>
        <v>0.99125004074383849</v>
      </c>
      <c r="D436">
        <v>6</v>
      </c>
      <c r="E436">
        <f t="shared" si="13"/>
        <v>5.1165275037767105E-2</v>
      </c>
    </row>
    <row r="437" spans="1:5" x14ac:dyDescent="0.25">
      <c r="A437">
        <v>16</v>
      </c>
      <c r="B437">
        <v>0.36363636363636398</v>
      </c>
      <c r="C437">
        <f t="shared" si="12"/>
        <v>0.98770028806192556</v>
      </c>
      <c r="D437">
        <v>6</v>
      </c>
      <c r="E437">
        <f t="shared" si="13"/>
        <v>5.1165275037767105E-2</v>
      </c>
    </row>
    <row r="438" spans="1:5" x14ac:dyDescent="0.25">
      <c r="A438">
        <v>13</v>
      </c>
      <c r="B438">
        <v>0.36682242990654201</v>
      </c>
      <c r="C438">
        <f t="shared" si="12"/>
        <v>0.97908691117280633</v>
      </c>
      <c r="D438">
        <v>6</v>
      </c>
      <c r="E438">
        <f t="shared" si="13"/>
        <v>5.1165275037767105E-2</v>
      </c>
    </row>
    <row r="439" spans="1:5" x14ac:dyDescent="0.25">
      <c r="A439">
        <v>16</v>
      </c>
      <c r="B439">
        <v>0.37</v>
      </c>
      <c r="C439">
        <f t="shared" si="12"/>
        <v>0.97045715533838151</v>
      </c>
      <c r="D439">
        <v>6</v>
      </c>
      <c r="E439">
        <f t="shared" si="13"/>
        <v>5.1165275037767105E-2</v>
      </c>
    </row>
    <row r="440" spans="1:5" x14ac:dyDescent="0.25">
      <c r="A440">
        <v>13</v>
      </c>
      <c r="B440">
        <v>0.37062937062937101</v>
      </c>
      <c r="C440">
        <f t="shared" si="12"/>
        <v>0.96874343222369241</v>
      </c>
      <c r="D440">
        <v>6</v>
      </c>
      <c r="E440">
        <f t="shared" si="13"/>
        <v>5.1165275037767105E-2</v>
      </c>
    </row>
    <row r="441" spans="1:5" x14ac:dyDescent="0.25">
      <c r="A441">
        <v>13</v>
      </c>
      <c r="B441">
        <v>0.37866666666666698</v>
      </c>
      <c r="C441">
        <f t="shared" si="12"/>
        <v>0.9467390972982459</v>
      </c>
      <c r="D441">
        <v>6</v>
      </c>
      <c r="E441">
        <f t="shared" si="13"/>
        <v>5.1165275037767105E-2</v>
      </c>
    </row>
    <row r="442" spans="1:5" x14ac:dyDescent="0.25">
      <c r="A442">
        <v>11</v>
      </c>
      <c r="B442">
        <v>0.38133333333333302</v>
      </c>
      <c r="C442">
        <f t="shared" si="12"/>
        <v>0.93939334748312697</v>
      </c>
      <c r="D442">
        <v>6</v>
      </c>
      <c r="E442">
        <f t="shared" si="13"/>
        <v>5.1165275037767105E-2</v>
      </c>
    </row>
    <row r="443" spans="1:5" x14ac:dyDescent="0.25">
      <c r="A443">
        <v>13</v>
      </c>
      <c r="B443">
        <v>0.382284382284382</v>
      </c>
      <c r="C443">
        <f t="shared" si="12"/>
        <v>0.93676859623388176</v>
      </c>
      <c r="D443">
        <v>6</v>
      </c>
      <c r="E443">
        <f t="shared" si="13"/>
        <v>5.1165275037767105E-2</v>
      </c>
    </row>
    <row r="444" spans="1:5" x14ac:dyDescent="0.25">
      <c r="A444">
        <v>6</v>
      </c>
      <c r="B444">
        <v>0.38500000000000001</v>
      </c>
      <c r="C444">
        <f t="shared" si="12"/>
        <v>0.92926037165749986</v>
      </c>
      <c r="D444">
        <v>6</v>
      </c>
      <c r="E444">
        <f t="shared" si="13"/>
        <v>5.1165275037767105E-2</v>
      </c>
    </row>
    <row r="445" spans="1:5" x14ac:dyDescent="0.25">
      <c r="A445">
        <v>5</v>
      </c>
      <c r="B445">
        <v>0.38554216867469898</v>
      </c>
      <c r="C445">
        <f t="shared" si="12"/>
        <v>0.92775905619323096</v>
      </c>
      <c r="D445">
        <v>7</v>
      </c>
      <c r="E445">
        <f t="shared" si="13"/>
        <v>5.0075308088604518E-2</v>
      </c>
    </row>
    <row r="446" spans="1:5" x14ac:dyDescent="0.25">
      <c r="A446">
        <v>11</v>
      </c>
      <c r="B446">
        <v>0.38888888888888901</v>
      </c>
      <c r="C446">
        <f t="shared" si="12"/>
        <v>0.91847568230633347</v>
      </c>
      <c r="D446">
        <v>7</v>
      </c>
      <c r="E446">
        <f t="shared" si="13"/>
        <v>5.0075308088604518E-2</v>
      </c>
    </row>
    <row r="447" spans="1:5" x14ac:dyDescent="0.25">
      <c r="A447">
        <v>14</v>
      </c>
      <c r="B447">
        <v>0.39</v>
      </c>
      <c r="C447">
        <f t="shared" si="12"/>
        <v>0.91538781130181213</v>
      </c>
      <c r="D447">
        <v>7</v>
      </c>
      <c r="E447">
        <f t="shared" si="13"/>
        <v>5.0075308088604518E-2</v>
      </c>
    </row>
    <row r="448" spans="1:5" x14ac:dyDescent="0.25">
      <c r="A448">
        <v>8</v>
      </c>
      <c r="B448">
        <v>0.4</v>
      </c>
      <c r="C448">
        <f t="shared" si="12"/>
        <v>0.88748613965686884</v>
      </c>
      <c r="D448">
        <v>7</v>
      </c>
      <c r="E448">
        <f t="shared" si="13"/>
        <v>5.0075308088604518E-2</v>
      </c>
    </row>
    <row r="449" spans="1:5" x14ac:dyDescent="0.25">
      <c r="A449">
        <v>14</v>
      </c>
      <c r="B449">
        <v>0.4</v>
      </c>
      <c r="C449">
        <f t="shared" si="12"/>
        <v>0.88748613965686884</v>
      </c>
      <c r="D449">
        <v>7</v>
      </c>
      <c r="E449">
        <f t="shared" si="13"/>
        <v>5.0075308088604518E-2</v>
      </c>
    </row>
    <row r="450" spans="1:5" x14ac:dyDescent="0.25">
      <c r="A450">
        <v>13</v>
      </c>
      <c r="B450">
        <v>0.40559440559440602</v>
      </c>
      <c r="C450">
        <f t="shared" ref="C450:C513" si="14">_xlfn.NORM.DIST(B450, I$10,I$13,FALSE)</f>
        <v>0.87180690770319713</v>
      </c>
      <c r="D450">
        <v>7</v>
      </c>
      <c r="E450">
        <f t="shared" si="13"/>
        <v>5.0075308088604518E-2</v>
      </c>
    </row>
    <row r="451" spans="1:5" x14ac:dyDescent="0.25">
      <c r="A451">
        <v>13</v>
      </c>
      <c r="B451">
        <v>0.41066666666666701</v>
      </c>
      <c r="C451">
        <f t="shared" si="14"/>
        <v>0.85756068324170731</v>
      </c>
      <c r="D451">
        <v>7</v>
      </c>
      <c r="E451">
        <f t="shared" ref="E451:E514" si="15">_xlfn.NORM.DIST(D451, I$4,I$7,FALSE)</f>
        <v>5.0075308088604518E-2</v>
      </c>
    </row>
    <row r="452" spans="1:5" x14ac:dyDescent="0.25">
      <c r="A452">
        <v>5</v>
      </c>
      <c r="B452">
        <v>0.41121495327102803</v>
      </c>
      <c r="C452">
        <f t="shared" si="14"/>
        <v>0.85601940059173065</v>
      </c>
      <c r="D452">
        <v>7</v>
      </c>
      <c r="E452">
        <f t="shared" si="15"/>
        <v>5.0075308088604518E-2</v>
      </c>
    </row>
    <row r="453" spans="1:5" x14ac:dyDescent="0.25">
      <c r="A453">
        <v>13</v>
      </c>
      <c r="B453">
        <v>0.413333333333333</v>
      </c>
      <c r="C453">
        <f t="shared" si="14"/>
        <v>0.85006249227182584</v>
      </c>
      <c r="D453">
        <v>7</v>
      </c>
      <c r="E453">
        <f t="shared" si="15"/>
        <v>5.0075308088604518E-2</v>
      </c>
    </row>
    <row r="454" spans="1:5" x14ac:dyDescent="0.25">
      <c r="A454">
        <v>10</v>
      </c>
      <c r="B454">
        <v>0.417249417249417</v>
      </c>
      <c r="C454">
        <f t="shared" si="14"/>
        <v>0.83904400032028925</v>
      </c>
      <c r="D454">
        <v>7</v>
      </c>
      <c r="E454">
        <f t="shared" si="15"/>
        <v>5.0075308088604518E-2</v>
      </c>
    </row>
    <row r="455" spans="1:5" x14ac:dyDescent="0.25">
      <c r="A455">
        <v>16</v>
      </c>
      <c r="B455">
        <v>0.417249417249417</v>
      </c>
      <c r="C455">
        <f t="shared" si="14"/>
        <v>0.83904400032028925</v>
      </c>
      <c r="D455">
        <v>7</v>
      </c>
      <c r="E455">
        <f t="shared" si="15"/>
        <v>5.0075308088604518E-2</v>
      </c>
    </row>
    <row r="456" spans="1:5" x14ac:dyDescent="0.25">
      <c r="A456">
        <v>6</v>
      </c>
      <c r="B456">
        <v>0.42</v>
      </c>
      <c r="C456">
        <f t="shared" si="14"/>
        <v>0.83130163678713609</v>
      </c>
      <c r="D456">
        <v>7</v>
      </c>
      <c r="E456">
        <f t="shared" si="15"/>
        <v>5.0075308088604518E-2</v>
      </c>
    </row>
    <row r="457" spans="1:5" x14ac:dyDescent="0.25">
      <c r="A457">
        <v>16</v>
      </c>
      <c r="B457">
        <v>0.42199999999999999</v>
      </c>
      <c r="C457">
        <f t="shared" si="14"/>
        <v>0.82567128073729867</v>
      </c>
      <c r="D457">
        <v>7</v>
      </c>
      <c r="E457">
        <f t="shared" si="15"/>
        <v>5.0075308088604518E-2</v>
      </c>
    </row>
    <row r="458" spans="1:5" x14ac:dyDescent="0.25">
      <c r="A458">
        <v>14</v>
      </c>
      <c r="B458">
        <v>0.42553191489361702</v>
      </c>
      <c r="C458">
        <f t="shared" si="14"/>
        <v>0.81572856376441116</v>
      </c>
      <c r="D458">
        <v>7</v>
      </c>
      <c r="E458">
        <f t="shared" si="15"/>
        <v>5.0075308088604518E-2</v>
      </c>
    </row>
    <row r="459" spans="1:5" x14ac:dyDescent="0.25">
      <c r="A459">
        <v>11</v>
      </c>
      <c r="B459">
        <v>0.42890442890442898</v>
      </c>
      <c r="C459">
        <f t="shared" si="14"/>
        <v>0.80623712597599906</v>
      </c>
      <c r="D459">
        <v>7</v>
      </c>
      <c r="E459">
        <f t="shared" si="15"/>
        <v>5.0075308088604518E-2</v>
      </c>
    </row>
    <row r="460" spans="1:5" x14ac:dyDescent="0.25">
      <c r="A460">
        <v>16</v>
      </c>
      <c r="B460">
        <v>0.432</v>
      </c>
      <c r="C460">
        <f t="shared" si="14"/>
        <v>0.79752944205744603</v>
      </c>
      <c r="D460">
        <v>7</v>
      </c>
      <c r="E460">
        <f t="shared" si="15"/>
        <v>5.0075308088604518E-2</v>
      </c>
    </row>
    <row r="461" spans="1:5" x14ac:dyDescent="0.25">
      <c r="A461">
        <v>8</v>
      </c>
      <c r="B461">
        <v>0.44166666666666698</v>
      </c>
      <c r="C461">
        <f t="shared" si="14"/>
        <v>0.770385296746393</v>
      </c>
      <c r="D461">
        <v>7</v>
      </c>
      <c r="E461">
        <f t="shared" si="15"/>
        <v>5.0075308088604518E-2</v>
      </c>
    </row>
    <row r="462" spans="1:5" x14ac:dyDescent="0.25">
      <c r="A462">
        <v>8</v>
      </c>
      <c r="B462">
        <v>0.447552447552448</v>
      </c>
      <c r="C462">
        <f t="shared" si="14"/>
        <v>0.75391090591570964</v>
      </c>
      <c r="D462">
        <v>7</v>
      </c>
      <c r="E462">
        <f t="shared" si="15"/>
        <v>5.0075308088604518E-2</v>
      </c>
    </row>
    <row r="463" spans="1:5" x14ac:dyDescent="0.25">
      <c r="A463">
        <v>11</v>
      </c>
      <c r="B463">
        <v>0.44800000000000001</v>
      </c>
      <c r="C463">
        <f t="shared" si="14"/>
        <v>0.75266029768882881</v>
      </c>
      <c r="D463">
        <v>7</v>
      </c>
      <c r="E463">
        <f t="shared" si="15"/>
        <v>5.0075308088604518E-2</v>
      </c>
    </row>
    <row r="464" spans="1:5" x14ac:dyDescent="0.25">
      <c r="A464">
        <v>11</v>
      </c>
      <c r="B464">
        <v>0.45200000000000001</v>
      </c>
      <c r="C464">
        <f t="shared" si="14"/>
        <v>0.74149796797814771</v>
      </c>
      <c r="D464">
        <v>7</v>
      </c>
      <c r="E464">
        <f t="shared" si="15"/>
        <v>5.0075308088604518E-2</v>
      </c>
    </row>
    <row r="465" spans="1:5" x14ac:dyDescent="0.25">
      <c r="A465">
        <v>12</v>
      </c>
      <c r="B465">
        <v>0.45333333333333298</v>
      </c>
      <c r="C465">
        <f t="shared" si="14"/>
        <v>0.73778357988623411</v>
      </c>
      <c r="D465">
        <v>7</v>
      </c>
      <c r="E465">
        <f t="shared" si="15"/>
        <v>5.0075308088604518E-2</v>
      </c>
    </row>
    <row r="466" spans="1:5" x14ac:dyDescent="0.25">
      <c r="A466">
        <v>7</v>
      </c>
      <c r="B466">
        <v>0.45560747663551399</v>
      </c>
      <c r="C466">
        <f t="shared" si="14"/>
        <v>0.73145626362711025</v>
      </c>
      <c r="D466">
        <v>8</v>
      </c>
      <c r="E466">
        <f t="shared" si="15"/>
        <v>4.8200646322077774E-2</v>
      </c>
    </row>
    <row r="467" spans="1:5" x14ac:dyDescent="0.25">
      <c r="A467">
        <v>5</v>
      </c>
      <c r="B467">
        <v>0.45833333333333298</v>
      </c>
      <c r="C467">
        <f t="shared" si="14"/>
        <v>0.72388621689282473</v>
      </c>
      <c r="D467">
        <v>8</v>
      </c>
      <c r="E467">
        <f t="shared" si="15"/>
        <v>4.8200646322077774E-2</v>
      </c>
    </row>
    <row r="468" spans="1:5" x14ac:dyDescent="0.25">
      <c r="A468">
        <v>13</v>
      </c>
      <c r="B468">
        <v>0.46246246246246198</v>
      </c>
      <c r="C468">
        <f t="shared" si="14"/>
        <v>0.71245074329902025</v>
      </c>
      <c r="D468">
        <v>8</v>
      </c>
      <c r="E468">
        <f t="shared" si="15"/>
        <v>4.8200646322077774E-2</v>
      </c>
    </row>
    <row r="469" spans="1:5" x14ac:dyDescent="0.25">
      <c r="A469">
        <v>11</v>
      </c>
      <c r="B469">
        <v>0.46386946386946398</v>
      </c>
      <c r="C469">
        <f t="shared" si="14"/>
        <v>0.70856340622159841</v>
      </c>
      <c r="D469">
        <v>8</v>
      </c>
      <c r="E469">
        <f t="shared" si="15"/>
        <v>4.8200646322077774E-2</v>
      </c>
    </row>
    <row r="470" spans="1:5" x14ac:dyDescent="0.25">
      <c r="A470">
        <v>12</v>
      </c>
      <c r="B470">
        <v>0.48099999999999998</v>
      </c>
      <c r="C470">
        <f t="shared" si="14"/>
        <v>0.66167789017086021</v>
      </c>
      <c r="D470">
        <v>8</v>
      </c>
      <c r="E470">
        <f t="shared" si="15"/>
        <v>4.8200646322077774E-2</v>
      </c>
    </row>
    <row r="471" spans="1:5" x14ac:dyDescent="0.25">
      <c r="A471">
        <v>11</v>
      </c>
      <c r="B471">
        <v>0.48666666666666702</v>
      </c>
      <c r="C471">
        <f t="shared" si="14"/>
        <v>0.64637577476717778</v>
      </c>
      <c r="D471">
        <v>8</v>
      </c>
      <c r="E471">
        <f t="shared" si="15"/>
        <v>4.8200646322077774E-2</v>
      </c>
    </row>
    <row r="472" spans="1:5" x14ac:dyDescent="0.25">
      <c r="A472">
        <v>8</v>
      </c>
      <c r="B472">
        <v>0.50133333333333296</v>
      </c>
      <c r="C472">
        <f t="shared" si="14"/>
        <v>0.60733897257294212</v>
      </c>
      <c r="D472">
        <v>8</v>
      </c>
      <c r="E472">
        <f t="shared" si="15"/>
        <v>4.8200646322077774E-2</v>
      </c>
    </row>
    <row r="473" spans="1:5" x14ac:dyDescent="0.25">
      <c r="A473">
        <v>11</v>
      </c>
      <c r="B473">
        <v>0.51515151515151503</v>
      </c>
      <c r="C473">
        <f t="shared" si="14"/>
        <v>0.57141009894830619</v>
      </c>
      <c r="D473">
        <v>8</v>
      </c>
      <c r="E473">
        <f t="shared" si="15"/>
        <v>4.8200646322077774E-2</v>
      </c>
    </row>
    <row r="474" spans="1:5" x14ac:dyDescent="0.25">
      <c r="A474">
        <v>13</v>
      </c>
      <c r="B474">
        <v>0.51666666666666705</v>
      </c>
      <c r="C474">
        <f t="shared" si="14"/>
        <v>0.56752546506804824</v>
      </c>
      <c r="D474">
        <v>8</v>
      </c>
      <c r="E474">
        <f t="shared" si="15"/>
        <v>4.8200646322077774E-2</v>
      </c>
    </row>
    <row r="475" spans="1:5" x14ac:dyDescent="0.25">
      <c r="A475">
        <v>14</v>
      </c>
      <c r="B475">
        <v>0.52500000000000002</v>
      </c>
      <c r="C475">
        <f t="shared" si="14"/>
        <v>0.54636634099481041</v>
      </c>
      <c r="D475">
        <v>8</v>
      </c>
      <c r="E475">
        <f t="shared" si="15"/>
        <v>4.8200646322077774E-2</v>
      </c>
    </row>
    <row r="476" spans="1:5" x14ac:dyDescent="0.25">
      <c r="A476">
        <v>13</v>
      </c>
      <c r="B476">
        <v>0.52800000000000002</v>
      </c>
      <c r="C476">
        <f t="shared" si="14"/>
        <v>0.53883714763658264</v>
      </c>
      <c r="D476">
        <v>8</v>
      </c>
      <c r="E476">
        <f t="shared" si="15"/>
        <v>4.8200646322077774E-2</v>
      </c>
    </row>
    <row r="477" spans="1:5" x14ac:dyDescent="0.25">
      <c r="A477">
        <v>11</v>
      </c>
      <c r="B477">
        <v>0.543333333333333</v>
      </c>
      <c r="C477">
        <f t="shared" si="14"/>
        <v>0.5011245534655715</v>
      </c>
      <c r="D477">
        <v>8</v>
      </c>
      <c r="E477">
        <f t="shared" si="15"/>
        <v>4.8200646322077774E-2</v>
      </c>
    </row>
    <row r="478" spans="1:5" x14ac:dyDescent="0.25">
      <c r="A478">
        <v>13</v>
      </c>
      <c r="B478">
        <v>0.54800000000000004</v>
      </c>
      <c r="C478">
        <f t="shared" si="14"/>
        <v>0.48991340333593764</v>
      </c>
      <c r="D478">
        <v>9</v>
      </c>
      <c r="E478">
        <f t="shared" si="15"/>
        <v>4.5631317506672167E-2</v>
      </c>
    </row>
    <row r="479" spans="1:5" x14ac:dyDescent="0.25">
      <c r="A479">
        <v>12</v>
      </c>
      <c r="B479">
        <v>0.55900000000000005</v>
      </c>
      <c r="C479">
        <f t="shared" si="14"/>
        <v>0.46400407917830711</v>
      </c>
      <c r="D479">
        <v>9</v>
      </c>
      <c r="E479">
        <f t="shared" si="15"/>
        <v>4.5631317506672167E-2</v>
      </c>
    </row>
    <row r="480" spans="1:5" x14ac:dyDescent="0.25">
      <c r="A480">
        <v>7</v>
      </c>
      <c r="B480">
        <v>0.56399999999999995</v>
      </c>
      <c r="C480">
        <f t="shared" si="14"/>
        <v>0.45247390569724916</v>
      </c>
      <c r="D480">
        <v>9</v>
      </c>
      <c r="E480">
        <f t="shared" si="15"/>
        <v>4.5631317506672167E-2</v>
      </c>
    </row>
    <row r="481" spans="1:5" x14ac:dyDescent="0.25">
      <c r="A481">
        <v>11</v>
      </c>
      <c r="B481">
        <v>0.56399999999999995</v>
      </c>
      <c r="C481">
        <f t="shared" si="14"/>
        <v>0.45247390569724916</v>
      </c>
      <c r="D481">
        <v>10</v>
      </c>
      <c r="E481">
        <f t="shared" si="15"/>
        <v>4.2486804625066661E-2</v>
      </c>
    </row>
    <row r="482" spans="1:5" x14ac:dyDescent="0.25">
      <c r="A482">
        <v>8</v>
      </c>
      <c r="B482">
        <v>0.57692307692307698</v>
      </c>
      <c r="C482">
        <f t="shared" si="14"/>
        <v>0.42341185794150438</v>
      </c>
      <c r="D482">
        <v>11</v>
      </c>
      <c r="E482">
        <f t="shared" si="15"/>
        <v>3.8906847772795426E-2</v>
      </c>
    </row>
    <row r="483" spans="1:5" x14ac:dyDescent="0.25">
      <c r="A483">
        <v>12</v>
      </c>
      <c r="B483">
        <v>0.57799999999999996</v>
      </c>
      <c r="C483">
        <f t="shared" si="14"/>
        <v>0.4210390552014075</v>
      </c>
      <c r="D483">
        <v>11</v>
      </c>
      <c r="E483">
        <f t="shared" si="15"/>
        <v>3.8906847772795426E-2</v>
      </c>
    </row>
    <row r="484" spans="1:5" x14ac:dyDescent="0.25">
      <c r="A484">
        <v>14</v>
      </c>
      <c r="B484">
        <v>0.57808857808857805</v>
      </c>
      <c r="C484">
        <f t="shared" si="14"/>
        <v>0.42084422971501489</v>
      </c>
      <c r="D484">
        <v>11</v>
      </c>
      <c r="E484">
        <f t="shared" si="15"/>
        <v>3.8906847772795426E-2</v>
      </c>
    </row>
    <row r="485" spans="1:5" x14ac:dyDescent="0.25">
      <c r="A485">
        <v>7</v>
      </c>
      <c r="B485">
        <v>0.58461538461538498</v>
      </c>
      <c r="C485">
        <f t="shared" si="14"/>
        <v>0.4066318127020338</v>
      </c>
      <c r="D485">
        <v>11</v>
      </c>
      <c r="E485">
        <f t="shared" si="15"/>
        <v>3.8906847772795426E-2</v>
      </c>
    </row>
    <row r="486" spans="1:5" x14ac:dyDescent="0.25">
      <c r="A486">
        <v>11</v>
      </c>
      <c r="B486">
        <v>0.58741258741258695</v>
      </c>
      <c r="C486">
        <f t="shared" si="14"/>
        <v>0.40062787592568433</v>
      </c>
      <c r="D486">
        <v>12</v>
      </c>
      <c r="E486">
        <f t="shared" si="15"/>
        <v>3.5041197284041148E-2</v>
      </c>
    </row>
    <row r="487" spans="1:5" x14ac:dyDescent="0.25">
      <c r="A487">
        <v>7</v>
      </c>
      <c r="B487">
        <v>0.594936708860759</v>
      </c>
      <c r="C487">
        <f t="shared" si="14"/>
        <v>0.38474047560890118</v>
      </c>
      <c r="D487">
        <v>14</v>
      </c>
      <c r="E487">
        <f t="shared" si="15"/>
        <v>2.7041293561749672E-2</v>
      </c>
    </row>
    <row r="488" spans="1:5" x14ac:dyDescent="0.25">
      <c r="A488">
        <v>11</v>
      </c>
      <c r="B488">
        <v>0.62</v>
      </c>
      <c r="C488">
        <f t="shared" si="14"/>
        <v>0.33463146752025424</v>
      </c>
      <c r="D488">
        <v>14</v>
      </c>
      <c r="E488">
        <f t="shared" si="15"/>
        <v>2.7041293561749672E-2</v>
      </c>
    </row>
    <row r="489" spans="1:5" x14ac:dyDescent="0.25">
      <c r="A489">
        <v>11</v>
      </c>
      <c r="B489">
        <v>0.63200000000000001</v>
      </c>
      <c r="C489">
        <f t="shared" si="14"/>
        <v>0.31219651977468221</v>
      </c>
      <c r="D489">
        <v>14</v>
      </c>
      <c r="E489">
        <f t="shared" si="15"/>
        <v>2.7041293561749672E-2</v>
      </c>
    </row>
    <row r="490" spans="1:5" x14ac:dyDescent="0.25">
      <c r="A490">
        <v>6</v>
      </c>
      <c r="B490">
        <v>0.63800000000000001</v>
      </c>
      <c r="C490">
        <f t="shared" si="14"/>
        <v>0.30136016427146045</v>
      </c>
      <c r="D490">
        <v>14</v>
      </c>
      <c r="E490">
        <f t="shared" si="15"/>
        <v>2.7041293561749672E-2</v>
      </c>
    </row>
    <row r="491" spans="1:5" x14ac:dyDescent="0.25">
      <c r="A491">
        <v>8</v>
      </c>
      <c r="B491">
        <v>0.65600000000000003</v>
      </c>
      <c r="C491">
        <f t="shared" si="14"/>
        <v>0.27037578324205364</v>
      </c>
      <c r="D491">
        <v>14</v>
      </c>
      <c r="E491">
        <f t="shared" si="15"/>
        <v>2.7041293561749672E-2</v>
      </c>
    </row>
    <row r="492" spans="1:5" x14ac:dyDescent="0.25">
      <c r="A492">
        <v>6</v>
      </c>
      <c r="B492">
        <v>0.65654205607476601</v>
      </c>
      <c r="C492">
        <f t="shared" si="14"/>
        <v>0.26947809849459375</v>
      </c>
      <c r="D492">
        <v>14</v>
      </c>
      <c r="E492">
        <f t="shared" si="15"/>
        <v>2.7041293561749672E-2</v>
      </c>
    </row>
    <row r="493" spans="1:5" x14ac:dyDescent="0.25">
      <c r="A493">
        <v>16</v>
      </c>
      <c r="B493">
        <v>0.65900000000000003</v>
      </c>
      <c r="C493">
        <f t="shared" si="14"/>
        <v>0.26543342883671495</v>
      </c>
      <c r="D493">
        <v>15</v>
      </c>
      <c r="E493">
        <f t="shared" si="15"/>
        <v>2.3169843384866638E-2</v>
      </c>
    </row>
    <row r="494" spans="1:5" x14ac:dyDescent="0.25">
      <c r="A494">
        <v>10</v>
      </c>
      <c r="B494">
        <v>0.665333333333333</v>
      </c>
      <c r="C494">
        <f t="shared" si="14"/>
        <v>0.25520647552063375</v>
      </c>
      <c r="D494">
        <v>16</v>
      </c>
      <c r="E494">
        <f t="shared" si="15"/>
        <v>1.9525386901372521E-2</v>
      </c>
    </row>
    <row r="495" spans="1:5" x14ac:dyDescent="0.25">
      <c r="A495">
        <v>11</v>
      </c>
      <c r="B495">
        <v>0.67901234567901203</v>
      </c>
      <c r="C495">
        <f t="shared" si="14"/>
        <v>0.23406941121447558</v>
      </c>
      <c r="D495">
        <v>17</v>
      </c>
      <c r="E495">
        <f t="shared" si="15"/>
        <v>1.6182928421040191E-2</v>
      </c>
    </row>
    <row r="496" spans="1:5" x14ac:dyDescent="0.25">
      <c r="A496">
        <v>6</v>
      </c>
      <c r="B496">
        <v>0.68065268065268103</v>
      </c>
      <c r="C496">
        <f t="shared" si="14"/>
        <v>0.23162139899446887</v>
      </c>
      <c r="D496">
        <v>17</v>
      </c>
      <c r="E496">
        <f t="shared" si="15"/>
        <v>1.6182928421040191E-2</v>
      </c>
    </row>
    <row r="497" spans="1:5" x14ac:dyDescent="0.25">
      <c r="A497">
        <v>6</v>
      </c>
      <c r="B497">
        <v>0.70499999999999996</v>
      </c>
      <c r="C497">
        <f t="shared" si="14"/>
        <v>0.19742754540363222</v>
      </c>
      <c r="D497">
        <v>18</v>
      </c>
      <c r="E497">
        <f t="shared" si="15"/>
        <v>1.3191539823529138E-2</v>
      </c>
    </row>
    <row r="498" spans="1:5" x14ac:dyDescent="0.25">
      <c r="A498">
        <v>6</v>
      </c>
      <c r="B498">
        <v>0.74133333333333296</v>
      </c>
      <c r="C498">
        <f t="shared" si="14"/>
        <v>0.15357337079016892</v>
      </c>
      <c r="D498">
        <v>18</v>
      </c>
      <c r="E498">
        <f t="shared" si="15"/>
        <v>1.3191539823529138E-2</v>
      </c>
    </row>
    <row r="499" spans="1:5" x14ac:dyDescent="0.25">
      <c r="A499">
        <v>10</v>
      </c>
      <c r="B499">
        <v>0.74333333333333296</v>
      </c>
      <c r="C499">
        <f t="shared" si="14"/>
        <v>0.15139696524333179</v>
      </c>
      <c r="D499">
        <v>23</v>
      </c>
      <c r="E499">
        <f t="shared" si="15"/>
        <v>3.6999947954754822E-3</v>
      </c>
    </row>
    <row r="500" spans="1:5" x14ac:dyDescent="0.25">
      <c r="A500">
        <v>12</v>
      </c>
      <c r="B500">
        <v>0.77200000000000002</v>
      </c>
      <c r="C500">
        <f t="shared" si="14"/>
        <v>0.12275733772600698</v>
      </c>
      <c r="D500">
        <v>24</v>
      </c>
      <c r="E500">
        <f t="shared" si="15"/>
        <v>2.7297632432261238E-3</v>
      </c>
    </row>
    <row r="501" spans="1:5" x14ac:dyDescent="0.25">
      <c r="A501">
        <v>16</v>
      </c>
      <c r="B501">
        <v>0.79100000000000004</v>
      </c>
      <c r="C501">
        <f t="shared" si="14"/>
        <v>0.10626719379779873</v>
      </c>
      <c r="D501">
        <v>25</v>
      </c>
      <c r="E501">
        <f t="shared" si="15"/>
        <v>1.9807504571934774E-3</v>
      </c>
    </row>
    <row r="502" spans="1:5" x14ac:dyDescent="0.25">
      <c r="A502">
        <v>10</v>
      </c>
      <c r="B502">
        <v>0.79466666666666697</v>
      </c>
      <c r="C502">
        <f t="shared" si="14"/>
        <v>0.10329973939704885</v>
      </c>
      <c r="D502">
        <v>26</v>
      </c>
      <c r="E502">
        <f t="shared" si="15"/>
        <v>1.4135639565049369E-3</v>
      </c>
    </row>
    <row r="503" spans="1:5" x14ac:dyDescent="0.25">
      <c r="A503">
        <v>5</v>
      </c>
      <c r="B503">
        <v>0.80172413793103403</v>
      </c>
      <c r="C503">
        <f t="shared" si="14"/>
        <v>9.7776262236321271E-2</v>
      </c>
      <c r="D503">
        <v>26</v>
      </c>
      <c r="E503">
        <f t="shared" si="15"/>
        <v>1.4135639565049369E-3</v>
      </c>
    </row>
    <row r="504" spans="1:5" x14ac:dyDescent="0.25">
      <c r="A504">
        <v>10</v>
      </c>
      <c r="B504">
        <v>0.82133333333333303</v>
      </c>
      <c r="C504">
        <f t="shared" si="14"/>
        <v>8.367605318388939E-2</v>
      </c>
      <c r="D504">
        <v>26</v>
      </c>
      <c r="E504">
        <f t="shared" si="15"/>
        <v>1.4135639565049369E-3</v>
      </c>
    </row>
    <row r="505" spans="1:5" x14ac:dyDescent="0.25">
      <c r="A505">
        <v>5</v>
      </c>
      <c r="B505">
        <v>0.86666666666666703</v>
      </c>
      <c r="C505">
        <f t="shared" si="14"/>
        <v>5.7386308815746107E-2</v>
      </c>
      <c r="D505">
        <v>29</v>
      </c>
      <c r="E505">
        <f t="shared" si="15"/>
        <v>4.6500545289751783E-4</v>
      </c>
    </row>
    <row r="506" spans="1:5" x14ac:dyDescent="0.25">
      <c r="A506">
        <v>17</v>
      </c>
      <c r="B506">
        <v>0.92307692307692302</v>
      </c>
      <c r="C506">
        <f t="shared" si="14"/>
        <v>3.471310959087498E-2</v>
      </c>
      <c r="D506">
        <v>29</v>
      </c>
      <c r="E506">
        <f t="shared" si="15"/>
        <v>4.6500545289751783E-4</v>
      </c>
    </row>
    <row r="507" spans="1:5" x14ac:dyDescent="0.25">
      <c r="A507">
        <v>13</v>
      </c>
      <c r="B507">
        <v>0.97872340425531901</v>
      </c>
      <c r="C507">
        <f t="shared" si="14"/>
        <v>2.0388299774277932E-2</v>
      </c>
      <c r="D507">
        <v>32</v>
      </c>
      <c r="E507">
        <f t="shared" si="15"/>
        <v>1.3171306670242973E-4</v>
      </c>
    </row>
    <row r="508" spans="1:5" x14ac:dyDescent="0.25">
      <c r="A508">
        <v>5</v>
      </c>
      <c r="B508">
        <v>1</v>
      </c>
      <c r="C508">
        <f t="shared" si="14"/>
        <v>1.6477054247313997E-2</v>
      </c>
      <c r="D508">
        <v>32</v>
      </c>
      <c r="E508">
        <f t="shared" si="15"/>
        <v>1.3171306670242973E-4</v>
      </c>
    </row>
    <row r="509" spans="1:5" x14ac:dyDescent="0.25">
      <c r="A509">
        <v>5</v>
      </c>
      <c r="B509">
        <v>1</v>
      </c>
      <c r="C509">
        <f t="shared" si="14"/>
        <v>1.6477054247313997E-2</v>
      </c>
      <c r="D509">
        <v>32</v>
      </c>
      <c r="E509">
        <f t="shared" si="15"/>
        <v>1.3171306670242973E-4</v>
      </c>
    </row>
    <row r="510" spans="1:5" x14ac:dyDescent="0.25">
      <c r="A510">
        <v>7</v>
      </c>
      <c r="B510">
        <v>1</v>
      </c>
      <c r="C510">
        <f t="shared" si="14"/>
        <v>1.6477054247313997E-2</v>
      </c>
      <c r="D510">
        <v>35</v>
      </c>
      <c r="E510">
        <f t="shared" si="15"/>
        <v>3.2123873772703799E-5</v>
      </c>
    </row>
    <row r="511" spans="1:5" x14ac:dyDescent="0.25">
      <c r="A511">
        <v>6</v>
      </c>
      <c r="B511">
        <v>1</v>
      </c>
      <c r="C511">
        <f t="shared" si="14"/>
        <v>1.6477054247313997E-2</v>
      </c>
      <c r="D511">
        <v>37</v>
      </c>
      <c r="E511">
        <f t="shared" si="15"/>
        <v>1.1539806255556815E-5</v>
      </c>
    </row>
    <row r="512" spans="1:5" x14ac:dyDescent="0.25">
      <c r="A512">
        <v>6</v>
      </c>
      <c r="B512">
        <v>1</v>
      </c>
      <c r="C512">
        <f t="shared" si="14"/>
        <v>1.6477054247313997E-2</v>
      </c>
      <c r="D512">
        <v>38</v>
      </c>
      <c r="E512">
        <f t="shared" si="15"/>
        <v>6.7461375651782567E-6</v>
      </c>
    </row>
    <row r="513" spans="1:5" x14ac:dyDescent="0.25">
      <c r="A513">
        <v>8</v>
      </c>
      <c r="B513">
        <v>1</v>
      </c>
      <c r="C513">
        <f t="shared" si="14"/>
        <v>1.6477054247313997E-2</v>
      </c>
      <c r="D513">
        <v>40</v>
      </c>
      <c r="E513">
        <f t="shared" si="15"/>
        <v>2.1933669157635832E-6</v>
      </c>
    </row>
    <row r="514" spans="1:5" x14ac:dyDescent="0.25">
      <c r="A514">
        <v>8</v>
      </c>
      <c r="B514">
        <v>1</v>
      </c>
      <c r="C514">
        <f t="shared" ref="C514:C524" si="16">_xlfn.NORM.DIST(B514, I$10,I$13,FALSE)</f>
        <v>1.6477054247313997E-2</v>
      </c>
      <c r="D514">
        <v>40</v>
      </c>
      <c r="E514">
        <f t="shared" si="15"/>
        <v>2.1933669157635832E-6</v>
      </c>
    </row>
    <row r="515" spans="1:5" x14ac:dyDescent="0.25">
      <c r="A515">
        <v>10</v>
      </c>
      <c r="B515">
        <v>1</v>
      </c>
      <c r="C515">
        <f t="shared" si="16"/>
        <v>1.6477054247313997E-2</v>
      </c>
      <c r="D515">
        <v>40</v>
      </c>
      <c r="E515">
        <f t="shared" ref="E515:E524" si="17">_xlfn.NORM.DIST(D515, I$4,I$7,FALSE)</f>
        <v>2.1933669157635832E-6</v>
      </c>
    </row>
    <row r="516" spans="1:5" x14ac:dyDescent="0.25">
      <c r="A516">
        <v>11</v>
      </c>
      <c r="B516">
        <v>1</v>
      </c>
      <c r="C516">
        <f t="shared" si="16"/>
        <v>1.6477054247313997E-2</v>
      </c>
      <c r="D516">
        <v>40</v>
      </c>
      <c r="E516">
        <f t="shared" si="17"/>
        <v>2.1933669157635832E-6</v>
      </c>
    </row>
    <row r="517" spans="1:5" x14ac:dyDescent="0.25">
      <c r="A517">
        <v>11</v>
      </c>
      <c r="B517">
        <v>1</v>
      </c>
      <c r="C517">
        <f t="shared" si="16"/>
        <v>1.6477054247313997E-2</v>
      </c>
      <c r="D517">
        <v>40</v>
      </c>
      <c r="E517">
        <f t="shared" si="17"/>
        <v>2.1933669157635832E-6</v>
      </c>
    </row>
    <row r="518" spans="1:5" x14ac:dyDescent="0.25">
      <c r="A518">
        <v>12</v>
      </c>
      <c r="B518">
        <v>1</v>
      </c>
      <c r="C518">
        <f t="shared" si="16"/>
        <v>1.6477054247313997E-2</v>
      </c>
      <c r="D518">
        <v>40</v>
      </c>
      <c r="E518">
        <f t="shared" si="17"/>
        <v>2.1933669157635832E-6</v>
      </c>
    </row>
    <row r="519" spans="1:5" x14ac:dyDescent="0.25">
      <c r="A519">
        <v>13</v>
      </c>
      <c r="B519">
        <v>1</v>
      </c>
      <c r="C519">
        <f t="shared" si="16"/>
        <v>1.6477054247313997E-2</v>
      </c>
      <c r="D519">
        <v>40</v>
      </c>
      <c r="E519">
        <f t="shared" si="17"/>
        <v>2.1933669157635832E-6</v>
      </c>
    </row>
    <row r="520" spans="1:5" x14ac:dyDescent="0.25">
      <c r="A520">
        <v>13</v>
      </c>
      <c r="B520">
        <v>1</v>
      </c>
      <c r="C520">
        <f t="shared" si="16"/>
        <v>1.6477054247313997E-2</v>
      </c>
      <c r="D520">
        <v>40</v>
      </c>
      <c r="E520">
        <f t="shared" si="17"/>
        <v>2.1933669157635832E-6</v>
      </c>
    </row>
    <row r="521" spans="1:5" x14ac:dyDescent="0.25">
      <c r="A521">
        <v>14</v>
      </c>
      <c r="B521">
        <v>1</v>
      </c>
      <c r="C521">
        <f t="shared" si="16"/>
        <v>1.6477054247313997E-2</v>
      </c>
      <c r="D521">
        <v>40</v>
      </c>
      <c r="E521">
        <f t="shared" si="17"/>
        <v>2.1933669157635832E-6</v>
      </c>
    </row>
    <row r="522" spans="1:5" x14ac:dyDescent="0.25">
      <c r="A522">
        <v>14</v>
      </c>
      <c r="B522">
        <v>1</v>
      </c>
      <c r="C522">
        <f t="shared" si="16"/>
        <v>1.6477054247313997E-2</v>
      </c>
      <c r="D522">
        <v>44</v>
      </c>
      <c r="E522">
        <f t="shared" si="17"/>
        <v>1.8993038858570948E-7</v>
      </c>
    </row>
    <row r="523" spans="1:5" x14ac:dyDescent="0.25">
      <c r="A523">
        <v>16</v>
      </c>
      <c r="B523">
        <v>1</v>
      </c>
      <c r="C523">
        <f t="shared" si="16"/>
        <v>1.6477054247313997E-2</v>
      </c>
      <c r="D523">
        <v>51</v>
      </c>
      <c r="E523">
        <f t="shared" si="17"/>
        <v>1.3843796956665842E-9</v>
      </c>
    </row>
    <row r="524" spans="1:5" x14ac:dyDescent="0.25">
      <c r="A524">
        <v>17</v>
      </c>
      <c r="B524">
        <v>1</v>
      </c>
      <c r="C524">
        <f t="shared" si="16"/>
        <v>1.6477054247313997E-2</v>
      </c>
      <c r="D524">
        <v>56</v>
      </c>
      <c r="E524">
        <f t="shared" si="17"/>
        <v>2.5004131949216573E-11</v>
      </c>
    </row>
  </sheetData>
  <sortState xmlns:xlrd2="http://schemas.microsoft.com/office/spreadsheetml/2017/richdata2" ref="D2:D524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4C06A-5891-4ECB-BF13-05F1998041EA}">
  <dimension ref="A1:I6161"/>
  <sheetViews>
    <sheetView topLeftCell="A6141" workbookViewId="0">
      <selection activeCell="D2" sqref="D2:D6161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  <col min="5" max="5" width="12" bestFit="1" customWidth="1"/>
  </cols>
  <sheetData>
    <row r="1" spans="1:9" x14ac:dyDescent="0.25">
      <c r="A1" t="s">
        <v>70</v>
      </c>
      <c r="B1" t="s">
        <v>71</v>
      </c>
      <c r="C1" t="s">
        <v>78</v>
      </c>
      <c r="D1" t="s">
        <v>72</v>
      </c>
    </row>
    <row r="2" spans="1:9" x14ac:dyDescent="0.25">
      <c r="A2">
        <v>0</v>
      </c>
      <c r="B2">
        <v>-1</v>
      </c>
      <c r="C2">
        <f t="shared" ref="C2:C65" si="0">_xlfn.NORM.DIST(B2,I$10,I$13,FALSE)</f>
        <v>2.2369267984511426E-4</v>
      </c>
      <c r="D2">
        <v>0</v>
      </c>
      <c r="E2">
        <f>_xlfn.NORM.DIST(D2,I$4,I$7,FALSE)</f>
        <v>4.8300015424257686E-2</v>
      </c>
    </row>
    <row r="3" spans="1:9" x14ac:dyDescent="0.25">
      <c r="A3">
        <v>0</v>
      </c>
      <c r="B3">
        <v>-1</v>
      </c>
      <c r="C3">
        <f t="shared" si="0"/>
        <v>2.2369267984511426E-4</v>
      </c>
      <c r="D3">
        <v>0</v>
      </c>
      <c r="E3">
        <f t="shared" ref="E3:E66" si="1">_xlfn.NORM.DIST(D3,I$4,I$7,FALSE)</f>
        <v>4.8300015424257686E-2</v>
      </c>
      <c r="G3" t="s">
        <v>73</v>
      </c>
    </row>
    <row r="4" spans="1:9" x14ac:dyDescent="0.25">
      <c r="A4">
        <v>0</v>
      </c>
      <c r="B4">
        <v>-1</v>
      </c>
      <c r="C4">
        <f t="shared" si="0"/>
        <v>2.2369267984511426E-4</v>
      </c>
      <c r="D4">
        <v>0</v>
      </c>
      <c r="E4">
        <f t="shared" si="1"/>
        <v>4.8300015424257686E-2</v>
      </c>
      <c r="H4" t="s">
        <v>34</v>
      </c>
      <c r="I4">
        <f>AVERAGE(D:D)</f>
        <v>3.9842532467532465</v>
      </c>
    </row>
    <row r="5" spans="1:9" x14ac:dyDescent="0.25">
      <c r="A5">
        <v>0</v>
      </c>
      <c r="B5">
        <v>-1</v>
      </c>
      <c r="C5">
        <f t="shared" si="0"/>
        <v>2.2369267984511426E-4</v>
      </c>
      <c r="D5">
        <v>0</v>
      </c>
      <c r="E5">
        <f t="shared" si="1"/>
        <v>4.8300015424257686E-2</v>
      </c>
      <c r="H5" t="s">
        <v>74</v>
      </c>
      <c r="I5">
        <f>MIN(D:D)</f>
        <v>0</v>
      </c>
    </row>
    <row r="6" spans="1:9" x14ac:dyDescent="0.25">
      <c r="A6">
        <v>0</v>
      </c>
      <c r="B6">
        <v>-1</v>
      </c>
      <c r="C6">
        <f t="shared" si="0"/>
        <v>2.2369267984511426E-4</v>
      </c>
      <c r="D6">
        <v>0</v>
      </c>
      <c r="E6">
        <f t="shared" si="1"/>
        <v>4.8300015424257686E-2</v>
      </c>
      <c r="H6" t="s">
        <v>75</v>
      </c>
      <c r="I6">
        <f>MAX(D:D)</f>
        <v>80</v>
      </c>
    </row>
    <row r="7" spans="1:9" x14ac:dyDescent="0.25">
      <c r="A7">
        <v>0</v>
      </c>
      <c r="B7">
        <v>-1</v>
      </c>
      <c r="C7">
        <f t="shared" si="0"/>
        <v>2.2369267984511426E-4</v>
      </c>
      <c r="D7">
        <v>0</v>
      </c>
      <c r="E7">
        <f t="shared" si="1"/>
        <v>4.8300015424257686E-2</v>
      </c>
      <c r="H7" t="s">
        <v>76</v>
      </c>
      <c r="I7">
        <f>STDEV(D:D)</f>
        <v>7.0361656215924038</v>
      </c>
    </row>
    <row r="8" spans="1:9" x14ac:dyDescent="0.25">
      <c r="A8">
        <v>0</v>
      </c>
      <c r="B8">
        <v>-1</v>
      </c>
      <c r="C8">
        <f t="shared" si="0"/>
        <v>2.2369267984511426E-4</v>
      </c>
      <c r="D8">
        <v>0</v>
      </c>
      <c r="E8">
        <f t="shared" si="1"/>
        <v>4.8300015424257686E-2</v>
      </c>
    </row>
    <row r="9" spans="1:9" x14ac:dyDescent="0.25">
      <c r="A9">
        <v>0</v>
      </c>
      <c r="B9">
        <v>-1</v>
      </c>
      <c r="C9">
        <f t="shared" si="0"/>
        <v>2.2369267984511426E-4</v>
      </c>
      <c r="D9">
        <v>0</v>
      </c>
      <c r="E9">
        <f t="shared" si="1"/>
        <v>4.8300015424257686E-2</v>
      </c>
      <c r="G9" t="s">
        <v>77</v>
      </c>
    </row>
    <row r="10" spans="1:9" x14ac:dyDescent="0.25">
      <c r="A10">
        <v>0</v>
      </c>
      <c r="B10">
        <v>-1</v>
      </c>
      <c r="C10">
        <f t="shared" si="0"/>
        <v>2.2369267984511426E-4</v>
      </c>
      <c r="D10">
        <v>0</v>
      </c>
      <c r="E10">
        <f t="shared" si="1"/>
        <v>4.8300015424257686E-2</v>
      </c>
      <c r="H10" t="s">
        <v>34</v>
      </c>
      <c r="I10">
        <f>AVERAGE(B:B)</f>
        <v>2.6374800247440058E-2</v>
      </c>
    </row>
    <row r="11" spans="1:9" x14ac:dyDescent="0.25">
      <c r="A11">
        <v>0</v>
      </c>
      <c r="B11">
        <v>-1</v>
      </c>
      <c r="C11">
        <f t="shared" si="0"/>
        <v>2.2369267984511426E-4</v>
      </c>
      <c r="D11">
        <v>0</v>
      </c>
      <c r="E11">
        <f t="shared" si="1"/>
        <v>4.8300015424257686E-2</v>
      </c>
      <c r="H11" t="s">
        <v>74</v>
      </c>
      <c r="I11">
        <f>MIN(B:B)</f>
        <v>-1</v>
      </c>
    </row>
    <row r="12" spans="1:9" x14ac:dyDescent="0.25">
      <c r="A12">
        <v>0</v>
      </c>
      <c r="B12">
        <v>-1</v>
      </c>
      <c r="C12">
        <f t="shared" si="0"/>
        <v>2.2369267984511426E-4</v>
      </c>
      <c r="D12">
        <v>0</v>
      </c>
      <c r="E12">
        <f t="shared" si="1"/>
        <v>4.8300015424257686E-2</v>
      </c>
      <c r="H12" t="s">
        <v>75</v>
      </c>
      <c r="I12">
        <f>MAX(B:B)</f>
        <v>1</v>
      </c>
    </row>
    <row r="13" spans="1:9" x14ac:dyDescent="0.25">
      <c r="A13">
        <v>0</v>
      </c>
      <c r="B13">
        <v>-0.92576419213973804</v>
      </c>
      <c r="C13">
        <f t="shared" si="0"/>
        <v>7.7366228531261484E-4</v>
      </c>
      <c r="D13">
        <v>0</v>
      </c>
      <c r="E13">
        <f t="shared" si="1"/>
        <v>4.8300015424257686E-2</v>
      </c>
      <c r="H13" t="s">
        <v>76</v>
      </c>
      <c r="I13">
        <f>STDEV(B:B)</f>
        <v>0.24327611184919998</v>
      </c>
    </row>
    <row r="14" spans="1:9" x14ac:dyDescent="0.25">
      <c r="A14">
        <v>0</v>
      </c>
      <c r="B14">
        <v>-0.91044776119403004</v>
      </c>
      <c r="C14">
        <f t="shared" si="0"/>
        <v>9.8788264722568866E-4</v>
      </c>
      <c r="D14">
        <v>0</v>
      </c>
      <c r="E14">
        <f t="shared" si="1"/>
        <v>4.8300015424257686E-2</v>
      </c>
    </row>
    <row r="15" spans="1:9" x14ac:dyDescent="0.25">
      <c r="A15">
        <v>0</v>
      </c>
      <c r="B15">
        <v>-0.88477366255143997</v>
      </c>
      <c r="C15">
        <f t="shared" si="0"/>
        <v>1.4749731055344706E-3</v>
      </c>
      <c r="D15">
        <v>0</v>
      </c>
      <c r="E15">
        <f t="shared" si="1"/>
        <v>4.8300015424257686E-2</v>
      </c>
    </row>
    <row r="16" spans="1:9" x14ac:dyDescent="0.25">
      <c r="A16">
        <v>0</v>
      </c>
      <c r="B16">
        <v>-0.86705202312138696</v>
      </c>
      <c r="C16">
        <f t="shared" si="0"/>
        <v>1.9325062787827769E-3</v>
      </c>
      <c r="D16">
        <v>0</v>
      </c>
      <c r="E16">
        <f t="shared" si="1"/>
        <v>4.8300015424257686E-2</v>
      </c>
    </row>
    <row r="17" spans="1:5" x14ac:dyDescent="0.25">
      <c r="A17">
        <v>0</v>
      </c>
      <c r="B17">
        <v>-0.84615384615384603</v>
      </c>
      <c r="C17">
        <f t="shared" si="0"/>
        <v>2.6395425512469677E-3</v>
      </c>
      <c r="D17">
        <v>0</v>
      </c>
      <c r="E17">
        <f t="shared" si="1"/>
        <v>4.8300015424257686E-2</v>
      </c>
    </row>
    <row r="18" spans="1:5" x14ac:dyDescent="0.25">
      <c r="A18">
        <v>0</v>
      </c>
      <c r="B18">
        <v>-0.83439490445859898</v>
      </c>
      <c r="C18">
        <f t="shared" si="0"/>
        <v>3.1355277221531809E-3</v>
      </c>
      <c r="D18">
        <v>0</v>
      </c>
      <c r="E18">
        <f t="shared" si="1"/>
        <v>4.8300015424257686E-2</v>
      </c>
    </row>
    <row r="19" spans="1:5" x14ac:dyDescent="0.25">
      <c r="A19">
        <v>0</v>
      </c>
      <c r="B19">
        <v>-0.83399999999999996</v>
      </c>
      <c r="C19">
        <f t="shared" si="0"/>
        <v>3.1535844309591604E-3</v>
      </c>
      <c r="D19">
        <v>0</v>
      </c>
      <c r="E19">
        <f t="shared" si="1"/>
        <v>4.8300015424257686E-2</v>
      </c>
    </row>
    <row r="20" spans="1:5" x14ac:dyDescent="0.25">
      <c r="A20">
        <v>0</v>
      </c>
      <c r="B20">
        <v>-0.80208333333333304</v>
      </c>
      <c r="C20">
        <f t="shared" si="0"/>
        <v>4.9724919967141503E-3</v>
      </c>
      <c r="D20">
        <v>0</v>
      </c>
      <c r="E20">
        <f t="shared" si="1"/>
        <v>4.8300015424257686E-2</v>
      </c>
    </row>
    <row r="21" spans="1:5" x14ac:dyDescent="0.25">
      <c r="A21">
        <v>0</v>
      </c>
      <c r="B21">
        <v>-0.79844961240310097</v>
      </c>
      <c r="C21">
        <f t="shared" si="0"/>
        <v>5.2313797496154803E-3</v>
      </c>
      <c r="D21">
        <v>0</v>
      </c>
      <c r="E21">
        <f t="shared" si="1"/>
        <v>4.8300015424257686E-2</v>
      </c>
    </row>
    <row r="22" spans="1:5" x14ac:dyDescent="0.25">
      <c r="A22">
        <v>0</v>
      </c>
      <c r="B22">
        <v>-0.79130434782608705</v>
      </c>
      <c r="C22">
        <f t="shared" si="0"/>
        <v>5.7766604557982423E-3</v>
      </c>
      <c r="D22">
        <v>0</v>
      </c>
      <c r="E22">
        <f t="shared" si="1"/>
        <v>4.8300015424257686E-2</v>
      </c>
    </row>
    <row r="23" spans="1:5" x14ac:dyDescent="0.25">
      <c r="A23">
        <v>0</v>
      </c>
      <c r="B23">
        <v>-0.78200000000000003</v>
      </c>
      <c r="C23">
        <f t="shared" si="0"/>
        <v>6.5642858657755238E-3</v>
      </c>
      <c r="D23">
        <v>0</v>
      </c>
      <c r="E23">
        <f t="shared" si="1"/>
        <v>4.8300015424257686E-2</v>
      </c>
    </row>
    <row r="24" spans="1:5" x14ac:dyDescent="0.25">
      <c r="A24">
        <v>0</v>
      </c>
      <c r="B24">
        <v>-0.73</v>
      </c>
      <c r="C24">
        <f t="shared" si="0"/>
        <v>1.3053537047866498E-2</v>
      </c>
      <c r="D24">
        <v>0</v>
      </c>
      <c r="E24">
        <f t="shared" si="1"/>
        <v>4.8300015424257686E-2</v>
      </c>
    </row>
    <row r="25" spans="1:5" x14ac:dyDescent="0.25">
      <c r="A25">
        <v>0</v>
      </c>
      <c r="B25">
        <v>-0.72499999999999998</v>
      </c>
      <c r="C25">
        <f t="shared" si="0"/>
        <v>1.3911961307645535E-2</v>
      </c>
      <c r="D25">
        <v>0</v>
      </c>
      <c r="E25">
        <f t="shared" si="1"/>
        <v>4.8300015424257686E-2</v>
      </c>
    </row>
    <row r="26" spans="1:5" x14ac:dyDescent="0.25">
      <c r="A26">
        <v>0</v>
      </c>
      <c r="B26">
        <v>-0.71861471861471904</v>
      </c>
      <c r="C26">
        <f t="shared" si="0"/>
        <v>1.5081523016155269E-2</v>
      </c>
      <c r="D26">
        <v>0</v>
      </c>
      <c r="E26">
        <f t="shared" si="1"/>
        <v>4.8300015424257686E-2</v>
      </c>
    </row>
    <row r="27" spans="1:5" x14ac:dyDescent="0.25">
      <c r="A27">
        <v>0</v>
      </c>
      <c r="B27">
        <v>-0.70295698924731198</v>
      </c>
      <c r="C27">
        <f t="shared" si="0"/>
        <v>1.8329212916441542E-2</v>
      </c>
      <c r="D27">
        <v>0</v>
      </c>
      <c r="E27">
        <f t="shared" si="1"/>
        <v>4.8300015424257686E-2</v>
      </c>
    </row>
    <row r="28" spans="1:5" x14ac:dyDescent="0.25">
      <c r="A28">
        <v>0</v>
      </c>
      <c r="B28">
        <v>-0.69799999999999995</v>
      </c>
      <c r="C28">
        <f t="shared" si="0"/>
        <v>1.947973866772287E-2</v>
      </c>
      <c r="D28">
        <v>0</v>
      </c>
      <c r="E28">
        <f t="shared" si="1"/>
        <v>4.8300015424257686E-2</v>
      </c>
    </row>
    <row r="29" spans="1:5" x14ac:dyDescent="0.25">
      <c r="A29">
        <v>0</v>
      </c>
      <c r="B29">
        <v>-0.69788519637462199</v>
      </c>
      <c r="C29">
        <f t="shared" si="0"/>
        <v>1.9507127520924331E-2</v>
      </c>
      <c r="D29">
        <v>0</v>
      </c>
      <c r="E29">
        <f t="shared" si="1"/>
        <v>4.8300015424257686E-2</v>
      </c>
    </row>
    <row r="30" spans="1:5" x14ac:dyDescent="0.25">
      <c r="A30">
        <v>0</v>
      </c>
      <c r="B30">
        <v>-0.68700000000000006</v>
      </c>
      <c r="C30">
        <f t="shared" si="0"/>
        <v>2.226436367961333E-2</v>
      </c>
      <c r="D30">
        <v>0</v>
      </c>
      <c r="E30">
        <f t="shared" si="1"/>
        <v>4.8300015424257686E-2</v>
      </c>
    </row>
    <row r="31" spans="1:5" x14ac:dyDescent="0.25">
      <c r="A31">
        <v>0</v>
      </c>
      <c r="B31">
        <v>-0.67600000000000005</v>
      </c>
      <c r="C31">
        <f t="shared" si="0"/>
        <v>2.539507705234182E-2</v>
      </c>
      <c r="D31">
        <v>0</v>
      </c>
      <c r="E31">
        <f t="shared" si="1"/>
        <v>4.8300015424257686E-2</v>
      </c>
    </row>
    <row r="32" spans="1:5" x14ac:dyDescent="0.25">
      <c r="A32">
        <v>0</v>
      </c>
      <c r="B32">
        <v>-0.67391304347826098</v>
      </c>
      <c r="C32">
        <f t="shared" si="0"/>
        <v>2.6030947330980971E-2</v>
      </c>
      <c r="D32">
        <v>0</v>
      </c>
      <c r="E32">
        <f t="shared" si="1"/>
        <v>4.8300015424257686E-2</v>
      </c>
    </row>
    <row r="33" spans="1:5" x14ac:dyDescent="0.25">
      <c r="A33">
        <v>0</v>
      </c>
      <c r="B33">
        <v>-0.669333333333333</v>
      </c>
      <c r="C33">
        <f t="shared" si="0"/>
        <v>2.7475603947596124E-2</v>
      </c>
      <c r="D33">
        <v>0</v>
      </c>
      <c r="E33">
        <f t="shared" si="1"/>
        <v>4.8300015424257686E-2</v>
      </c>
    </row>
    <row r="34" spans="1:5" x14ac:dyDescent="0.25">
      <c r="A34">
        <v>0</v>
      </c>
      <c r="B34">
        <v>-0.66400000000000003</v>
      </c>
      <c r="C34">
        <f t="shared" si="0"/>
        <v>2.9246277571824995E-2</v>
      </c>
      <c r="D34">
        <v>0</v>
      </c>
      <c r="E34">
        <f t="shared" si="1"/>
        <v>4.8300015424257686E-2</v>
      </c>
    </row>
    <row r="35" spans="1:5" x14ac:dyDescent="0.25">
      <c r="A35">
        <v>0</v>
      </c>
      <c r="B35">
        <v>-0.663333333333333</v>
      </c>
      <c r="C35">
        <f t="shared" si="0"/>
        <v>2.947449276858306E-2</v>
      </c>
      <c r="D35">
        <v>0</v>
      </c>
      <c r="E35">
        <f t="shared" si="1"/>
        <v>4.8300015424257686E-2</v>
      </c>
    </row>
    <row r="36" spans="1:5" x14ac:dyDescent="0.25">
      <c r="A36">
        <v>0</v>
      </c>
      <c r="B36">
        <v>-0.66200000000000003</v>
      </c>
      <c r="C36">
        <f t="shared" si="0"/>
        <v>2.9935605076155114E-2</v>
      </c>
      <c r="D36">
        <v>0</v>
      </c>
      <c r="E36">
        <f t="shared" si="1"/>
        <v>4.8300015424257686E-2</v>
      </c>
    </row>
    <row r="37" spans="1:5" x14ac:dyDescent="0.25">
      <c r="A37">
        <v>0</v>
      </c>
      <c r="B37">
        <v>-0.65906040268456401</v>
      </c>
      <c r="C37">
        <f t="shared" si="0"/>
        <v>3.0974575912928015E-2</v>
      </c>
      <c r="D37">
        <v>0</v>
      </c>
      <c r="E37">
        <f t="shared" si="1"/>
        <v>4.8300015424257686E-2</v>
      </c>
    </row>
    <row r="38" spans="1:5" x14ac:dyDescent="0.25">
      <c r="A38">
        <v>0</v>
      </c>
      <c r="B38">
        <v>-0.65200000000000002</v>
      </c>
      <c r="C38">
        <f t="shared" si="0"/>
        <v>3.359966671008259E-2</v>
      </c>
      <c r="D38">
        <v>0</v>
      </c>
      <c r="E38">
        <f t="shared" si="1"/>
        <v>4.8300015424257686E-2</v>
      </c>
    </row>
    <row r="39" spans="1:5" x14ac:dyDescent="0.25">
      <c r="A39">
        <v>0</v>
      </c>
      <c r="B39">
        <v>-0.651898734177215</v>
      </c>
      <c r="C39">
        <f t="shared" si="0"/>
        <v>3.3638686801241109E-2</v>
      </c>
      <c r="D39">
        <v>0</v>
      </c>
      <c r="E39">
        <f t="shared" si="1"/>
        <v>4.8300015424257686E-2</v>
      </c>
    </row>
    <row r="40" spans="1:5" x14ac:dyDescent="0.25">
      <c r="A40">
        <v>0</v>
      </c>
      <c r="B40">
        <v>-0.63865546218487401</v>
      </c>
      <c r="C40">
        <f t="shared" si="0"/>
        <v>3.9094056238962019E-2</v>
      </c>
      <c r="D40">
        <v>0</v>
      </c>
      <c r="E40">
        <f t="shared" si="1"/>
        <v>4.8300015424257686E-2</v>
      </c>
    </row>
    <row r="41" spans="1:5" x14ac:dyDescent="0.25">
      <c r="A41">
        <v>0</v>
      </c>
      <c r="B41">
        <v>-0.63</v>
      </c>
      <c r="C41">
        <f t="shared" si="0"/>
        <v>4.3060115548854777E-2</v>
      </c>
      <c r="D41">
        <v>0</v>
      </c>
      <c r="E41">
        <f t="shared" si="1"/>
        <v>4.8300015424257686E-2</v>
      </c>
    </row>
    <row r="42" spans="1:5" x14ac:dyDescent="0.25">
      <c r="A42">
        <v>0</v>
      </c>
      <c r="B42">
        <v>-0.62533333333333296</v>
      </c>
      <c r="C42">
        <f t="shared" si="0"/>
        <v>4.5339067383362942E-2</v>
      </c>
      <c r="D42">
        <v>0</v>
      </c>
      <c r="E42">
        <f t="shared" si="1"/>
        <v>4.8300015424257686E-2</v>
      </c>
    </row>
    <row r="43" spans="1:5" x14ac:dyDescent="0.25">
      <c r="A43">
        <v>0</v>
      </c>
      <c r="B43">
        <v>-0.61538461538461497</v>
      </c>
      <c r="C43">
        <f t="shared" si="0"/>
        <v>5.0546067155756977E-2</v>
      </c>
      <c r="D43">
        <v>0</v>
      </c>
      <c r="E43">
        <f t="shared" si="1"/>
        <v>4.8300015424257686E-2</v>
      </c>
    </row>
    <row r="44" spans="1:5" x14ac:dyDescent="0.25">
      <c r="A44">
        <v>0</v>
      </c>
      <c r="B44">
        <v>-0.61538461538461497</v>
      </c>
      <c r="C44">
        <f t="shared" si="0"/>
        <v>5.0546067155756977E-2</v>
      </c>
      <c r="D44">
        <v>0</v>
      </c>
      <c r="E44">
        <f t="shared" si="1"/>
        <v>4.8300015424257686E-2</v>
      </c>
    </row>
    <row r="45" spans="1:5" x14ac:dyDescent="0.25">
      <c r="A45">
        <v>0</v>
      </c>
      <c r="B45">
        <v>-0.61166666666666702</v>
      </c>
      <c r="C45">
        <f t="shared" si="0"/>
        <v>5.2619369405095477E-2</v>
      </c>
      <c r="D45">
        <v>0</v>
      </c>
      <c r="E45">
        <f t="shared" si="1"/>
        <v>4.8300015424257686E-2</v>
      </c>
    </row>
    <row r="46" spans="1:5" x14ac:dyDescent="0.25">
      <c r="A46">
        <v>0</v>
      </c>
      <c r="B46">
        <v>-0.60666666666666702</v>
      </c>
      <c r="C46">
        <f t="shared" si="0"/>
        <v>5.5521867772435694E-2</v>
      </c>
      <c r="D46">
        <v>0</v>
      </c>
      <c r="E46">
        <f t="shared" si="1"/>
        <v>4.8300015424257686E-2</v>
      </c>
    </row>
    <row r="47" spans="1:5" x14ac:dyDescent="0.25">
      <c r="A47">
        <v>0</v>
      </c>
      <c r="B47">
        <v>-0.60360360360360399</v>
      </c>
      <c r="C47">
        <f t="shared" si="0"/>
        <v>5.7366534288529468E-2</v>
      </c>
      <c r="D47">
        <v>0</v>
      </c>
      <c r="E47">
        <f t="shared" si="1"/>
        <v>4.8300015424257686E-2</v>
      </c>
    </row>
    <row r="48" spans="1:5" x14ac:dyDescent="0.25">
      <c r="A48">
        <v>0</v>
      </c>
      <c r="B48">
        <v>-0.59833333333333305</v>
      </c>
      <c r="C48">
        <f t="shared" si="0"/>
        <v>6.0662519068752245E-2</v>
      </c>
      <c r="D48">
        <v>0</v>
      </c>
      <c r="E48">
        <f t="shared" si="1"/>
        <v>4.8300015424257686E-2</v>
      </c>
    </row>
    <row r="49" spans="1:5" x14ac:dyDescent="0.25">
      <c r="A49">
        <v>0</v>
      </c>
      <c r="B49">
        <v>-0.592592592592593</v>
      </c>
      <c r="C49">
        <f t="shared" si="0"/>
        <v>6.443415905534354E-2</v>
      </c>
      <c r="D49">
        <v>0</v>
      </c>
      <c r="E49">
        <f t="shared" si="1"/>
        <v>4.8300015424257686E-2</v>
      </c>
    </row>
    <row r="50" spans="1:5" x14ac:dyDescent="0.25">
      <c r="A50">
        <v>0</v>
      </c>
      <c r="B50">
        <v>-0.587878787878788</v>
      </c>
      <c r="C50">
        <f t="shared" si="0"/>
        <v>6.7677613544917178E-2</v>
      </c>
      <c r="D50">
        <v>0</v>
      </c>
      <c r="E50">
        <f t="shared" si="1"/>
        <v>4.8300015424257686E-2</v>
      </c>
    </row>
    <row r="51" spans="1:5" x14ac:dyDescent="0.25">
      <c r="A51">
        <v>0</v>
      </c>
      <c r="B51">
        <v>-0.58682634730538896</v>
      </c>
      <c r="C51">
        <f t="shared" si="0"/>
        <v>6.8420275580237749E-2</v>
      </c>
      <c r="D51">
        <v>0</v>
      </c>
      <c r="E51">
        <f t="shared" si="1"/>
        <v>4.8300015424257686E-2</v>
      </c>
    </row>
    <row r="52" spans="1:5" x14ac:dyDescent="0.25">
      <c r="A52">
        <v>0</v>
      </c>
      <c r="B52">
        <v>-0.58571428571428596</v>
      </c>
      <c r="C52">
        <f t="shared" si="0"/>
        <v>6.9212459153856515E-2</v>
      </c>
      <c r="D52">
        <v>0</v>
      </c>
      <c r="E52">
        <f t="shared" si="1"/>
        <v>4.8300015424257686E-2</v>
      </c>
    </row>
    <row r="53" spans="1:5" x14ac:dyDescent="0.25">
      <c r="A53">
        <v>0</v>
      </c>
      <c r="B53">
        <v>-0.58499999999999996</v>
      </c>
      <c r="C53">
        <f t="shared" si="0"/>
        <v>6.9725347298533136E-2</v>
      </c>
      <c r="D53">
        <v>0</v>
      </c>
      <c r="E53">
        <f t="shared" si="1"/>
        <v>4.8300015424257686E-2</v>
      </c>
    </row>
    <row r="54" spans="1:5" x14ac:dyDescent="0.25">
      <c r="A54">
        <v>0</v>
      </c>
      <c r="B54">
        <v>-0.582666666666667</v>
      </c>
      <c r="C54">
        <f t="shared" si="0"/>
        <v>7.1423126030070547E-2</v>
      </c>
      <c r="D54">
        <v>0</v>
      </c>
      <c r="E54">
        <f t="shared" si="1"/>
        <v>4.8300015424257686E-2</v>
      </c>
    </row>
    <row r="55" spans="1:5" x14ac:dyDescent="0.25">
      <c r="A55">
        <v>0</v>
      </c>
      <c r="B55">
        <v>-0.56799999999999995</v>
      </c>
      <c r="C55">
        <f t="shared" si="0"/>
        <v>8.2908342814455541E-2</v>
      </c>
      <c r="D55">
        <v>0</v>
      </c>
      <c r="E55">
        <f t="shared" si="1"/>
        <v>4.8300015424257686E-2</v>
      </c>
    </row>
    <row r="56" spans="1:5" x14ac:dyDescent="0.25">
      <c r="A56">
        <v>0</v>
      </c>
      <c r="B56">
        <v>-0.56399999999999995</v>
      </c>
      <c r="C56">
        <f t="shared" si="0"/>
        <v>8.629505835548841E-2</v>
      </c>
      <c r="D56">
        <v>0</v>
      </c>
      <c r="E56">
        <f t="shared" si="1"/>
        <v>4.8300015424257686E-2</v>
      </c>
    </row>
    <row r="57" spans="1:5" x14ac:dyDescent="0.25">
      <c r="A57">
        <v>0</v>
      </c>
      <c r="B57">
        <v>-0.56166666666666698</v>
      </c>
      <c r="C57">
        <f t="shared" si="0"/>
        <v>8.8323145340124781E-2</v>
      </c>
      <c r="D57">
        <v>0</v>
      </c>
      <c r="E57">
        <f t="shared" si="1"/>
        <v>4.8300015424257686E-2</v>
      </c>
    </row>
    <row r="58" spans="1:5" x14ac:dyDescent="0.25">
      <c r="A58">
        <v>0</v>
      </c>
      <c r="B58">
        <v>-0.55900000000000005</v>
      </c>
      <c r="C58">
        <f t="shared" si="0"/>
        <v>9.068917146388443E-2</v>
      </c>
      <c r="D58">
        <v>0</v>
      </c>
      <c r="E58">
        <f t="shared" si="1"/>
        <v>4.8300015424257686E-2</v>
      </c>
    </row>
    <row r="59" spans="1:5" x14ac:dyDescent="0.25">
      <c r="A59">
        <v>0</v>
      </c>
      <c r="B59">
        <v>-0.55900000000000005</v>
      </c>
      <c r="C59">
        <f t="shared" si="0"/>
        <v>9.068917146388443E-2</v>
      </c>
      <c r="D59">
        <v>0</v>
      </c>
      <c r="E59">
        <f t="shared" si="1"/>
        <v>4.8300015424257686E-2</v>
      </c>
    </row>
    <row r="60" spans="1:5" x14ac:dyDescent="0.25">
      <c r="A60">
        <v>0</v>
      </c>
      <c r="B60">
        <v>-0.55866666666666698</v>
      </c>
      <c r="C60">
        <f t="shared" si="0"/>
        <v>9.0988578167380249E-2</v>
      </c>
      <c r="D60">
        <v>0</v>
      </c>
      <c r="E60">
        <f t="shared" si="1"/>
        <v>4.8300015424257686E-2</v>
      </c>
    </row>
    <row r="61" spans="1:5" x14ac:dyDescent="0.25">
      <c r="A61">
        <v>0</v>
      </c>
      <c r="B61">
        <v>-0.55841121495327095</v>
      </c>
      <c r="C61">
        <f t="shared" si="0"/>
        <v>9.1218582982117158E-2</v>
      </c>
      <c r="D61">
        <v>0</v>
      </c>
      <c r="E61">
        <f t="shared" si="1"/>
        <v>4.8300015424257686E-2</v>
      </c>
    </row>
    <row r="62" spans="1:5" x14ac:dyDescent="0.25">
      <c r="A62">
        <v>0</v>
      </c>
      <c r="B62">
        <v>-0.55778894472361795</v>
      </c>
      <c r="C62">
        <f t="shared" si="0"/>
        <v>9.1780878201407887E-2</v>
      </c>
      <c r="D62">
        <v>0</v>
      </c>
      <c r="E62">
        <f t="shared" si="1"/>
        <v>4.8300015424257686E-2</v>
      </c>
    </row>
    <row r="63" spans="1:5" x14ac:dyDescent="0.25">
      <c r="A63">
        <v>0</v>
      </c>
      <c r="B63">
        <v>-0.55555555555555602</v>
      </c>
      <c r="C63">
        <f t="shared" si="0"/>
        <v>9.3822652790903266E-2</v>
      </c>
      <c r="D63">
        <v>0</v>
      </c>
      <c r="E63">
        <f t="shared" si="1"/>
        <v>4.8300015424257686E-2</v>
      </c>
    </row>
    <row r="64" spans="1:5" x14ac:dyDescent="0.25">
      <c r="A64">
        <v>0</v>
      </c>
      <c r="B64">
        <v>-0.536082474226804</v>
      </c>
      <c r="C64">
        <f t="shared" si="0"/>
        <v>0.11325878876429073</v>
      </c>
      <c r="D64">
        <v>0</v>
      </c>
      <c r="E64">
        <f t="shared" si="1"/>
        <v>4.8300015424257686E-2</v>
      </c>
    </row>
    <row r="65" spans="1:5" x14ac:dyDescent="0.25">
      <c r="A65">
        <v>0</v>
      </c>
      <c r="B65">
        <v>-0.53600000000000003</v>
      </c>
      <c r="C65">
        <f t="shared" si="0"/>
        <v>0.11334759002459831</v>
      </c>
      <c r="D65">
        <v>0</v>
      </c>
      <c r="E65">
        <f t="shared" si="1"/>
        <v>4.8300015424257686E-2</v>
      </c>
    </row>
    <row r="66" spans="1:5" x14ac:dyDescent="0.25">
      <c r="A66">
        <v>0</v>
      </c>
      <c r="B66">
        <v>-0.53333333333333299</v>
      </c>
      <c r="C66">
        <f t="shared" ref="C66:C129" si="2">_xlfn.NORM.DIST(B66,I$10,I$13,FALSE)</f>
        <v>0.11624945995725537</v>
      </c>
      <c r="D66">
        <v>0</v>
      </c>
      <c r="E66">
        <f t="shared" si="1"/>
        <v>4.8300015424257686E-2</v>
      </c>
    </row>
    <row r="67" spans="1:5" x14ac:dyDescent="0.25">
      <c r="A67">
        <v>0</v>
      </c>
      <c r="B67">
        <v>-0.53333333333333299</v>
      </c>
      <c r="C67">
        <f t="shared" si="2"/>
        <v>0.11624945995725537</v>
      </c>
      <c r="D67">
        <v>0</v>
      </c>
      <c r="E67">
        <f t="shared" ref="E67:E130" si="3">_xlfn.NORM.DIST(D67,I$4,I$7,FALSE)</f>
        <v>4.8300015424257686E-2</v>
      </c>
    </row>
    <row r="68" spans="1:5" x14ac:dyDescent="0.25">
      <c r="A68">
        <v>0</v>
      </c>
      <c r="B68">
        <v>-0.52800000000000002</v>
      </c>
      <c r="C68">
        <f t="shared" si="2"/>
        <v>0.12223390995760805</v>
      </c>
      <c r="D68">
        <v>0</v>
      </c>
      <c r="E68">
        <f t="shared" si="3"/>
        <v>4.8300015424257686E-2</v>
      </c>
    </row>
    <row r="69" spans="1:5" x14ac:dyDescent="0.25">
      <c r="A69">
        <v>0</v>
      </c>
      <c r="B69">
        <v>-0.52600000000000002</v>
      </c>
      <c r="C69">
        <f t="shared" si="2"/>
        <v>0.12454123728498201</v>
      </c>
      <c r="D69">
        <v>0</v>
      </c>
      <c r="E69">
        <f t="shared" si="3"/>
        <v>4.8300015424257686E-2</v>
      </c>
    </row>
    <row r="70" spans="1:5" x14ac:dyDescent="0.25">
      <c r="A70">
        <v>0</v>
      </c>
      <c r="B70">
        <v>-0.51600000000000001</v>
      </c>
      <c r="C70">
        <f t="shared" si="2"/>
        <v>0.13660929446811879</v>
      </c>
      <c r="D70">
        <v>0</v>
      </c>
      <c r="E70">
        <f t="shared" si="3"/>
        <v>4.8300015424257686E-2</v>
      </c>
    </row>
    <row r="71" spans="1:5" x14ac:dyDescent="0.25">
      <c r="A71">
        <v>0</v>
      </c>
      <c r="B71">
        <v>-0.51200000000000001</v>
      </c>
      <c r="C71">
        <f t="shared" si="2"/>
        <v>0.14169078608014204</v>
      </c>
      <c r="D71">
        <v>0</v>
      </c>
      <c r="E71">
        <f t="shared" si="3"/>
        <v>4.8300015424257686E-2</v>
      </c>
    </row>
    <row r="72" spans="1:5" x14ac:dyDescent="0.25">
      <c r="A72">
        <v>0</v>
      </c>
      <c r="B72">
        <v>-0.51200000000000001</v>
      </c>
      <c r="C72">
        <f t="shared" si="2"/>
        <v>0.14169078608014204</v>
      </c>
      <c r="D72">
        <v>0</v>
      </c>
      <c r="E72">
        <f t="shared" si="3"/>
        <v>4.8300015424257686E-2</v>
      </c>
    </row>
    <row r="73" spans="1:5" x14ac:dyDescent="0.25">
      <c r="A73">
        <v>0</v>
      </c>
      <c r="B73">
        <v>-0.50600000000000001</v>
      </c>
      <c r="C73">
        <f t="shared" si="2"/>
        <v>0.14959377019758854</v>
      </c>
      <c r="D73">
        <v>0</v>
      </c>
      <c r="E73">
        <f t="shared" si="3"/>
        <v>4.8300015424257686E-2</v>
      </c>
    </row>
    <row r="74" spans="1:5" x14ac:dyDescent="0.25">
      <c r="A74">
        <v>0</v>
      </c>
      <c r="B74">
        <v>-0.50333333333333297</v>
      </c>
      <c r="C74">
        <f t="shared" si="2"/>
        <v>0.15321634952365759</v>
      </c>
      <c r="D74">
        <v>0</v>
      </c>
      <c r="E74">
        <f t="shared" si="3"/>
        <v>4.8300015424257686E-2</v>
      </c>
    </row>
    <row r="75" spans="1:5" x14ac:dyDescent="0.25">
      <c r="A75">
        <v>0</v>
      </c>
      <c r="B75">
        <v>-0.50233644859813098</v>
      </c>
      <c r="C75">
        <f t="shared" si="2"/>
        <v>0.1545882291509047</v>
      </c>
      <c r="D75">
        <v>0</v>
      </c>
      <c r="E75">
        <f t="shared" si="3"/>
        <v>4.8300015424257686E-2</v>
      </c>
    </row>
    <row r="76" spans="1:5" x14ac:dyDescent="0.25">
      <c r="A76">
        <v>0</v>
      </c>
      <c r="B76">
        <v>-0.502</v>
      </c>
      <c r="C76">
        <f t="shared" si="2"/>
        <v>0.1550534178790775</v>
      </c>
      <c r="D76">
        <v>0</v>
      </c>
      <c r="E76">
        <f t="shared" si="3"/>
        <v>4.8300015424257686E-2</v>
      </c>
    </row>
    <row r="77" spans="1:5" x14ac:dyDescent="0.25">
      <c r="A77">
        <v>0</v>
      </c>
      <c r="B77">
        <v>-0.5</v>
      </c>
      <c r="C77">
        <f t="shared" si="2"/>
        <v>0.15784151227416041</v>
      </c>
      <c r="D77">
        <v>0</v>
      </c>
      <c r="E77">
        <f t="shared" si="3"/>
        <v>4.8300015424257686E-2</v>
      </c>
    </row>
    <row r="78" spans="1:5" x14ac:dyDescent="0.25">
      <c r="A78">
        <v>0</v>
      </c>
      <c r="B78">
        <v>-0.5</v>
      </c>
      <c r="C78">
        <f t="shared" si="2"/>
        <v>0.15784151227416041</v>
      </c>
      <c r="D78">
        <v>0</v>
      </c>
      <c r="E78">
        <f t="shared" si="3"/>
        <v>4.8300015424257686E-2</v>
      </c>
    </row>
    <row r="79" spans="1:5" x14ac:dyDescent="0.25">
      <c r="A79">
        <v>0</v>
      </c>
      <c r="B79">
        <v>-0.49866666666666698</v>
      </c>
      <c r="C79">
        <f t="shared" si="2"/>
        <v>0.15972204147650695</v>
      </c>
      <c r="D79">
        <v>0</v>
      </c>
      <c r="E79">
        <f t="shared" si="3"/>
        <v>4.8300015424257686E-2</v>
      </c>
    </row>
    <row r="80" spans="1:5" x14ac:dyDescent="0.25">
      <c r="A80">
        <v>0</v>
      </c>
      <c r="B80">
        <v>-0.49816849816849801</v>
      </c>
      <c r="C80">
        <f t="shared" si="2"/>
        <v>0.16042915522186002</v>
      </c>
      <c r="D80">
        <v>0</v>
      </c>
      <c r="E80">
        <f t="shared" si="3"/>
        <v>4.8300015424257686E-2</v>
      </c>
    </row>
    <row r="81" spans="1:5" x14ac:dyDescent="0.25">
      <c r="A81">
        <v>0</v>
      </c>
      <c r="B81">
        <v>-0.49333333333333301</v>
      </c>
      <c r="C81">
        <f t="shared" si="2"/>
        <v>0.16742059219953737</v>
      </c>
      <c r="D81">
        <v>0</v>
      </c>
      <c r="E81">
        <f t="shared" si="3"/>
        <v>4.8300015424257686E-2</v>
      </c>
    </row>
    <row r="82" spans="1:5" x14ac:dyDescent="0.25">
      <c r="A82">
        <v>0</v>
      </c>
      <c r="B82">
        <v>-0.49333333333333301</v>
      </c>
      <c r="C82">
        <f t="shared" si="2"/>
        <v>0.16742059219953737</v>
      </c>
      <c r="D82">
        <v>0</v>
      </c>
      <c r="E82">
        <f t="shared" si="3"/>
        <v>4.8300015424257686E-2</v>
      </c>
    </row>
    <row r="83" spans="1:5" x14ac:dyDescent="0.25">
      <c r="A83">
        <v>0</v>
      </c>
      <c r="B83">
        <v>-0.49299999999999999</v>
      </c>
      <c r="C83">
        <f t="shared" si="2"/>
        <v>0.16791121131878511</v>
      </c>
      <c r="D83">
        <v>0</v>
      </c>
      <c r="E83">
        <f t="shared" si="3"/>
        <v>4.8300015424257686E-2</v>
      </c>
    </row>
    <row r="84" spans="1:5" x14ac:dyDescent="0.25">
      <c r="A84">
        <v>0</v>
      </c>
      <c r="B84">
        <v>-0.49299999999999999</v>
      </c>
      <c r="C84">
        <f t="shared" si="2"/>
        <v>0.16791121131878511</v>
      </c>
      <c r="D84">
        <v>0</v>
      </c>
      <c r="E84">
        <f t="shared" si="3"/>
        <v>4.8300015424257686E-2</v>
      </c>
    </row>
    <row r="85" spans="1:5" x14ac:dyDescent="0.25">
      <c r="A85">
        <v>0</v>
      </c>
      <c r="B85">
        <v>-0.49199999999999999</v>
      </c>
      <c r="C85">
        <f t="shared" si="2"/>
        <v>0.16938980388308827</v>
      </c>
      <c r="D85">
        <v>0</v>
      </c>
      <c r="E85">
        <f t="shared" si="3"/>
        <v>4.8300015424257686E-2</v>
      </c>
    </row>
    <row r="86" spans="1:5" x14ac:dyDescent="0.25">
      <c r="A86">
        <v>0</v>
      </c>
      <c r="B86">
        <v>-0.49199999999999999</v>
      </c>
      <c r="C86">
        <f t="shared" si="2"/>
        <v>0.16938980388308827</v>
      </c>
      <c r="D86">
        <v>0</v>
      </c>
      <c r="E86">
        <f t="shared" si="3"/>
        <v>4.8300015424257686E-2</v>
      </c>
    </row>
    <row r="87" spans="1:5" x14ac:dyDescent="0.25">
      <c r="A87">
        <v>0</v>
      </c>
      <c r="B87">
        <v>-0.49099999999999999</v>
      </c>
      <c r="C87">
        <f t="shared" si="2"/>
        <v>0.17087852933581582</v>
      </c>
      <c r="D87">
        <v>0</v>
      </c>
      <c r="E87">
        <f t="shared" si="3"/>
        <v>4.8300015424257686E-2</v>
      </c>
    </row>
    <row r="88" spans="1:5" x14ac:dyDescent="0.25">
      <c r="A88">
        <v>0</v>
      </c>
      <c r="B88">
        <v>-0.49</v>
      </c>
      <c r="C88">
        <f t="shared" si="2"/>
        <v>0.17237742620279065</v>
      </c>
      <c r="D88">
        <v>0</v>
      </c>
      <c r="E88">
        <f t="shared" si="3"/>
        <v>4.8300015424257686E-2</v>
      </c>
    </row>
    <row r="89" spans="1:5" x14ac:dyDescent="0.25">
      <c r="A89">
        <v>0</v>
      </c>
      <c r="B89">
        <v>-0.48484848484848497</v>
      </c>
      <c r="C89">
        <f t="shared" si="2"/>
        <v>0.18026162135390647</v>
      </c>
      <c r="D89">
        <v>0</v>
      </c>
      <c r="E89">
        <f t="shared" si="3"/>
        <v>4.8300015424257686E-2</v>
      </c>
    </row>
    <row r="90" spans="1:5" x14ac:dyDescent="0.25">
      <c r="A90">
        <v>0</v>
      </c>
      <c r="B90">
        <v>-0.47899999999999998</v>
      </c>
      <c r="C90">
        <f t="shared" si="2"/>
        <v>0.1895474352786421</v>
      </c>
      <c r="D90">
        <v>0</v>
      </c>
      <c r="E90">
        <f t="shared" si="3"/>
        <v>4.8300015424257686E-2</v>
      </c>
    </row>
    <row r="91" spans="1:5" x14ac:dyDescent="0.25">
      <c r="A91">
        <v>0</v>
      </c>
      <c r="B91">
        <v>-0.47866666666666702</v>
      </c>
      <c r="C91">
        <f t="shared" si="2"/>
        <v>0.19008755008930578</v>
      </c>
      <c r="D91">
        <v>0</v>
      </c>
      <c r="E91">
        <f t="shared" si="3"/>
        <v>4.8300015424257686E-2</v>
      </c>
    </row>
    <row r="92" spans="1:5" x14ac:dyDescent="0.25">
      <c r="A92">
        <v>0</v>
      </c>
      <c r="B92">
        <v>-0.47799999999999998</v>
      </c>
      <c r="C92">
        <f t="shared" si="2"/>
        <v>0.19117132453995345</v>
      </c>
      <c r="D92">
        <v>0</v>
      </c>
      <c r="E92">
        <f t="shared" si="3"/>
        <v>4.8300015424257686E-2</v>
      </c>
    </row>
    <row r="93" spans="1:5" x14ac:dyDescent="0.25">
      <c r="A93">
        <v>0</v>
      </c>
      <c r="B93">
        <v>-0.47785547785547799</v>
      </c>
      <c r="C93">
        <f t="shared" si="2"/>
        <v>0.19140689281869433</v>
      </c>
      <c r="D93">
        <v>0</v>
      </c>
      <c r="E93">
        <f t="shared" si="3"/>
        <v>4.8300015424257686E-2</v>
      </c>
    </row>
    <row r="94" spans="1:5" x14ac:dyDescent="0.25">
      <c r="A94">
        <v>0</v>
      </c>
      <c r="B94">
        <v>-0.477333333333333</v>
      </c>
      <c r="C94">
        <f t="shared" si="2"/>
        <v>0.19225983426956186</v>
      </c>
      <c r="D94">
        <v>0</v>
      </c>
      <c r="E94">
        <f t="shared" si="3"/>
        <v>4.8300015424257686E-2</v>
      </c>
    </row>
    <row r="95" spans="1:5" x14ac:dyDescent="0.25">
      <c r="A95">
        <v>0</v>
      </c>
      <c r="B95">
        <v>-0.47599999999999998</v>
      </c>
      <c r="C95">
        <f t="shared" si="2"/>
        <v>0.19445110178694522</v>
      </c>
      <c r="D95">
        <v>0</v>
      </c>
      <c r="E95">
        <f t="shared" si="3"/>
        <v>4.8300015424257686E-2</v>
      </c>
    </row>
    <row r="96" spans="1:5" x14ac:dyDescent="0.25">
      <c r="A96">
        <v>0</v>
      </c>
      <c r="B96">
        <v>-0.47196261682243001</v>
      </c>
      <c r="C96">
        <f t="shared" si="2"/>
        <v>0.20120296631414969</v>
      </c>
      <c r="D96">
        <v>0</v>
      </c>
      <c r="E96">
        <f t="shared" si="3"/>
        <v>4.8300015424257686E-2</v>
      </c>
    </row>
    <row r="97" spans="1:5" x14ac:dyDescent="0.25">
      <c r="A97">
        <v>0</v>
      </c>
      <c r="B97">
        <v>-0.47058823529411797</v>
      </c>
      <c r="C97">
        <f t="shared" si="2"/>
        <v>0.20354168980331369</v>
      </c>
      <c r="D97">
        <v>0</v>
      </c>
      <c r="E97">
        <f t="shared" si="3"/>
        <v>4.8300015424257686E-2</v>
      </c>
    </row>
    <row r="98" spans="1:5" x14ac:dyDescent="0.25">
      <c r="A98">
        <v>0</v>
      </c>
      <c r="B98">
        <v>-0.47</v>
      </c>
      <c r="C98">
        <f t="shared" si="2"/>
        <v>0.20454895746843146</v>
      </c>
      <c r="D98">
        <v>0</v>
      </c>
      <c r="E98">
        <f t="shared" si="3"/>
        <v>4.8300015424257686E-2</v>
      </c>
    </row>
    <row r="99" spans="1:5" x14ac:dyDescent="0.25">
      <c r="A99">
        <v>0</v>
      </c>
      <c r="B99">
        <v>-0.46962616822429898</v>
      </c>
      <c r="C99">
        <f t="shared" si="2"/>
        <v>0.20519105568405388</v>
      </c>
      <c r="D99">
        <v>0</v>
      </c>
      <c r="E99">
        <f t="shared" si="3"/>
        <v>4.8300015424257686E-2</v>
      </c>
    </row>
    <row r="100" spans="1:5" x14ac:dyDescent="0.25">
      <c r="A100">
        <v>0</v>
      </c>
      <c r="B100">
        <v>-0.46666666666666701</v>
      </c>
      <c r="C100">
        <f t="shared" si="2"/>
        <v>0.21032846148597206</v>
      </c>
      <c r="D100">
        <v>0</v>
      </c>
      <c r="E100">
        <f t="shared" si="3"/>
        <v>4.8300015424257686E-2</v>
      </c>
    </row>
    <row r="101" spans="1:5" x14ac:dyDescent="0.25">
      <c r="A101">
        <v>0</v>
      </c>
      <c r="B101">
        <v>-0.46551724137931</v>
      </c>
      <c r="C101">
        <f t="shared" si="2"/>
        <v>0.21234978263801468</v>
      </c>
      <c r="D101">
        <v>0</v>
      </c>
      <c r="E101">
        <f t="shared" si="3"/>
        <v>4.8300015424257686E-2</v>
      </c>
    </row>
    <row r="102" spans="1:5" x14ac:dyDescent="0.25">
      <c r="A102">
        <v>0</v>
      </c>
      <c r="B102">
        <v>-0.46495327102803702</v>
      </c>
      <c r="C102">
        <f t="shared" si="2"/>
        <v>0.21334690298434303</v>
      </c>
      <c r="D102">
        <v>0</v>
      </c>
      <c r="E102">
        <f t="shared" si="3"/>
        <v>4.8300015424257686E-2</v>
      </c>
    </row>
    <row r="103" spans="1:5" x14ac:dyDescent="0.25">
      <c r="A103">
        <v>0</v>
      </c>
      <c r="B103">
        <v>-0.463917525773196</v>
      </c>
      <c r="C103">
        <f t="shared" si="2"/>
        <v>0.21518733789006739</v>
      </c>
      <c r="D103">
        <v>0</v>
      </c>
      <c r="E103">
        <f t="shared" si="3"/>
        <v>4.8300015424257686E-2</v>
      </c>
    </row>
    <row r="104" spans="1:5" x14ac:dyDescent="0.25">
      <c r="A104">
        <v>0</v>
      </c>
      <c r="B104">
        <v>-0.46153846153846201</v>
      </c>
      <c r="C104">
        <f t="shared" si="2"/>
        <v>0.21946001856923819</v>
      </c>
      <c r="D104">
        <v>0</v>
      </c>
      <c r="E104">
        <f t="shared" si="3"/>
        <v>4.8300015424257686E-2</v>
      </c>
    </row>
    <row r="105" spans="1:5" x14ac:dyDescent="0.25">
      <c r="A105">
        <v>0</v>
      </c>
      <c r="B105">
        <v>-0.46153846153846201</v>
      </c>
      <c r="C105">
        <f t="shared" si="2"/>
        <v>0.21946001856923819</v>
      </c>
      <c r="D105">
        <v>0</v>
      </c>
      <c r="E105">
        <f t="shared" si="3"/>
        <v>4.8300015424257686E-2</v>
      </c>
    </row>
    <row r="106" spans="1:5" x14ac:dyDescent="0.25">
      <c r="A106">
        <v>0</v>
      </c>
      <c r="B106">
        <v>-0.46133333333333298</v>
      </c>
      <c r="C106">
        <f t="shared" si="2"/>
        <v>0.21983138305717498</v>
      </c>
      <c r="D106">
        <v>0</v>
      </c>
      <c r="E106">
        <f t="shared" si="3"/>
        <v>4.8300015424257686E-2</v>
      </c>
    </row>
    <row r="107" spans="1:5" x14ac:dyDescent="0.25">
      <c r="A107">
        <v>0</v>
      </c>
      <c r="B107">
        <v>-0.46</v>
      </c>
      <c r="C107">
        <f t="shared" si="2"/>
        <v>0.222256765687809</v>
      </c>
      <c r="D107">
        <v>0</v>
      </c>
      <c r="E107">
        <f t="shared" si="3"/>
        <v>4.8300015424257686E-2</v>
      </c>
    </row>
    <row r="108" spans="1:5" x14ac:dyDescent="0.25">
      <c r="A108">
        <v>0</v>
      </c>
      <c r="B108">
        <v>-0.46</v>
      </c>
      <c r="C108">
        <f t="shared" si="2"/>
        <v>0.222256765687809</v>
      </c>
      <c r="D108">
        <v>0</v>
      </c>
      <c r="E108">
        <f t="shared" si="3"/>
        <v>4.8300015424257686E-2</v>
      </c>
    </row>
    <row r="109" spans="1:5" x14ac:dyDescent="0.25">
      <c r="A109">
        <v>0</v>
      </c>
      <c r="B109">
        <v>-0.46</v>
      </c>
      <c r="C109">
        <f t="shared" si="2"/>
        <v>0.222256765687809</v>
      </c>
      <c r="D109">
        <v>0</v>
      </c>
      <c r="E109">
        <f t="shared" si="3"/>
        <v>4.8300015424257686E-2</v>
      </c>
    </row>
    <row r="110" spans="1:5" x14ac:dyDescent="0.25">
      <c r="A110">
        <v>0</v>
      </c>
      <c r="B110">
        <v>-0.45833333333333298</v>
      </c>
      <c r="C110">
        <f t="shared" si="2"/>
        <v>0.22531664047644867</v>
      </c>
      <c r="D110">
        <v>0</v>
      </c>
      <c r="E110">
        <f t="shared" si="3"/>
        <v>4.8300015424257686E-2</v>
      </c>
    </row>
    <row r="111" spans="1:5" x14ac:dyDescent="0.25">
      <c r="A111">
        <v>0</v>
      </c>
      <c r="B111">
        <v>-0.45794392523364502</v>
      </c>
      <c r="C111">
        <f t="shared" si="2"/>
        <v>0.22603608543517714</v>
      </c>
      <c r="D111">
        <v>0</v>
      </c>
      <c r="E111">
        <f t="shared" si="3"/>
        <v>4.8300015424257686E-2</v>
      </c>
    </row>
    <row r="112" spans="1:5" x14ac:dyDescent="0.25">
      <c r="A112">
        <v>0</v>
      </c>
      <c r="B112">
        <v>-0.456666666666667</v>
      </c>
      <c r="C112">
        <f t="shared" si="2"/>
        <v>0.2284079208480827</v>
      </c>
      <c r="D112">
        <v>0</v>
      </c>
      <c r="E112">
        <f t="shared" si="3"/>
        <v>4.8300015424257686E-2</v>
      </c>
    </row>
    <row r="113" spans="1:5" x14ac:dyDescent="0.25">
      <c r="A113">
        <v>0</v>
      </c>
      <c r="B113">
        <v>-0.456666666666667</v>
      </c>
      <c r="C113">
        <f t="shared" si="2"/>
        <v>0.2284079208480827</v>
      </c>
      <c r="D113">
        <v>0</v>
      </c>
      <c r="E113">
        <f t="shared" si="3"/>
        <v>4.8300015424257686E-2</v>
      </c>
    </row>
    <row r="114" spans="1:5" x14ac:dyDescent="0.25">
      <c r="A114">
        <v>0</v>
      </c>
      <c r="B114">
        <v>-0.456310679611651</v>
      </c>
      <c r="C114">
        <f t="shared" si="2"/>
        <v>0.22907227802027852</v>
      </c>
      <c r="D114">
        <v>0</v>
      </c>
      <c r="E114">
        <f t="shared" si="3"/>
        <v>4.8300015424257686E-2</v>
      </c>
    </row>
    <row r="115" spans="1:5" x14ac:dyDescent="0.25">
      <c r="A115">
        <v>0</v>
      </c>
      <c r="B115">
        <v>-0.45500000000000002</v>
      </c>
      <c r="C115">
        <f t="shared" si="2"/>
        <v>0.23153074551501274</v>
      </c>
      <c r="D115">
        <v>0</v>
      </c>
      <c r="E115">
        <f t="shared" si="3"/>
        <v>4.8300015424257686E-2</v>
      </c>
    </row>
    <row r="116" spans="1:5" x14ac:dyDescent="0.25">
      <c r="A116">
        <v>0</v>
      </c>
      <c r="B116">
        <v>-0.44933333333333297</v>
      </c>
      <c r="C116">
        <f t="shared" si="2"/>
        <v>0.24238611229508408</v>
      </c>
      <c r="D116">
        <v>0</v>
      </c>
      <c r="E116">
        <f t="shared" si="3"/>
        <v>4.8300015424257686E-2</v>
      </c>
    </row>
    <row r="117" spans="1:5" x14ac:dyDescent="0.25">
      <c r="A117">
        <v>0</v>
      </c>
      <c r="B117">
        <v>-0.44800000000000001</v>
      </c>
      <c r="C117">
        <f t="shared" si="2"/>
        <v>0.24499409721118884</v>
      </c>
      <c r="D117">
        <v>0</v>
      </c>
      <c r="E117">
        <f t="shared" si="3"/>
        <v>4.8300015424257686E-2</v>
      </c>
    </row>
    <row r="118" spans="1:5" x14ac:dyDescent="0.25">
      <c r="A118">
        <v>0</v>
      </c>
      <c r="B118">
        <v>-0.44666666666666699</v>
      </c>
      <c r="C118">
        <f t="shared" si="2"/>
        <v>0.24762270474891057</v>
      </c>
      <c r="D118">
        <v>0</v>
      </c>
      <c r="E118">
        <f t="shared" si="3"/>
        <v>4.8300015424257686E-2</v>
      </c>
    </row>
    <row r="119" spans="1:5" x14ac:dyDescent="0.25">
      <c r="A119">
        <v>0</v>
      </c>
      <c r="B119">
        <v>-0.44666666666666699</v>
      </c>
      <c r="C119">
        <f t="shared" si="2"/>
        <v>0.24762270474891057</v>
      </c>
      <c r="D119">
        <v>0</v>
      </c>
      <c r="E119">
        <f t="shared" si="3"/>
        <v>4.8300015424257686E-2</v>
      </c>
    </row>
    <row r="120" spans="1:5" x14ac:dyDescent="0.25">
      <c r="A120">
        <v>0</v>
      </c>
      <c r="B120">
        <v>-0.44444444444444398</v>
      </c>
      <c r="C120">
        <f t="shared" si="2"/>
        <v>0.25204971457349123</v>
      </c>
      <c r="D120">
        <v>0</v>
      </c>
      <c r="E120">
        <f t="shared" si="3"/>
        <v>4.8300015424257686E-2</v>
      </c>
    </row>
    <row r="121" spans="1:5" x14ac:dyDescent="0.25">
      <c r="A121">
        <v>0</v>
      </c>
      <c r="B121">
        <v>-0.44400000000000001</v>
      </c>
      <c r="C121">
        <f t="shared" si="2"/>
        <v>0.25294203649244623</v>
      </c>
      <c r="D121">
        <v>0</v>
      </c>
      <c r="E121">
        <f t="shared" si="3"/>
        <v>4.8300015424257686E-2</v>
      </c>
    </row>
    <row r="122" spans="1:5" x14ac:dyDescent="0.25">
      <c r="A122">
        <v>0</v>
      </c>
      <c r="B122">
        <v>-0.44400000000000001</v>
      </c>
      <c r="C122">
        <f t="shared" si="2"/>
        <v>0.25294203649244623</v>
      </c>
      <c r="D122">
        <v>0</v>
      </c>
      <c r="E122">
        <f t="shared" si="3"/>
        <v>4.8300015424257686E-2</v>
      </c>
    </row>
    <row r="123" spans="1:5" x14ac:dyDescent="0.25">
      <c r="A123">
        <v>0</v>
      </c>
      <c r="B123">
        <v>-0.44166666666666698</v>
      </c>
      <c r="C123">
        <f t="shared" si="2"/>
        <v>0.25766470594871904</v>
      </c>
      <c r="D123">
        <v>0</v>
      </c>
      <c r="E123">
        <f t="shared" si="3"/>
        <v>4.8300015424257686E-2</v>
      </c>
    </row>
    <row r="124" spans="1:5" x14ac:dyDescent="0.25">
      <c r="A124">
        <v>0</v>
      </c>
      <c r="B124">
        <v>-0.441</v>
      </c>
      <c r="C124">
        <f t="shared" si="2"/>
        <v>0.25902578767182965</v>
      </c>
      <c r="D124">
        <v>0</v>
      </c>
      <c r="E124">
        <f t="shared" si="3"/>
        <v>4.8300015424257686E-2</v>
      </c>
    </row>
    <row r="125" spans="1:5" x14ac:dyDescent="0.25">
      <c r="A125">
        <v>0</v>
      </c>
      <c r="B125">
        <v>-0.44</v>
      </c>
      <c r="C125">
        <f t="shared" si="2"/>
        <v>0.2610772267498791</v>
      </c>
      <c r="D125">
        <v>0</v>
      </c>
      <c r="E125">
        <f t="shared" si="3"/>
        <v>4.8300015424257686E-2</v>
      </c>
    </row>
    <row r="126" spans="1:5" x14ac:dyDescent="0.25">
      <c r="A126">
        <v>0</v>
      </c>
      <c r="B126">
        <v>-0.44</v>
      </c>
      <c r="C126">
        <f t="shared" si="2"/>
        <v>0.2610772267498791</v>
      </c>
      <c r="D126">
        <v>0</v>
      </c>
      <c r="E126">
        <f t="shared" si="3"/>
        <v>4.8300015424257686E-2</v>
      </c>
    </row>
    <row r="127" spans="1:5" x14ac:dyDescent="0.25">
      <c r="A127">
        <v>0</v>
      </c>
      <c r="B127">
        <v>-0.43866666666666698</v>
      </c>
      <c r="C127">
        <f t="shared" si="2"/>
        <v>0.26383083969439675</v>
      </c>
      <c r="D127">
        <v>0</v>
      </c>
      <c r="E127">
        <f t="shared" si="3"/>
        <v>4.8300015424257686E-2</v>
      </c>
    </row>
    <row r="128" spans="1:5" x14ac:dyDescent="0.25">
      <c r="A128">
        <v>0</v>
      </c>
      <c r="B128">
        <v>-0.43666666666666698</v>
      </c>
      <c r="C128">
        <f t="shared" si="2"/>
        <v>0.26800071492597172</v>
      </c>
      <c r="D128">
        <v>0</v>
      </c>
      <c r="E128">
        <f t="shared" si="3"/>
        <v>4.8300015424257686E-2</v>
      </c>
    </row>
    <row r="129" spans="1:5" x14ac:dyDescent="0.25">
      <c r="A129">
        <v>0</v>
      </c>
      <c r="B129">
        <v>-0.435</v>
      </c>
      <c r="C129">
        <f t="shared" si="2"/>
        <v>0.27151189313116736</v>
      </c>
      <c r="D129">
        <v>0</v>
      </c>
      <c r="E129">
        <f t="shared" si="3"/>
        <v>4.8300015424257686E-2</v>
      </c>
    </row>
    <row r="130" spans="1:5" x14ac:dyDescent="0.25">
      <c r="A130">
        <v>0</v>
      </c>
      <c r="B130">
        <v>-0.43466666666666698</v>
      </c>
      <c r="C130">
        <f t="shared" ref="C130:C193" si="4">_xlfn.NORM.DIST(B130,I$10,I$13,FALSE)</f>
        <v>0.2722180965540974</v>
      </c>
      <c r="D130">
        <v>0</v>
      </c>
      <c r="E130">
        <f t="shared" si="3"/>
        <v>4.8300015424257686E-2</v>
      </c>
    </row>
    <row r="131" spans="1:5" x14ac:dyDescent="0.25">
      <c r="A131">
        <v>0</v>
      </c>
      <c r="B131">
        <v>-0.432</v>
      </c>
      <c r="C131">
        <f t="shared" si="4"/>
        <v>0.27791546896760339</v>
      </c>
      <c r="D131">
        <v>0</v>
      </c>
      <c r="E131">
        <f t="shared" ref="E131:E194" si="5">_xlfn.NORM.DIST(D131,I$4,I$7,FALSE)</f>
        <v>4.8300015424257686E-2</v>
      </c>
    </row>
    <row r="132" spans="1:5" x14ac:dyDescent="0.25">
      <c r="A132">
        <v>0</v>
      </c>
      <c r="B132">
        <v>-0.432</v>
      </c>
      <c r="C132">
        <f t="shared" si="4"/>
        <v>0.27791546896760339</v>
      </c>
      <c r="D132">
        <v>0</v>
      </c>
      <c r="E132">
        <f t="shared" si="5"/>
        <v>4.8300015424257686E-2</v>
      </c>
    </row>
    <row r="133" spans="1:5" x14ac:dyDescent="0.25">
      <c r="A133">
        <v>0</v>
      </c>
      <c r="B133">
        <v>-0.432</v>
      </c>
      <c r="C133">
        <f t="shared" si="4"/>
        <v>0.27791546896760339</v>
      </c>
      <c r="D133">
        <v>0</v>
      </c>
      <c r="E133">
        <f t="shared" si="5"/>
        <v>4.8300015424257686E-2</v>
      </c>
    </row>
    <row r="134" spans="1:5" x14ac:dyDescent="0.25">
      <c r="A134">
        <v>0</v>
      </c>
      <c r="B134">
        <v>-0.432</v>
      </c>
      <c r="C134">
        <f t="shared" si="4"/>
        <v>0.27791546896760339</v>
      </c>
      <c r="D134">
        <v>0</v>
      </c>
      <c r="E134">
        <f t="shared" si="5"/>
        <v>4.8300015424257686E-2</v>
      </c>
    </row>
    <row r="135" spans="1:5" x14ac:dyDescent="0.25">
      <c r="A135">
        <v>0</v>
      </c>
      <c r="B135">
        <v>-0.43066666666666698</v>
      </c>
      <c r="C135">
        <f t="shared" si="4"/>
        <v>0.28079606412899349</v>
      </c>
      <c r="D135">
        <v>0</v>
      </c>
      <c r="E135">
        <f t="shared" si="5"/>
        <v>4.8300015424257686E-2</v>
      </c>
    </row>
    <row r="136" spans="1:5" x14ac:dyDescent="0.25">
      <c r="A136">
        <v>0</v>
      </c>
      <c r="B136">
        <v>-0.42857142857142899</v>
      </c>
      <c r="C136">
        <f t="shared" si="4"/>
        <v>0.28536583733414433</v>
      </c>
      <c r="D136">
        <v>0</v>
      </c>
      <c r="E136">
        <f t="shared" si="5"/>
        <v>4.8300015424257686E-2</v>
      </c>
    </row>
    <row r="137" spans="1:5" x14ac:dyDescent="0.25">
      <c r="A137">
        <v>0</v>
      </c>
      <c r="B137">
        <v>-0.42799999999999999</v>
      </c>
      <c r="C137">
        <f t="shared" si="4"/>
        <v>0.28662130586754175</v>
      </c>
      <c r="D137">
        <v>0</v>
      </c>
      <c r="E137">
        <f t="shared" si="5"/>
        <v>4.8300015424257686E-2</v>
      </c>
    </row>
    <row r="138" spans="1:5" x14ac:dyDescent="0.25">
      <c r="A138">
        <v>0</v>
      </c>
      <c r="B138">
        <v>-0.42499999999999999</v>
      </c>
      <c r="C138">
        <f t="shared" si="4"/>
        <v>0.29327715340905475</v>
      </c>
      <c r="D138">
        <v>0</v>
      </c>
      <c r="E138">
        <f t="shared" si="5"/>
        <v>4.8300015424257686E-2</v>
      </c>
    </row>
    <row r="139" spans="1:5" x14ac:dyDescent="0.25">
      <c r="A139">
        <v>0</v>
      </c>
      <c r="B139">
        <v>-0.42399999999999999</v>
      </c>
      <c r="C139">
        <f t="shared" si="4"/>
        <v>0.29551995369159995</v>
      </c>
      <c r="D139">
        <v>0</v>
      </c>
      <c r="E139">
        <f t="shared" si="5"/>
        <v>4.8300015424257686E-2</v>
      </c>
    </row>
    <row r="140" spans="1:5" x14ac:dyDescent="0.25">
      <c r="A140">
        <v>0</v>
      </c>
      <c r="B140">
        <v>-0.42399999999999999</v>
      </c>
      <c r="C140">
        <f t="shared" si="4"/>
        <v>0.29551995369159995</v>
      </c>
      <c r="D140">
        <v>0</v>
      </c>
      <c r="E140">
        <f t="shared" si="5"/>
        <v>4.8300015424257686E-2</v>
      </c>
    </row>
    <row r="141" spans="1:5" x14ac:dyDescent="0.25">
      <c r="A141">
        <v>0</v>
      </c>
      <c r="B141">
        <v>-0.42399999999999999</v>
      </c>
      <c r="C141">
        <f t="shared" si="4"/>
        <v>0.29551995369159995</v>
      </c>
      <c r="D141">
        <v>0</v>
      </c>
      <c r="E141">
        <f t="shared" si="5"/>
        <v>4.8300015424257686E-2</v>
      </c>
    </row>
    <row r="142" spans="1:5" x14ac:dyDescent="0.25">
      <c r="A142">
        <v>0</v>
      </c>
      <c r="B142">
        <v>-0.42333333333333301</v>
      </c>
      <c r="C142">
        <f t="shared" si="4"/>
        <v>0.29702188626531373</v>
      </c>
      <c r="D142">
        <v>0</v>
      </c>
      <c r="E142">
        <f t="shared" si="5"/>
        <v>4.8300015424257686E-2</v>
      </c>
    </row>
    <row r="143" spans="1:5" x14ac:dyDescent="0.25">
      <c r="A143">
        <v>0</v>
      </c>
      <c r="B143">
        <v>-0.42307692307692302</v>
      </c>
      <c r="C143">
        <f t="shared" si="4"/>
        <v>0.29760098798355539</v>
      </c>
      <c r="D143">
        <v>0</v>
      </c>
      <c r="E143">
        <f t="shared" si="5"/>
        <v>4.8300015424257686E-2</v>
      </c>
    </row>
    <row r="144" spans="1:5" x14ac:dyDescent="0.25">
      <c r="A144">
        <v>0</v>
      </c>
      <c r="B144">
        <v>-0.42099999999999999</v>
      </c>
      <c r="C144">
        <f t="shared" si="4"/>
        <v>0.30232113853103365</v>
      </c>
      <c r="D144">
        <v>0</v>
      </c>
      <c r="E144">
        <f t="shared" si="5"/>
        <v>4.8300015424257686E-2</v>
      </c>
    </row>
    <row r="145" spans="1:5" x14ac:dyDescent="0.25">
      <c r="A145">
        <v>0</v>
      </c>
      <c r="B145">
        <v>-0.418333333333333</v>
      </c>
      <c r="C145">
        <f t="shared" si="4"/>
        <v>0.30845854668271228</v>
      </c>
      <c r="D145">
        <v>0</v>
      </c>
      <c r="E145">
        <f t="shared" si="5"/>
        <v>4.8300015424257686E-2</v>
      </c>
    </row>
    <row r="146" spans="1:5" x14ac:dyDescent="0.25">
      <c r="A146">
        <v>0</v>
      </c>
      <c r="B146">
        <v>-0.41739130434782601</v>
      </c>
      <c r="C146">
        <f t="shared" si="4"/>
        <v>0.31064738325421487</v>
      </c>
      <c r="D146">
        <v>0</v>
      </c>
      <c r="E146">
        <f t="shared" si="5"/>
        <v>4.8300015424257686E-2</v>
      </c>
    </row>
    <row r="147" spans="1:5" x14ac:dyDescent="0.25">
      <c r="A147">
        <v>0</v>
      </c>
      <c r="B147">
        <v>-0.41599999999999998</v>
      </c>
      <c r="C147">
        <f t="shared" si="4"/>
        <v>0.31389995916660762</v>
      </c>
      <c r="D147">
        <v>0</v>
      </c>
      <c r="E147">
        <f t="shared" si="5"/>
        <v>4.8300015424257686E-2</v>
      </c>
    </row>
    <row r="148" spans="1:5" x14ac:dyDescent="0.25">
      <c r="A148">
        <v>0</v>
      </c>
      <c r="B148">
        <v>-0.41599999999999998</v>
      </c>
      <c r="C148">
        <f t="shared" si="4"/>
        <v>0.31389995916660762</v>
      </c>
      <c r="D148">
        <v>0</v>
      </c>
      <c r="E148">
        <f t="shared" si="5"/>
        <v>4.8300015424257686E-2</v>
      </c>
    </row>
    <row r="149" spans="1:5" x14ac:dyDescent="0.25">
      <c r="A149">
        <v>0</v>
      </c>
      <c r="B149">
        <v>-0.41399999999999998</v>
      </c>
      <c r="C149">
        <f t="shared" si="4"/>
        <v>0.3186170338030121</v>
      </c>
      <c r="D149">
        <v>0</v>
      </c>
      <c r="E149">
        <f t="shared" si="5"/>
        <v>4.8300015424257686E-2</v>
      </c>
    </row>
    <row r="150" spans="1:5" x14ac:dyDescent="0.25">
      <c r="A150">
        <v>0</v>
      </c>
      <c r="B150">
        <v>-0.41166666666666701</v>
      </c>
      <c r="C150">
        <f t="shared" si="4"/>
        <v>0.32418225935558859</v>
      </c>
      <c r="D150">
        <v>0</v>
      </c>
      <c r="E150">
        <f t="shared" si="5"/>
        <v>4.8300015424257686E-2</v>
      </c>
    </row>
    <row r="151" spans="1:5" x14ac:dyDescent="0.25">
      <c r="A151">
        <v>0</v>
      </c>
      <c r="B151">
        <v>-0.41095890410958902</v>
      </c>
      <c r="C151">
        <f t="shared" si="4"/>
        <v>0.32588355276292424</v>
      </c>
      <c r="D151">
        <v>0</v>
      </c>
      <c r="E151">
        <f t="shared" si="5"/>
        <v>4.8300015424257686E-2</v>
      </c>
    </row>
    <row r="152" spans="1:5" x14ac:dyDescent="0.25">
      <c r="A152">
        <v>0</v>
      </c>
      <c r="B152">
        <v>-0.40933333333333299</v>
      </c>
      <c r="C152">
        <f t="shared" si="4"/>
        <v>0.32981434968968371</v>
      </c>
      <c r="D152">
        <v>0</v>
      </c>
      <c r="E152">
        <f t="shared" si="5"/>
        <v>4.8300015424257686E-2</v>
      </c>
    </row>
    <row r="153" spans="1:5" x14ac:dyDescent="0.25">
      <c r="A153">
        <v>0</v>
      </c>
      <c r="B153">
        <v>-0.40799999999999997</v>
      </c>
      <c r="C153">
        <f t="shared" si="4"/>
        <v>0.33306275345283964</v>
      </c>
      <c r="D153">
        <v>0</v>
      </c>
      <c r="E153">
        <f t="shared" si="5"/>
        <v>4.8300015424257686E-2</v>
      </c>
    </row>
    <row r="154" spans="1:5" x14ac:dyDescent="0.25">
      <c r="A154">
        <v>0</v>
      </c>
      <c r="B154">
        <v>-0.40666666666666701</v>
      </c>
      <c r="C154">
        <f t="shared" si="4"/>
        <v>0.33633304825863708</v>
      </c>
      <c r="D154">
        <v>0</v>
      </c>
      <c r="E154">
        <f t="shared" si="5"/>
        <v>4.8300015424257686E-2</v>
      </c>
    </row>
    <row r="155" spans="1:5" x14ac:dyDescent="0.25">
      <c r="A155">
        <v>0</v>
      </c>
      <c r="B155">
        <v>-0.40559440559440602</v>
      </c>
      <c r="C155">
        <f t="shared" si="4"/>
        <v>0.33897889870533637</v>
      </c>
      <c r="D155">
        <v>0</v>
      </c>
      <c r="E155">
        <f t="shared" si="5"/>
        <v>4.8300015424257686E-2</v>
      </c>
    </row>
    <row r="156" spans="1:5" x14ac:dyDescent="0.25">
      <c r="A156">
        <v>0</v>
      </c>
      <c r="B156">
        <v>-0.40540540540540498</v>
      </c>
      <c r="C156">
        <f t="shared" si="4"/>
        <v>0.33944673429748268</v>
      </c>
      <c r="D156">
        <v>0</v>
      </c>
      <c r="E156">
        <f t="shared" si="5"/>
        <v>4.8300015424257686E-2</v>
      </c>
    </row>
    <row r="157" spans="1:5" x14ac:dyDescent="0.25">
      <c r="A157">
        <v>0</v>
      </c>
      <c r="B157">
        <v>-0.40420560747663598</v>
      </c>
      <c r="C157">
        <f t="shared" si="4"/>
        <v>0.34242689185091862</v>
      </c>
      <c r="D157">
        <v>0</v>
      </c>
      <c r="E157">
        <f t="shared" si="5"/>
        <v>4.8300015424257686E-2</v>
      </c>
    </row>
    <row r="158" spans="1:5" x14ac:dyDescent="0.25">
      <c r="A158">
        <v>0</v>
      </c>
      <c r="B158">
        <v>-0.40333333333333299</v>
      </c>
      <c r="C158">
        <f t="shared" si="4"/>
        <v>0.3446046690540156</v>
      </c>
      <c r="D158">
        <v>0</v>
      </c>
      <c r="E158">
        <f t="shared" si="5"/>
        <v>4.8300015424257686E-2</v>
      </c>
    </row>
    <row r="159" spans="1:5" x14ac:dyDescent="0.25">
      <c r="A159">
        <v>0</v>
      </c>
      <c r="B159">
        <v>-0.40133333333333299</v>
      </c>
      <c r="C159">
        <f t="shared" si="4"/>
        <v>0.3496334608819392</v>
      </c>
      <c r="D159">
        <v>0</v>
      </c>
      <c r="E159">
        <f t="shared" si="5"/>
        <v>4.8300015424257686E-2</v>
      </c>
    </row>
    <row r="160" spans="1:5" x14ac:dyDescent="0.25">
      <c r="A160">
        <v>0</v>
      </c>
      <c r="B160">
        <v>-0.4</v>
      </c>
      <c r="C160">
        <f t="shared" si="4"/>
        <v>0.35301343706847582</v>
      </c>
      <c r="D160">
        <v>0</v>
      </c>
      <c r="E160">
        <f t="shared" si="5"/>
        <v>4.8300015424257686E-2</v>
      </c>
    </row>
    <row r="161" spans="1:5" x14ac:dyDescent="0.25">
      <c r="A161">
        <v>0</v>
      </c>
      <c r="B161">
        <v>-0.4</v>
      </c>
      <c r="C161">
        <f t="shared" si="4"/>
        <v>0.35301343706847582</v>
      </c>
      <c r="D161">
        <v>0</v>
      </c>
      <c r="E161">
        <f t="shared" si="5"/>
        <v>4.8300015424257686E-2</v>
      </c>
    </row>
    <row r="162" spans="1:5" x14ac:dyDescent="0.25">
      <c r="A162">
        <v>0</v>
      </c>
      <c r="B162">
        <v>-0.39800000000000002</v>
      </c>
      <c r="C162">
        <f t="shared" si="4"/>
        <v>0.3581245944387243</v>
      </c>
      <c r="D162">
        <v>0</v>
      </c>
      <c r="E162">
        <f t="shared" si="5"/>
        <v>4.8300015424257686E-2</v>
      </c>
    </row>
    <row r="163" spans="1:5" x14ac:dyDescent="0.25">
      <c r="A163">
        <v>0</v>
      </c>
      <c r="B163">
        <v>-0.39700000000000002</v>
      </c>
      <c r="C163">
        <f t="shared" si="4"/>
        <v>0.36069871548680493</v>
      </c>
      <c r="D163">
        <v>0</v>
      </c>
      <c r="E163">
        <f t="shared" si="5"/>
        <v>4.8300015424257686E-2</v>
      </c>
    </row>
    <row r="164" spans="1:5" x14ac:dyDescent="0.25">
      <c r="A164">
        <v>0</v>
      </c>
      <c r="B164">
        <v>-0.39600000000000002</v>
      </c>
      <c r="C164">
        <f t="shared" si="4"/>
        <v>0.36328520039123691</v>
      </c>
      <c r="D164">
        <v>0</v>
      </c>
      <c r="E164">
        <f t="shared" si="5"/>
        <v>4.8300015424257686E-2</v>
      </c>
    </row>
    <row r="165" spans="1:5" x14ac:dyDescent="0.25">
      <c r="A165">
        <v>0</v>
      </c>
      <c r="B165">
        <v>-0.394666666666667</v>
      </c>
      <c r="C165">
        <f t="shared" si="4"/>
        <v>0.36675308113051897</v>
      </c>
      <c r="D165">
        <v>0</v>
      </c>
      <c r="E165">
        <f t="shared" si="5"/>
        <v>4.8300015424257686E-2</v>
      </c>
    </row>
    <row r="166" spans="1:5" x14ac:dyDescent="0.25">
      <c r="A166">
        <v>0</v>
      </c>
      <c r="B166">
        <v>-0.39285714285714302</v>
      </c>
      <c r="C166">
        <f t="shared" si="4"/>
        <v>0.37149465093676298</v>
      </c>
      <c r="D166">
        <v>0</v>
      </c>
      <c r="E166">
        <f t="shared" si="5"/>
        <v>4.8300015424257686E-2</v>
      </c>
    </row>
    <row r="167" spans="1:5" x14ac:dyDescent="0.25">
      <c r="A167">
        <v>0</v>
      </c>
      <c r="B167">
        <v>-0.39200000000000002</v>
      </c>
      <c r="C167">
        <f t="shared" si="4"/>
        <v>0.37375478800520517</v>
      </c>
      <c r="D167">
        <v>0</v>
      </c>
      <c r="E167">
        <f t="shared" si="5"/>
        <v>4.8300015424257686E-2</v>
      </c>
    </row>
    <row r="168" spans="1:5" x14ac:dyDescent="0.25">
      <c r="A168">
        <v>0</v>
      </c>
      <c r="B168">
        <v>-0.38927738927738897</v>
      </c>
      <c r="C168">
        <f t="shared" si="4"/>
        <v>0.3809940764552176</v>
      </c>
      <c r="D168">
        <v>0</v>
      </c>
      <c r="E168">
        <f t="shared" si="5"/>
        <v>4.8300015424257686E-2</v>
      </c>
    </row>
    <row r="169" spans="1:5" x14ac:dyDescent="0.25">
      <c r="A169">
        <v>0</v>
      </c>
      <c r="B169">
        <v>-0.38666666666666699</v>
      </c>
      <c r="C169">
        <f t="shared" si="4"/>
        <v>0.3880218713315387</v>
      </c>
      <c r="D169">
        <v>0</v>
      </c>
      <c r="E169">
        <f t="shared" si="5"/>
        <v>4.8300015424257686E-2</v>
      </c>
    </row>
    <row r="170" spans="1:5" x14ac:dyDescent="0.25">
      <c r="A170">
        <v>0</v>
      </c>
      <c r="B170">
        <v>-0.38666666666666699</v>
      </c>
      <c r="C170">
        <f t="shared" si="4"/>
        <v>0.3880218713315387</v>
      </c>
      <c r="D170">
        <v>0</v>
      </c>
      <c r="E170">
        <f t="shared" si="5"/>
        <v>4.8300015424257686E-2</v>
      </c>
    </row>
    <row r="171" spans="1:5" x14ac:dyDescent="0.25">
      <c r="A171">
        <v>0</v>
      </c>
      <c r="B171">
        <v>-0.38551401869158902</v>
      </c>
      <c r="C171">
        <f t="shared" si="4"/>
        <v>0.39115145638158955</v>
      </c>
      <c r="D171">
        <v>0</v>
      </c>
      <c r="E171">
        <f t="shared" si="5"/>
        <v>4.8300015424257686E-2</v>
      </c>
    </row>
    <row r="172" spans="1:5" x14ac:dyDescent="0.25">
      <c r="A172">
        <v>0</v>
      </c>
      <c r="B172">
        <v>-0.38500000000000001</v>
      </c>
      <c r="C172">
        <f t="shared" si="4"/>
        <v>0.39255236696148788</v>
      </c>
      <c r="D172">
        <v>0</v>
      </c>
      <c r="E172">
        <f t="shared" si="5"/>
        <v>4.8300015424257686E-2</v>
      </c>
    </row>
    <row r="173" spans="1:5" x14ac:dyDescent="0.25">
      <c r="A173">
        <v>0</v>
      </c>
      <c r="B173">
        <v>-0.38500000000000001</v>
      </c>
      <c r="C173">
        <f t="shared" si="4"/>
        <v>0.39255236696148788</v>
      </c>
      <c r="D173">
        <v>0</v>
      </c>
      <c r="E173">
        <f t="shared" si="5"/>
        <v>4.8300015424257686E-2</v>
      </c>
    </row>
    <row r="174" spans="1:5" x14ac:dyDescent="0.25">
      <c r="A174">
        <v>0</v>
      </c>
      <c r="B174">
        <v>-0.38400000000000001</v>
      </c>
      <c r="C174">
        <f t="shared" si="4"/>
        <v>0.39528711029635366</v>
      </c>
      <c r="D174">
        <v>0</v>
      </c>
      <c r="E174">
        <f t="shared" si="5"/>
        <v>4.8300015424257686E-2</v>
      </c>
    </row>
    <row r="175" spans="1:5" x14ac:dyDescent="0.25">
      <c r="A175">
        <v>0</v>
      </c>
      <c r="B175">
        <v>-0.38400000000000001</v>
      </c>
      <c r="C175">
        <f t="shared" si="4"/>
        <v>0.39528711029635366</v>
      </c>
      <c r="D175">
        <v>0</v>
      </c>
      <c r="E175">
        <f t="shared" si="5"/>
        <v>4.8300015424257686E-2</v>
      </c>
    </row>
    <row r="176" spans="1:5" x14ac:dyDescent="0.25">
      <c r="A176">
        <v>0</v>
      </c>
      <c r="B176">
        <v>-0.38400000000000001</v>
      </c>
      <c r="C176">
        <f t="shared" si="4"/>
        <v>0.39528711029635366</v>
      </c>
      <c r="D176">
        <v>0</v>
      </c>
      <c r="E176">
        <f t="shared" si="5"/>
        <v>4.8300015424257686E-2</v>
      </c>
    </row>
    <row r="177" spans="1:5" x14ac:dyDescent="0.25">
      <c r="A177">
        <v>0</v>
      </c>
      <c r="B177">
        <v>-0.38317757009345799</v>
      </c>
      <c r="C177">
        <f t="shared" si="4"/>
        <v>0.39754548276139906</v>
      </c>
      <c r="D177">
        <v>0</v>
      </c>
      <c r="E177">
        <f t="shared" si="5"/>
        <v>4.8300015424257686E-2</v>
      </c>
    </row>
    <row r="178" spans="1:5" x14ac:dyDescent="0.25">
      <c r="A178">
        <v>0</v>
      </c>
      <c r="B178">
        <v>-0.38100000000000001</v>
      </c>
      <c r="C178">
        <f t="shared" si="4"/>
        <v>0.40356526728059566</v>
      </c>
      <c r="D178">
        <v>0</v>
      </c>
      <c r="E178">
        <f t="shared" si="5"/>
        <v>4.8300015424257686E-2</v>
      </c>
    </row>
    <row r="179" spans="1:5" x14ac:dyDescent="0.25">
      <c r="A179">
        <v>0</v>
      </c>
      <c r="B179">
        <v>-0.37866666666666698</v>
      </c>
      <c r="C179">
        <f t="shared" si="4"/>
        <v>0.41008038849745798</v>
      </c>
      <c r="D179">
        <v>0</v>
      </c>
      <c r="E179">
        <f t="shared" si="5"/>
        <v>4.8300015424257686E-2</v>
      </c>
    </row>
    <row r="180" spans="1:5" x14ac:dyDescent="0.25">
      <c r="A180">
        <v>0</v>
      </c>
      <c r="B180">
        <v>-0.37837837837837801</v>
      </c>
      <c r="C180">
        <f t="shared" si="4"/>
        <v>0.41088998816784328</v>
      </c>
      <c r="D180">
        <v>0</v>
      </c>
      <c r="E180">
        <f t="shared" si="5"/>
        <v>4.8300015424257686E-2</v>
      </c>
    </row>
    <row r="181" spans="1:5" x14ac:dyDescent="0.25">
      <c r="A181">
        <v>0</v>
      </c>
      <c r="B181">
        <v>-0.37837837837837801</v>
      </c>
      <c r="C181">
        <f t="shared" si="4"/>
        <v>0.41088998816784328</v>
      </c>
      <c r="D181">
        <v>0</v>
      </c>
      <c r="E181">
        <f t="shared" si="5"/>
        <v>4.8300015424257686E-2</v>
      </c>
    </row>
    <row r="182" spans="1:5" x14ac:dyDescent="0.25">
      <c r="A182">
        <v>0</v>
      </c>
      <c r="B182">
        <v>-0.37762237762237799</v>
      </c>
      <c r="C182">
        <f t="shared" si="4"/>
        <v>0.41301790912301778</v>
      </c>
      <c r="D182">
        <v>0</v>
      </c>
      <c r="E182">
        <f t="shared" si="5"/>
        <v>4.8300015424257686E-2</v>
      </c>
    </row>
    <row r="183" spans="1:5" x14ac:dyDescent="0.25">
      <c r="A183">
        <v>0</v>
      </c>
      <c r="B183">
        <v>-0.37733333333333302</v>
      </c>
      <c r="C183">
        <f t="shared" si="4"/>
        <v>0.41383333718445858</v>
      </c>
      <c r="D183">
        <v>0</v>
      </c>
      <c r="E183">
        <f t="shared" si="5"/>
        <v>4.8300015424257686E-2</v>
      </c>
    </row>
    <row r="184" spans="1:5" x14ac:dyDescent="0.25">
      <c r="A184">
        <v>0</v>
      </c>
      <c r="B184">
        <v>-0.37666666666666698</v>
      </c>
      <c r="C184">
        <f t="shared" si="4"/>
        <v>0.41571798884339478</v>
      </c>
      <c r="D184">
        <v>0</v>
      </c>
      <c r="E184">
        <f t="shared" si="5"/>
        <v>4.8300015424257686E-2</v>
      </c>
    </row>
    <row r="185" spans="1:5" x14ac:dyDescent="0.25">
      <c r="A185">
        <v>0</v>
      </c>
      <c r="B185">
        <v>-0.376</v>
      </c>
      <c r="C185">
        <f t="shared" si="4"/>
        <v>0.4176080873607646</v>
      </c>
      <c r="D185">
        <v>0</v>
      </c>
      <c r="E185">
        <f t="shared" si="5"/>
        <v>4.8300015424257686E-2</v>
      </c>
    </row>
    <row r="186" spans="1:5" x14ac:dyDescent="0.25">
      <c r="A186">
        <v>0</v>
      </c>
      <c r="B186">
        <v>-0.375</v>
      </c>
      <c r="C186">
        <f t="shared" si="4"/>
        <v>0.42045343989138856</v>
      </c>
      <c r="D186">
        <v>0</v>
      </c>
      <c r="E186">
        <f t="shared" si="5"/>
        <v>4.8300015424257686E-2</v>
      </c>
    </row>
    <row r="187" spans="1:5" x14ac:dyDescent="0.25">
      <c r="A187">
        <v>0</v>
      </c>
      <c r="B187">
        <v>-0.374</v>
      </c>
      <c r="C187">
        <f t="shared" si="4"/>
        <v>0.42331102648778096</v>
      </c>
      <c r="D187">
        <v>0</v>
      </c>
      <c r="E187">
        <f t="shared" si="5"/>
        <v>4.8300015424257686E-2</v>
      </c>
    </row>
    <row r="188" spans="1:5" x14ac:dyDescent="0.25">
      <c r="A188">
        <v>0</v>
      </c>
      <c r="B188">
        <v>-0.37333333333333302</v>
      </c>
      <c r="C188">
        <f t="shared" si="4"/>
        <v>0.425222874162832</v>
      </c>
      <c r="D188">
        <v>0</v>
      </c>
      <c r="E188">
        <f t="shared" si="5"/>
        <v>4.8300015424257686E-2</v>
      </c>
    </row>
    <row r="189" spans="1:5" x14ac:dyDescent="0.25">
      <c r="A189">
        <v>0</v>
      </c>
      <c r="B189">
        <v>-0.372</v>
      </c>
      <c r="C189">
        <f t="shared" si="4"/>
        <v>0.42906284617650853</v>
      </c>
      <c r="D189">
        <v>0</v>
      </c>
      <c r="E189">
        <f t="shared" si="5"/>
        <v>4.8300015424257686E-2</v>
      </c>
    </row>
    <row r="190" spans="1:5" x14ac:dyDescent="0.25">
      <c r="A190">
        <v>0</v>
      </c>
      <c r="B190">
        <v>-0.372</v>
      </c>
      <c r="C190">
        <f t="shared" si="4"/>
        <v>0.42906284617650853</v>
      </c>
      <c r="D190">
        <v>0</v>
      </c>
      <c r="E190">
        <f t="shared" si="5"/>
        <v>4.8300015424257686E-2</v>
      </c>
    </row>
    <row r="191" spans="1:5" x14ac:dyDescent="0.25">
      <c r="A191">
        <v>0</v>
      </c>
      <c r="B191">
        <v>-0.37066666666666698</v>
      </c>
      <c r="C191">
        <f t="shared" si="4"/>
        <v>0.43292449042241687</v>
      </c>
      <c r="D191">
        <v>0</v>
      </c>
      <c r="E191">
        <f t="shared" si="5"/>
        <v>4.8300015424257686E-2</v>
      </c>
    </row>
    <row r="192" spans="1:5" x14ac:dyDescent="0.25">
      <c r="A192">
        <v>0</v>
      </c>
      <c r="B192">
        <v>-0.37037037037037002</v>
      </c>
      <c r="C192">
        <f t="shared" si="4"/>
        <v>0.43378557295485654</v>
      </c>
      <c r="D192">
        <v>0</v>
      </c>
      <c r="E192">
        <f t="shared" si="5"/>
        <v>4.8300015424257686E-2</v>
      </c>
    </row>
    <row r="193" spans="1:5" x14ac:dyDescent="0.25">
      <c r="A193">
        <v>0</v>
      </c>
      <c r="B193">
        <v>-0.37</v>
      </c>
      <c r="C193">
        <f t="shared" si="4"/>
        <v>0.43486342785253695</v>
      </c>
      <c r="D193">
        <v>0</v>
      </c>
      <c r="E193">
        <f t="shared" si="5"/>
        <v>4.8300015424257686E-2</v>
      </c>
    </row>
    <row r="194" spans="1:5" x14ac:dyDescent="0.25">
      <c r="A194">
        <v>0</v>
      </c>
      <c r="B194">
        <v>-0.36936936936936898</v>
      </c>
      <c r="C194">
        <f t="shared" ref="C194:C257" si="6">_xlfn.NORM.DIST(B194,I$10,I$13,FALSE)</f>
        <v>0.43670253133505504</v>
      </c>
      <c r="D194">
        <v>0</v>
      </c>
      <c r="E194">
        <f t="shared" si="5"/>
        <v>4.8300015424257686E-2</v>
      </c>
    </row>
    <row r="195" spans="1:5" x14ac:dyDescent="0.25">
      <c r="A195">
        <v>0</v>
      </c>
      <c r="B195">
        <v>-0.36799999999999999</v>
      </c>
      <c r="C195">
        <f t="shared" si="6"/>
        <v>0.44071264138095279</v>
      </c>
      <c r="D195">
        <v>0</v>
      </c>
      <c r="E195">
        <f t="shared" ref="E195:E258" si="7">_xlfn.NORM.DIST(D195,I$4,I$7,FALSE)</f>
        <v>4.8300015424257686E-2</v>
      </c>
    </row>
    <row r="196" spans="1:5" x14ac:dyDescent="0.25">
      <c r="A196">
        <v>0</v>
      </c>
      <c r="B196">
        <v>-0.36533333333333301</v>
      </c>
      <c r="C196">
        <f t="shared" si="6"/>
        <v>0.44858699548843856</v>
      </c>
      <c r="D196">
        <v>0</v>
      </c>
      <c r="E196">
        <f t="shared" si="7"/>
        <v>4.8300015424257686E-2</v>
      </c>
    </row>
    <row r="197" spans="1:5" x14ac:dyDescent="0.25">
      <c r="A197">
        <v>0</v>
      </c>
      <c r="B197">
        <v>-0.36499999999999999</v>
      </c>
      <c r="C197">
        <f t="shared" si="6"/>
        <v>0.44957733295034052</v>
      </c>
      <c r="D197">
        <v>0</v>
      </c>
      <c r="E197">
        <f t="shared" si="7"/>
        <v>4.8300015424257686E-2</v>
      </c>
    </row>
    <row r="198" spans="1:5" x14ac:dyDescent="0.25">
      <c r="A198">
        <v>0</v>
      </c>
      <c r="B198">
        <v>-0.36448598130841098</v>
      </c>
      <c r="C198">
        <f t="shared" si="6"/>
        <v>0.45110711584989266</v>
      </c>
      <c r="D198">
        <v>0</v>
      </c>
      <c r="E198">
        <f t="shared" si="7"/>
        <v>4.8300015424257686E-2</v>
      </c>
    </row>
    <row r="199" spans="1:5" x14ac:dyDescent="0.25">
      <c r="A199">
        <v>0</v>
      </c>
      <c r="B199">
        <v>-0.36399999999999999</v>
      </c>
      <c r="C199">
        <f t="shared" si="6"/>
        <v>0.45255638492991801</v>
      </c>
      <c r="D199">
        <v>0</v>
      </c>
      <c r="E199">
        <f t="shared" si="7"/>
        <v>4.8300015424257686E-2</v>
      </c>
    </row>
    <row r="200" spans="1:5" x14ac:dyDescent="0.25">
      <c r="A200">
        <v>0</v>
      </c>
      <c r="B200">
        <v>-0.36333333333333301</v>
      </c>
      <c r="C200">
        <f t="shared" si="6"/>
        <v>0.45454911141967275</v>
      </c>
      <c r="D200">
        <v>0</v>
      </c>
      <c r="E200">
        <f t="shared" si="7"/>
        <v>4.8300015424257686E-2</v>
      </c>
    </row>
    <row r="201" spans="1:5" x14ac:dyDescent="0.25">
      <c r="A201">
        <v>0</v>
      </c>
      <c r="B201">
        <v>-0.36166666666666702</v>
      </c>
      <c r="C201">
        <f t="shared" si="6"/>
        <v>0.45955430193755836</v>
      </c>
      <c r="D201">
        <v>0</v>
      </c>
      <c r="E201">
        <f t="shared" si="7"/>
        <v>4.8300015424257686E-2</v>
      </c>
    </row>
    <row r="202" spans="1:5" x14ac:dyDescent="0.25">
      <c r="A202">
        <v>0</v>
      </c>
      <c r="B202">
        <v>-0.36</v>
      </c>
      <c r="C202">
        <f t="shared" si="6"/>
        <v>0.46459280000030267</v>
      </c>
      <c r="D202">
        <v>0</v>
      </c>
      <c r="E202">
        <f t="shared" si="7"/>
        <v>4.8300015424257686E-2</v>
      </c>
    </row>
    <row r="203" spans="1:5" x14ac:dyDescent="0.25">
      <c r="A203">
        <v>0</v>
      </c>
      <c r="B203">
        <v>-0.36</v>
      </c>
      <c r="C203">
        <f t="shared" si="6"/>
        <v>0.46459280000030267</v>
      </c>
      <c r="D203">
        <v>0</v>
      </c>
      <c r="E203">
        <f t="shared" si="7"/>
        <v>4.8300015424257686E-2</v>
      </c>
    </row>
    <row r="204" spans="1:5" x14ac:dyDescent="0.25">
      <c r="A204">
        <v>0</v>
      </c>
      <c r="B204">
        <v>-0.35981308411215002</v>
      </c>
      <c r="C204">
        <f t="shared" si="6"/>
        <v>0.46515993759101854</v>
      </c>
      <c r="D204">
        <v>0</v>
      </c>
      <c r="E204">
        <f t="shared" si="7"/>
        <v>4.8300015424257686E-2</v>
      </c>
    </row>
    <row r="205" spans="1:5" x14ac:dyDescent="0.25">
      <c r="A205">
        <v>0</v>
      </c>
      <c r="B205">
        <v>-0.358333333333333</v>
      </c>
      <c r="C205">
        <f t="shared" si="6"/>
        <v>0.46966449524049297</v>
      </c>
      <c r="D205">
        <v>0</v>
      </c>
      <c r="E205">
        <f t="shared" si="7"/>
        <v>4.8300015424257686E-2</v>
      </c>
    </row>
    <row r="206" spans="1:5" x14ac:dyDescent="0.25">
      <c r="A206">
        <v>0</v>
      </c>
      <c r="B206">
        <v>-0.357333333333333</v>
      </c>
      <c r="C206">
        <f t="shared" si="6"/>
        <v>0.47272339890657677</v>
      </c>
      <c r="D206">
        <v>0</v>
      </c>
      <c r="E206">
        <f t="shared" si="7"/>
        <v>4.8300015424257686E-2</v>
      </c>
    </row>
    <row r="207" spans="1:5" x14ac:dyDescent="0.25">
      <c r="A207">
        <v>0</v>
      </c>
      <c r="B207">
        <v>-0.35699999999999998</v>
      </c>
      <c r="C207">
        <f t="shared" si="6"/>
        <v>0.4737456754634633</v>
      </c>
      <c r="D207">
        <v>0</v>
      </c>
      <c r="E207">
        <f t="shared" si="7"/>
        <v>4.8300015424257686E-2</v>
      </c>
    </row>
    <row r="208" spans="1:5" x14ac:dyDescent="0.25">
      <c r="A208">
        <v>0</v>
      </c>
      <c r="B208">
        <v>-0.35599999999999998</v>
      </c>
      <c r="C208">
        <f t="shared" si="6"/>
        <v>0.47682041731621305</v>
      </c>
      <c r="D208">
        <v>0</v>
      </c>
      <c r="E208">
        <f t="shared" si="7"/>
        <v>4.8300015424257686E-2</v>
      </c>
    </row>
    <row r="209" spans="1:5" x14ac:dyDescent="0.25">
      <c r="A209">
        <v>0</v>
      </c>
      <c r="B209">
        <v>-0.355333333333333</v>
      </c>
      <c r="C209">
        <f t="shared" si="6"/>
        <v>0.47887682861434011</v>
      </c>
      <c r="D209">
        <v>0</v>
      </c>
      <c r="E209">
        <f t="shared" si="7"/>
        <v>4.8300015424257686E-2</v>
      </c>
    </row>
    <row r="210" spans="1:5" x14ac:dyDescent="0.25">
      <c r="A210">
        <v>0</v>
      </c>
      <c r="B210">
        <v>-0.355140186915888</v>
      </c>
      <c r="C210">
        <f t="shared" si="6"/>
        <v>0.47947359387579003</v>
      </c>
      <c r="D210">
        <v>0</v>
      </c>
      <c r="E210">
        <f t="shared" si="7"/>
        <v>4.8300015424257686E-2</v>
      </c>
    </row>
    <row r="211" spans="1:5" x14ac:dyDescent="0.25">
      <c r="A211">
        <v>0</v>
      </c>
      <c r="B211">
        <v>-0.35466666666666702</v>
      </c>
      <c r="C211">
        <f t="shared" si="6"/>
        <v>0.48093849703391917</v>
      </c>
      <c r="D211">
        <v>0</v>
      </c>
      <c r="E211">
        <f t="shared" si="7"/>
        <v>4.8300015424257686E-2</v>
      </c>
    </row>
    <row r="212" spans="1:5" x14ac:dyDescent="0.25">
      <c r="A212">
        <v>0</v>
      </c>
      <c r="B212">
        <v>-0.35329341317365298</v>
      </c>
      <c r="C212">
        <f t="shared" si="6"/>
        <v>0.48520181886323172</v>
      </c>
      <c r="D212">
        <v>0</v>
      </c>
      <c r="E212">
        <f t="shared" si="7"/>
        <v>4.8300015424257686E-2</v>
      </c>
    </row>
    <row r="213" spans="1:5" x14ac:dyDescent="0.25">
      <c r="A213">
        <v>0</v>
      </c>
      <c r="B213">
        <v>-0.35199999999999998</v>
      </c>
      <c r="C213">
        <f t="shared" si="6"/>
        <v>0.4892375716404247</v>
      </c>
      <c r="D213">
        <v>0</v>
      </c>
      <c r="E213">
        <f t="shared" si="7"/>
        <v>4.8300015424257686E-2</v>
      </c>
    </row>
    <row r="214" spans="1:5" x14ac:dyDescent="0.25">
      <c r="A214">
        <v>0</v>
      </c>
      <c r="B214">
        <v>-0.35199999999999998</v>
      </c>
      <c r="C214">
        <f t="shared" si="6"/>
        <v>0.4892375716404247</v>
      </c>
      <c r="D214">
        <v>0</v>
      </c>
      <c r="E214">
        <f t="shared" si="7"/>
        <v>4.8300015424257686E-2</v>
      </c>
    </row>
    <row r="215" spans="1:5" x14ac:dyDescent="0.25">
      <c r="A215">
        <v>0</v>
      </c>
      <c r="B215">
        <v>-0.35106382978723399</v>
      </c>
      <c r="C215">
        <f t="shared" si="6"/>
        <v>0.49217088867337305</v>
      </c>
      <c r="D215">
        <v>0</v>
      </c>
      <c r="E215">
        <f t="shared" si="7"/>
        <v>4.8300015424257686E-2</v>
      </c>
    </row>
    <row r="216" spans="1:5" x14ac:dyDescent="0.25">
      <c r="A216">
        <v>0</v>
      </c>
      <c r="B216">
        <v>-0.35066666666666702</v>
      </c>
      <c r="C216">
        <f t="shared" si="6"/>
        <v>0.49341842595474245</v>
      </c>
      <c r="D216">
        <v>0</v>
      </c>
      <c r="E216">
        <f t="shared" si="7"/>
        <v>4.8300015424257686E-2</v>
      </c>
    </row>
    <row r="217" spans="1:5" x14ac:dyDescent="0.25">
      <c r="A217">
        <v>0</v>
      </c>
      <c r="B217">
        <v>-0.35</v>
      </c>
      <c r="C217">
        <f t="shared" si="6"/>
        <v>0.49551665038683013</v>
      </c>
      <c r="D217">
        <v>0</v>
      </c>
      <c r="E217">
        <f t="shared" si="7"/>
        <v>4.8300015424257686E-2</v>
      </c>
    </row>
    <row r="218" spans="1:5" x14ac:dyDescent="0.25">
      <c r="A218">
        <v>0</v>
      </c>
      <c r="B218">
        <v>-0.349333333333333</v>
      </c>
      <c r="C218">
        <f t="shared" si="6"/>
        <v>0.49762006040252027</v>
      </c>
      <c r="D218">
        <v>0</v>
      </c>
      <c r="E218">
        <f t="shared" si="7"/>
        <v>4.8300015424257686E-2</v>
      </c>
    </row>
    <row r="219" spans="1:5" x14ac:dyDescent="0.25">
      <c r="A219">
        <v>0</v>
      </c>
      <c r="B219">
        <v>-0.349333333333333</v>
      </c>
      <c r="C219">
        <f t="shared" si="6"/>
        <v>0.49762006040252027</v>
      </c>
      <c r="D219">
        <v>0</v>
      </c>
      <c r="E219">
        <f t="shared" si="7"/>
        <v>4.8300015424257686E-2</v>
      </c>
    </row>
    <row r="220" spans="1:5" x14ac:dyDescent="0.25">
      <c r="A220">
        <v>0</v>
      </c>
      <c r="B220">
        <v>-0.348333333333333</v>
      </c>
      <c r="C220">
        <f t="shared" si="6"/>
        <v>0.50078487725067711</v>
      </c>
      <c r="D220">
        <v>0</v>
      </c>
      <c r="E220">
        <f t="shared" si="7"/>
        <v>4.8300015424257686E-2</v>
      </c>
    </row>
    <row r="221" spans="1:5" x14ac:dyDescent="0.25">
      <c r="A221">
        <v>0</v>
      </c>
      <c r="B221">
        <v>-0.34799999999999998</v>
      </c>
      <c r="C221">
        <f t="shared" si="6"/>
        <v>0.50184239844133394</v>
      </c>
      <c r="D221">
        <v>0</v>
      </c>
      <c r="E221">
        <f t="shared" si="7"/>
        <v>4.8300015424257686E-2</v>
      </c>
    </row>
    <row r="222" spans="1:5" x14ac:dyDescent="0.25">
      <c r="A222">
        <v>0</v>
      </c>
      <c r="B222">
        <v>-0.34666666666666701</v>
      </c>
      <c r="C222">
        <f t="shared" si="6"/>
        <v>0.5060853610045446</v>
      </c>
      <c r="D222">
        <v>0</v>
      </c>
      <c r="E222">
        <f t="shared" si="7"/>
        <v>4.8300015424257686E-2</v>
      </c>
    </row>
    <row r="223" spans="1:5" x14ac:dyDescent="0.25">
      <c r="A223">
        <v>0</v>
      </c>
      <c r="B223">
        <v>-0.34666666666666701</v>
      </c>
      <c r="C223">
        <f t="shared" si="6"/>
        <v>0.5060853610045446</v>
      </c>
      <c r="D223">
        <v>0</v>
      </c>
      <c r="E223">
        <f t="shared" si="7"/>
        <v>4.8300015424257686E-2</v>
      </c>
    </row>
    <row r="224" spans="1:5" x14ac:dyDescent="0.25">
      <c r="A224">
        <v>0</v>
      </c>
      <c r="B224">
        <v>-0.34599999999999997</v>
      </c>
      <c r="C224">
        <f t="shared" si="6"/>
        <v>0.50821455108132962</v>
      </c>
      <c r="D224">
        <v>0</v>
      </c>
      <c r="E224">
        <f t="shared" si="7"/>
        <v>4.8300015424257686E-2</v>
      </c>
    </row>
    <row r="225" spans="1:5" x14ac:dyDescent="0.25">
      <c r="A225">
        <v>0</v>
      </c>
      <c r="B225">
        <v>-0.34579439252336402</v>
      </c>
      <c r="C225">
        <f t="shared" si="6"/>
        <v>0.50887225177871975</v>
      </c>
      <c r="D225">
        <v>0</v>
      </c>
      <c r="E225">
        <f t="shared" si="7"/>
        <v>4.8300015424257686E-2</v>
      </c>
    </row>
    <row r="226" spans="1:5" x14ac:dyDescent="0.25">
      <c r="A226">
        <v>0</v>
      </c>
      <c r="B226">
        <v>-0.34499999999999997</v>
      </c>
      <c r="C226">
        <f t="shared" si="6"/>
        <v>0.51141794288690168</v>
      </c>
      <c r="D226">
        <v>0</v>
      </c>
      <c r="E226">
        <f t="shared" si="7"/>
        <v>4.8300015424257686E-2</v>
      </c>
    </row>
    <row r="227" spans="1:5" x14ac:dyDescent="0.25">
      <c r="A227">
        <v>0</v>
      </c>
      <c r="B227">
        <v>-0.34499999999999997</v>
      </c>
      <c r="C227">
        <f t="shared" si="6"/>
        <v>0.51141794288690168</v>
      </c>
      <c r="D227">
        <v>0</v>
      </c>
      <c r="E227">
        <f t="shared" si="7"/>
        <v>4.8300015424257686E-2</v>
      </c>
    </row>
    <row r="228" spans="1:5" x14ac:dyDescent="0.25">
      <c r="A228">
        <v>0</v>
      </c>
      <c r="B228">
        <v>-0.34482758620689702</v>
      </c>
      <c r="C228">
        <f t="shared" si="6"/>
        <v>0.51197141474009322</v>
      </c>
      <c r="D228">
        <v>0</v>
      </c>
      <c r="E228">
        <f t="shared" si="7"/>
        <v>4.8300015424257686E-2</v>
      </c>
    </row>
    <row r="229" spans="1:5" x14ac:dyDescent="0.25">
      <c r="A229">
        <v>0</v>
      </c>
      <c r="B229">
        <v>-0.34431137724550898</v>
      </c>
      <c r="C229">
        <f t="shared" si="6"/>
        <v>0.51363055751883036</v>
      </c>
      <c r="D229">
        <v>0</v>
      </c>
      <c r="E229">
        <f t="shared" si="7"/>
        <v>4.8300015424257686E-2</v>
      </c>
    </row>
    <row r="230" spans="1:5" x14ac:dyDescent="0.25">
      <c r="A230">
        <v>0</v>
      </c>
      <c r="B230">
        <v>-0.34399999999999997</v>
      </c>
      <c r="C230">
        <f t="shared" si="6"/>
        <v>0.5146328307454977</v>
      </c>
      <c r="D230">
        <v>0</v>
      </c>
      <c r="E230">
        <f t="shared" si="7"/>
        <v>4.8300015424257686E-2</v>
      </c>
    </row>
    <row r="231" spans="1:5" x14ac:dyDescent="0.25">
      <c r="A231">
        <v>0</v>
      </c>
      <c r="B231">
        <v>-0.34399999999999997</v>
      </c>
      <c r="C231">
        <f t="shared" si="6"/>
        <v>0.5146328307454977</v>
      </c>
      <c r="D231">
        <v>0</v>
      </c>
      <c r="E231">
        <f t="shared" si="7"/>
        <v>4.8300015424257686E-2</v>
      </c>
    </row>
    <row r="232" spans="1:5" x14ac:dyDescent="0.25">
      <c r="A232">
        <v>0</v>
      </c>
      <c r="B232">
        <v>-0.34333333333333299</v>
      </c>
      <c r="C232">
        <f t="shared" si="6"/>
        <v>0.51678245791631028</v>
      </c>
      <c r="D232">
        <v>0</v>
      </c>
      <c r="E232">
        <f t="shared" si="7"/>
        <v>4.8300015424257686E-2</v>
      </c>
    </row>
    <row r="233" spans="1:5" x14ac:dyDescent="0.25">
      <c r="A233">
        <v>0</v>
      </c>
      <c r="B233">
        <v>-0.34266666666666701</v>
      </c>
      <c r="C233">
        <f t="shared" si="6"/>
        <v>0.51893716706335324</v>
      </c>
      <c r="D233">
        <v>0</v>
      </c>
      <c r="E233">
        <f t="shared" si="7"/>
        <v>4.8300015424257686E-2</v>
      </c>
    </row>
    <row r="234" spans="1:5" x14ac:dyDescent="0.25">
      <c r="A234">
        <v>0</v>
      </c>
      <c r="B234">
        <v>-0.34266666666666701</v>
      </c>
      <c r="C234">
        <f t="shared" si="6"/>
        <v>0.51893716706335324</v>
      </c>
      <c r="D234">
        <v>0</v>
      </c>
      <c r="E234">
        <f t="shared" si="7"/>
        <v>4.8300015424257686E-2</v>
      </c>
    </row>
    <row r="235" spans="1:5" x14ac:dyDescent="0.25">
      <c r="A235">
        <v>0</v>
      </c>
      <c r="B235">
        <v>-0.34265734265734299</v>
      </c>
      <c r="C235">
        <f t="shared" si="6"/>
        <v>0.51896733883763635</v>
      </c>
      <c r="D235">
        <v>0</v>
      </c>
      <c r="E235">
        <f t="shared" si="7"/>
        <v>4.8300015424257686E-2</v>
      </c>
    </row>
    <row r="236" spans="1:5" x14ac:dyDescent="0.25">
      <c r="A236">
        <v>0</v>
      </c>
      <c r="B236">
        <v>-0.34200000000000003</v>
      </c>
      <c r="C236">
        <f t="shared" si="6"/>
        <v>0.52109694694630004</v>
      </c>
      <c r="D236">
        <v>0</v>
      </c>
      <c r="E236">
        <f t="shared" si="7"/>
        <v>4.8300015424257686E-2</v>
      </c>
    </row>
    <row r="237" spans="1:5" x14ac:dyDescent="0.25">
      <c r="A237">
        <v>0</v>
      </c>
      <c r="B237">
        <v>-0.34066666666666701</v>
      </c>
      <c r="C237">
        <f t="shared" si="6"/>
        <v>0.52543167315173656</v>
      </c>
      <c r="D237">
        <v>0</v>
      </c>
      <c r="E237">
        <f t="shared" si="7"/>
        <v>4.8300015424257686E-2</v>
      </c>
    </row>
    <row r="238" spans="1:5" x14ac:dyDescent="0.25">
      <c r="A238">
        <v>0</v>
      </c>
      <c r="B238">
        <v>-0.34</v>
      </c>
      <c r="C238">
        <f t="shared" si="6"/>
        <v>0.52760659618576</v>
      </c>
      <c r="D238">
        <v>0</v>
      </c>
      <c r="E238">
        <f t="shared" si="7"/>
        <v>4.8300015424257686E-2</v>
      </c>
    </row>
    <row r="239" spans="1:5" x14ac:dyDescent="0.25">
      <c r="A239">
        <v>0</v>
      </c>
      <c r="B239">
        <v>-0.34</v>
      </c>
      <c r="C239">
        <f t="shared" si="6"/>
        <v>0.52760659618576</v>
      </c>
      <c r="D239">
        <v>0</v>
      </c>
      <c r="E239">
        <f t="shared" si="7"/>
        <v>4.8300015424257686E-2</v>
      </c>
    </row>
    <row r="240" spans="1:5" x14ac:dyDescent="0.25">
      <c r="A240">
        <v>0</v>
      </c>
      <c r="B240">
        <v>-0.33823529411764702</v>
      </c>
      <c r="C240">
        <f t="shared" si="6"/>
        <v>0.53338796494968777</v>
      </c>
      <c r="D240">
        <v>0</v>
      </c>
      <c r="E240">
        <f t="shared" si="7"/>
        <v>4.8300015424257686E-2</v>
      </c>
    </row>
    <row r="241" spans="1:5" x14ac:dyDescent="0.25">
      <c r="A241">
        <v>0</v>
      </c>
      <c r="B241">
        <v>-0.33799533799533799</v>
      </c>
      <c r="C241">
        <f t="shared" si="6"/>
        <v>0.53417679384992511</v>
      </c>
      <c r="D241">
        <v>0</v>
      </c>
      <c r="E241">
        <f t="shared" si="7"/>
        <v>4.8300015424257686E-2</v>
      </c>
    </row>
    <row r="242" spans="1:5" x14ac:dyDescent="0.25">
      <c r="A242">
        <v>0</v>
      </c>
      <c r="B242">
        <v>-0.33700000000000002</v>
      </c>
      <c r="C242">
        <f t="shared" si="6"/>
        <v>0.53745574835462728</v>
      </c>
      <c r="D242">
        <v>0</v>
      </c>
      <c r="E242">
        <f t="shared" si="7"/>
        <v>4.8300015424257686E-2</v>
      </c>
    </row>
    <row r="243" spans="1:5" x14ac:dyDescent="0.25">
      <c r="A243">
        <v>0</v>
      </c>
      <c r="B243">
        <v>-0.33644859813084099</v>
      </c>
      <c r="C243">
        <f t="shared" si="6"/>
        <v>0.53927700852127769</v>
      </c>
      <c r="D243">
        <v>0</v>
      </c>
      <c r="E243">
        <f t="shared" si="7"/>
        <v>4.8300015424257686E-2</v>
      </c>
    </row>
    <row r="244" spans="1:5" x14ac:dyDescent="0.25">
      <c r="A244">
        <v>0</v>
      </c>
      <c r="B244">
        <v>-0.33600000000000002</v>
      </c>
      <c r="C244">
        <f t="shared" si="6"/>
        <v>0.54076121425485491</v>
      </c>
      <c r="D244">
        <v>0</v>
      </c>
      <c r="E244">
        <f t="shared" si="7"/>
        <v>4.8300015424257686E-2</v>
      </c>
    </row>
    <row r="245" spans="1:5" x14ac:dyDescent="0.25">
      <c r="A245">
        <v>0</v>
      </c>
      <c r="B245">
        <v>-0.33500000000000002</v>
      </c>
      <c r="C245">
        <f t="shared" si="6"/>
        <v>0.54407781628580509</v>
      </c>
      <c r="D245">
        <v>0</v>
      </c>
      <c r="E245">
        <f t="shared" si="7"/>
        <v>4.8300015424257686E-2</v>
      </c>
    </row>
    <row r="246" spans="1:5" x14ac:dyDescent="0.25">
      <c r="A246">
        <v>0</v>
      </c>
      <c r="B246">
        <v>-0.33333333333333298</v>
      </c>
      <c r="C246">
        <f t="shared" si="6"/>
        <v>0.54963011308062637</v>
      </c>
      <c r="D246">
        <v>0</v>
      </c>
      <c r="E246">
        <f t="shared" si="7"/>
        <v>4.8300015424257686E-2</v>
      </c>
    </row>
    <row r="247" spans="1:5" x14ac:dyDescent="0.25">
      <c r="A247">
        <v>0</v>
      </c>
      <c r="B247">
        <v>-0.33200000000000002</v>
      </c>
      <c r="C247">
        <f t="shared" si="6"/>
        <v>0.5540939937742283</v>
      </c>
      <c r="D247">
        <v>0</v>
      </c>
      <c r="E247">
        <f t="shared" si="7"/>
        <v>4.8300015424257686E-2</v>
      </c>
    </row>
    <row r="248" spans="1:5" x14ac:dyDescent="0.25">
      <c r="A248">
        <v>0</v>
      </c>
      <c r="B248">
        <v>-0.33177570093457898</v>
      </c>
      <c r="C248">
        <f t="shared" si="6"/>
        <v>0.55484684364677084</v>
      </c>
      <c r="D248">
        <v>0</v>
      </c>
      <c r="E248">
        <f t="shared" si="7"/>
        <v>4.8300015424257686E-2</v>
      </c>
    </row>
    <row r="249" spans="1:5" x14ac:dyDescent="0.25">
      <c r="A249">
        <v>0</v>
      </c>
      <c r="B249">
        <v>-0.33100000000000002</v>
      </c>
      <c r="C249">
        <f t="shared" si="6"/>
        <v>0.55745469076015042</v>
      </c>
      <c r="D249">
        <v>0</v>
      </c>
      <c r="E249">
        <f t="shared" si="7"/>
        <v>4.8300015424257686E-2</v>
      </c>
    </row>
    <row r="250" spans="1:5" x14ac:dyDescent="0.25">
      <c r="A250">
        <v>0</v>
      </c>
      <c r="B250">
        <v>-0.330666666666667</v>
      </c>
      <c r="C250">
        <f t="shared" si="6"/>
        <v>0.55857734927072122</v>
      </c>
      <c r="D250">
        <v>0</v>
      </c>
      <c r="E250">
        <f t="shared" si="7"/>
        <v>4.8300015424257686E-2</v>
      </c>
    </row>
    <row r="251" spans="1:5" x14ac:dyDescent="0.25">
      <c r="A251">
        <v>0</v>
      </c>
      <c r="B251">
        <v>-0.33043478260869602</v>
      </c>
      <c r="C251">
        <f t="shared" si="6"/>
        <v>0.55935904293887562</v>
      </c>
      <c r="D251">
        <v>0</v>
      </c>
      <c r="E251">
        <f t="shared" si="7"/>
        <v>4.8300015424257686E-2</v>
      </c>
    </row>
    <row r="252" spans="1:5" x14ac:dyDescent="0.25">
      <c r="A252">
        <v>0</v>
      </c>
      <c r="B252">
        <v>-0.33033033033032999</v>
      </c>
      <c r="C252">
        <f t="shared" si="6"/>
        <v>0.55971134835349801</v>
      </c>
      <c r="D252">
        <v>0</v>
      </c>
      <c r="E252">
        <f t="shared" si="7"/>
        <v>4.8300015424257686E-2</v>
      </c>
    </row>
    <row r="253" spans="1:5" x14ac:dyDescent="0.25">
      <c r="A253">
        <v>0</v>
      </c>
      <c r="B253">
        <v>-0.33</v>
      </c>
      <c r="C253">
        <f t="shared" si="6"/>
        <v>0.56082629490669478</v>
      </c>
      <c r="D253">
        <v>0</v>
      </c>
      <c r="E253">
        <f t="shared" si="7"/>
        <v>4.8300015424257686E-2</v>
      </c>
    </row>
    <row r="254" spans="1:5" x14ac:dyDescent="0.25">
      <c r="A254">
        <v>0</v>
      </c>
      <c r="B254">
        <v>-0.32933333333333298</v>
      </c>
      <c r="C254">
        <f t="shared" si="6"/>
        <v>0.56308006671474187</v>
      </c>
      <c r="D254">
        <v>0</v>
      </c>
      <c r="E254">
        <f t="shared" si="7"/>
        <v>4.8300015424257686E-2</v>
      </c>
    </row>
    <row r="255" spans="1:5" x14ac:dyDescent="0.25">
      <c r="A255">
        <v>0</v>
      </c>
      <c r="B255">
        <v>-0.32867132867132898</v>
      </c>
      <c r="C255">
        <f t="shared" si="6"/>
        <v>0.56532283920932414</v>
      </c>
      <c r="D255">
        <v>0</v>
      </c>
      <c r="E255">
        <f t="shared" si="7"/>
        <v>4.8300015424257686E-2</v>
      </c>
    </row>
    <row r="256" spans="1:5" x14ac:dyDescent="0.25">
      <c r="A256">
        <v>0</v>
      </c>
      <c r="B256">
        <v>-0.32867132867132898</v>
      </c>
      <c r="C256">
        <f t="shared" si="6"/>
        <v>0.56532283920932414</v>
      </c>
      <c r="D256">
        <v>0</v>
      </c>
      <c r="E256">
        <f t="shared" si="7"/>
        <v>4.8300015424257686E-2</v>
      </c>
    </row>
    <row r="257" spans="1:5" x14ac:dyDescent="0.25">
      <c r="A257">
        <v>0</v>
      </c>
      <c r="B257">
        <v>-0.32833333333333298</v>
      </c>
      <c r="C257">
        <f t="shared" si="6"/>
        <v>0.5664697416844956</v>
      </c>
      <c r="D257">
        <v>0</v>
      </c>
      <c r="E257">
        <f t="shared" si="7"/>
        <v>4.8300015424257686E-2</v>
      </c>
    </row>
    <row r="258" spans="1:5" x14ac:dyDescent="0.25">
      <c r="A258">
        <v>0</v>
      </c>
      <c r="B258">
        <v>-0.32800000000000001</v>
      </c>
      <c r="C258">
        <f t="shared" ref="C258:C321" si="8">_xlfn.NORM.DIST(B258,I$10,I$13,FALSE)</f>
        <v>0.56760203058766423</v>
      </c>
      <c r="D258">
        <v>0</v>
      </c>
      <c r="E258">
        <f t="shared" si="7"/>
        <v>4.8300015424257686E-2</v>
      </c>
    </row>
    <row r="259" spans="1:5" x14ac:dyDescent="0.25">
      <c r="A259">
        <v>0</v>
      </c>
      <c r="B259">
        <v>-0.326340326340326</v>
      </c>
      <c r="C259">
        <f t="shared" si="8"/>
        <v>0.57325747890093415</v>
      </c>
      <c r="D259">
        <v>0</v>
      </c>
      <c r="E259">
        <f t="shared" ref="E259:E322" si="9">_xlfn.NORM.DIST(D259,I$4,I$7,FALSE)</f>
        <v>4.8300015424257686E-2</v>
      </c>
    </row>
    <row r="260" spans="1:5" x14ac:dyDescent="0.25">
      <c r="A260">
        <v>0</v>
      </c>
      <c r="B260">
        <v>-0.32600000000000001</v>
      </c>
      <c r="C260">
        <f t="shared" si="8"/>
        <v>0.57442080417985664</v>
      </c>
      <c r="D260">
        <v>0</v>
      </c>
      <c r="E260">
        <f t="shared" si="9"/>
        <v>4.8300015424257686E-2</v>
      </c>
    </row>
    <row r="261" spans="1:5" x14ac:dyDescent="0.25">
      <c r="A261">
        <v>0</v>
      </c>
      <c r="B261">
        <v>-0.32500000000000001</v>
      </c>
      <c r="C261">
        <f t="shared" si="8"/>
        <v>0.57784620253797991</v>
      </c>
      <c r="D261">
        <v>0</v>
      </c>
      <c r="E261">
        <f t="shared" si="9"/>
        <v>4.8300015424257686E-2</v>
      </c>
    </row>
    <row r="262" spans="1:5" x14ac:dyDescent="0.25">
      <c r="A262">
        <v>0</v>
      </c>
      <c r="B262">
        <v>-0.32476635514018698</v>
      </c>
      <c r="C262">
        <f t="shared" si="8"/>
        <v>0.57864805951552978</v>
      </c>
      <c r="D262">
        <v>0</v>
      </c>
      <c r="E262">
        <f t="shared" si="9"/>
        <v>4.8300015424257686E-2</v>
      </c>
    </row>
    <row r="263" spans="1:5" x14ac:dyDescent="0.25">
      <c r="A263">
        <v>0</v>
      </c>
      <c r="B263">
        <v>-0.32400932400932397</v>
      </c>
      <c r="C263">
        <f t="shared" si="8"/>
        <v>0.58125011935085158</v>
      </c>
      <c r="D263">
        <v>0</v>
      </c>
      <c r="E263">
        <f t="shared" si="9"/>
        <v>4.8300015424257686E-2</v>
      </c>
    </row>
    <row r="264" spans="1:5" x14ac:dyDescent="0.25">
      <c r="A264">
        <v>0</v>
      </c>
      <c r="B264">
        <v>-0.32400000000000001</v>
      </c>
      <c r="C264">
        <f t="shared" si="8"/>
        <v>0.58128220548910381</v>
      </c>
      <c r="D264">
        <v>0</v>
      </c>
      <c r="E264">
        <f t="shared" si="9"/>
        <v>4.8300015424257686E-2</v>
      </c>
    </row>
    <row r="265" spans="1:5" x14ac:dyDescent="0.25">
      <c r="A265">
        <v>0</v>
      </c>
      <c r="B265">
        <v>-0.32400000000000001</v>
      </c>
      <c r="C265">
        <f t="shared" si="8"/>
        <v>0.58128220548910381</v>
      </c>
      <c r="D265">
        <v>0</v>
      </c>
      <c r="E265">
        <f t="shared" si="9"/>
        <v>4.8300015424257686E-2</v>
      </c>
    </row>
    <row r="266" spans="1:5" x14ac:dyDescent="0.25">
      <c r="A266">
        <v>0</v>
      </c>
      <c r="B266">
        <v>-0.32335329341317398</v>
      </c>
      <c r="C266">
        <f t="shared" si="8"/>
        <v>0.58350991278600406</v>
      </c>
      <c r="D266">
        <v>0</v>
      </c>
      <c r="E266">
        <f t="shared" si="9"/>
        <v>4.8300015424257686E-2</v>
      </c>
    </row>
    <row r="267" spans="1:5" x14ac:dyDescent="0.25">
      <c r="A267">
        <v>0</v>
      </c>
      <c r="B267">
        <v>-0.322033898305085</v>
      </c>
      <c r="C267">
        <f t="shared" si="8"/>
        <v>0.58806845124663321</v>
      </c>
      <c r="D267">
        <v>0</v>
      </c>
      <c r="E267">
        <f t="shared" si="9"/>
        <v>4.8300015424257686E-2</v>
      </c>
    </row>
    <row r="268" spans="1:5" x14ac:dyDescent="0.25">
      <c r="A268">
        <v>0</v>
      </c>
      <c r="B268">
        <v>-0.321678321678322</v>
      </c>
      <c r="C268">
        <f t="shared" si="8"/>
        <v>0.58930009147451168</v>
      </c>
      <c r="D268">
        <v>0</v>
      </c>
      <c r="E268">
        <f t="shared" si="9"/>
        <v>4.8300015424257686E-2</v>
      </c>
    </row>
    <row r="269" spans="1:5" x14ac:dyDescent="0.25">
      <c r="A269">
        <v>0</v>
      </c>
      <c r="B269">
        <v>-0.32166666666666699</v>
      </c>
      <c r="C269">
        <f t="shared" si="8"/>
        <v>0.58934048422568053</v>
      </c>
      <c r="D269">
        <v>0</v>
      </c>
      <c r="E269">
        <f t="shared" si="9"/>
        <v>4.8300015424257686E-2</v>
      </c>
    </row>
    <row r="270" spans="1:5" x14ac:dyDescent="0.25">
      <c r="A270">
        <v>0</v>
      </c>
      <c r="B270">
        <v>-0.32100000000000001</v>
      </c>
      <c r="C270">
        <f t="shared" si="8"/>
        <v>0.59165330362207447</v>
      </c>
      <c r="D270">
        <v>0</v>
      </c>
      <c r="E270">
        <f t="shared" si="9"/>
        <v>4.8300015424257686E-2</v>
      </c>
    </row>
    <row r="271" spans="1:5" x14ac:dyDescent="0.25">
      <c r="A271">
        <v>0</v>
      </c>
      <c r="B271">
        <v>-0.32</v>
      </c>
      <c r="C271">
        <f t="shared" si="8"/>
        <v>0.59513118239383034</v>
      </c>
      <c r="D271">
        <v>0</v>
      </c>
      <c r="E271">
        <f t="shared" si="9"/>
        <v>4.8300015424257686E-2</v>
      </c>
    </row>
    <row r="272" spans="1:5" x14ac:dyDescent="0.25">
      <c r="A272">
        <v>0</v>
      </c>
      <c r="B272">
        <v>-0.32</v>
      </c>
      <c r="C272">
        <f t="shared" si="8"/>
        <v>0.59513118239383034</v>
      </c>
      <c r="D272">
        <v>0</v>
      </c>
      <c r="E272">
        <f t="shared" si="9"/>
        <v>4.8300015424257686E-2</v>
      </c>
    </row>
    <row r="273" spans="1:5" x14ac:dyDescent="0.25">
      <c r="A273">
        <v>0</v>
      </c>
      <c r="B273">
        <v>-0.319148936170213</v>
      </c>
      <c r="C273">
        <f t="shared" si="8"/>
        <v>0.5980992175144404</v>
      </c>
      <c r="D273">
        <v>0</v>
      </c>
      <c r="E273">
        <f t="shared" si="9"/>
        <v>4.8300015424257686E-2</v>
      </c>
    </row>
    <row r="274" spans="1:5" x14ac:dyDescent="0.25">
      <c r="A274">
        <v>0</v>
      </c>
      <c r="B274">
        <v>-0.318</v>
      </c>
      <c r="C274">
        <f t="shared" si="8"/>
        <v>0.60211786937490996</v>
      </c>
      <c r="D274">
        <v>0</v>
      </c>
      <c r="E274">
        <f t="shared" si="9"/>
        <v>4.8300015424257686E-2</v>
      </c>
    </row>
    <row r="275" spans="1:5" x14ac:dyDescent="0.25">
      <c r="A275">
        <v>0</v>
      </c>
      <c r="B275">
        <v>-0.31775700934579398</v>
      </c>
      <c r="C275">
        <f t="shared" si="8"/>
        <v>0.60296951168091117</v>
      </c>
      <c r="D275">
        <v>0</v>
      </c>
      <c r="E275">
        <f t="shared" si="9"/>
        <v>4.8300015424257686E-2</v>
      </c>
    </row>
    <row r="276" spans="1:5" x14ac:dyDescent="0.25">
      <c r="A276">
        <v>0</v>
      </c>
      <c r="B276">
        <v>-0.31736526946107801</v>
      </c>
      <c r="C276">
        <f t="shared" si="8"/>
        <v>0.60434376315509253</v>
      </c>
      <c r="D276">
        <v>0</v>
      </c>
      <c r="E276">
        <f t="shared" si="9"/>
        <v>4.8300015424257686E-2</v>
      </c>
    </row>
    <row r="277" spans="1:5" x14ac:dyDescent="0.25">
      <c r="A277">
        <v>0</v>
      </c>
      <c r="B277">
        <v>-0.316</v>
      </c>
      <c r="C277">
        <f t="shared" si="8"/>
        <v>0.60914540676195805</v>
      </c>
      <c r="D277">
        <v>0</v>
      </c>
      <c r="E277">
        <f t="shared" si="9"/>
        <v>4.8300015424257686E-2</v>
      </c>
    </row>
    <row r="278" spans="1:5" x14ac:dyDescent="0.25">
      <c r="A278">
        <v>0</v>
      </c>
      <c r="B278">
        <v>-0.315</v>
      </c>
      <c r="C278">
        <f t="shared" si="8"/>
        <v>0.61267434531315401</v>
      </c>
      <c r="D278">
        <v>0</v>
      </c>
      <c r="E278">
        <f t="shared" si="9"/>
        <v>4.8300015424257686E-2</v>
      </c>
    </row>
    <row r="279" spans="1:5" x14ac:dyDescent="0.25">
      <c r="A279">
        <v>0</v>
      </c>
      <c r="B279">
        <v>-0.315</v>
      </c>
      <c r="C279">
        <f t="shared" si="8"/>
        <v>0.61267434531315401</v>
      </c>
      <c r="D279">
        <v>0</v>
      </c>
      <c r="E279">
        <f t="shared" si="9"/>
        <v>4.8300015424257686E-2</v>
      </c>
    </row>
    <row r="280" spans="1:5" x14ac:dyDescent="0.25">
      <c r="A280">
        <v>0</v>
      </c>
      <c r="B280">
        <v>-0.31468531468531502</v>
      </c>
      <c r="C280">
        <f t="shared" si="8"/>
        <v>0.61378692854882178</v>
      </c>
      <c r="D280">
        <v>0</v>
      </c>
      <c r="E280">
        <f t="shared" si="9"/>
        <v>4.8300015424257686E-2</v>
      </c>
    </row>
    <row r="281" spans="1:5" x14ac:dyDescent="0.25">
      <c r="A281">
        <v>0</v>
      </c>
      <c r="B281">
        <v>-0.314</v>
      </c>
      <c r="C281">
        <f t="shared" si="8"/>
        <v>0.61621331588801265</v>
      </c>
      <c r="D281">
        <v>0</v>
      </c>
      <c r="E281">
        <f t="shared" si="9"/>
        <v>4.8300015424257686E-2</v>
      </c>
    </row>
    <row r="282" spans="1:5" x14ac:dyDescent="0.25">
      <c r="A282">
        <v>0</v>
      </c>
      <c r="B282">
        <v>-0.314</v>
      </c>
      <c r="C282">
        <f t="shared" si="8"/>
        <v>0.61621331588801265</v>
      </c>
      <c r="D282">
        <v>0</v>
      </c>
      <c r="E282">
        <f t="shared" si="9"/>
        <v>4.8300015424257686E-2</v>
      </c>
    </row>
    <row r="283" spans="1:5" x14ac:dyDescent="0.25">
      <c r="A283">
        <v>0</v>
      </c>
      <c r="B283">
        <v>-0.31395348837209303</v>
      </c>
      <c r="C283">
        <f t="shared" si="8"/>
        <v>0.61637816229897302</v>
      </c>
      <c r="D283">
        <v>0</v>
      </c>
      <c r="E283">
        <f t="shared" si="9"/>
        <v>4.8300015424257686E-2</v>
      </c>
    </row>
    <row r="284" spans="1:5" x14ac:dyDescent="0.25">
      <c r="A284">
        <v>0</v>
      </c>
      <c r="B284">
        <v>-0.31304347826086998</v>
      </c>
      <c r="C284">
        <f t="shared" si="8"/>
        <v>0.61960774826354525</v>
      </c>
      <c r="D284">
        <v>0</v>
      </c>
      <c r="E284">
        <f t="shared" si="9"/>
        <v>4.8300015424257686E-2</v>
      </c>
    </row>
    <row r="285" spans="1:5" x14ac:dyDescent="0.25">
      <c r="A285">
        <v>0</v>
      </c>
      <c r="B285">
        <v>-0.313</v>
      </c>
      <c r="C285">
        <f t="shared" si="8"/>
        <v>0.61976225649617056</v>
      </c>
      <c r="D285">
        <v>0</v>
      </c>
      <c r="E285">
        <f t="shared" si="9"/>
        <v>4.8300015424257686E-2</v>
      </c>
    </row>
    <row r="286" spans="1:5" x14ac:dyDescent="0.25">
      <c r="A286">
        <v>0</v>
      </c>
      <c r="B286">
        <v>-0.313</v>
      </c>
      <c r="C286">
        <f t="shared" si="8"/>
        <v>0.61976225649617056</v>
      </c>
      <c r="D286">
        <v>0</v>
      </c>
      <c r="E286">
        <f t="shared" si="9"/>
        <v>4.8300015424257686E-2</v>
      </c>
    </row>
    <row r="287" spans="1:5" x14ac:dyDescent="0.25">
      <c r="A287">
        <v>0</v>
      </c>
      <c r="B287">
        <v>-0.31235431235431199</v>
      </c>
      <c r="C287">
        <f t="shared" si="8"/>
        <v>0.62205903126695772</v>
      </c>
      <c r="D287">
        <v>0</v>
      </c>
      <c r="E287">
        <f t="shared" si="9"/>
        <v>4.8300015424257686E-2</v>
      </c>
    </row>
    <row r="288" spans="1:5" x14ac:dyDescent="0.25">
      <c r="A288">
        <v>0</v>
      </c>
      <c r="B288">
        <v>-0.31235431235431199</v>
      </c>
      <c r="C288">
        <f t="shared" si="8"/>
        <v>0.62205903126695772</v>
      </c>
      <c r="D288">
        <v>0</v>
      </c>
      <c r="E288">
        <f t="shared" si="9"/>
        <v>4.8300015424257686E-2</v>
      </c>
    </row>
    <row r="289" spans="1:5" x14ac:dyDescent="0.25">
      <c r="A289">
        <v>0</v>
      </c>
      <c r="B289">
        <v>-0.31135531135531103</v>
      </c>
      <c r="C289">
        <f t="shared" si="8"/>
        <v>0.62562067564523649</v>
      </c>
      <c r="D289">
        <v>0</v>
      </c>
      <c r="E289">
        <f t="shared" si="9"/>
        <v>4.8300015424257686E-2</v>
      </c>
    </row>
    <row r="290" spans="1:5" x14ac:dyDescent="0.25">
      <c r="A290">
        <v>0</v>
      </c>
      <c r="B290">
        <v>-0.31133333333333302</v>
      </c>
      <c r="C290">
        <f t="shared" si="8"/>
        <v>0.62569914203115795</v>
      </c>
      <c r="D290">
        <v>0</v>
      </c>
      <c r="E290">
        <f t="shared" si="9"/>
        <v>4.8300015424257686E-2</v>
      </c>
    </row>
    <row r="291" spans="1:5" x14ac:dyDescent="0.25">
      <c r="A291">
        <v>0</v>
      </c>
      <c r="B291">
        <v>-0.31074766355140199</v>
      </c>
      <c r="C291">
        <f t="shared" si="8"/>
        <v>0.62779185407731319</v>
      </c>
      <c r="D291">
        <v>0</v>
      </c>
      <c r="E291">
        <f t="shared" si="9"/>
        <v>4.8300015424257686E-2</v>
      </c>
    </row>
    <row r="292" spans="1:5" x14ac:dyDescent="0.25">
      <c r="A292">
        <v>0</v>
      </c>
      <c r="B292">
        <v>-0.31</v>
      </c>
      <c r="C292">
        <f t="shared" si="8"/>
        <v>0.63046826564691905</v>
      </c>
      <c r="D292">
        <v>0</v>
      </c>
      <c r="E292">
        <f t="shared" si="9"/>
        <v>4.8300015424257686E-2</v>
      </c>
    </row>
    <row r="293" spans="1:5" x14ac:dyDescent="0.25">
      <c r="A293">
        <v>0</v>
      </c>
      <c r="B293">
        <v>-0.31</v>
      </c>
      <c r="C293">
        <f t="shared" si="8"/>
        <v>0.63046826564691905</v>
      </c>
      <c r="D293">
        <v>0</v>
      </c>
      <c r="E293">
        <f t="shared" si="9"/>
        <v>4.8300015424257686E-2</v>
      </c>
    </row>
    <row r="294" spans="1:5" x14ac:dyDescent="0.25">
      <c r="A294">
        <v>0</v>
      </c>
      <c r="B294">
        <v>-0.31</v>
      </c>
      <c r="C294">
        <f t="shared" si="8"/>
        <v>0.63046826564691905</v>
      </c>
      <c r="D294">
        <v>0</v>
      </c>
      <c r="E294">
        <f t="shared" si="9"/>
        <v>4.8300015424257686E-2</v>
      </c>
    </row>
    <row r="295" spans="1:5" x14ac:dyDescent="0.25">
      <c r="A295">
        <v>0</v>
      </c>
      <c r="B295">
        <v>-0.30933333333333302</v>
      </c>
      <c r="C295">
        <f t="shared" si="8"/>
        <v>0.63285931281369145</v>
      </c>
      <c r="D295">
        <v>0</v>
      </c>
      <c r="E295">
        <f t="shared" si="9"/>
        <v>4.8300015424257686E-2</v>
      </c>
    </row>
    <row r="296" spans="1:5" x14ac:dyDescent="0.25">
      <c r="A296">
        <v>0</v>
      </c>
      <c r="B296">
        <v>-0.30933333333333302</v>
      </c>
      <c r="C296">
        <f t="shared" si="8"/>
        <v>0.63285931281369145</v>
      </c>
      <c r="D296">
        <v>0</v>
      </c>
      <c r="E296">
        <f t="shared" si="9"/>
        <v>4.8300015424257686E-2</v>
      </c>
    </row>
    <row r="297" spans="1:5" x14ac:dyDescent="0.25">
      <c r="A297">
        <v>0</v>
      </c>
      <c r="B297">
        <v>-0.30833333333333302</v>
      </c>
      <c r="C297">
        <f t="shared" si="8"/>
        <v>0.63645393517747995</v>
      </c>
      <c r="D297">
        <v>0</v>
      </c>
      <c r="E297">
        <f t="shared" si="9"/>
        <v>4.8300015424257686E-2</v>
      </c>
    </row>
    <row r="298" spans="1:5" x14ac:dyDescent="0.25">
      <c r="A298">
        <v>0</v>
      </c>
      <c r="B298">
        <v>-0.308</v>
      </c>
      <c r="C298">
        <f t="shared" si="8"/>
        <v>0.63765427982910772</v>
      </c>
      <c r="D298">
        <v>0</v>
      </c>
      <c r="E298">
        <f t="shared" si="9"/>
        <v>4.8300015424257686E-2</v>
      </c>
    </row>
    <row r="299" spans="1:5" x14ac:dyDescent="0.25">
      <c r="A299">
        <v>0</v>
      </c>
      <c r="B299">
        <v>-0.308</v>
      </c>
      <c r="C299">
        <f t="shared" si="8"/>
        <v>0.63765427982910772</v>
      </c>
      <c r="D299">
        <v>0</v>
      </c>
      <c r="E299">
        <f t="shared" si="9"/>
        <v>4.8300015424257686E-2</v>
      </c>
    </row>
    <row r="300" spans="1:5" x14ac:dyDescent="0.25">
      <c r="A300">
        <v>0</v>
      </c>
      <c r="B300">
        <v>-0.30681818181818199</v>
      </c>
      <c r="C300">
        <f t="shared" si="8"/>
        <v>0.64191860716046911</v>
      </c>
      <c r="D300">
        <v>0</v>
      </c>
      <c r="E300">
        <f t="shared" si="9"/>
        <v>4.8300015424257686E-2</v>
      </c>
    </row>
    <row r="301" spans="1:5" x14ac:dyDescent="0.25">
      <c r="A301">
        <v>0</v>
      </c>
      <c r="B301">
        <v>-0.30599999999999999</v>
      </c>
      <c r="C301">
        <f t="shared" si="8"/>
        <v>0.64487861280971936</v>
      </c>
      <c r="D301">
        <v>0</v>
      </c>
      <c r="E301">
        <f t="shared" si="9"/>
        <v>4.8300015424257686E-2</v>
      </c>
    </row>
    <row r="302" spans="1:5" x14ac:dyDescent="0.25">
      <c r="A302">
        <v>0</v>
      </c>
      <c r="B302">
        <v>-0.30599999999999999</v>
      </c>
      <c r="C302">
        <f t="shared" si="8"/>
        <v>0.64487861280971936</v>
      </c>
      <c r="D302">
        <v>0</v>
      </c>
      <c r="E302">
        <f t="shared" si="9"/>
        <v>4.8300015424257686E-2</v>
      </c>
    </row>
    <row r="303" spans="1:5" x14ac:dyDescent="0.25">
      <c r="A303">
        <v>0</v>
      </c>
      <c r="B303">
        <v>-0.30599999999999999</v>
      </c>
      <c r="C303">
        <f t="shared" si="8"/>
        <v>0.64487861280971936</v>
      </c>
      <c r="D303">
        <v>0</v>
      </c>
      <c r="E303">
        <f t="shared" si="9"/>
        <v>4.8300015424257686E-2</v>
      </c>
    </row>
    <row r="304" spans="1:5" x14ac:dyDescent="0.25">
      <c r="A304">
        <v>0</v>
      </c>
      <c r="B304">
        <v>-0.30399999999999999</v>
      </c>
      <c r="C304">
        <f t="shared" si="8"/>
        <v>0.65214071668739682</v>
      </c>
      <c r="D304">
        <v>0</v>
      </c>
      <c r="E304">
        <f t="shared" si="9"/>
        <v>4.8300015424257686E-2</v>
      </c>
    </row>
    <row r="305" spans="1:5" x14ac:dyDescent="0.25">
      <c r="A305">
        <v>0</v>
      </c>
      <c r="B305">
        <v>-0.30333333333333301</v>
      </c>
      <c r="C305">
        <f t="shared" si="8"/>
        <v>0.65456971481312576</v>
      </c>
      <c r="D305">
        <v>0</v>
      </c>
      <c r="E305">
        <f t="shared" si="9"/>
        <v>4.8300015424257686E-2</v>
      </c>
    </row>
    <row r="306" spans="1:5" x14ac:dyDescent="0.25">
      <c r="A306">
        <v>0</v>
      </c>
      <c r="B306">
        <v>-0.30199999999999999</v>
      </c>
      <c r="C306">
        <f t="shared" si="8"/>
        <v>0.65944002967084558</v>
      </c>
      <c r="D306">
        <v>0</v>
      </c>
      <c r="E306">
        <f t="shared" si="9"/>
        <v>4.8300015424257686E-2</v>
      </c>
    </row>
    <row r="307" spans="1:5" x14ac:dyDescent="0.25">
      <c r="A307">
        <v>0</v>
      </c>
      <c r="B307">
        <v>-0.30199999999999999</v>
      </c>
      <c r="C307">
        <f t="shared" si="8"/>
        <v>0.65944002967084558</v>
      </c>
      <c r="D307">
        <v>0</v>
      </c>
      <c r="E307">
        <f t="shared" si="9"/>
        <v>4.8300015424257686E-2</v>
      </c>
    </row>
    <row r="308" spans="1:5" x14ac:dyDescent="0.25">
      <c r="A308">
        <v>0</v>
      </c>
      <c r="B308">
        <v>-0.30166666666666703</v>
      </c>
      <c r="C308">
        <f t="shared" si="8"/>
        <v>0.66066015916762655</v>
      </c>
      <c r="D308">
        <v>0</v>
      </c>
      <c r="E308">
        <f t="shared" si="9"/>
        <v>4.8300015424257686E-2</v>
      </c>
    </row>
    <row r="309" spans="1:5" x14ac:dyDescent="0.25">
      <c r="A309">
        <v>0</v>
      </c>
      <c r="B309">
        <v>-0.30133333333333301</v>
      </c>
      <c r="C309">
        <f t="shared" si="8"/>
        <v>0.66188130358797093</v>
      </c>
      <c r="D309">
        <v>0</v>
      </c>
      <c r="E309">
        <f t="shared" si="9"/>
        <v>4.8300015424257686E-2</v>
      </c>
    </row>
    <row r="310" spans="1:5" x14ac:dyDescent="0.25">
      <c r="A310">
        <v>0</v>
      </c>
      <c r="B310">
        <v>-0.30069930069930101</v>
      </c>
      <c r="C310">
        <f t="shared" si="8"/>
        <v>0.66420683130489788</v>
      </c>
      <c r="D310">
        <v>0</v>
      </c>
      <c r="E310">
        <f t="shared" si="9"/>
        <v>4.8300015424257686E-2</v>
      </c>
    </row>
    <row r="311" spans="1:5" x14ac:dyDescent="0.25">
      <c r="A311">
        <v>0</v>
      </c>
      <c r="B311">
        <v>-0.3</v>
      </c>
      <c r="C311">
        <f t="shared" si="8"/>
        <v>0.66677597607514394</v>
      </c>
      <c r="D311">
        <v>0</v>
      </c>
      <c r="E311">
        <f t="shared" si="9"/>
        <v>4.8300015424257686E-2</v>
      </c>
    </row>
    <row r="312" spans="1:5" x14ac:dyDescent="0.25">
      <c r="A312">
        <v>0</v>
      </c>
      <c r="B312">
        <v>-0.3</v>
      </c>
      <c r="C312">
        <f t="shared" si="8"/>
        <v>0.66677597607514394</v>
      </c>
      <c r="D312">
        <v>0</v>
      </c>
      <c r="E312">
        <f t="shared" si="9"/>
        <v>4.8300015424257686E-2</v>
      </c>
    </row>
    <row r="313" spans="1:5" x14ac:dyDescent="0.25">
      <c r="A313">
        <v>0</v>
      </c>
      <c r="B313">
        <v>-0.29836829836829798</v>
      </c>
      <c r="C313">
        <f t="shared" si="8"/>
        <v>0.67278774000259112</v>
      </c>
      <c r="D313">
        <v>0</v>
      </c>
      <c r="E313">
        <f t="shared" si="9"/>
        <v>4.8300015424257686E-2</v>
      </c>
    </row>
    <row r="314" spans="1:5" x14ac:dyDescent="0.25">
      <c r="A314">
        <v>0</v>
      </c>
      <c r="B314">
        <v>-0.29836829836829798</v>
      </c>
      <c r="C314">
        <f t="shared" si="8"/>
        <v>0.67278774000259112</v>
      </c>
      <c r="D314">
        <v>0</v>
      </c>
      <c r="E314">
        <f t="shared" si="9"/>
        <v>4.8300015424257686E-2</v>
      </c>
    </row>
    <row r="315" spans="1:5" x14ac:dyDescent="0.25">
      <c r="A315">
        <v>0</v>
      </c>
      <c r="B315">
        <v>-0.29833333333333301</v>
      </c>
      <c r="C315">
        <f t="shared" si="8"/>
        <v>0.67291682367495642</v>
      </c>
      <c r="D315">
        <v>0</v>
      </c>
      <c r="E315">
        <f t="shared" si="9"/>
        <v>4.8300015424257686E-2</v>
      </c>
    </row>
    <row r="316" spans="1:5" x14ac:dyDescent="0.25">
      <c r="A316">
        <v>0</v>
      </c>
      <c r="B316">
        <v>-0.29833333333333301</v>
      </c>
      <c r="C316">
        <f t="shared" si="8"/>
        <v>0.67291682367495642</v>
      </c>
      <c r="D316">
        <v>0</v>
      </c>
      <c r="E316">
        <f t="shared" si="9"/>
        <v>4.8300015424257686E-2</v>
      </c>
    </row>
    <row r="317" spans="1:5" x14ac:dyDescent="0.25">
      <c r="A317">
        <v>0</v>
      </c>
      <c r="B317">
        <v>-0.29799999999999999</v>
      </c>
      <c r="C317">
        <f t="shared" si="8"/>
        <v>0.67414796632273211</v>
      </c>
      <c r="D317">
        <v>0</v>
      </c>
      <c r="E317">
        <f t="shared" si="9"/>
        <v>4.8300015424257686E-2</v>
      </c>
    </row>
    <row r="318" spans="1:5" x14ac:dyDescent="0.25">
      <c r="A318">
        <v>0</v>
      </c>
      <c r="B318">
        <v>-0.29672897196261699</v>
      </c>
      <c r="C318">
        <f t="shared" si="8"/>
        <v>0.67885142637594842</v>
      </c>
      <c r="D318">
        <v>0</v>
      </c>
      <c r="E318">
        <f t="shared" si="9"/>
        <v>4.8300015424257686E-2</v>
      </c>
    </row>
    <row r="319" spans="1:5" x14ac:dyDescent="0.25">
      <c r="A319">
        <v>0</v>
      </c>
      <c r="B319">
        <v>-0.29577464788732399</v>
      </c>
      <c r="C319">
        <f t="shared" si="8"/>
        <v>0.68239223151767492</v>
      </c>
      <c r="D319">
        <v>0</v>
      </c>
      <c r="E319">
        <f t="shared" si="9"/>
        <v>4.8300015424257686E-2</v>
      </c>
    </row>
    <row r="320" spans="1:5" x14ac:dyDescent="0.25">
      <c r="A320">
        <v>0</v>
      </c>
      <c r="B320">
        <v>-0.29545454545454503</v>
      </c>
      <c r="C320">
        <f t="shared" si="8"/>
        <v>0.68358167527480829</v>
      </c>
      <c r="D320">
        <v>0</v>
      </c>
      <c r="E320">
        <f t="shared" si="9"/>
        <v>4.8300015424257686E-2</v>
      </c>
    </row>
    <row r="321" spans="1:5" x14ac:dyDescent="0.25">
      <c r="A321">
        <v>0</v>
      </c>
      <c r="B321">
        <v>-0.29499999999999998</v>
      </c>
      <c r="C321">
        <f t="shared" si="8"/>
        <v>0.68527221002702821</v>
      </c>
      <c r="D321">
        <v>0</v>
      </c>
      <c r="E321">
        <f t="shared" si="9"/>
        <v>4.8300015424257686E-2</v>
      </c>
    </row>
    <row r="322" spans="1:5" x14ac:dyDescent="0.25">
      <c r="A322">
        <v>0</v>
      </c>
      <c r="B322">
        <v>-0.29370629370629397</v>
      </c>
      <c r="C322">
        <f t="shared" ref="C322:C385" si="10">_xlfn.NORM.DIST(B322,I$10,I$13,FALSE)</f>
        <v>0.69009346355489054</v>
      </c>
      <c r="D322">
        <v>0</v>
      </c>
      <c r="E322">
        <f t="shared" si="9"/>
        <v>4.8300015424257686E-2</v>
      </c>
    </row>
    <row r="323" spans="1:5" x14ac:dyDescent="0.25">
      <c r="A323">
        <v>0</v>
      </c>
      <c r="B323">
        <v>-0.29370629370629397</v>
      </c>
      <c r="C323">
        <f t="shared" si="10"/>
        <v>0.69009346355489054</v>
      </c>
      <c r="D323">
        <v>0</v>
      </c>
      <c r="E323">
        <f t="shared" ref="E323:E386" si="11">_xlfn.NORM.DIST(D323,I$4,I$7,FALSE)</f>
        <v>4.8300015424257686E-2</v>
      </c>
    </row>
    <row r="324" spans="1:5" x14ac:dyDescent="0.25">
      <c r="A324">
        <v>0</v>
      </c>
      <c r="B324">
        <v>-0.293333333333333</v>
      </c>
      <c r="C324">
        <f t="shared" si="10"/>
        <v>0.69148603159008104</v>
      </c>
      <c r="D324">
        <v>0</v>
      </c>
      <c r="E324">
        <f t="shared" si="11"/>
        <v>4.8300015424257686E-2</v>
      </c>
    </row>
    <row r="325" spans="1:5" x14ac:dyDescent="0.25">
      <c r="A325">
        <v>0</v>
      </c>
      <c r="B325">
        <v>-0.293333333333333</v>
      </c>
      <c r="C325">
        <f t="shared" si="10"/>
        <v>0.69148603159008104</v>
      </c>
      <c r="D325">
        <v>0</v>
      </c>
      <c r="E325">
        <f t="shared" si="11"/>
        <v>4.8300015424257686E-2</v>
      </c>
    </row>
    <row r="326" spans="1:5" x14ac:dyDescent="0.25">
      <c r="A326">
        <v>0</v>
      </c>
      <c r="B326">
        <v>-0.29199999999999998</v>
      </c>
      <c r="C326">
        <f t="shared" si="10"/>
        <v>0.69647409611376931</v>
      </c>
      <c r="D326">
        <v>0</v>
      </c>
      <c r="E326">
        <f t="shared" si="11"/>
        <v>4.8300015424257686E-2</v>
      </c>
    </row>
    <row r="327" spans="1:5" x14ac:dyDescent="0.25">
      <c r="A327">
        <v>0</v>
      </c>
      <c r="B327">
        <v>-0.29197080291970801</v>
      </c>
      <c r="C327">
        <f t="shared" si="10"/>
        <v>0.69658349133141273</v>
      </c>
      <c r="D327">
        <v>0</v>
      </c>
      <c r="E327">
        <f t="shared" si="11"/>
        <v>4.8300015424257686E-2</v>
      </c>
    </row>
    <row r="328" spans="1:5" x14ac:dyDescent="0.25">
      <c r="A328">
        <v>0</v>
      </c>
      <c r="B328">
        <v>-0.29066666666666702</v>
      </c>
      <c r="C328">
        <f t="shared" si="10"/>
        <v>0.7014770706075828</v>
      </c>
      <c r="D328">
        <v>0</v>
      </c>
      <c r="E328">
        <f t="shared" si="11"/>
        <v>4.8300015424257686E-2</v>
      </c>
    </row>
    <row r="329" spans="1:5" x14ac:dyDescent="0.25">
      <c r="A329">
        <v>0</v>
      </c>
      <c r="B329">
        <v>-0.29066666666666702</v>
      </c>
      <c r="C329">
        <f t="shared" si="10"/>
        <v>0.7014770706075828</v>
      </c>
      <c r="D329">
        <v>0</v>
      </c>
      <c r="E329">
        <f t="shared" si="11"/>
        <v>4.8300015424257686E-2</v>
      </c>
    </row>
    <row r="330" spans="1:5" x14ac:dyDescent="0.25">
      <c r="A330">
        <v>0</v>
      </c>
      <c r="B330">
        <v>-0.29066666666666702</v>
      </c>
      <c r="C330">
        <f t="shared" si="10"/>
        <v>0.7014770706075828</v>
      </c>
      <c r="D330">
        <v>0</v>
      </c>
      <c r="E330">
        <f t="shared" si="11"/>
        <v>4.8300015424257686E-2</v>
      </c>
    </row>
    <row r="331" spans="1:5" x14ac:dyDescent="0.25">
      <c r="A331">
        <v>0</v>
      </c>
      <c r="B331">
        <v>-0.28999999999999998</v>
      </c>
      <c r="C331">
        <f t="shared" si="10"/>
        <v>0.70398408840720716</v>
      </c>
      <c r="D331">
        <v>0</v>
      </c>
      <c r="E331">
        <f t="shared" si="11"/>
        <v>4.8300015424257686E-2</v>
      </c>
    </row>
    <row r="332" spans="1:5" x14ac:dyDescent="0.25">
      <c r="A332">
        <v>0</v>
      </c>
      <c r="B332">
        <v>-0.28915662650602397</v>
      </c>
      <c r="C332">
        <f t="shared" si="10"/>
        <v>0.70716084944589874</v>
      </c>
      <c r="D332">
        <v>0</v>
      </c>
      <c r="E332">
        <f t="shared" si="11"/>
        <v>4.8300015424257686E-2</v>
      </c>
    </row>
    <row r="333" spans="1:5" x14ac:dyDescent="0.25">
      <c r="A333">
        <v>0</v>
      </c>
      <c r="B333">
        <v>-0.28873239436619702</v>
      </c>
      <c r="C333">
        <f t="shared" si="10"/>
        <v>0.70876101276494619</v>
      </c>
      <c r="D333">
        <v>0</v>
      </c>
      <c r="E333">
        <f t="shared" si="11"/>
        <v>4.8300015424257686E-2</v>
      </c>
    </row>
    <row r="334" spans="1:5" x14ac:dyDescent="0.25">
      <c r="A334">
        <v>0</v>
      </c>
      <c r="B334">
        <v>-0.28799999999999998</v>
      </c>
      <c r="C334">
        <f t="shared" si="10"/>
        <v>0.71152696863522424</v>
      </c>
      <c r="D334">
        <v>0</v>
      </c>
      <c r="E334">
        <f t="shared" si="11"/>
        <v>4.8300015424257686E-2</v>
      </c>
    </row>
    <row r="335" spans="1:5" x14ac:dyDescent="0.25">
      <c r="A335">
        <v>0</v>
      </c>
      <c r="B335">
        <v>-0.28666666666666701</v>
      </c>
      <c r="C335">
        <f t="shared" si="10"/>
        <v>0.71657349492498024</v>
      </c>
      <c r="D335">
        <v>0</v>
      </c>
      <c r="E335">
        <f t="shared" si="11"/>
        <v>4.8300015424257686E-2</v>
      </c>
    </row>
    <row r="336" spans="1:5" x14ac:dyDescent="0.25">
      <c r="A336">
        <v>0</v>
      </c>
      <c r="B336">
        <v>-0.28666666666666701</v>
      </c>
      <c r="C336">
        <f t="shared" si="10"/>
        <v>0.71657349492498024</v>
      </c>
      <c r="D336">
        <v>0</v>
      </c>
      <c r="E336">
        <f t="shared" si="11"/>
        <v>4.8300015424257686E-2</v>
      </c>
    </row>
    <row r="337" spans="1:5" x14ac:dyDescent="0.25">
      <c r="A337">
        <v>0</v>
      </c>
      <c r="B337">
        <v>-0.28666666666666701</v>
      </c>
      <c r="C337">
        <f t="shared" si="10"/>
        <v>0.71657349492498024</v>
      </c>
      <c r="D337">
        <v>0</v>
      </c>
      <c r="E337">
        <f t="shared" si="11"/>
        <v>4.8300015424257686E-2</v>
      </c>
    </row>
    <row r="338" spans="1:5" x14ac:dyDescent="0.25">
      <c r="A338">
        <v>0</v>
      </c>
      <c r="B338">
        <v>-0.28571428571428598</v>
      </c>
      <c r="C338">
        <f t="shared" si="10"/>
        <v>0.72018681062437273</v>
      </c>
      <c r="D338">
        <v>0</v>
      </c>
      <c r="E338">
        <f t="shared" si="11"/>
        <v>4.8300015424257686E-2</v>
      </c>
    </row>
    <row r="339" spans="1:5" x14ac:dyDescent="0.25">
      <c r="A339">
        <v>0</v>
      </c>
      <c r="B339">
        <v>-0.28571428571428598</v>
      </c>
      <c r="C339">
        <f t="shared" si="10"/>
        <v>0.72018681062437273</v>
      </c>
      <c r="D339">
        <v>0</v>
      </c>
      <c r="E339">
        <f t="shared" si="11"/>
        <v>4.8300015424257686E-2</v>
      </c>
    </row>
    <row r="340" spans="1:5" x14ac:dyDescent="0.25">
      <c r="A340">
        <v>0</v>
      </c>
      <c r="B340">
        <v>-0.28504672897196298</v>
      </c>
      <c r="C340">
        <f t="shared" si="10"/>
        <v>0.72272376164590446</v>
      </c>
      <c r="D340">
        <v>0</v>
      </c>
      <c r="E340">
        <f t="shared" si="11"/>
        <v>4.8300015424257686E-2</v>
      </c>
    </row>
    <row r="341" spans="1:5" x14ac:dyDescent="0.25">
      <c r="A341">
        <v>0</v>
      </c>
      <c r="B341">
        <v>-0.28399999999999997</v>
      </c>
      <c r="C341">
        <f t="shared" si="10"/>
        <v>0.72670868856770798</v>
      </c>
      <c r="D341">
        <v>0</v>
      </c>
      <c r="E341">
        <f t="shared" si="11"/>
        <v>4.8300015424257686E-2</v>
      </c>
    </row>
    <row r="342" spans="1:5" x14ac:dyDescent="0.25">
      <c r="A342">
        <v>0</v>
      </c>
      <c r="B342">
        <v>-0.28399999999999997</v>
      </c>
      <c r="C342">
        <f t="shared" si="10"/>
        <v>0.72670868856770798</v>
      </c>
      <c r="D342">
        <v>0</v>
      </c>
      <c r="E342">
        <f t="shared" si="11"/>
        <v>4.8300015424257686E-2</v>
      </c>
    </row>
    <row r="343" spans="1:5" x14ac:dyDescent="0.25">
      <c r="A343">
        <v>0</v>
      </c>
      <c r="B343">
        <v>-0.28395061728395099</v>
      </c>
      <c r="C343">
        <f t="shared" si="10"/>
        <v>0.72689689936223689</v>
      </c>
      <c r="D343">
        <v>0</v>
      </c>
      <c r="E343">
        <f t="shared" si="11"/>
        <v>4.8300015424257686E-2</v>
      </c>
    </row>
    <row r="344" spans="1:5" x14ac:dyDescent="0.25">
      <c r="A344">
        <v>0</v>
      </c>
      <c r="B344">
        <v>-0.28395061728395099</v>
      </c>
      <c r="C344">
        <f t="shared" si="10"/>
        <v>0.72689689936223689</v>
      </c>
      <c r="D344">
        <v>0</v>
      </c>
      <c r="E344">
        <f t="shared" si="11"/>
        <v>4.8300015424257686E-2</v>
      </c>
    </row>
    <row r="345" spans="1:5" x14ac:dyDescent="0.25">
      <c r="A345">
        <v>0</v>
      </c>
      <c r="B345">
        <v>-0.28395061728395099</v>
      </c>
      <c r="C345">
        <f t="shared" si="10"/>
        <v>0.72689689936223689</v>
      </c>
      <c r="D345">
        <v>0</v>
      </c>
      <c r="E345">
        <f t="shared" si="11"/>
        <v>4.8300015424257686E-2</v>
      </c>
    </row>
    <row r="346" spans="1:5" x14ac:dyDescent="0.25">
      <c r="A346">
        <v>0</v>
      </c>
      <c r="B346">
        <v>-0.282710280373832</v>
      </c>
      <c r="C346">
        <f t="shared" si="10"/>
        <v>0.73163028959878273</v>
      </c>
      <c r="D346">
        <v>0</v>
      </c>
      <c r="E346">
        <f t="shared" si="11"/>
        <v>4.8300015424257686E-2</v>
      </c>
    </row>
    <row r="347" spans="1:5" x14ac:dyDescent="0.25">
      <c r="A347">
        <v>0</v>
      </c>
      <c r="B347">
        <v>-0.28266666666666701</v>
      </c>
      <c r="C347">
        <f t="shared" si="10"/>
        <v>0.73179694239555282</v>
      </c>
      <c r="D347">
        <v>0</v>
      </c>
      <c r="E347">
        <f t="shared" si="11"/>
        <v>4.8300015424257686E-2</v>
      </c>
    </row>
    <row r="348" spans="1:5" x14ac:dyDescent="0.25">
      <c r="A348">
        <v>0</v>
      </c>
      <c r="B348">
        <v>-0.28133333333333299</v>
      </c>
      <c r="C348">
        <f t="shared" si="10"/>
        <v>0.73689868737463005</v>
      </c>
      <c r="D348">
        <v>0</v>
      </c>
      <c r="E348">
        <f t="shared" si="11"/>
        <v>4.8300015424257686E-2</v>
      </c>
    </row>
    <row r="349" spans="1:5" x14ac:dyDescent="0.25">
      <c r="A349">
        <v>0</v>
      </c>
      <c r="B349">
        <v>-0.28037383177570102</v>
      </c>
      <c r="C349">
        <f t="shared" si="10"/>
        <v>0.74057826447956221</v>
      </c>
      <c r="D349">
        <v>0</v>
      </c>
      <c r="E349">
        <f t="shared" si="11"/>
        <v>4.8300015424257686E-2</v>
      </c>
    </row>
    <row r="350" spans="1:5" x14ac:dyDescent="0.25">
      <c r="A350">
        <v>0</v>
      </c>
      <c r="B350">
        <v>-0.28000000000000003</v>
      </c>
      <c r="C350">
        <f t="shared" si="10"/>
        <v>0.74201370999740479</v>
      </c>
      <c r="D350">
        <v>0</v>
      </c>
      <c r="E350">
        <f t="shared" si="11"/>
        <v>4.8300015424257686E-2</v>
      </c>
    </row>
    <row r="351" spans="1:5" x14ac:dyDescent="0.25">
      <c r="A351">
        <v>0</v>
      </c>
      <c r="B351">
        <v>-0.28000000000000003</v>
      </c>
      <c r="C351">
        <f t="shared" si="10"/>
        <v>0.74201370999740479</v>
      </c>
      <c r="D351">
        <v>0</v>
      </c>
      <c r="E351">
        <f t="shared" si="11"/>
        <v>4.8300015424257686E-2</v>
      </c>
    </row>
    <row r="352" spans="1:5" x14ac:dyDescent="0.25">
      <c r="A352">
        <v>0</v>
      </c>
      <c r="B352">
        <v>-0.28000000000000003</v>
      </c>
      <c r="C352">
        <f t="shared" si="10"/>
        <v>0.74201370999740479</v>
      </c>
      <c r="D352">
        <v>0</v>
      </c>
      <c r="E352">
        <f t="shared" si="11"/>
        <v>4.8300015424257686E-2</v>
      </c>
    </row>
    <row r="353" spans="1:5" x14ac:dyDescent="0.25">
      <c r="A353">
        <v>0</v>
      </c>
      <c r="B353">
        <v>-0.28000000000000003</v>
      </c>
      <c r="C353">
        <f t="shared" si="10"/>
        <v>0.74201370999740479</v>
      </c>
      <c r="D353">
        <v>0</v>
      </c>
      <c r="E353">
        <f t="shared" si="11"/>
        <v>4.8300015424257686E-2</v>
      </c>
    </row>
    <row r="354" spans="1:5" x14ac:dyDescent="0.25">
      <c r="A354">
        <v>0</v>
      </c>
      <c r="B354">
        <v>-0.27972027972028002</v>
      </c>
      <c r="C354">
        <f t="shared" si="10"/>
        <v>0.74308845645457355</v>
      </c>
      <c r="D354">
        <v>0</v>
      </c>
      <c r="E354">
        <f t="shared" si="11"/>
        <v>4.8300015424257686E-2</v>
      </c>
    </row>
    <row r="355" spans="1:5" x14ac:dyDescent="0.25">
      <c r="A355">
        <v>0</v>
      </c>
      <c r="B355">
        <v>-0.27906976744186002</v>
      </c>
      <c r="C355">
        <f t="shared" si="10"/>
        <v>0.74559007858995285</v>
      </c>
      <c r="D355">
        <v>0</v>
      </c>
      <c r="E355">
        <f t="shared" si="11"/>
        <v>4.8300015424257686E-2</v>
      </c>
    </row>
    <row r="356" spans="1:5" x14ac:dyDescent="0.25">
      <c r="A356">
        <v>0</v>
      </c>
      <c r="B356">
        <v>-0.27866666666666701</v>
      </c>
      <c r="C356">
        <f t="shared" si="10"/>
        <v>0.74714179407046266</v>
      </c>
      <c r="D356">
        <v>0</v>
      </c>
      <c r="E356">
        <f t="shared" si="11"/>
        <v>4.8300015424257686E-2</v>
      </c>
    </row>
    <row r="357" spans="1:5" x14ac:dyDescent="0.25">
      <c r="A357">
        <v>0</v>
      </c>
      <c r="B357">
        <v>-0.27866666666666701</v>
      </c>
      <c r="C357">
        <f t="shared" si="10"/>
        <v>0.74714179407046266</v>
      </c>
      <c r="D357">
        <v>0</v>
      </c>
      <c r="E357">
        <f t="shared" si="11"/>
        <v>4.8300015424257686E-2</v>
      </c>
    </row>
    <row r="358" spans="1:5" x14ac:dyDescent="0.25">
      <c r="A358">
        <v>0</v>
      </c>
      <c r="B358">
        <v>-0.27800000000000002</v>
      </c>
      <c r="C358">
        <f t="shared" si="10"/>
        <v>0.74971066585779966</v>
      </c>
      <c r="D358">
        <v>0</v>
      </c>
      <c r="E358">
        <f t="shared" si="11"/>
        <v>4.8300015424257686E-2</v>
      </c>
    </row>
    <row r="359" spans="1:5" x14ac:dyDescent="0.25">
      <c r="A359">
        <v>0</v>
      </c>
      <c r="B359">
        <v>-0.27700000000000002</v>
      </c>
      <c r="C359">
        <f t="shared" si="10"/>
        <v>0.75356993313420773</v>
      </c>
      <c r="D359">
        <v>0</v>
      </c>
      <c r="E359">
        <f t="shared" si="11"/>
        <v>4.8300015424257686E-2</v>
      </c>
    </row>
    <row r="360" spans="1:5" x14ac:dyDescent="0.25">
      <c r="A360">
        <v>0</v>
      </c>
      <c r="B360">
        <v>-0.276666666666667</v>
      </c>
      <c r="C360">
        <f t="shared" si="10"/>
        <v>0.75485793088661035</v>
      </c>
      <c r="D360">
        <v>0</v>
      </c>
      <c r="E360">
        <f t="shared" si="11"/>
        <v>4.8300015424257686E-2</v>
      </c>
    </row>
    <row r="361" spans="1:5" x14ac:dyDescent="0.25">
      <c r="A361">
        <v>0</v>
      </c>
      <c r="B361">
        <v>-0.276666666666667</v>
      </c>
      <c r="C361">
        <f t="shared" si="10"/>
        <v>0.75485793088661035</v>
      </c>
      <c r="D361">
        <v>0</v>
      </c>
      <c r="E361">
        <f t="shared" si="11"/>
        <v>4.8300015424257686E-2</v>
      </c>
    </row>
    <row r="362" spans="1:5" x14ac:dyDescent="0.25">
      <c r="A362">
        <v>0</v>
      </c>
      <c r="B362">
        <v>-0.27659574468085102</v>
      </c>
      <c r="C362">
        <f t="shared" si="10"/>
        <v>0.75513207395164694</v>
      </c>
      <c r="D362">
        <v>0</v>
      </c>
      <c r="E362">
        <f t="shared" si="11"/>
        <v>4.8300015424257686E-2</v>
      </c>
    </row>
    <row r="363" spans="1:5" x14ac:dyDescent="0.25">
      <c r="A363">
        <v>0</v>
      </c>
      <c r="B363">
        <v>-0.27627627627627599</v>
      </c>
      <c r="C363">
        <f t="shared" si="10"/>
        <v>0.75636739050755597</v>
      </c>
      <c r="D363">
        <v>0</v>
      </c>
      <c r="E363">
        <f t="shared" si="11"/>
        <v>4.8300015424257686E-2</v>
      </c>
    </row>
    <row r="364" spans="1:5" x14ac:dyDescent="0.25">
      <c r="A364">
        <v>0</v>
      </c>
      <c r="B364">
        <v>-0.27600000000000002</v>
      </c>
      <c r="C364">
        <f t="shared" si="10"/>
        <v>0.75743626840928402</v>
      </c>
      <c r="D364">
        <v>0</v>
      </c>
      <c r="E364">
        <f t="shared" si="11"/>
        <v>4.8300015424257686E-2</v>
      </c>
    </row>
    <row r="365" spans="1:5" x14ac:dyDescent="0.25">
      <c r="A365">
        <v>0</v>
      </c>
      <c r="B365">
        <v>-0.27570093457943901</v>
      </c>
      <c r="C365">
        <f t="shared" si="10"/>
        <v>0.75859391449297242</v>
      </c>
      <c r="D365">
        <v>0</v>
      </c>
      <c r="E365">
        <f t="shared" si="11"/>
        <v>4.8300015424257686E-2</v>
      </c>
    </row>
    <row r="366" spans="1:5" x14ac:dyDescent="0.25">
      <c r="A366">
        <v>0</v>
      </c>
      <c r="B366">
        <v>-0.27544910179640703</v>
      </c>
      <c r="C366">
        <f t="shared" si="10"/>
        <v>0.75956921059553006</v>
      </c>
      <c r="D366">
        <v>0</v>
      </c>
      <c r="E366">
        <f t="shared" si="11"/>
        <v>4.8300015424257686E-2</v>
      </c>
    </row>
    <row r="367" spans="1:5" x14ac:dyDescent="0.25">
      <c r="A367">
        <v>0</v>
      </c>
      <c r="B367">
        <v>-0.27500000000000002</v>
      </c>
      <c r="C367">
        <f t="shared" si="10"/>
        <v>0.76130957695631429</v>
      </c>
      <c r="D367">
        <v>0</v>
      </c>
      <c r="E367">
        <f t="shared" si="11"/>
        <v>4.8300015424257686E-2</v>
      </c>
    </row>
    <row r="368" spans="1:5" x14ac:dyDescent="0.25">
      <c r="A368">
        <v>0</v>
      </c>
      <c r="B368">
        <v>-0.27500000000000002</v>
      </c>
      <c r="C368">
        <f t="shared" si="10"/>
        <v>0.76130957695631429</v>
      </c>
      <c r="D368">
        <v>0</v>
      </c>
      <c r="E368">
        <f t="shared" si="11"/>
        <v>4.8300015424257686E-2</v>
      </c>
    </row>
    <row r="369" spans="1:5" x14ac:dyDescent="0.25">
      <c r="A369">
        <v>0</v>
      </c>
      <c r="B369">
        <v>-0.274666666666667</v>
      </c>
      <c r="C369">
        <f t="shared" si="10"/>
        <v>0.76260221292782548</v>
      </c>
      <c r="D369">
        <v>0</v>
      </c>
      <c r="E369">
        <f t="shared" si="11"/>
        <v>4.8300015424257686E-2</v>
      </c>
    </row>
    <row r="370" spans="1:5" x14ac:dyDescent="0.25">
      <c r="A370">
        <v>0</v>
      </c>
      <c r="B370">
        <v>-0.273809523809524</v>
      </c>
      <c r="C370">
        <f t="shared" si="10"/>
        <v>0.76592961812325311</v>
      </c>
      <c r="D370">
        <v>0</v>
      </c>
      <c r="E370">
        <f t="shared" si="11"/>
        <v>4.8300015424257686E-2</v>
      </c>
    </row>
    <row r="371" spans="1:5" x14ac:dyDescent="0.25">
      <c r="A371">
        <v>0</v>
      </c>
      <c r="B371">
        <v>-0.27336448598130803</v>
      </c>
      <c r="C371">
        <f t="shared" si="10"/>
        <v>0.76765920630527829</v>
      </c>
      <c r="D371">
        <v>0</v>
      </c>
      <c r="E371">
        <f t="shared" si="11"/>
        <v>4.8300015424257686E-2</v>
      </c>
    </row>
    <row r="372" spans="1:5" x14ac:dyDescent="0.25">
      <c r="A372">
        <v>0</v>
      </c>
      <c r="B372">
        <v>-0.27336448598130803</v>
      </c>
      <c r="C372">
        <f t="shared" si="10"/>
        <v>0.76765920630527829</v>
      </c>
      <c r="D372">
        <v>0</v>
      </c>
      <c r="E372">
        <f t="shared" si="11"/>
        <v>4.8300015424257686E-2</v>
      </c>
    </row>
    <row r="373" spans="1:5" x14ac:dyDescent="0.25">
      <c r="A373">
        <v>0</v>
      </c>
      <c r="B373">
        <v>-0.27245508982035899</v>
      </c>
      <c r="C373">
        <f t="shared" si="10"/>
        <v>0.7711975986416284</v>
      </c>
      <c r="D373">
        <v>0</v>
      </c>
      <c r="E373">
        <f t="shared" si="11"/>
        <v>4.8300015424257686E-2</v>
      </c>
    </row>
    <row r="374" spans="1:5" x14ac:dyDescent="0.25">
      <c r="A374">
        <v>0</v>
      </c>
      <c r="B374">
        <v>-0.27200000000000002</v>
      </c>
      <c r="C374">
        <f t="shared" si="10"/>
        <v>0.7729703823814188</v>
      </c>
      <c r="D374">
        <v>0</v>
      </c>
      <c r="E374">
        <f t="shared" si="11"/>
        <v>4.8300015424257686E-2</v>
      </c>
    </row>
    <row r="375" spans="1:5" x14ac:dyDescent="0.25">
      <c r="A375">
        <v>0</v>
      </c>
      <c r="B375">
        <v>-0.271666666666667</v>
      </c>
      <c r="C375">
        <f t="shared" si="10"/>
        <v>0.77426973467466054</v>
      </c>
      <c r="D375">
        <v>0</v>
      </c>
      <c r="E375">
        <f t="shared" si="11"/>
        <v>4.8300015424257686E-2</v>
      </c>
    </row>
    <row r="376" spans="1:5" x14ac:dyDescent="0.25">
      <c r="A376">
        <v>0</v>
      </c>
      <c r="B376">
        <v>-0.271666666666667</v>
      </c>
      <c r="C376">
        <f t="shared" si="10"/>
        <v>0.77426973467466054</v>
      </c>
      <c r="D376">
        <v>0</v>
      </c>
      <c r="E376">
        <f t="shared" si="11"/>
        <v>4.8300015424257686E-2</v>
      </c>
    </row>
    <row r="377" spans="1:5" x14ac:dyDescent="0.25">
      <c r="A377">
        <v>0</v>
      </c>
      <c r="B377">
        <v>-0.27027027027027001</v>
      </c>
      <c r="C377">
        <f t="shared" si="10"/>
        <v>0.77972083909902945</v>
      </c>
      <c r="D377">
        <v>0</v>
      </c>
      <c r="E377">
        <f t="shared" si="11"/>
        <v>4.8300015424257686E-2</v>
      </c>
    </row>
    <row r="378" spans="1:5" x14ac:dyDescent="0.25">
      <c r="A378">
        <v>0</v>
      </c>
      <c r="B378">
        <v>-0.27</v>
      </c>
      <c r="C378">
        <f t="shared" si="10"/>
        <v>0.78077734468946292</v>
      </c>
      <c r="D378">
        <v>0</v>
      </c>
      <c r="E378">
        <f t="shared" si="11"/>
        <v>4.8300015424257686E-2</v>
      </c>
    </row>
    <row r="379" spans="1:5" x14ac:dyDescent="0.25">
      <c r="A379">
        <v>0</v>
      </c>
      <c r="B379">
        <v>-0.27</v>
      </c>
      <c r="C379">
        <f t="shared" si="10"/>
        <v>0.78077734468946292</v>
      </c>
      <c r="D379">
        <v>0</v>
      </c>
      <c r="E379">
        <f t="shared" si="11"/>
        <v>4.8300015424257686E-2</v>
      </c>
    </row>
    <row r="380" spans="1:5" x14ac:dyDescent="0.25">
      <c r="A380">
        <v>0</v>
      </c>
      <c r="B380">
        <v>-0.269230769230769</v>
      </c>
      <c r="C380">
        <f t="shared" si="10"/>
        <v>0.78378686921305374</v>
      </c>
      <c r="D380">
        <v>0</v>
      </c>
      <c r="E380">
        <f t="shared" si="11"/>
        <v>4.8300015424257686E-2</v>
      </c>
    </row>
    <row r="381" spans="1:5" x14ac:dyDescent="0.25">
      <c r="A381">
        <v>0</v>
      </c>
      <c r="B381">
        <v>-0.26900000000000002</v>
      </c>
      <c r="C381">
        <f t="shared" si="10"/>
        <v>0.78469045674791038</v>
      </c>
      <c r="D381">
        <v>0</v>
      </c>
      <c r="E381">
        <f t="shared" si="11"/>
        <v>4.8300015424257686E-2</v>
      </c>
    </row>
    <row r="382" spans="1:5" x14ac:dyDescent="0.25">
      <c r="A382">
        <v>0</v>
      </c>
      <c r="B382">
        <v>-0.26900000000000002</v>
      </c>
      <c r="C382">
        <f t="shared" si="10"/>
        <v>0.78469045674791038</v>
      </c>
      <c r="D382">
        <v>0</v>
      </c>
      <c r="E382">
        <f t="shared" si="11"/>
        <v>4.8300015424257686E-2</v>
      </c>
    </row>
    <row r="383" spans="1:5" x14ac:dyDescent="0.25">
      <c r="A383">
        <v>0</v>
      </c>
      <c r="B383">
        <v>-0.26833333333333298</v>
      </c>
      <c r="C383">
        <f t="shared" si="10"/>
        <v>0.78730269703040423</v>
      </c>
      <c r="D383">
        <v>0</v>
      </c>
      <c r="E383">
        <f t="shared" si="11"/>
        <v>4.8300015424257686E-2</v>
      </c>
    </row>
    <row r="384" spans="1:5" x14ac:dyDescent="0.25">
      <c r="A384">
        <v>0</v>
      </c>
      <c r="B384">
        <v>-0.26833333333333298</v>
      </c>
      <c r="C384">
        <f t="shared" si="10"/>
        <v>0.78730269703040423</v>
      </c>
      <c r="D384">
        <v>0</v>
      </c>
      <c r="E384">
        <f t="shared" si="11"/>
        <v>4.8300015424257686E-2</v>
      </c>
    </row>
    <row r="385" spans="1:5" x14ac:dyDescent="0.25">
      <c r="A385">
        <v>0</v>
      </c>
      <c r="B385">
        <v>-0.26806526806526798</v>
      </c>
      <c r="C385">
        <f t="shared" si="10"/>
        <v>0.78835385424702908</v>
      </c>
      <c r="D385">
        <v>0</v>
      </c>
      <c r="E385">
        <f t="shared" si="11"/>
        <v>4.8300015424257686E-2</v>
      </c>
    </row>
    <row r="386" spans="1:5" x14ac:dyDescent="0.25">
      <c r="A386">
        <v>0</v>
      </c>
      <c r="B386">
        <v>-0.26800000000000002</v>
      </c>
      <c r="C386">
        <f t="shared" ref="C386:C449" si="12">_xlfn.NORM.DIST(B386,I$10,I$13,FALSE)</f>
        <v>0.78860985561093311</v>
      </c>
      <c r="D386">
        <v>0</v>
      </c>
      <c r="E386">
        <f t="shared" si="11"/>
        <v>4.8300015424257686E-2</v>
      </c>
    </row>
    <row r="387" spans="1:5" x14ac:dyDescent="0.25">
      <c r="A387">
        <v>0</v>
      </c>
      <c r="B387">
        <v>-0.26800000000000002</v>
      </c>
      <c r="C387">
        <f t="shared" si="12"/>
        <v>0.78860985561093311</v>
      </c>
      <c r="D387">
        <v>0</v>
      </c>
      <c r="E387">
        <f t="shared" ref="E387:E450" si="13">_xlfn.NORM.DIST(D387,I$4,I$7,FALSE)</f>
        <v>4.8300015424257686E-2</v>
      </c>
    </row>
    <row r="388" spans="1:5" x14ac:dyDescent="0.25">
      <c r="A388">
        <v>0</v>
      </c>
      <c r="B388">
        <v>-0.26800000000000002</v>
      </c>
      <c r="C388">
        <f t="shared" si="12"/>
        <v>0.78860985561093311</v>
      </c>
      <c r="D388">
        <v>0</v>
      </c>
      <c r="E388">
        <f t="shared" si="13"/>
        <v>4.8300015424257686E-2</v>
      </c>
    </row>
    <row r="389" spans="1:5" x14ac:dyDescent="0.25">
      <c r="A389">
        <v>0</v>
      </c>
      <c r="B389">
        <v>-0.266666666666667</v>
      </c>
      <c r="C389">
        <f t="shared" si="12"/>
        <v>0.79384532489660675</v>
      </c>
      <c r="D389">
        <v>0</v>
      </c>
      <c r="E389">
        <f t="shared" si="13"/>
        <v>4.8300015424257686E-2</v>
      </c>
    </row>
    <row r="390" spans="1:5" x14ac:dyDescent="0.25">
      <c r="A390">
        <v>0</v>
      </c>
      <c r="B390">
        <v>-0.26635514018691597</v>
      </c>
      <c r="C390">
        <f t="shared" si="12"/>
        <v>0.79507012415538447</v>
      </c>
      <c r="D390">
        <v>0</v>
      </c>
      <c r="E390">
        <f t="shared" si="13"/>
        <v>4.8300015424257686E-2</v>
      </c>
    </row>
    <row r="391" spans="1:5" x14ac:dyDescent="0.25">
      <c r="A391">
        <v>0</v>
      </c>
      <c r="B391">
        <v>-0.26600000000000001</v>
      </c>
      <c r="C391">
        <f t="shared" si="12"/>
        <v>0.79646710742018956</v>
      </c>
      <c r="D391">
        <v>0</v>
      </c>
      <c r="E391">
        <f t="shared" si="13"/>
        <v>4.8300015424257686E-2</v>
      </c>
    </row>
    <row r="392" spans="1:5" x14ac:dyDescent="0.25">
      <c r="A392">
        <v>0</v>
      </c>
      <c r="B392">
        <v>-0.26573426573426601</v>
      </c>
      <c r="C392">
        <f t="shared" si="12"/>
        <v>0.79751289618034715</v>
      </c>
      <c r="D392">
        <v>0</v>
      </c>
      <c r="E392">
        <f t="shared" si="13"/>
        <v>4.8300015424257686E-2</v>
      </c>
    </row>
    <row r="393" spans="1:5" x14ac:dyDescent="0.25">
      <c r="A393">
        <v>0</v>
      </c>
      <c r="B393">
        <v>-0.26573426573426601</v>
      </c>
      <c r="C393">
        <f t="shared" si="12"/>
        <v>0.79751289618034715</v>
      </c>
      <c r="D393">
        <v>0</v>
      </c>
      <c r="E393">
        <f t="shared" si="13"/>
        <v>4.8300015424257686E-2</v>
      </c>
    </row>
    <row r="394" spans="1:5" x14ac:dyDescent="0.25">
      <c r="A394">
        <v>0</v>
      </c>
      <c r="B394">
        <v>-0.26533333333333298</v>
      </c>
      <c r="C394">
        <f t="shared" si="12"/>
        <v>0.79909154783382885</v>
      </c>
      <c r="D394">
        <v>0</v>
      </c>
      <c r="E394">
        <f t="shared" si="13"/>
        <v>4.8300015424257686E-2</v>
      </c>
    </row>
    <row r="395" spans="1:5" x14ac:dyDescent="0.25">
      <c r="A395">
        <v>0</v>
      </c>
      <c r="B395">
        <v>-0.26400000000000001</v>
      </c>
      <c r="C395">
        <f t="shared" si="12"/>
        <v>0.80434827927515229</v>
      </c>
      <c r="D395">
        <v>0</v>
      </c>
      <c r="E395">
        <f t="shared" si="13"/>
        <v>4.8300015424257686E-2</v>
      </c>
    </row>
    <row r="396" spans="1:5" x14ac:dyDescent="0.25">
      <c r="A396">
        <v>0</v>
      </c>
      <c r="B396">
        <v>-0.26400000000000001</v>
      </c>
      <c r="C396">
        <f t="shared" si="12"/>
        <v>0.80434827927515229</v>
      </c>
      <c r="D396">
        <v>0</v>
      </c>
      <c r="E396">
        <f t="shared" si="13"/>
        <v>4.8300015424257686E-2</v>
      </c>
    </row>
    <row r="397" spans="1:5" x14ac:dyDescent="0.25">
      <c r="A397">
        <v>0</v>
      </c>
      <c r="B397">
        <v>-0.26333333333333298</v>
      </c>
      <c r="C397">
        <f t="shared" si="12"/>
        <v>0.80698050837416568</v>
      </c>
      <c r="D397">
        <v>0</v>
      </c>
      <c r="E397">
        <f t="shared" si="13"/>
        <v>4.8300015424257686E-2</v>
      </c>
    </row>
    <row r="398" spans="1:5" x14ac:dyDescent="0.25">
      <c r="A398">
        <v>0</v>
      </c>
      <c r="B398">
        <v>-0.26300000000000001</v>
      </c>
      <c r="C398">
        <f t="shared" si="12"/>
        <v>0.80829757514270784</v>
      </c>
      <c r="D398">
        <v>0</v>
      </c>
      <c r="E398">
        <f t="shared" si="13"/>
        <v>4.8300015424257686E-2</v>
      </c>
    </row>
    <row r="399" spans="1:5" x14ac:dyDescent="0.25">
      <c r="A399">
        <v>0</v>
      </c>
      <c r="B399">
        <v>-0.26126126126126098</v>
      </c>
      <c r="C399">
        <f t="shared" si="12"/>
        <v>0.81517779791307221</v>
      </c>
      <c r="D399">
        <v>0</v>
      </c>
      <c r="E399">
        <f t="shared" si="13"/>
        <v>4.8300015424257686E-2</v>
      </c>
    </row>
    <row r="400" spans="1:5" x14ac:dyDescent="0.25">
      <c r="A400">
        <v>0</v>
      </c>
      <c r="B400">
        <v>-0.261072261072261</v>
      </c>
      <c r="C400">
        <f t="shared" si="12"/>
        <v>0.81592668387182143</v>
      </c>
      <c r="D400">
        <v>0</v>
      </c>
      <c r="E400">
        <f t="shared" si="13"/>
        <v>4.8300015424257686E-2</v>
      </c>
    </row>
    <row r="401" spans="1:5" x14ac:dyDescent="0.25">
      <c r="A401">
        <v>0</v>
      </c>
      <c r="B401">
        <v>-0.26100000000000001</v>
      </c>
      <c r="C401">
        <f t="shared" si="12"/>
        <v>0.81621305952363354</v>
      </c>
      <c r="D401">
        <v>0</v>
      </c>
      <c r="E401">
        <f t="shared" si="13"/>
        <v>4.8300015424257686E-2</v>
      </c>
    </row>
    <row r="402" spans="1:5" x14ac:dyDescent="0.25">
      <c r="A402">
        <v>0</v>
      </c>
      <c r="B402">
        <v>-0.26</v>
      </c>
      <c r="C402">
        <f t="shared" si="12"/>
        <v>0.82017903473095632</v>
      </c>
      <c r="D402">
        <v>0</v>
      </c>
      <c r="E402">
        <f t="shared" si="13"/>
        <v>4.8300015424257686E-2</v>
      </c>
    </row>
    <row r="403" spans="1:5" x14ac:dyDescent="0.25">
      <c r="A403">
        <v>0</v>
      </c>
      <c r="B403">
        <v>-0.26</v>
      </c>
      <c r="C403">
        <f t="shared" si="12"/>
        <v>0.82017903473095632</v>
      </c>
      <c r="D403">
        <v>0</v>
      </c>
      <c r="E403">
        <f t="shared" si="13"/>
        <v>4.8300015424257686E-2</v>
      </c>
    </row>
    <row r="404" spans="1:5" x14ac:dyDescent="0.25">
      <c r="A404">
        <v>0</v>
      </c>
      <c r="B404">
        <v>-0.25934579439252298</v>
      </c>
      <c r="C404">
        <f t="shared" si="12"/>
        <v>0.8227764969411081</v>
      </c>
      <c r="D404">
        <v>0</v>
      </c>
      <c r="E404">
        <f t="shared" si="13"/>
        <v>4.8300015424257686E-2</v>
      </c>
    </row>
    <row r="405" spans="1:5" x14ac:dyDescent="0.25">
      <c r="A405">
        <v>0</v>
      </c>
      <c r="B405">
        <v>-0.25925925925925902</v>
      </c>
      <c r="C405">
        <f t="shared" si="12"/>
        <v>0.82312024629638303</v>
      </c>
      <c r="D405">
        <v>0</v>
      </c>
      <c r="E405">
        <f t="shared" si="13"/>
        <v>4.8300015424257686E-2</v>
      </c>
    </row>
    <row r="406" spans="1:5" x14ac:dyDescent="0.25">
      <c r="A406">
        <v>0</v>
      </c>
      <c r="B406">
        <v>-0.25874125874125897</v>
      </c>
      <c r="C406">
        <f t="shared" si="12"/>
        <v>0.82517875662763551</v>
      </c>
      <c r="D406">
        <v>0</v>
      </c>
      <c r="E406">
        <f t="shared" si="13"/>
        <v>4.8300015424257686E-2</v>
      </c>
    </row>
    <row r="407" spans="1:5" x14ac:dyDescent="0.25">
      <c r="A407">
        <v>0</v>
      </c>
      <c r="B407">
        <v>-0.25874125874125897</v>
      </c>
      <c r="C407">
        <f t="shared" si="12"/>
        <v>0.82517875662763551</v>
      </c>
      <c r="D407">
        <v>0</v>
      </c>
      <c r="E407">
        <f t="shared" si="13"/>
        <v>4.8300015424257686E-2</v>
      </c>
    </row>
    <row r="408" spans="1:5" x14ac:dyDescent="0.25">
      <c r="A408">
        <v>0</v>
      </c>
      <c r="B408">
        <v>-0.25866666666666699</v>
      </c>
      <c r="C408">
        <f t="shared" si="12"/>
        <v>0.82547529758280225</v>
      </c>
      <c r="D408">
        <v>0</v>
      </c>
      <c r="E408">
        <f t="shared" si="13"/>
        <v>4.8300015424257686E-2</v>
      </c>
    </row>
    <row r="409" spans="1:5" x14ac:dyDescent="0.25">
      <c r="A409">
        <v>0</v>
      </c>
      <c r="B409">
        <v>-0.25833333333333303</v>
      </c>
      <c r="C409">
        <f t="shared" si="12"/>
        <v>0.82680081788169524</v>
      </c>
      <c r="D409">
        <v>0</v>
      </c>
      <c r="E409">
        <f t="shared" si="13"/>
        <v>4.8300015424257686E-2</v>
      </c>
    </row>
    <row r="410" spans="1:5" x14ac:dyDescent="0.25">
      <c r="A410">
        <v>0</v>
      </c>
      <c r="B410">
        <v>-0.25825825825825799</v>
      </c>
      <c r="C410">
        <f t="shared" si="12"/>
        <v>0.8270994377967622</v>
      </c>
      <c r="D410">
        <v>0</v>
      </c>
      <c r="E410">
        <f t="shared" si="13"/>
        <v>4.8300015424257686E-2</v>
      </c>
    </row>
    <row r="411" spans="1:5" x14ac:dyDescent="0.25">
      <c r="A411">
        <v>0</v>
      </c>
      <c r="B411">
        <v>-0.25821596244131501</v>
      </c>
      <c r="C411">
        <f t="shared" si="12"/>
        <v>0.82726768716822341</v>
      </c>
      <c r="D411">
        <v>0</v>
      </c>
      <c r="E411">
        <f t="shared" si="13"/>
        <v>4.8300015424257686E-2</v>
      </c>
    </row>
    <row r="412" spans="1:5" x14ac:dyDescent="0.25">
      <c r="A412">
        <v>0</v>
      </c>
      <c r="B412">
        <v>-0.25800000000000001</v>
      </c>
      <c r="C412">
        <f t="shared" si="12"/>
        <v>0.82812691192305443</v>
      </c>
      <c r="D412">
        <v>0</v>
      </c>
      <c r="E412">
        <f t="shared" si="13"/>
        <v>4.8300015424257686E-2</v>
      </c>
    </row>
    <row r="413" spans="1:5" x14ac:dyDescent="0.25">
      <c r="A413">
        <v>0</v>
      </c>
      <c r="B413">
        <v>-0.25600000000000001</v>
      </c>
      <c r="C413">
        <f t="shared" si="12"/>
        <v>0.83609529655476533</v>
      </c>
      <c r="D413">
        <v>0</v>
      </c>
      <c r="E413">
        <f t="shared" si="13"/>
        <v>4.8300015424257686E-2</v>
      </c>
    </row>
    <row r="414" spans="1:5" x14ac:dyDescent="0.25">
      <c r="A414">
        <v>0</v>
      </c>
      <c r="B414">
        <v>-0.25600000000000001</v>
      </c>
      <c r="C414">
        <f t="shared" si="12"/>
        <v>0.83609529655476533</v>
      </c>
      <c r="D414">
        <v>0</v>
      </c>
      <c r="E414">
        <f t="shared" si="13"/>
        <v>4.8300015424257686E-2</v>
      </c>
    </row>
    <row r="415" spans="1:5" x14ac:dyDescent="0.25">
      <c r="A415">
        <v>0</v>
      </c>
      <c r="B415">
        <v>-0.25600000000000001</v>
      </c>
      <c r="C415">
        <f t="shared" si="12"/>
        <v>0.83609529655476533</v>
      </c>
      <c r="D415">
        <v>0</v>
      </c>
      <c r="E415">
        <f t="shared" si="13"/>
        <v>4.8300015424257686E-2</v>
      </c>
    </row>
    <row r="416" spans="1:5" x14ac:dyDescent="0.25">
      <c r="A416">
        <v>0</v>
      </c>
      <c r="B416">
        <v>-0.25568181818181801</v>
      </c>
      <c r="C416">
        <f t="shared" si="12"/>
        <v>0.83736482635807352</v>
      </c>
      <c r="D416">
        <v>0</v>
      </c>
      <c r="E416">
        <f t="shared" si="13"/>
        <v>4.8300015424257686E-2</v>
      </c>
    </row>
    <row r="417" spans="1:5" x14ac:dyDescent="0.25">
      <c r="A417">
        <v>0</v>
      </c>
      <c r="B417">
        <v>-0.25531914893617003</v>
      </c>
      <c r="C417">
        <f t="shared" si="12"/>
        <v>0.83881245991221487</v>
      </c>
      <c r="D417">
        <v>0</v>
      </c>
      <c r="E417">
        <f t="shared" si="13"/>
        <v>4.8300015424257686E-2</v>
      </c>
    </row>
    <row r="418" spans="1:5" x14ac:dyDescent="0.25">
      <c r="A418">
        <v>0</v>
      </c>
      <c r="B418">
        <v>-0.255</v>
      </c>
      <c r="C418">
        <f t="shared" si="12"/>
        <v>0.84008690310809775</v>
      </c>
      <c r="D418">
        <v>0</v>
      </c>
      <c r="E418">
        <f t="shared" si="13"/>
        <v>4.8300015424257686E-2</v>
      </c>
    </row>
    <row r="419" spans="1:5" x14ac:dyDescent="0.25">
      <c r="A419">
        <v>0</v>
      </c>
      <c r="B419">
        <v>-0.25466666666666699</v>
      </c>
      <c r="C419">
        <f t="shared" si="12"/>
        <v>0.8414185095092378</v>
      </c>
      <c r="D419">
        <v>0</v>
      </c>
      <c r="E419">
        <f t="shared" si="13"/>
        <v>4.8300015424257686E-2</v>
      </c>
    </row>
    <row r="420" spans="1:5" x14ac:dyDescent="0.25">
      <c r="A420">
        <v>0</v>
      </c>
      <c r="B420">
        <v>-0.254</v>
      </c>
      <c r="C420">
        <f t="shared" si="12"/>
        <v>0.84408330369362172</v>
      </c>
      <c r="D420">
        <v>0</v>
      </c>
      <c r="E420">
        <f t="shared" si="13"/>
        <v>4.8300015424257686E-2</v>
      </c>
    </row>
    <row r="421" spans="1:5" x14ac:dyDescent="0.25">
      <c r="A421">
        <v>0</v>
      </c>
      <c r="B421">
        <v>-0.254</v>
      </c>
      <c r="C421">
        <f t="shared" si="12"/>
        <v>0.84408330369362172</v>
      </c>
      <c r="D421">
        <v>0</v>
      </c>
      <c r="E421">
        <f t="shared" si="13"/>
        <v>4.8300015424257686E-2</v>
      </c>
    </row>
    <row r="422" spans="1:5" x14ac:dyDescent="0.25">
      <c r="A422">
        <v>0</v>
      </c>
      <c r="B422">
        <v>-0.25333333333333302</v>
      </c>
      <c r="C422">
        <f t="shared" si="12"/>
        <v>0.84675017854555323</v>
      </c>
      <c r="D422">
        <v>0</v>
      </c>
      <c r="E422">
        <f t="shared" si="13"/>
        <v>4.8300015424257686E-2</v>
      </c>
    </row>
    <row r="423" spans="1:5" x14ac:dyDescent="0.25">
      <c r="A423">
        <v>0</v>
      </c>
      <c r="B423">
        <v>-0.25225225225225201</v>
      </c>
      <c r="C423">
        <f t="shared" si="12"/>
        <v>0.85107917707915237</v>
      </c>
      <c r="D423">
        <v>0</v>
      </c>
      <c r="E423">
        <f t="shared" si="13"/>
        <v>4.8300015424257686E-2</v>
      </c>
    </row>
    <row r="424" spans="1:5" x14ac:dyDescent="0.25">
      <c r="A424">
        <v>0</v>
      </c>
      <c r="B424">
        <v>-0.25174825174825199</v>
      </c>
      <c r="C424">
        <f t="shared" si="12"/>
        <v>0.85309915764367106</v>
      </c>
      <c r="D424">
        <v>0</v>
      </c>
      <c r="E424">
        <f t="shared" si="13"/>
        <v>4.8300015424257686E-2</v>
      </c>
    </row>
    <row r="425" spans="1:5" x14ac:dyDescent="0.25">
      <c r="A425">
        <v>0</v>
      </c>
      <c r="B425">
        <v>-0.25133333333333302</v>
      </c>
      <c r="C425">
        <f t="shared" si="12"/>
        <v>0.85476295090933396</v>
      </c>
      <c r="D425">
        <v>0</v>
      </c>
      <c r="E425">
        <f t="shared" si="13"/>
        <v>4.8300015424257686E-2</v>
      </c>
    </row>
    <row r="426" spans="1:5" x14ac:dyDescent="0.25">
      <c r="A426">
        <v>0</v>
      </c>
      <c r="B426">
        <v>-0.25066666666666698</v>
      </c>
      <c r="C426">
        <f t="shared" si="12"/>
        <v>0.85743781147606946</v>
      </c>
      <c r="D426">
        <v>0</v>
      </c>
      <c r="E426">
        <f t="shared" si="13"/>
        <v>4.8300015424257686E-2</v>
      </c>
    </row>
    <row r="427" spans="1:5" x14ac:dyDescent="0.25">
      <c r="A427">
        <v>0</v>
      </c>
      <c r="B427">
        <v>-0.25</v>
      </c>
      <c r="C427">
        <f t="shared" si="12"/>
        <v>0.8601145834764734</v>
      </c>
      <c r="D427">
        <v>0</v>
      </c>
      <c r="E427">
        <f t="shared" si="13"/>
        <v>4.8300015424257686E-2</v>
      </c>
    </row>
    <row r="428" spans="1:5" x14ac:dyDescent="0.25">
      <c r="A428">
        <v>0</v>
      </c>
      <c r="B428">
        <v>-0.25</v>
      </c>
      <c r="C428">
        <f t="shared" si="12"/>
        <v>0.8601145834764734</v>
      </c>
      <c r="D428">
        <v>0</v>
      </c>
      <c r="E428">
        <f t="shared" si="13"/>
        <v>4.8300015424257686E-2</v>
      </c>
    </row>
    <row r="429" spans="1:5" x14ac:dyDescent="0.25">
      <c r="A429">
        <v>0</v>
      </c>
      <c r="B429">
        <v>-0.25</v>
      </c>
      <c r="C429">
        <f t="shared" si="12"/>
        <v>0.8601145834764734</v>
      </c>
      <c r="D429">
        <v>0</v>
      </c>
      <c r="E429">
        <f t="shared" si="13"/>
        <v>4.8300015424257686E-2</v>
      </c>
    </row>
    <row r="430" spans="1:5" x14ac:dyDescent="0.25">
      <c r="A430">
        <v>0</v>
      </c>
      <c r="B430">
        <v>-0.25</v>
      </c>
      <c r="C430">
        <f t="shared" si="12"/>
        <v>0.8601145834764734</v>
      </c>
      <c r="D430">
        <v>0</v>
      </c>
      <c r="E430">
        <f t="shared" si="13"/>
        <v>4.8300015424257686E-2</v>
      </c>
    </row>
    <row r="431" spans="1:5" x14ac:dyDescent="0.25">
      <c r="A431">
        <v>0</v>
      </c>
      <c r="B431">
        <v>-0.25</v>
      </c>
      <c r="C431">
        <f t="shared" si="12"/>
        <v>0.8601145834764734</v>
      </c>
      <c r="D431">
        <v>0</v>
      </c>
      <c r="E431">
        <f t="shared" si="13"/>
        <v>4.8300015424257686E-2</v>
      </c>
    </row>
    <row r="432" spans="1:5" x14ac:dyDescent="0.25">
      <c r="A432">
        <v>0</v>
      </c>
      <c r="B432">
        <v>-0.24933333333333299</v>
      </c>
      <c r="C432">
        <f t="shared" si="12"/>
        <v>0.86279323261196939</v>
      </c>
      <c r="D432">
        <v>0</v>
      </c>
      <c r="E432">
        <f t="shared" si="13"/>
        <v>4.8300015424257686E-2</v>
      </c>
    </row>
    <row r="433" spans="1:5" x14ac:dyDescent="0.25">
      <c r="A433">
        <v>0</v>
      </c>
      <c r="B433">
        <v>-0.24933333333333299</v>
      </c>
      <c r="C433">
        <f t="shared" si="12"/>
        <v>0.86279323261196939</v>
      </c>
      <c r="D433">
        <v>0</v>
      </c>
      <c r="E433">
        <f t="shared" si="13"/>
        <v>4.8300015424257686E-2</v>
      </c>
    </row>
    <row r="434" spans="1:5" x14ac:dyDescent="0.25">
      <c r="A434">
        <v>0</v>
      </c>
      <c r="B434">
        <v>-0.249</v>
      </c>
      <c r="C434">
        <f t="shared" si="12"/>
        <v>0.86413325034623034</v>
      </c>
      <c r="D434">
        <v>0</v>
      </c>
      <c r="E434">
        <f t="shared" si="13"/>
        <v>4.8300015424257686E-2</v>
      </c>
    </row>
    <row r="435" spans="1:5" x14ac:dyDescent="0.25">
      <c r="A435">
        <v>0</v>
      </c>
      <c r="B435">
        <v>-0.24833333333333299</v>
      </c>
      <c r="C435">
        <f t="shared" si="12"/>
        <v>0.86681465054809848</v>
      </c>
      <c r="D435">
        <v>0</v>
      </c>
      <c r="E435">
        <f t="shared" si="13"/>
        <v>4.8300015424257686E-2</v>
      </c>
    </row>
    <row r="436" spans="1:5" x14ac:dyDescent="0.25">
      <c r="A436">
        <v>0</v>
      </c>
      <c r="B436">
        <v>-0.248</v>
      </c>
      <c r="C436">
        <f t="shared" si="12"/>
        <v>0.86815602434800532</v>
      </c>
      <c r="D436">
        <v>0</v>
      </c>
      <c r="E436">
        <f t="shared" si="13"/>
        <v>4.8300015424257686E-2</v>
      </c>
    </row>
    <row r="437" spans="1:5" x14ac:dyDescent="0.25">
      <c r="A437">
        <v>0</v>
      </c>
      <c r="B437">
        <v>-0.248</v>
      </c>
      <c r="C437">
        <f t="shared" si="12"/>
        <v>0.86815602434800532</v>
      </c>
      <c r="D437">
        <v>0</v>
      </c>
      <c r="E437">
        <f t="shared" si="13"/>
        <v>4.8300015424257686E-2</v>
      </c>
    </row>
    <row r="438" spans="1:5" x14ac:dyDescent="0.25">
      <c r="A438">
        <v>0</v>
      </c>
      <c r="B438">
        <v>-0.248</v>
      </c>
      <c r="C438">
        <f t="shared" si="12"/>
        <v>0.86815602434800532</v>
      </c>
      <c r="D438">
        <v>0</v>
      </c>
      <c r="E438">
        <f t="shared" si="13"/>
        <v>4.8300015424257686E-2</v>
      </c>
    </row>
    <row r="439" spans="1:5" x14ac:dyDescent="0.25">
      <c r="A439">
        <v>0</v>
      </c>
      <c r="B439">
        <v>-0.24766355140186899</v>
      </c>
      <c r="C439">
        <f t="shared" si="12"/>
        <v>0.86951038391105662</v>
      </c>
      <c r="D439">
        <v>0</v>
      </c>
      <c r="E439">
        <f t="shared" si="13"/>
        <v>4.8300015424257686E-2</v>
      </c>
    </row>
    <row r="440" spans="1:5" x14ac:dyDescent="0.25">
      <c r="A440">
        <v>0</v>
      </c>
      <c r="B440">
        <v>-0.246</v>
      </c>
      <c r="C440">
        <f t="shared" si="12"/>
        <v>0.87621342444690942</v>
      </c>
      <c r="D440">
        <v>0</v>
      </c>
      <c r="E440">
        <f t="shared" si="13"/>
        <v>4.8300015424257686E-2</v>
      </c>
    </row>
    <row r="441" spans="1:5" x14ac:dyDescent="0.25">
      <c r="A441">
        <v>0</v>
      </c>
      <c r="B441">
        <v>-0.246</v>
      </c>
      <c r="C441">
        <f t="shared" si="12"/>
        <v>0.87621342444690942</v>
      </c>
      <c r="D441">
        <v>0</v>
      </c>
      <c r="E441">
        <f t="shared" si="13"/>
        <v>4.8300015424257686E-2</v>
      </c>
    </row>
    <row r="442" spans="1:5" x14ac:dyDescent="0.25">
      <c r="A442">
        <v>0</v>
      </c>
      <c r="B442">
        <v>-0.244666666666667</v>
      </c>
      <c r="C442">
        <f t="shared" si="12"/>
        <v>0.88159342405526009</v>
      </c>
      <c r="D442">
        <v>0</v>
      </c>
      <c r="E442">
        <f t="shared" si="13"/>
        <v>4.8300015424257686E-2</v>
      </c>
    </row>
    <row r="443" spans="1:5" x14ac:dyDescent="0.25">
      <c r="A443">
        <v>0</v>
      </c>
      <c r="B443">
        <v>-0.24324324324324301</v>
      </c>
      <c r="C443">
        <f t="shared" si="12"/>
        <v>0.88734398177792662</v>
      </c>
      <c r="D443">
        <v>0</v>
      </c>
      <c r="E443">
        <f t="shared" si="13"/>
        <v>4.8300015424257686E-2</v>
      </c>
    </row>
    <row r="444" spans="1:5" x14ac:dyDescent="0.25">
      <c r="A444">
        <v>0</v>
      </c>
      <c r="B444">
        <v>-0.242666666666667</v>
      </c>
      <c r="C444">
        <f t="shared" si="12"/>
        <v>0.88967531470901451</v>
      </c>
      <c r="D444">
        <v>0</v>
      </c>
      <c r="E444">
        <f t="shared" si="13"/>
        <v>4.8300015424257686E-2</v>
      </c>
    </row>
    <row r="445" spans="1:5" x14ac:dyDescent="0.25">
      <c r="A445">
        <v>0</v>
      </c>
      <c r="B445">
        <v>-0.242666666666667</v>
      </c>
      <c r="C445">
        <f t="shared" si="12"/>
        <v>0.88967531470901451</v>
      </c>
      <c r="D445">
        <v>0</v>
      </c>
      <c r="E445">
        <f t="shared" si="13"/>
        <v>4.8300015424257686E-2</v>
      </c>
    </row>
    <row r="446" spans="1:5" x14ac:dyDescent="0.25">
      <c r="A446">
        <v>0</v>
      </c>
      <c r="B446">
        <v>-0.242666666666667</v>
      </c>
      <c r="C446">
        <f t="shared" si="12"/>
        <v>0.88967531470901451</v>
      </c>
      <c r="D446">
        <v>0</v>
      </c>
      <c r="E446">
        <f t="shared" si="13"/>
        <v>4.8300015424257686E-2</v>
      </c>
    </row>
    <row r="447" spans="1:5" x14ac:dyDescent="0.25">
      <c r="A447">
        <v>0</v>
      </c>
      <c r="B447">
        <v>-0.24242424242424199</v>
      </c>
      <c r="C447">
        <f t="shared" si="12"/>
        <v>0.8906558684210979</v>
      </c>
      <c r="D447">
        <v>0</v>
      </c>
      <c r="E447">
        <f t="shared" si="13"/>
        <v>4.8300015424257686E-2</v>
      </c>
    </row>
    <row r="448" spans="1:5" x14ac:dyDescent="0.25">
      <c r="A448">
        <v>0</v>
      </c>
      <c r="B448">
        <v>-0.24199999999999999</v>
      </c>
      <c r="C448">
        <f t="shared" si="12"/>
        <v>0.89237230634279063</v>
      </c>
      <c r="D448">
        <v>0</v>
      </c>
      <c r="E448">
        <f t="shared" si="13"/>
        <v>4.8300015424257686E-2</v>
      </c>
    </row>
    <row r="449" spans="1:5" x14ac:dyDescent="0.25">
      <c r="A449">
        <v>0</v>
      </c>
      <c r="B449">
        <v>-0.24199999999999999</v>
      </c>
      <c r="C449">
        <f t="shared" si="12"/>
        <v>0.89237230634279063</v>
      </c>
      <c r="D449">
        <v>0</v>
      </c>
      <c r="E449">
        <f t="shared" si="13"/>
        <v>4.8300015424257686E-2</v>
      </c>
    </row>
    <row r="450" spans="1:5" x14ac:dyDescent="0.25">
      <c r="A450">
        <v>0</v>
      </c>
      <c r="B450">
        <v>-0.24199999999999999</v>
      </c>
      <c r="C450">
        <f t="shared" ref="C450:C513" si="14">_xlfn.NORM.DIST(B450,I$10,I$13,FALSE)</f>
        <v>0.89237230634279063</v>
      </c>
      <c r="D450">
        <v>0</v>
      </c>
      <c r="E450">
        <f t="shared" si="13"/>
        <v>4.8300015424257686E-2</v>
      </c>
    </row>
    <row r="451" spans="1:5" x14ac:dyDescent="0.25">
      <c r="A451">
        <v>0</v>
      </c>
      <c r="B451">
        <v>-0.241666666666667</v>
      </c>
      <c r="C451">
        <f t="shared" si="14"/>
        <v>0.89372134969670836</v>
      </c>
      <c r="D451">
        <v>0</v>
      </c>
      <c r="E451">
        <f t="shared" ref="E451:E514" si="15">_xlfn.NORM.DIST(D451,I$4,I$7,FALSE)</f>
        <v>4.8300015424257686E-2</v>
      </c>
    </row>
    <row r="452" spans="1:5" x14ac:dyDescent="0.25">
      <c r="A452">
        <v>0</v>
      </c>
      <c r="B452">
        <v>-0.240875912408759</v>
      </c>
      <c r="C452">
        <f t="shared" si="14"/>
        <v>0.89692306272467148</v>
      </c>
      <c r="D452">
        <v>0</v>
      </c>
      <c r="E452">
        <f t="shared" si="15"/>
        <v>4.8300015424257686E-2</v>
      </c>
    </row>
    <row r="453" spans="1:5" x14ac:dyDescent="0.25">
      <c r="A453">
        <v>0</v>
      </c>
      <c r="B453">
        <v>-0.24024024024023999</v>
      </c>
      <c r="C453">
        <f t="shared" si="14"/>
        <v>0.89949828218269878</v>
      </c>
      <c r="D453">
        <v>0</v>
      </c>
      <c r="E453">
        <f t="shared" si="15"/>
        <v>4.8300015424257686E-2</v>
      </c>
    </row>
    <row r="454" spans="1:5" x14ac:dyDescent="0.25">
      <c r="A454">
        <v>0</v>
      </c>
      <c r="B454">
        <v>-0.24</v>
      </c>
      <c r="C454">
        <f t="shared" si="14"/>
        <v>0.9004718607844181</v>
      </c>
      <c r="D454">
        <v>0</v>
      </c>
      <c r="E454">
        <f t="shared" si="15"/>
        <v>4.8300015424257686E-2</v>
      </c>
    </row>
    <row r="455" spans="1:5" x14ac:dyDescent="0.25">
      <c r="A455">
        <v>0</v>
      </c>
      <c r="B455">
        <v>-0.24</v>
      </c>
      <c r="C455">
        <f t="shared" si="14"/>
        <v>0.9004718607844181</v>
      </c>
      <c r="D455">
        <v>0</v>
      </c>
      <c r="E455">
        <f t="shared" si="15"/>
        <v>4.8300015424257686E-2</v>
      </c>
    </row>
    <row r="456" spans="1:5" x14ac:dyDescent="0.25">
      <c r="A456">
        <v>0</v>
      </c>
      <c r="B456">
        <v>-0.24</v>
      </c>
      <c r="C456">
        <f t="shared" si="14"/>
        <v>0.9004718607844181</v>
      </c>
      <c r="D456">
        <v>0</v>
      </c>
      <c r="E456">
        <f t="shared" si="15"/>
        <v>4.8300015424257686E-2</v>
      </c>
    </row>
    <row r="457" spans="1:5" x14ac:dyDescent="0.25">
      <c r="A457">
        <v>0</v>
      </c>
      <c r="B457">
        <v>-0.24</v>
      </c>
      <c r="C457">
        <f t="shared" si="14"/>
        <v>0.9004718607844181</v>
      </c>
      <c r="D457">
        <v>0</v>
      </c>
      <c r="E457">
        <f t="shared" si="15"/>
        <v>4.8300015424257686E-2</v>
      </c>
    </row>
    <row r="458" spans="1:5" x14ac:dyDescent="0.25">
      <c r="A458">
        <v>0</v>
      </c>
      <c r="B458">
        <v>-0.24</v>
      </c>
      <c r="C458">
        <f t="shared" si="14"/>
        <v>0.9004718607844181</v>
      </c>
      <c r="D458">
        <v>0</v>
      </c>
      <c r="E458">
        <f t="shared" si="15"/>
        <v>4.8300015424257686E-2</v>
      </c>
    </row>
    <row r="459" spans="1:5" x14ac:dyDescent="0.25">
      <c r="A459">
        <v>0</v>
      </c>
      <c r="B459">
        <v>-0.24</v>
      </c>
      <c r="C459">
        <f t="shared" si="14"/>
        <v>0.9004718607844181</v>
      </c>
      <c r="D459">
        <v>0</v>
      </c>
      <c r="E459">
        <f t="shared" si="15"/>
        <v>4.8300015424257686E-2</v>
      </c>
    </row>
    <row r="460" spans="1:5" x14ac:dyDescent="0.25">
      <c r="A460">
        <v>0</v>
      </c>
      <c r="B460">
        <v>-0.23943661971831001</v>
      </c>
      <c r="C460">
        <f t="shared" si="14"/>
        <v>0.90275565325845741</v>
      </c>
      <c r="D460">
        <v>0</v>
      </c>
      <c r="E460">
        <f t="shared" si="15"/>
        <v>4.8300015424257686E-2</v>
      </c>
    </row>
    <row r="461" spans="1:5" x14ac:dyDescent="0.25">
      <c r="A461">
        <v>0</v>
      </c>
      <c r="B461">
        <v>-0.23936170212766</v>
      </c>
      <c r="C461">
        <f t="shared" si="14"/>
        <v>0.90305942024522978</v>
      </c>
      <c r="D461">
        <v>0</v>
      </c>
      <c r="E461">
        <f t="shared" si="15"/>
        <v>4.8300015424257686E-2</v>
      </c>
    </row>
    <row r="462" spans="1:5" x14ac:dyDescent="0.25">
      <c r="A462">
        <v>0</v>
      </c>
      <c r="B462">
        <v>-0.23833333333333301</v>
      </c>
      <c r="C462">
        <f t="shared" si="14"/>
        <v>0.90723077820088316</v>
      </c>
      <c r="D462">
        <v>0</v>
      </c>
      <c r="E462">
        <f t="shared" si="15"/>
        <v>4.8300015424257686E-2</v>
      </c>
    </row>
    <row r="463" spans="1:5" x14ac:dyDescent="0.25">
      <c r="A463">
        <v>0</v>
      </c>
      <c r="B463">
        <v>-0.23776223776223801</v>
      </c>
      <c r="C463">
        <f t="shared" si="14"/>
        <v>0.90954860173766539</v>
      </c>
      <c r="D463">
        <v>0</v>
      </c>
      <c r="E463">
        <f t="shared" si="15"/>
        <v>4.8300015424257686E-2</v>
      </c>
    </row>
    <row r="464" spans="1:5" x14ac:dyDescent="0.25">
      <c r="A464">
        <v>0</v>
      </c>
      <c r="B464">
        <v>-0.23733333333333301</v>
      </c>
      <c r="C464">
        <f t="shared" si="14"/>
        <v>0.911289925242044</v>
      </c>
      <c r="D464">
        <v>0</v>
      </c>
      <c r="E464">
        <f t="shared" si="15"/>
        <v>4.8300015424257686E-2</v>
      </c>
    </row>
    <row r="465" spans="1:5" x14ac:dyDescent="0.25">
      <c r="A465">
        <v>0</v>
      </c>
      <c r="B465">
        <v>-0.23733333333333301</v>
      </c>
      <c r="C465">
        <f t="shared" si="14"/>
        <v>0.911289925242044</v>
      </c>
      <c r="D465">
        <v>0</v>
      </c>
      <c r="E465">
        <f t="shared" si="15"/>
        <v>4.8300015424257686E-2</v>
      </c>
    </row>
    <row r="466" spans="1:5" x14ac:dyDescent="0.25">
      <c r="A466">
        <v>0</v>
      </c>
      <c r="B466">
        <v>-0.23711340206185599</v>
      </c>
      <c r="C466">
        <f t="shared" si="14"/>
        <v>0.91218302451349742</v>
      </c>
      <c r="D466">
        <v>0</v>
      </c>
      <c r="E466">
        <f t="shared" si="15"/>
        <v>4.8300015424257686E-2</v>
      </c>
    </row>
    <row r="467" spans="1:5" x14ac:dyDescent="0.25">
      <c r="A467">
        <v>0</v>
      </c>
      <c r="B467">
        <v>-0.23599999999999999</v>
      </c>
      <c r="C467">
        <f t="shared" si="14"/>
        <v>0.91670629180343832</v>
      </c>
      <c r="D467">
        <v>0</v>
      </c>
      <c r="E467">
        <f t="shared" si="15"/>
        <v>4.8300015424257686E-2</v>
      </c>
    </row>
    <row r="468" spans="1:5" x14ac:dyDescent="0.25">
      <c r="A468">
        <v>0</v>
      </c>
      <c r="B468">
        <v>-0.23599999999999999</v>
      </c>
      <c r="C468">
        <f t="shared" si="14"/>
        <v>0.91670629180343832</v>
      </c>
      <c r="D468">
        <v>0</v>
      </c>
      <c r="E468">
        <f t="shared" si="15"/>
        <v>4.8300015424257686E-2</v>
      </c>
    </row>
    <row r="469" spans="1:5" x14ac:dyDescent="0.25">
      <c r="A469">
        <v>0</v>
      </c>
      <c r="B469">
        <v>-0.23599999999999999</v>
      </c>
      <c r="C469">
        <f t="shared" si="14"/>
        <v>0.91670629180343832</v>
      </c>
      <c r="D469">
        <v>0</v>
      </c>
      <c r="E469">
        <f t="shared" si="15"/>
        <v>4.8300015424257686E-2</v>
      </c>
    </row>
    <row r="470" spans="1:5" x14ac:dyDescent="0.25">
      <c r="A470">
        <v>0</v>
      </c>
      <c r="B470">
        <v>-0.23599999999999999</v>
      </c>
      <c r="C470">
        <f t="shared" si="14"/>
        <v>0.91670629180343832</v>
      </c>
      <c r="D470">
        <v>0</v>
      </c>
      <c r="E470">
        <f t="shared" si="15"/>
        <v>4.8300015424257686E-2</v>
      </c>
    </row>
    <row r="471" spans="1:5" x14ac:dyDescent="0.25">
      <c r="A471">
        <v>0</v>
      </c>
      <c r="B471">
        <v>-0.23499999999999999</v>
      </c>
      <c r="C471">
        <f t="shared" si="14"/>
        <v>0.92077153169778625</v>
      </c>
      <c r="D471">
        <v>0</v>
      </c>
      <c r="E471">
        <f t="shared" si="15"/>
        <v>4.8300015424257686E-2</v>
      </c>
    </row>
    <row r="472" spans="1:5" x14ac:dyDescent="0.25">
      <c r="A472">
        <v>0</v>
      </c>
      <c r="B472">
        <v>-0.23499999999999999</v>
      </c>
      <c r="C472">
        <f t="shared" si="14"/>
        <v>0.92077153169778625</v>
      </c>
      <c r="D472">
        <v>0</v>
      </c>
      <c r="E472">
        <f t="shared" si="15"/>
        <v>4.8300015424257686E-2</v>
      </c>
    </row>
    <row r="473" spans="1:5" x14ac:dyDescent="0.25">
      <c r="A473">
        <v>0</v>
      </c>
      <c r="B473">
        <v>-0.23499999999999999</v>
      </c>
      <c r="C473">
        <f t="shared" si="14"/>
        <v>0.92077153169778625</v>
      </c>
      <c r="D473">
        <v>0</v>
      </c>
      <c r="E473">
        <f t="shared" si="15"/>
        <v>4.8300015424257686E-2</v>
      </c>
    </row>
    <row r="474" spans="1:5" x14ac:dyDescent="0.25">
      <c r="A474">
        <v>0</v>
      </c>
      <c r="B474">
        <v>-0.234666666666667</v>
      </c>
      <c r="C474">
        <f t="shared" si="14"/>
        <v>0.92212715147081736</v>
      </c>
      <c r="D474">
        <v>0</v>
      </c>
      <c r="E474">
        <f t="shared" si="15"/>
        <v>4.8300015424257686E-2</v>
      </c>
    </row>
    <row r="475" spans="1:5" x14ac:dyDescent="0.25">
      <c r="A475">
        <v>0</v>
      </c>
      <c r="B475">
        <v>-0.234666666666667</v>
      </c>
      <c r="C475">
        <f t="shared" si="14"/>
        <v>0.92212715147081736</v>
      </c>
      <c r="D475">
        <v>0</v>
      </c>
      <c r="E475">
        <f t="shared" si="15"/>
        <v>4.8300015424257686E-2</v>
      </c>
    </row>
    <row r="476" spans="1:5" x14ac:dyDescent="0.25">
      <c r="A476">
        <v>0</v>
      </c>
      <c r="B476">
        <v>-0.23400000000000001</v>
      </c>
      <c r="C476">
        <f t="shared" si="14"/>
        <v>0.92483917253545489</v>
      </c>
      <c r="D476">
        <v>0</v>
      </c>
      <c r="E476">
        <f t="shared" si="15"/>
        <v>4.8300015424257686E-2</v>
      </c>
    </row>
    <row r="477" spans="1:5" x14ac:dyDescent="0.25">
      <c r="A477">
        <v>0</v>
      </c>
      <c r="B477">
        <v>-0.23400000000000001</v>
      </c>
      <c r="C477">
        <f t="shared" si="14"/>
        <v>0.92483917253545489</v>
      </c>
      <c r="D477">
        <v>0</v>
      </c>
      <c r="E477">
        <f t="shared" si="15"/>
        <v>4.8300015424257686E-2</v>
      </c>
    </row>
    <row r="478" spans="1:5" x14ac:dyDescent="0.25">
      <c r="A478">
        <v>0</v>
      </c>
      <c r="B478">
        <v>-0.233644859813084</v>
      </c>
      <c r="C478">
        <f t="shared" si="14"/>
        <v>0.92628430900760983</v>
      </c>
      <c r="D478">
        <v>0</v>
      </c>
      <c r="E478">
        <f t="shared" si="15"/>
        <v>4.8300015424257686E-2</v>
      </c>
    </row>
    <row r="479" spans="1:5" x14ac:dyDescent="0.25">
      <c r="A479">
        <v>0</v>
      </c>
      <c r="B479">
        <v>-0.233333333333333</v>
      </c>
      <c r="C479">
        <f t="shared" si="14"/>
        <v>0.9275522041865486</v>
      </c>
      <c r="D479">
        <v>0</v>
      </c>
      <c r="E479">
        <f t="shared" si="15"/>
        <v>4.8300015424257686E-2</v>
      </c>
    </row>
    <row r="480" spans="1:5" x14ac:dyDescent="0.25">
      <c r="A480">
        <v>0</v>
      </c>
      <c r="B480">
        <v>-0.233333333333333</v>
      </c>
      <c r="C480">
        <f t="shared" si="14"/>
        <v>0.9275522041865486</v>
      </c>
      <c r="D480">
        <v>0</v>
      </c>
      <c r="E480">
        <f t="shared" si="15"/>
        <v>4.8300015424257686E-2</v>
      </c>
    </row>
    <row r="481" spans="1:5" x14ac:dyDescent="0.25">
      <c r="A481">
        <v>0</v>
      </c>
      <c r="B481">
        <v>-0.233333333333333</v>
      </c>
      <c r="C481">
        <f t="shared" si="14"/>
        <v>0.9275522041865486</v>
      </c>
      <c r="D481">
        <v>0</v>
      </c>
      <c r="E481">
        <f t="shared" si="15"/>
        <v>4.8300015424257686E-2</v>
      </c>
    </row>
    <row r="482" spans="1:5" x14ac:dyDescent="0.25">
      <c r="A482">
        <v>0</v>
      </c>
      <c r="B482">
        <v>-0.233333333333333</v>
      </c>
      <c r="C482">
        <f t="shared" si="14"/>
        <v>0.9275522041865486</v>
      </c>
      <c r="D482">
        <v>0</v>
      </c>
      <c r="E482">
        <f t="shared" si="15"/>
        <v>4.8300015424257686E-2</v>
      </c>
    </row>
    <row r="483" spans="1:5" x14ac:dyDescent="0.25">
      <c r="A483">
        <v>0</v>
      </c>
      <c r="B483">
        <v>-0.23310023310023301</v>
      </c>
      <c r="C483">
        <f t="shared" si="14"/>
        <v>0.92850104811329726</v>
      </c>
      <c r="D483">
        <v>0</v>
      </c>
      <c r="E483">
        <f t="shared" si="15"/>
        <v>4.8300015424257686E-2</v>
      </c>
    </row>
    <row r="484" spans="1:5" x14ac:dyDescent="0.25">
      <c r="A484">
        <v>0</v>
      </c>
      <c r="B484">
        <v>-0.23200000000000001</v>
      </c>
      <c r="C484">
        <f t="shared" si="14"/>
        <v>0.9329811477442046</v>
      </c>
      <c r="D484">
        <v>0</v>
      </c>
      <c r="E484">
        <f t="shared" si="15"/>
        <v>4.8300015424257686E-2</v>
      </c>
    </row>
    <row r="485" spans="1:5" x14ac:dyDescent="0.25">
      <c r="A485">
        <v>0</v>
      </c>
      <c r="B485">
        <v>-0.23200000000000001</v>
      </c>
      <c r="C485">
        <f t="shared" si="14"/>
        <v>0.9329811477442046</v>
      </c>
      <c r="D485">
        <v>0</v>
      </c>
      <c r="E485">
        <f t="shared" si="15"/>
        <v>4.8300015424257686E-2</v>
      </c>
    </row>
    <row r="486" spans="1:5" x14ac:dyDescent="0.25">
      <c r="A486">
        <v>0</v>
      </c>
      <c r="B486">
        <v>-0.23200000000000001</v>
      </c>
      <c r="C486">
        <f t="shared" si="14"/>
        <v>0.9329811477442046</v>
      </c>
      <c r="D486">
        <v>0</v>
      </c>
      <c r="E486">
        <f t="shared" si="15"/>
        <v>4.8300015424257686E-2</v>
      </c>
    </row>
    <row r="487" spans="1:5" x14ac:dyDescent="0.25">
      <c r="A487">
        <v>0</v>
      </c>
      <c r="B487">
        <v>-0.23200000000000001</v>
      </c>
      <c r="C487">
        <f t="shared" si="14"/>
        <v>0.9329811477442046</v>
      </c>
      <c r="D487">
        <v>0</v>
      </c>
      <c r="E487">
        <f t="shared" si="15"/>
        <v>4.8300015424257686E-2</v>
      </c>
    </row>
    <row r="488" spans="1:5" x14ac:dyDescent="0.25">
      <c r="A488">
        <v>0</v>
      </c>
      <c r="B488">
        <v>-0.23166666666666699</v>
      </c>
      <c r="C488">
        <f t="shared" si="14"/>
        <v>0.93433895596017769</v>
      </c>
      <c r="D488">
        <v>0</v>
      </c>
      <c r="E488">
        <f t="shared" si="15"/>
        <v>4.8300015424257686E-2</v>
      </c>
    </row>
    <row r="489" spans="1:5" x14ac:dyDescent="0.25">
      <c r="A489">
        <v>0</v>
      </c>
      <c r="B489">
        <v>-0.230769230769231</v>
      </c>
      <c r="C489">
        <f t="shared" si="14"/>
        <v>0.93799567051340327</v>
      </c>
      <c r="D489">
        <v>0</v>
      </c>
      <c r="E489">
        <f t="shared" si="15"/>
        <v>4.8300015424257686E-2</v>
      </c>
    </row>
    <row r="490" spans="1:5" x14ac:dyDescent="0.25">
      <c r="A490">
        <v>0</v>
      </c>
      <c r="B490">
        <v>-0.23066666666666699</v>
      </c>
      <c r="C490">
        <f t="shared" si="14"/>
        <v>0.93841367781236251</v>
      </c>
      <c r="D490">
        <v>0</v>
      </c>
      <c r="E490">
        <f t="shared" si="15"/>
        <v>4.8300015424257686E-2</v>
      </c>
    </row>
    <row r="491" spans="1:5" x14ac:dyDescent="0.25">
      <c r="A491">
        <v>0</v>
      </c>
      <c r="B491">
        <v>-0.23</v>
      </c>
      <c r="C491">
        <f t="shared" si="14"/>
        <v>0.94113119210920915</v>
      </c>
      <c r="D491">
        <v>0</v>
      </c>
      <c r="E491">
        <f t="shared" si="15"/>
        <v>4.8300015424257686E-2</v>
      </c>
    </row>
    <row r="492" spans="1:5" x14ac:dyDescent="0.25">
      <c r="A492">
        <v>0</v>
      </c>
      <c r="B492">
        <v>-0.23</v>
      </c>
      <c r="C492">
        <f t="shared" si="14"/>
        <v>0.94113119210920915</v>
      </c>
      <c r="D492">
        <v>0</v>
      </c>
      <c r="E492">
        <f t="shared" si="15"/>
        <v>4.8300015424257686E-2</v>
      </c>
    </row>
    <row r="493" spans="1:5" x14ac:dyDescent="0.25">
      <c r="A493">
        <v>0</v>
      </c>
      <c r="B493">
        <v>-0.229333333333333</v>
      </c>
      <c r="C493">
        <f t="shared" si="14"/>
        <v>0.94384948795882828</v>
      </c>
      <c r="D493">
        <v>0</v>
      </c>
      <c r="E493">
        <f t="shared" si="15"/>
        <v>4.8300015424257686E-2</v>
      </c>
    </row>
    <row r="494" spans="1:5" x14ac:dyDescent="0.25">
      <c r="A494">
        <v>0</v>
      </c>
      <c r="B494">
        <v>-0.22866666666666699</v>
      </c>
      <c r="C494">
        <f t="shared" si="14"/>
        <v>0.94656852673299663</v>
      </c>
      <c r="D494">
        <v>0</v>
      </c>
      <c r="E494">
        <f t="shared" si="15"/>
        <v>4.8300015424257686E-2</v>
      </c>
    </row>
    <row r="495" spans="1:5" x14ac:dyDescent="0.25">
      <c r="A495">
        <v>0</v>
      </c>
      <c r="B495">
        <v>-0.228333333333333</v>
      </c>
      <c r="C495">
        <f t="shared" si="14"/>
        <v>0.94792831261040122</v>
      </c>
      <c r="D495">
        <v>0</v>
      </c>
      <c r="E495">
        <f t="shared" si="15"/>
        <v>4.8300015424257686E-2</v>
      </c>
    </row>
    <row r="496" spans="1:5" x14ac:dyDescent="0.25">
      <c r="A496">
        <v>0</v>
      </c>
      <c r="B496">
        <v>-0.228333333333333</v>
      </c>
      <c r="C496">
        <f t="shared" si="14"/>
        <v>0.94792831261040122</v>
      </c>
      <c r="D496">
        <v>0</v>
      </c>
      <c r="E496">
        <f t="shared" si="15"/>
        <v>4.8300015424257686E-2</v>
      </c>
    </row>
    <row r="497" spans="1:5" x14ac:dyDescent="0.25">
      <c r="A497">
        <v>0</v>
      </c>
      <c r="B497">
        <v>-0.22800000000000001</v>
      </c>
      <c r="C497">
        <f t="shared" si="14"/>
        <v>0.94928826967531676</v>
      </c>
      <c r="D497">
        <v>0</v>
      </c>
      <c r="E497">
        <f t="shared" si="15"/>
        <v>4.8300015424257686E-2</v>
      </c>
    </row>
    <row r="498" spans="1:5" x14ac:dyDescent="0.25">
      <c r="A498">
        <v>0</v>
      </c>
      <c r="B498">
        <v>-0.22666666666666699</v>
      </c>
      <c r="C498">
        <f t="shared" si="14"/>
        <v>0.95472971240262594</v>
      </c>
      <c r="D498">
        <v>0</v>
      </c>
      <c r="E498">
        <f t="shared" si="15"/>
        <v>4.8300015424257686E-2</v>
      </c>
    </row>
    <row r="499" spans="1:5" x14ac:dyDescent="0.25">
      <c r="A499">
        <v>0</v>
      </c>
      <c r="B499">
        <v>-0.226635514018692</v>
      </c>
      <c r="C499">
        <f t="shared" si="14"/>
        <v>0.9548568782113559</v>
      </c>
      <c r="D499">
        <v>0</v>
      </c>
      <c r="E499">
        <f t="shared" si="15"/>
        <v>4.8300015424257686E-2</v>
      </c>
    </row>
    <row r="500" spans="1:5" x14ac:dyDescent="0.25">
      <c r="A500">
        <v>0</v>
      </c>
      <c r="B500">
        <v>-0.22600000000000001</v>
      </c>
      <c r="C500">
        <f t="shared" si="14"/>
        <v>0.95745133404107896</v>
      </c>
      <c r="D500">
        <v>0</v>
      </c>
      <c r="E500">
        <f t="shared" si="15"/>
        <v>4.8300015424257686E-2</v>
      </c>
    </row>
    <row r="501" spans="1:5" x14ac:dyDescent="0.25">
      <c r="A501">
        <v>0</v>
      </c>
      <c r="B501">
        <v>-0.22600000000000001</v>
      </c>
      <c r="C501">
        <f t="shared" si="14"/>
        <v>0.95745133404107896</v>
      </c>
      <c r="D501">
        <v>0</v>
      </c>
      <c r="E501">
        <f t="shared" si="15"/>
        <v>4.8300015424257686E-2</v>
      </c>
    </row>
    <row r="502" spans="1:5" x14ac:dyDescent="0.25">
      <c r="A502">
        <v>0</v>
      </c>
      <c r="B502">
        <v>-0.22600000000000001</v>
      </c>
      <c r="C502">
        <f t="shared" si="14"/>
        <v>0.95745133404107896</v>
      </c>
      <c r="D502">
        <v>0</v>
      </c>
      <c r="E502">
        <f t="shared" si="15"/>
        <v>4.8300015424257686E-2</v>
      </c>
    </row>
    <row r="503" spans="1:5" x14ac:dyDescent="0.25">
      <c r="A503">
        <v>0</v>
      </c>
      <c r="B503">
        <v>-0.22600000000000001</v>
      </c>
      <c r="C503">
        <f t="shared" si="14"/>
        <v>0.95745133404107896</v>
      </c>
      <c r="D503">
        <v>0</v>
      </c>
      <c r="E503">
        <f t="shared" si="15"/>
        <v>4.8300015424257686E-2</v>
      </c>
    </row>
    <row r="504" spans="1:5" x14ac:dyDescent="0.25">
      <c r="A504">
        <v>0</v>
      </c>
      <c r="B504">
        <v>-0.22600000000000001</v>
      </c>
      <c r="C504">
        <f t="shared" si="14"/>
        <v>0.95745133404107896</v>
      </c>
      <c r="D504">
        <v>0</v>
      </c>
      <c r="E504">
        <f t="shared" si="15"/>
        <v>4.8300015424257686E-2</v>
      </c>
    </row>
    <row r="505" spans="1:5" x14ac:dyDescent="0.25">
      <c r="A505">
        <v>0</v>
      </c>
      <c r="B505">
        <v>-0.22600000000000001</v>
      </c>
      <c r="C505">
        <f t="shared" si="14"/>
        <v>0.95745133404107896</v>
      </c>
      <c r="D505">
        <v>0</v>
      </c>
      <c r="E505">
        <f t="shared" si="15"/>
        <v>4.8300015424257686E-2</v>
      </c>
    </row>
    <row r="506" spans="1:5" x14ac:dyDescent="0.25">
      <c r="A506">
        <v>0</v>
      </c>
      <c r="B506">
        <v>-0.225333333333333</v>
      </c>
      <c r="C506">
        <f t="shared" si="14"/>
        <v>0.96017350355622832</v>
      </c>
      <c r="D506">
        <v>0</v>
      </c>
      <c r="E506">
        <f t="shared" si="15"/>
        <v>4.8300015424257686E-2</v>
      </c>
    </row>
    <row r="507" spans="1:5" x14ac:dyDescent="0.25">
      <c r="A507">
        <v>0</v>
      </c>
      <c r="B507">
        <v>-0.22500000000000001</v>
      </c>
      <c r="C507">
        <f t="shared" si="14"/>
        <v>0.96153478146449745</v>
      </c>
      <c r="D507">
        <v>0</v>
      </c>
      <c r="E507">
        <f t="shared" si="15"/>
        <v>4.8300015424257686E-2</v>
      </c>
    </row>
    <row r="508" spans="1:5" x14ac:dyDescent="0.25">
      <c r="A508">
        <v>0</v>
      </c>
      <c r="B508">
        <v>-0.22466666666666699</v>
      </c>
      <c r="C508">
        <f t="shared" si="14"/>
        <v>0.96289618156282031</v>
      </c>
      <c r="D508">
        <v>0</v>
      </c>
      <c r="E508">
        <f t="shared" si="15"/>
        <v>4.8300015424257686E-2</v>
      </c>
    </row>
    <row r="509" spans="1:5" x14ac:dyDescent="0.25">
      <c r="A509">
        <v>0</v>
      </c>
      <c r="B509">
        <v>-0.22429906542056099</v>
      </c>
      <c r="C509">
        <f t="shared" si="14"/>
        <v>0.96439767443143698</v>
      </c>
      <c r="D509">
        <v>0</v>
      </c>
      <c r="E509">
        <f t="shared" si="15"/>
        <v>4.8300015424257686E-2</v>
      </c>
    </row>
    <row r="510" spans="1:5" x14ac:dyDescent="0.25">
      <c r="A510">
        <v>0</v>
      </c>
      <c r="B510">
        <v>-0.224</v>
      </c>
      <c r="C510">
        <f t="shared" si="14"/>
        <v>0.96561932855231303</v>
      </c>
      <c r="D510">
        <v>0</v>
      </c>
      <c r="E510">
        <f t="shared" si="15"/>
        <v>4.8300015424257686E-2</v>
      </c>
    </row>
    <row r="511" spans="1:5" x14ac:dyDescent="0.25">
      <c r="A511">
        <v>0</v>
      </c>
      <c r="B511">
        <v>-0.224</v>
      </c>
      <c r="C511">
        <f t="shared" si="14"/>
        <v>0.96561932855231303</v>
      </c>
      <c r="D511">
        <v>0</v>
      </c>
      <c r="E511">
        <f t="shared" si="15"/>
        <v>4.8300015424257686E-2</v>
      </c>
    </row>
    <row r="512" spans="1:5" x14ac:dyDescent="0.25">
      <c r="A512">
        <v>0</v>
      </c>
      <c r="B512">
        <v>-0.224</v>
      </c>
      <c r="C512">
        <f t="shared" si="14"/>
        <v>0.96561932855231303</v>
      </c>
      <c r="D512">
        <v>0</v>
      </c>
      <c r="E512">
        <f t="shared" si="15"/>
        <v>4.8300015424257686E-2</v>
      </c>
    </row>
    <row r="513" spans="1:5" x14ac:dyDescent="0.25">
      <c r="A513">
        <v>0</v>
      </c>
      <c r="B513">
        <v>-0.224</v>
      </c>
      <c r="C513">
        <f t="shared" si="14"/>
        <v>0.96561932855231303</v>
      </c>
      <c r="D513">
        <v>0</v>
      </c>
      <c r="E513">
        <f t="shared" si="15"/>
        <v>4.8300015424257686E-2</v>
      </c>
    </row>
    <row r="514" spans="1:5" x14ac:dyDescent="0.25">
      <c r="A514">
        <v>0</v>
      </c>
      <c r="B514">
        <v>-0.224</v>
      </c>
      <c r="C514">
        <f t="shared" ref="C514:C577" si="16">_xlfn.NORM.DIST(B514,I$10,I$13,FALSE)</f>
        <v>0.96561932855231303</v>
      </c>
      <c r="D514">
        <v>0</v>
      </c>
      <c r="E514">
        <f t="shared" si="15"/>
        <v>4.8300015424257686E-2</v>
      </c>
    </row>
    <row r="515" spans="1:5" x14ac:dyDescent="0.25">
      <c r="A515">
        <v>0</v>
      </c>
      <c r="B515">
        <v>-0.223</v>
      </c>
      <c r="C515">
        <f t="shared" si="16"/>
        <v>0.96970484165336435</v>
      </c>
      <c r="D515">
        <v>0</v>
      </c>
      <c r="E515">
        <f t="shared" ref="E515:E578" si="17">_xlfn.NORM.DIST(D515,I$4,I$7,FALSE)</f>
        <v>4.8300015424257686E-2</v>
      </c>
    </row>
    <row r="516" spans="1:5" x14ac:dyDescent="0.25">
      <c r="A516">
        <v>0</v>
      </c>
      <c r="B516">
        <v>-0.22266666666666701</v>
      </c>
      <c r="C516">
        <f t="shared" si="16"/>
        <v>0.97106687083431875</v>
      </c>
      <c r="D516">
        <v>0</v>
      </c>
      <c r="E516">
        <f t="shared" si="17"/>
        <v>4.8300015424257686E-2</v>
      </c>
    </row>
    <row r="517" spans="1:5" x14ac:dyDescent="0.25">
      <c r="A517">
        <v>0</v>
      </c>
      <c r="B517">
        <v>-0.22222222222222199</v>
      </c>
      <c r="C517">
        <f t="shared" si="16"/>
        <v>0.9728830448864848</v>
      </c>
      <c r="D517">
        <v>0</v>
      </c>
      <c r="E517">
        <f t="shared" si="17"/>
        <v>4.8300015424257686E-2</v>
      </c>
    </row>
    <row r="518" spans="1:5" x14ac:dyDescent="0.25">
      <c r="A518">
        <v>0</v>
      </c>
      <c r="B518">
        <v>-0.22222222222222199</v>
      </c>
      <c r="C518">
        <f t="shared" si="16"/>
        <v>0.9728830448864848</v>
      </c>
      <c r="D518">
        <v>0</v>
      </c>
      <c r="E518">
        <f t="shared" si="17"/>
        <v>4.8300015424257686E-2</v>
      </c>
    </row>
    <row r="519" spans="1:5" x14ac:dyDescent="0.25">
      <c r="A519">
        <v>0</v>
      </c>
      <c r="B519">
        <v>-0.22222222222222199</v>
      </c>
      <c r="C519">
        <f t="shared" si="16"/>
        <v>0.9728830448864848</v>
      </c>
      <c r="D519">
        <v>0</v>
      </c>
      <c r="E519">
        <f t="shared" si="17"/>
        <v>4.8300015424257686E-2</v>
      </c>
    </row>
    <row r="520" spans="1:5" x14ac:dyDescent="0.25">
      <c r="A520">
        <v>0</v>
      </c>
      <c r="B520">
        <v>-0.221445221445221</v>
      </c>
      <c r="C520">
        <f t="shared" si="16"/>
        <v>0.97605851219253159</v>
      </c>
      <c r="D520">
        <v>0</v>
      </c>
      <c r="E520">
        <f t="shared" si="17"/>
        <v>4.8300015424257686E-2</v>
      </c>
    </row>
    <row r="521" spans="1:5" x14ac:dyDescent="0.25">
      <c r="A521">
        <v>0</v>
      </c>
      <c r="B521">
        <v>-0.22133333333333299</v>
      </c>
      <c r="C521">
        <f t="shared" si="16"/>
        <v>0.97651581189987158</v>
      </c>
      <c r="D521">
        <v>0</v>
      </c>
      <c r="E521">
        <f t="shared" si="17"/>
        <v>4.8300015424257686E-2</v>
      </c>
    </row>
    <row r="522" spans="1:5" x14ac:dyDescent="0.25">
      <c r="A522">
        <v>0</v>
      </c>
      <c r="B522">
        <v>-0.22133333333333299</v>
      </c>
      <c r="C522">
        <f t="shared" si="16"/>
        <v>0.97651581189987158</v>
      </c>
      <c r="D522">
        <v>0</v>
      </c>
      <c r="E522">
        <f t="shared" si="17"/>
        <v>4.8300015424257686E-2</v>
      </c>
    </row>
    <row r="523" spans="1:5" x14ac:dyDescent="0.25">
      <c r="A523">
        <v>0</v>
      </c>
      <c r="B523">
        <v>-0.22</v>
      </c>
      <c r="C523">
        <f t="shared" si="16"/>
        <v>0.98196583132817505</v>
      </c>
      <c r="D523">
        <v>0</v>
      </c>
      <c r="E523">
        <f t="shared" si="17"/>
        <v>4.8300015424257686E-2</v>
      </c>
    </row>
    <row r="524" spans="1:5" x14ac:dyDescent="0.25">
      <c r="A524">
        <v>0</v>
      </c>
      <c r="B524">
        <v>-0.22</v>
      </c>
      <c r="C524">
        <f t="shared" si="16"/>
        <v>0.98196583132817505</v>
      </c>
      <c r="D524">
        <v>0</v>
      </c>
      <c r="E524">
        <f t="shared" si="17"/>
        <v>4.8300015424257686E-2</v>
      </c>
    </row>
    <row r="525" spans="1:5" x14ac:dyDescent="0.25">
      <c r="A525">
        <v>0</v>
      </c>
      <c r="B525">
        <v>-0.22</v>
      </c>
      <c r="C525">
        <f t="shared" si="16"/>
        <v>0.98196583132817505</v>
      </c>
      <c r="D525">
        <v>0</v>
      </c>
      <c r="E525">
        <f t="shared" si="17"/>
        <v>4.8300015424257686E-2</v>
      </c>
    </row>
    <row r="526" spans="1:5" x14ac:dyDescent="0.25">
      <c r="A526">
        <v>0</v>
      </c>
      <c r="B526">
        <v>-0.21866666666666701</v>
      </c>
      <c r="C526">
        <f t="shared" si="16"/>
        <v>0.98741660680787535</v>
      </c>
      <c r="D526">
        <v>0</v>
      </c>
      <c r="E526">
        <f t="shared" si="17"/>
        <v>4.8300015424257686E-2</v>
      </c>
    </row>
    <row r="527" spans="1:5" x14ac:dyDescent="0.25">
      <c r="A527">
        <v>0</v>
      </c>
      <c r="B527">
        <v>-0.21866666666666701</v>
      </c>
      <c r="C527">
        <f t="shared" si="16"/>
        <v>0.98741660680787535</v>
      </c>
      <c r="D527">
        <v>0</v>
      </c>
      <c r="E527">
        <f t="shared" si="17"/>
        <v>4.8300015424257686E-2</v>
      </c>
    </row>
    <row r="528" spans="1:5" x14ac:dyDescent="0.25">
      <c r="A528">
        <v>0</v>
      </c>
      <c r="B528">
        <v>-0.21866666666666701</v>
      </c>
      <c r="C528">
        <f t="shared" si="16"/>
        <v>0.98741660680787535</v>
      </c>
      <c r="D528">
        <v>0</v>
      </c>
      <c r="E528">
        <f t="shared" si="17"/>
        <v>4.8300015424257686E-2</v>
      </c>
    </row>
    <row r="529" spans="1:5" x14ac:dyDescent="0.25">
      <c r="A529">
        <v>0</v>
      </c>
      <c r="B529">
        <v>-0.21833333333333299</v>
      </c>
      <c r="C529">
        <f t="shared" si="16"/>
        <v>0.98877938086224648</v>
      </c>
      <c r="D529">
        <v>0</v>
      </c>
      <c r="E529">
        <f t="shared" si="17"/>
        <v>4.8300015424257686E-2</v>
      </c>
    </row>
    <row r="530" spans="1:5" x14ac:dyDescent="0.25">
      <c r="A530">
        <v>0</v>
      </c>
      <c r="B530">
        <v>-0.218</v>
      </c>
      <c r="C530">
        <f t="shared" si="16"/>
        <v>0.99014217683470085</v>
      </c>
      <c r="D530">
        <v>0</v>
      </c>
      <c r="E530">
        <f t="shared" si="17"/>
        <v>4.8300015424257686E-2</v>
      </c>
    </row>
    <row r="531" spans="1:5" x14ac:dyDescent="0.25">
      <c r="A531">
        <v>0</v>
      </c>
      <c r="B531">
        <v>-0.218</v>
      </c>
      <c r="C531">
        <f t="shared" si="16"/>
        <v>0.99014217683470085</v>
      </c>
      <c r="D531">
        <v>0</v>
      </c>
      <c r="E531">
        <f t="shared" si="17"/>
        <v>4.8300015424257686E-2</v>
      </c>
    </row>
    <row r="532" spans="1:5" x14ac:dyDescent="0.25">
      <c r="A532">
        <v>0</v>
      </c>
      <c r="B532">
        <v>-0.217</v>
      </c>
      <c r="C532">
        <f t="shared" si="16"/>
        <v>0.99423064532149708</v>
      </c>
      <c r="D532">
        <v>0</v>
      </c>
      <c r="E532">
        <f t="shared" si="17"/>
        <v>4.8300015424257686E-2</v>
      </c>
    </row>
    <row r="533" spans="1:5" x14ac:dyDescent="0.25">
      <c r="A533">
        <v>0</v>
      </c>
      <c r="B533">
        <v>-0.21621621621621601</v>
      </c>
      <c r="C533">
        <f t="shared" si="16"/>
        <v>0.99743513708232423</v>
      </c>
      <c r="D533">
        <v>0</v>
      </c>
      <c r="E533">
        <f t="shared" si="17"/>
        <v>4.8300015424257686E-2</v>
      </c>
    </row>
    <row r="534" spans="1:5" x14ac:dyDescent="0.25">
      <c r="A534">
        <v>0</v>
      </c>
      <c r="B534">
        <v>-0.21621621621621601</v>
      </c>
      <c r="C534">
        <f t="shared" si="16"/>
        <v>0.99743513708232423</v>
      </c>
      <c r="D534">
        <v>0</v>
      </c>
      <c r="E534">
        <f t="shared" si="17"/>
        <v>4.8300015424257686E-2</v>
      </c>
    </row>
    <row r="535" spans="1:5" x14ac:dyDescent="0.25">
      <c r="A535">
        <v>0</v>
      </c>
      <c r="B535">
        <v>-0.216</v>
      </c>
      <c r="C535">
        <f t="shared" si="16"/>
        <v>0.9983191273933274</v>
      </c>
      <c r="D535">
        <v>0</v>
      </c>
      <c r="E535">
        <f t="shared" si="17"/>
        <v>4.8300015424257686E-2</v>
      </c>
    </row>
    <row r="536" spans="1:5" x14ac:dyDescent="0.25">
      <c r="A536">
        <v>0</v>
      </c>
      <c r="B536">
        <v>-0.216</v>
      </c>
      <c r="C536">
        <f t="shared" si="16"/>
        <v>0.9983191273933274</v>
      </c>
      <c r="D536">
        <v>0</v>
      </c>
      <c r="E536">
        <f t="shared" si="17"/>
        <v>4.8300015424257686E-2</v>
      </c>
    </row>
    <row r="537" spans="1:5" x14ac:dyDescent="0.25">
      <c r="A537">
        <v>0</v>
      </c>
      <c r="B537">
        <v>-0.216</v>
      </c>
      <c r="C537">
        <f t="shared" si="16"/>
        <v>0.9983191273933274</v>
      </c>
      <c r="D537">
        <v>0</v>
      </c>
      <c r="E537">
        <f t="shared" si="17"/>
        <v>4.8300015424257686E-2</v>
      </c>
    </row>
    <row r="538" spans="1:5" x14ac:dyDescent="0.25">
      <c r="A538">
        <v>0</v>
      </c>
      <c r="B538">
        <v>-0.215189873417722</v>
      </c>
      <c r="C538">
        <f t="shared" si="16"/>
        <v>1.0016312303320685</v>
      </c>
      <c r="D538">
        <v>0</v>
      </c>
      <c r="E538">
        <f t="shared" si="17"/>
        <v>4.8300015424257686E-2</v>
      </c>
    </row>
    <row r="539" spans="1:5" x14ac:dyDescent="0.25">
      <c r="A539">
        <v>0</v>
      </c>
      <c r="B539">
        <v>-0.215</v>
      </c>
      <c r="C539">
        <f t="shared" si="16"/>
        <v>1.0024074846597</v>
      </c>
      <c r="D539">
        <v>0</v>
      </c>
      <c r="E539">
        <f t="shared" si="17"/>
        <v>4.8300015424257686E-2</v>
      </c>
    </row>
    <row r="540" spans="1:5" x14ac:dyDescent="0.25">
      <c r="A540">
        <v>0</v>
      </c>
      <c r="B540">
        <v>-0.21466666666666701</v>
      </c>
      <c r="C540">
        <f t="shared" si="16"/>
        <v>1.0037702186802444</v>
      </c>
      <c r="D540">
        <v>0</v>
      </c>
      <c r="E540">
        <f t="shared" si="17"/>
        <v>4.8300015424257686E-2</v>
      </c>
    </row>
    <row r="541" spans="1:5" x14ac:dyDescent="0.25">
      <c r="A541">
        <v>0</v>
      </c>
      <c r="B541">
        <v>-0.21445221445221399</v>
      </c>
      <c r="C541">
        <f t="shared" si="16"/>
        <v>1.0046469247723653</v>
      </c>
      <c r="D541">
        <v>0</v>
      </c>
      <c r="E541">
        <f t="shared" si="17"/>
        <v>4.8300015424257686E-2</v>
      </c>
    </row>
    <row r="542" spans="1:5" x14ac:dyDescent="0.25">
      <c r="A542">
        <v>0</v>
      </c>
      <c r="B542">
        <v>-0.214</v>
      </c>
      <c r="C542">
        <f t="shared" si="16"/>
        <v>1.0064955781685485</v>
      </c>
      <c r="D542">
        <v>0</v>
      </c>
      <c r="E542">
        <f t="shared" si="17"/>
        <v>4.8300015424257686E-2</v>
      </c>
    </row>
    <row r="543" spans="1:5" x14ac:dyDescent="0.25">
      <c r="A543">
        <v>0</v>
      </c>
      <c r="B543">
        <v>-0.214</v>
      </c>
      <c r="C543">
        <f t="shared" si="16"/>
        <v>1.0064955781685485</v>
      </c>
      <c r="D543">
        <v>0</v>
      </c>
      <c r="E543">
        <f t="shared" si="17"/>
        <v>4.8300015424257686E-2</v>
      </c>
    </row>
    <row r="544" spans="1:5" x14ac:dyDescent="0.25">
      <c r="A544">
        <v>0</v>
      </c>
      <c r="B544">
        <v>-0.21333333333333299</v>
      </c>
      <c r="C544">
        <f t="shared" si="16"/>
        <v>1.0092207584396453</v>
      </c>
      <c r="D544">
        <v>0</v>
      </c>
      <c r="E544">
        <f t="shared" si="17"/>
        <v>4.8300015424257686E-2</v>
      </c>
    </row>
    <row r="545" spans="1:5" x14ac:dyDescent="0.25">
      <c r="A545">
        <v>0</v>
      </c>
      <c r="B545">
        <v>-0.21333333333333299</v>
      </c>
      <c r="C545">
        <f t="shared" si="16"/>
        <v>1.0092207584396453</v>
      </c>
      <c r="D545">
        <v>0</v>
      </c>
      <c r="E545">
        <f t="shared" si="17"/>
        <v>4.8300015424257686E-2</v>
      </c>
    </row>
    <row r="546" spans="1:5" x14ac:dyDescent="0.25">
      <c r="A546">
        <v>0</v>
      </c>
      <c r="B546">
        <v>-0.21333333333333299</v>
      </c>
      <c r="C546">
        <f t="shared" si="16"/>
        <v>1.0092207584396453</v>
      </c>
      <c r="D546">
        <v>0</v>
      </c>
      <c r="E546">
        <f t="shared" si="17"/>
        <v>4.8300015424257686E-2</v>
      </c>
    </row>
    <row r="547" spans="1:5" x14ac:dyDescent="0.25">
      <c r="A547">
        <v>0</v>
      </c>
      <c r="B547">
        <v>-0.21321321321321299</v>
      </c>
      <c r="C547">
        <f t="shared" si="16"/>
        <v>1.0097117596544538</v>
      </c>
      <c r="D547">
        <v>0</v>
      </c>
      <c r="E547">
        <f t="shared" si="17"/>
        <v>4.8300015424257686E-2</v>
      </c>
    </row>
    <row r="548" spans="1:5" x14ac:dyDescent="0.25">
      <c r="A548">
        <v>0</v>
      </c>
      <c r="B548">
        <v>-0.21299999999999999</v>
      </c>
      <c r="C548">
        <f t="shared" si="16"/>
        <v>1.0105832684133427</v>
      </c>
      <c r="D548">
        <v>0</v>
      </c>
      <c r="E548">
        <f t="shared" si="17"/>
        <v>4.8300015424257686E-2</v>
      </c>
    </row>
    <row r="549" spans="1:5" x14ac:dyDescent="0.25">
      <c r="A549">
        <v>0</v>
      </c>
      <c r="B549">
        <v>-0.21261682242990701</v>
      </c>
      <c r="C549">
        <f t="shared" si="16"/>
        <v>1.0121494432973046</v>
      </c>
      <c r="D549">
        <v>0</v>
      </c>
      <c r="E549">
        <f t="shared" si="17"/>
        <v>4.8300015424257686E-2</v>
      </c>
    </row>
    <row r="550" spans="1:5" x14ac:dyDescent="0.25">
      <c r="A550">
        <v>0</v>
      </c>
      <c r="B550">
        <v>-0.21261682242990701</v>
      </c>
      <c r="C550">
        <f t="shared" si="16"/>
        <v>1.0121494432973046</v>
      </c>
      <c r="D550">
        <v>0</v>
      </c>
      <c r="E550">
        <f t="shared" si="17"/>
        <v>4.8300015424257686E-2</v>
      </c>
    </row>
    <row r="551" spans="1:5" x14ac:dyDescent="0.25">
      <c r="A551">
        <v>0</v>
      </c>
      <c r="B551">
        <v>-0.21212121212121199</v>
      </c>
      <c r="C551">
        <f t="shared" si="16"/>
        <v>1.0141750372130467</v>
      </c>
      <c r="D551">
        <v>0</v>
      </c>
      <c r="E551">
        <f t="shared" si="17"/>
        <v>4.8300015424257686E-2</v>
      </c>
    </row>
    <row r="552" spans="1:5" x14ac:dyDescent="0.25">
      <c r="A552">
        <v>0</v>
      </c>
      <c r="B552">
        <v>-0.21199999999999999</v>
      </c>
      <c r="C552">
        <f t="shared" si="16"/>
        <v>1.014670415340275</v>
      </c>
      <c r="D552">
        <v>0</v>
      </c>
      <c r="E552">
        <f t="shared" si="17"/>
        <v>4.8300015424257686E-2</v>
      </c>
    </row>
    <row r="553" spans="1:5" x14ac:dyDescent="0.25">
      <c r="A553">
        <v>0</v>
      </c>
      <c r="B553">
        <v>-0.21199999999999999</v>
      </c>
      <c r="C553">
        <f t="shared" si="16"/>
        <v>1.014670415340275</v>
      </c>
      <c r="D553">
        <v>0</v>
      </c>
      <c r="E553">
        <f t="shared" si="17"/>
        <v>4.8300015424257686E-2</v>
      </c>
    </row>
    <row r="554" spans="1:5" x14ac:dyDescent="0.25">
      <c r="A554">
        <v>0</v>
      </c>
      <c r="B554">
        <v>-0.211666666666667</v>
      </c>
      <c r="C554">
        <f t="shared" si="16"/>
        <v>1.016032652627197</v>
      </c>
      <c r="D554">
        <v>0</v>
      </c>
      <c r="E554">
        <f t="shared" si="17"/>
        <v>4.8300015424257686E-2</v>
      </c>
    </row>
    <row r="555" spans="1:5" x14ac:dyDescent="0.25">
      <c r="A555">
        <v>0</v>
      </c>
      <c r="B555">
        <v>-0.211666666666667</v>
      </c>
      <c r="C555">
        <f t="shared" si="16"/>
        <v>1.016032652627197</v>
      </c>
      <c r="D555">
        <v>0</v>
      </c>
      <c r="E555">
        <f t="shared" si="17"/>
        <v>4.8300015424257686E-2</v>
      </c>
    </row>
    <row r="556" spans="1:5" x14ac:dyDescent="0.25">
      <c r="A556">
        <v>0</v>
      </c>
      <c r="B556">
        <v>-0.210666666666667</v>
      </c>
      <c r="C556">
        <f t="shared" si="16"/>
        <v>1.0201188563365302</v>
      </c>
      <c r="D556">
        <v>0</v>
      </c>
      <c r="E556">
        <f t="shared" si="17"/>
        <v>4.8300015424257686E-2</v>
      </c>
    </row>
    <row r="557" spans="1:5" x14ac:dyDescent="0.25">
      <c r="A557">
        <v>0</v>
      </c>
      <c r="B557">
        <v>-0.21</v>
      </c>
      <c r="C557">
        <f t="shared" si="16"/>
        <v>1.0228425163325838</v>
      </c>
      <c r="D557">
        <v>0</v>
      </c>
      <c r="E557">
        <f t="shared" si="17"/>
        <v>4.8300015424257686E-2</v>
      </c>
    </row>
    <row r="558" spans="1:5" x14ac:dyDescent="0.25">
      <c r="A558">
        <v>0</v>
      </c>
      <c r="B558">
        <v>-0.21</v>
      </c>
      <c r="C558">
        <f t="shared" si="16"/>
        <v>1.0228425163325838</v>
      </c>
      <c r="D558">
        <v>0</v>
      </c>
      <c r="E558">
        <f t="shared" si="17"/>
        <v>4.8300015424257686E-2</v>
      </c>
    </row>
    <row r="559" spans="1:5" x14ac:dyDescent="0.25">
      <c r="A559">
        <v>0</v>
      </c>
      <c r="B559">
        <v>-0.20979020979021001</v>
      </c>
      <c r="C559">
        <f t="shared" si="16"/>
        <v>1.0236995252514125</v>
      </c>
      <c r="D559">
        <v>0</v>
      </c>
      <c r="E559">
        <f t="shared" si="17"/>
        <v>4.8300015424257686E-2</v>
      </c>
    </row>
    <row r="560" spans="1:5" x14ac:dyDescent="0.25">
      <c r="A560">
        <v>0</v>
      </c>
      <c r="B560">
        <v>-0.20933333333333301</v>
      </c>
      <c r="C560">
        <f t="shared" si="16"/>
        <v>1.0255657466993127</v>
      </c>
      <c r="D560">
        <v>0</v>
      </c>
      <c r="E560">
        <f t="shared" si="17"/>
        <v>4.8300015424257686E-2</v>
      </c>
    </row>
    <row r="561" spans="1:5" x14ac:dyDescent="0.25">
      <c r="A561">
        <v>0</v>
      </c>
      <c r="B561">
        <v>-0.20879120879120899</v>
      </c>
      <c r="C561">
        <f t="shared" si="16"/>
        <v>1.0277798958865505</v>
      </c>
      <c r="D561">
        <v>0</v>
      </c>
      <c r="E561">
        <f t="shared" si="17"/>
        <v>4.8300015424257686E-2</v>
      </c>
    </row>
    <row r="562" spans="1:5" x14ac:dyDescent="0.25">
      <c r="A562">
        <v>0</v>
      </c>
      <c r="B562">
        <v>-0.208695652173913</v>
      </c>
      <c r="C562">
        <f t="shared" si="16"/>
        <v>1.0281701349083312</v>
      </c>
      <c r="D562">
        <v>0</v>
      </c>
      <c r="E562">
        <f t="shared" si="17"/>
        <v>4.8300015424257686E-2</v>
      </c>
    </row>
    <row r="563" spans="1:5" x14ac:dyDescent="0.25">
      <c r="A563">
        <v>0</v>
      </c>
      <c r="B563">
        <v>-0.20599999999999999</v>
      </c>
      <c r="C563">
        <f t="shared" si="16"/>
        <v>1.0391739771023853</v>
      </c>
      <c r="D563">
        <v>0</v>
      </c>
      <c r="E563">
        <f t="shared" si="17"/>
        <v>4.8300015424257686E-2</v>
      </c>
    </row>
    <row r="564" spans="1:5" x14ac:dyDescent="0.25">
      <c r="A564">
        <v>0</v>
      </c>
      <c r="B564">
        <v>-0.20533333333333301</v>
      </c>
      <c r="C564">
        <f t="shared" si="16"/>
        <v>1.0418937421032797</v>
      </c>
      <c r="D564">
        <v>0</v>
      </c>
      <c r="E564">
        <f t="shared" si="17"/>
        <v>4.8300015424257686E-2</v>
      </c>
    </row>
    <row r="565" spans="1:5" x14ac:dyDescent="0.25">
      <c r="A565">
        <v>0</v>
      </c>
      <c r="B565">
        <v>-0.20499999999999999</v>
      </c>
      <c r="C565">
        <f t="shared" si="16"/>
        <v>1.0432533548702732</v>
      </c>
      <c r="D565">
        <v>0</v>
      </c>
      <c r="E565">
        <f t="shared" si="17"/>
        <v>4.8300015424257686E-2</v>
      </c>
    </row>
    <row r="566" spans="1:5" x14ac:dyDescent="0.25">
      <c r="A566">
        <v>0</v>
      </c>
      <c r="B566">
        <v>-0.20499999999999999</v>
      </c>
      <c r="C566">
        <f t="shared" si="16"/>
        <v>1.0432533548702732</v>
      </c>
      <c r="D566">
        <v>0</v>
      </c>
      <c r="E566">
        <f t="shared" si="17"/>
        <v>4.8300015424257686E-2</v>
      </c>
    </row>
    <row r="567" spans="1:5" x14ac:dyDescent="0.25">
      <c r="A567">
        <v>0</v>
      </c>
      <c r="B567">
        <v>-0.20499999999999999</v>
      </c>
      <c r="C567">
        <f t="shared" si="16"/>
        <v>1.0432533548702732</v>
      </c>
      <c r="D567">
        <v>0</v>
      </c>
      <c r="E567">
        <f t="shared" si="17"/>
        <v>4.8300015424257686E-2</v>
      </c>
    </row>
    <row r="568" spans="1:5" x14ac:dyDescent="0.25">
      <c r="A568">
        <v>0</v>
      </c>
      <c r="B568">
        <v>-0.20327102803738301</v>
      </c>
      <c r="C568">
        <f t="shared" si="16"/>
        <v>1.0503024323244532</v>
      </c>
      <c r="D568">
        <v>0</v>
      </c>
      <c r="E568">
        <f t="shared" si="17"/>
        <v>4.8300015424257686E-2</v>
      </c>
    </row>
    <row r="569" spans="1:5" x14ac:dyDescent="0.25">
      <c r="A569">
        <v>0</v>
      </c>
      <c r="B569">
        <v>-0.20327102803738301</v>
      </c>
      <c r="C569">
        <f t="shared" si="16"/>
        <v>1.0503024323244532</v>
      </c>
      <c r="D569">
        <v>0</v>
      </c>
      <c r="E569">
        <f t="shared" si="17"/>
        <v>4.8300015424257686E-2</v>
      </c>
    </row>
    <row r="570" spans="1:5" x14ac:dyDescent="0.25">
      <c r="A570">
        <v>0</v>
      </c>
      <c r="B570">
        <v>-0.20279720279720301</v>
      </c>
      <c r="C570">
        <f t="shared" si="16"/>
        <v>1.0522332568651007</v>
      </c>
      <c r="D570">
        <v>0</v>
      </c>
      <c r="E570">
        <f t="shared" si="17"/>
        <v>4.8300015424257686E-2</v>
      </c>
    </row>
    <row r="571" spans="1:5" x14ac:dyDescent="0.25">
      <c r="A571">
        <v>0</v>
      </c>
      <c r="B571">
        <v>-0.20200000000000001</v>
      </c>
      <c r="C571">
        <f t="shared" si="16"/>
        <v>1.055480813749212</v>
      </c>
      <c r="D571">
        <v>0</v>
      </c>
      <c r="E571">
        <f t="shared" si="17"/>
        <v>4.8300015424257686E-2</v>
      </c>
    </row>
    <row r="572" spans="1:5" x14ac:dyDescent="0.25">
      <c r="A572">
        <v>0</v>
      </c>
      <c r="B572">
        <v>-0.20200000000000001</v>
      </c>
      <c r="C572">
        <f t="shared" si="16"/>
        <v>1.055480813749212</v>
      </c>
      <c r="D572">
        <v>0</v>
      </c>
      <c r="E572">
        <f t="shared" si="17"/>
        <v>4.8300015424257686E-2</v>
      </c>
    </row>
    <row r="573" spans="1:5" x14ac:dyDescent="0.25">
      <c r="A573">
        <v>0</v>
      </c>
      <c r="B573">
        <v>-0.201333333333333</v>
      </c>
      <c r="C573">
        <f t="shared" si="16"/>
        <v>1.0581955765941353</v>
      </c>
      <c r="D573">
        <v>0</v>
      </c>
      <c r="E573">
        <f t="shared" si="17"/>
        <v>4.8300015424257686E-2</v>
      </c>
    </row>
    <row r="574" spans="1:5" x14ac:dyDescent="0.25">
      <c r="A574">
        <v>0</v>
      </c>
      <c r="B574">
        <v>-0.201201201201201</v>
      </c>
      <c r="C574">
        <f t="shared" si="16"/>
        <v>1.0587335221695164</v>
      </c>
      <c r="D574">
        <v>0</v>
      </c>
      <c r="E574">
        <f t="shared" si="17"/>
        <v>4.8300015424257686E-2</v>
      </c>
    </row>
    <row r="575" spans="1:5" x14ac:dyDescent="0.25">
      <c r="A575">
        <v>0</v>
      </c>
      <c r="B575">
        <v>-0.2</v>
      </c>
      <c r="C575">
        <f t="shared" si="16"/>
        <v>1.0636221053684882</v>
      </c>
      <c r="D575">
        <v>0</v>
      </c>
      <c r="E575">
        <f t="shared" si="17"/>
        <v>4.8300015424257686E-2</v>
      </c>
    </row>
    <row r="576" spans="1:5" x14ac:dyDescent="0.25">
      <c r="A576">
        <v>0</v>
      </c>
      <c r="B576">
        <v>-0.2</v>
      </c>
      <c r="C576">
        <f t="shared" si="16"/>
        <v>1.0636221053684882</v>
      </c>
      <c r="D576">
        <v>0</v>
      </c>
      <c r="E576">
        <f t="shared" si="17"/>
        <v>4.8300015424257686E-2</v>
      </c>
    </row>
    <row r="577" spans="1:5" x14ac:dyDescent="0.25">
      <c r="A577">
        <v>0</v>
      </c>
      <c r="B577">
        <v>-0.2</v>
      </c>
      <c r="C577">
        <f t="shared" si="16"/>
        <v>1.0636221053684882</v>
      </c>
      <c r="D577">
        <v>0</v>
      </c>
      <c r="E577">
        <f t="shared" si="17"/>
        <v>4.8300015424257686E-2</v>
      </c>
    </row>
    <row r="578" spans="1:5" x14ac:dyDescent="0.25">
      <c r="A578">
        <v>0</v>
      </c>
      <c r="B578">
        <v>-0.2</v>
      </c>
      <c r="C578">
        <f t="shared" ref="C578:C641" si="18">_xlfn.NORM.DIST(B578,I$10,I$13,FALSE)</f>
        <v>1.0636221053684882</v>
      </c>
      <c r="D578">
        <v>0</v>
      </c>
      <c r="E578">
        <f t="shared" si="17"/>
        <v>4.8300015424257686E-2</v>
      </c>
    </row>
    <row r="579" spans="1:5" x14ac:dyDescent="0.25">
      <c r="A579">
        <v>0</v>
      </c>
      <c r="B579">
        <v>-0.2</v>
      </c>
      <c r="C579">
        <f t="shared" si="18"/>
        <v>1.0636221053684882</v>
      </c>
      <c r="D579">
        <v>0</v>
      </c>
      <c r="E579">
        <f t="shared" ref="E579:E642" si="19">_xlfn.NORM.DIST(D579,I$4,I$7,FALSE)</f>
        <v>4.8300015424257686E-2</v>
      </c>
    </row>
    <row r="580" spans="1:5" x14ac:dyDescent="0.25">
      <c r="A580">
        <v>0</v>
      </c>
      <c r="B580">
        <v>-0.19866666666666699</v>
      </c>
      <c r="C580">
        <f t="shared" si="18"/>
        <v>1.0690443489116341</v>
      </c>
      <c r="D580">
        <v>0</v>
      </c>
      <c r="E580">
        <f t="shared" si="19"/>
        <v>4.8300015424257686E-2</v>
      </c>
    </row>
    <row r="581" spans="1:5" x14ac:dyDescent="0.25">
      <c r="A581">
        <v>0</v>
      </c>
      <c r="B581">
        <v>-0.19866666666666699</v>
      </c>
      <c r="C581">
        <f t="shared" si="18"/>
        <v>1.0690443489116341</v>
      </c>
      <c r="D581">
        <v>0</v>
      </c>
      <c r="E581">
        <f t="shared" si="19"/>
        <v>4.8300015424257686E-2</v>
      </c>
    </row>
    <row r="582" spans="1:5" x14ac:dyDescent="0.25">
      <c r="A582">
        <v>0</v>
      </c>
      <c r="B582">
        <v>-0.19866666666666699</v>
      </c>
      <c r="C582">
        <f t="shared" si="18"/>
        <v>1.0690443489116341</v>
      </c>
      <c r="D582">
        <v>0</v>
      </c>
      <c r="E582">
        <f t="shared" si="19"/>
        <v>4.8300015424257686E-2</v>
      </c>
    </row>
    <row r="583" spans="1:5" x14ac:dyDescent="0.25">
      <c r="A583">
        <v>0</v>
      </c>
      <c r="B583">
        <v>-0.19859813084112099</v>
      </c>
      <c r="C583">
        <f t="shared" si="18"/>
        <v>1.0693229401371593</v>
      </c>
      <c r="D583">
        <v>0</v>
      </c>
      <c r="E583">
        <f t="shared" si="19"/>
        <v>4.8300015424257686E-2</v>
      </c>
    </row>
    <row r="584" spans="1:5" x14ac:dyDescent="0.25">
      <c r="A584">
        <v>0</v>
      </c>
      <c r="B584">
        <v>-0.19859813084112099</v>
      </c>
      <c r="C584">
        <f t="shared" si="18"/>
        <v>1.0693229401371593</v>
      </c>
      <c r="D584">
        <v>0</v>
      </c>
      <c r="E584">
        <f t="shared" si="19"/>
        <v>4.8300015424257686E-2</v>
      </c>
    </row>
    <row r="585" spans="1:5" x14ac:dyDescent="0.25">
      <c r="A585">
        <v>0</v>
      </c>
      <c r="B585">
        <v>-0.198333333333333</v>
      </c>
      <c r="C585">
        <f t="shared" si="18"/>
        <v>1.0703991994291566</v>
      </c>
      <c r="D585">
        <v>0</v>
      </c>
      <c r="E585">
        <f t="shared" si="19"/>
        <v>4.8300015424257686E-2</v>
      </c>
    </row>
    <row r="586" spans="1:5" x14ac:dyDescent="0.25">
      <c r="A586">
        <v>0</v>
      </c>
      <c r="B586">
        <v>-0.198333333333333</v>
      </c>
      <c r="C586">
        <f t="shared" si="18"/>
        <v>1.0703991994291566</v>
      </c>
      <c r="D586">
        <v>0</v>
      </c>
      <c r="E586">
        <f t="shared" si="19"/>
        <v>4.8300015424257686E-2</v>
      </c>
    </row>
    <row r="587" spans="1:5" x14ac:dyDescent="0.25">
      <c r="A587">
        <v>0</v>
      </c>
      <c r="B587">
        <v>-0.198135198135198</v>
      </c>
      <c r="C587">
        <f t="shared" si="18"/>
        <v>1.0712043906912581</v>
      </c>
      <c r="D587">
        <v>0</v>
      </c>
      <c r="E587">
        <f t="shared" si="19"/>
        <v>4.8300015424257686E-2</v>
      </c>
    </row>
    <row r="588" spans="1:5" x14ac:dyDescent="0.25">
      <c r="A588">
        <v>0</v>
      </c>
      <c r="B588">
        <v>-0.19774011299434999</v>
      </c>
      <c r="C588">
        <f t="shared" si="18"/>
        <v>1.0728096407724388</v>
      </c>
      <c r="D588">
        <v>0</v>
      </c>
      <c r="E588">
        <f t="shared" si="19"/>
        <v>4.8300015424257686E-2</v>
      </c>
    </row>
    <row r="589" spans="1:5" x14ac:dyDescent="0.25">
      <c r="A589">
        <v>0</v>
      </c>
      <c r="B589">
        <v>-0.197333333333333</v>
      </c>
      <c r="C589">
        <f t="shared" si="18"/>
        <v>1.0744619588001072</v>
      </c>
      <c r="D589">
        <v>0</v>
      </c>
      <c r="E589">
        <f t="shared" si="19"/>
        <v>4.8300015424257686E-2</v>
      </c>
    </row>
    <row r="590" spans="1:5" x14ac:dyDescent="0.25">
      <c r="A590">
        <v>0</v>
      </c>
      <c r="B590">
        <v>-0.197333333333333</v>
      </c>
      <c r="C590">
        <f t="shared" si="18"/>
        <v>1.0744619588001072</v>
      </c>
      <c r="D590">
        <v>0</v>
      </c>
      <c r="E590">
        <f t="shared" si="19"/>
        <v>4.8300015424257686E-2</v>
      </c>
    </row>
    <row r="591" spans="1:5" x14ac:dyDescent="0.25">
      <c r="A591">
        <v>0</v>
      </c>
      <c r="B591">
        <v>-0.197333333333333</v>
      </c>
      <c r="C591">
        <f t="shared" si="18"/>
        <v>1.0744619588001072</v>
      </c>
      <c r="D591">
        <v>0</v>
      </c>
      <c r="E591">
        <f t="shared" si="19"/>
        <v>4.8300015424257686E-2</v>
      </c>
    </row>
    <row r="592" spans="1:5" x14ac:dyDescent="0.25">
      <c r="A592">
        <v>0</v>
      </c>
      <c r="B592">
        <v>-0.19700000000000001</v>
      </c>
      <c r="C592">
        <f t="shared" si="18"/>
        <v>1.0758155963035401</v>
      </c>
      <c r="D592">
        <v>0</v>
      </c>
      <c r="E592">
        <f t="shared" si="19"/>
        <v>4.8300015424257686E-2</v>
      </c>
    </row>
    <row r="593" spans="1:5" x14ac:dyDescent="0.25">
      <c r="A593">
        <v>0</v>
      </c>
      <c r="B593">
        <v>-0.19700000000000001</v>
      </c>
      <c r="C593">
        <f t="shared" si="18"/>
        <v>1.0758155963035401</v>
      </c>
      <c r="D593">
        <v>0</v>
      </c>
      <c r="E593">
        <f t="shared" si="19"/>
        <v>4.8300015424257686E-2</v>
      </c>
    </row>
    <row r="594" spans="1:5" x14ac:dyDescent="0.25">
      <c r="A594">
        <v>0</v>
      </c>
      <c r="B594">
        <v>-0.19600000000000001</v>
      </c>
      <c r="C594">
        <f t="shared" si="18"/>
        <v>1.0798745852580909</v>
      </c>
      <c r="D594">
        <v>0</v>
      </c>
      <c r="E594">
        <f t="shared" si="19"/>
        <v>4.8300015424257686E-2</v>
      </c>
    </row>
    <row r="595" spans="1:5" x14ac:dyDescent="0.25">
      <c r="A595">
        <v>0</v>
      </c>
      <c r="B595">
        <v>-0.195804195804196</v>
      </c>
      <c r="C595">
        <f t="shared" si="18"/>
        <v>1.080669005693162</v>
      </c>
      <c r="D595">
        <v>0</v>
      </c>
      <c r="E595">
        <f t="shared" si="19"/>
        <v>4.8300015424257686E-2</v>
      </c>
    </row>
    <row r="596" spans="1:5" x14ac:dyDescent="0.25">
      <c r="A596">
        <v>0</v>
      </c>
      <c r="B596">
        <v>-0.19400000000000001</v>
      </c>
      <c r="C596">
        <f t="shared" si="18"/>
        <v>1.0879834126458914</v>
      </c>
      <c r="D596">
        <v>0</v>
      </c>
      <c r="E596">
        <f t="shared" si="19"/>
        <v>4.8300015424257686E-2</v>
      </c>
    </row>
    <row r="597" spans="1:5" x14ac:dyDescent="0.25">
      <c r="A597">
        <v>0</v>
      </c>
      <c r="B597">
        <v>-0.19400000000000001</v>
      </c>
      <c r="C597">
        <f t="shared" si="18"/>
        <v>1.0879834126458914</v>
      </c>
      <c r="D597">
        <v>0</v>
      </c>
      <c r="E597">
        <f t="shared" si="19"/>
        <v>4.8300015424257686E-2</v>
      </c>
    </row>
    <row r="598" spans="1:5" x14ac:dyDescent="0.25">
      <c r="A598">
        <v>0</v>
      </c>
      <c r="B598">
        <v>-0.19400000000000001</v>
      </c>
      <c r="C598">
        <f t="shared" si="18"/>
        <v>1.0879834126458914</v>
      </c>
      <c r="D598">
        <v>0</v>
      </c>
      <c r="E598">
        <f t="shared" si="19"/>
        <v>4.8300015424257686E-2</v>
      </c>
    </row>
    <row r="599" spans="1:5" x14ac:dyDescent="0.25">
      <c r="A599">
        <v>0</v>
      </c>
      <c r="B599">
        <v>-0.19392523364486</v>
      </c>
      <c r="C599">
        <f t="shared" si="18"/>
        <v>1.0882862979836563</v>
      </c>
      <c r="D599">
        <v>0</v>
      </c>
      <c r="E599">
        <f t="shared" si="19"/>
        <v>4.8300015424257686E-2</v>
      </c>
    </row>
    <row r="600" spans="1:5" x14ac:dyDescent="0.25">
      <c r="A600">
        <v>0</v>
      </c>
      <c r="B600">
        <v>-0.193333333333333</v>
      </c>
      <c r="C600">
        <f t="shared" si="18"/>
        <v>1.0906834822297269</v>
      </c>
      <c r="D600">
        <v>0</v>
      </c>
      <c r="E600">
        <f t="shared" si="19"/>
        <v>4.8300015424257686E-2</v>
      </c>
    </row>
    <row r="601" spans="1:5" x14ac:dyDescent="0.25">
      <c r="A601">
        <v>0</v>
      </c>
      <c r="B601">
        <v>-0.193333333333333</v>
      </c>
      <c r="C601">
        <f t="shared" si="18"/>
        <v>1.0906834822297269</v>
      </c>
      <c r="D601">
        <v>0</v>
      </c>
      <c r="E601">
        <f t="shared" si="19"/>
        <v>4.8300015424257686E-2</v>
      </c>
    </row>
    <row r="602" spans="1:5" x14ac:dyDescent="0.25">
      <c r="A602">
        <v>0</v>
      </c>
      <c r="B602">
        <v>-0.192192192192192</v>
      </c>
      <c r="C602">
        <f t="shared" si="18"/>
        <v>1.095301693845393</v>
      </c>
      <c r="D602">
        <v>0</v>
      </c>
      <c r="E602">
        <f t="shared" si="19"/>
        <v>4.8300015424257686E-2</v>
      </c>
    </row>
    <row r="603" spans="1:5" x14ac:dyDescent="0.25">
      <c r="A603">
        <v>0</v>
      </c>
      <c r="B603">
        <v>-0.192192192192192</v>
      </c>
      <c r="C603">
        <f t="shared" si="18"/>
        <v>1.095301693845393</v>
      </c>
      <c r="D603">
        <v>0</v>
      </c>
      <c r="E603">
        <f t="shared" si="19"/>
        <v>4.8300015424257686E-2</v>
      </c>
    </row>
    <row r="604" spans="1:5" x14ac:dyDescent="0.25">
      <c r="A604">
        <v>0</v>
      </c>
      <c r="B604">
        <v>-0.192</v>
      </c>
      <c r="C604">
        <f t="shared" si="18"/>
        <v>1.0960790467494541</v>
      </c>
      <c r="D604">
        <v>0</v>
      </c>
      <c r="E604">
        <f t="shared" si="19"/>
        <v>4.8300015424257686E-2</v>
      </c>
    </row>
    <row r="605" spans="1:5" x14ac:dyDescent="0.25">
      <c r="A605">
        <v>0</v>
      </c>
      <c r="B605">
        <v>-0.192</v>
      </c>
      <c r="C605">
        <f t="shared" si="18"/>
        <v>1.0960790467494541</v>
      </c>
      <c r="D605">
        <v>0</v>
      </c>
      <c r="E605">
        <f t="shared" si="19"/>
        <v>4.8300015424257686E-2</v>
      </c>
    </row>
    <row r="606" spans="1:5" x14ac:dyDescent="0.25">
      <c r="A606">
        <v>0</v>
      </c>
      <c r="B606">
        <v>-0.192</v>
      </c>
      <c r="C606">
        <f t="shared" si="18"/>
        <v>1.0960790467494541</v>
      </c>
      <c r="D606">
        <v>0</v>
      </c>
      <c r="E606">
        <f t="shared" si="19"/>
        <v>4.8300015424257686E-2</v>
      </c>
    </row>
    <row r="607" spans="1:5" x14ac:dyDescent="0.25">
      <c r="A607">
        <v>0</v>
      </c>
      <c r="B607">
        <v>-0.192</v>
      </c>
      <c r="C607">
        <f t="shared" si="18"/>
        <v>1.0960790467494541</v>
      </c>
      <c r="D607">
        <v>0</v>
      </c>
      <c r="E607">
        <f t="shared" si="19"/>
        <v>4.8300015424257686E-2</v>
      </c>
    </row>
    <row r="608" spans="1:5" x14ac:dyDescent="0.25">
      <c r="A608">
        <v>0</v>
      </c>
      <c r="B608">
        <v>-0.192</v>
      </c>
      <c r="C608">
        <f t="shared" si="18"/>
        <v>1.0960790467494541</v>
      </c>
      <c r="D608">
        <v>0</v>
      </c>
      <c r="E608">
        <f t="shared" si="19"/>
        <v>4.8300015424257686E-2</v>
      </c>
    </row>
    <row r="609" spans="1:5" x14ac:dyDescent="0.25">
      <c r="A609">
        <v>0</v>
      </c>
      <c r="B609">
        <v>-0.192</v>
      </c>
      <c r="C609">
        <f t="shared" si="18"/>
        <v>1.0960790467494541</v>
      </c>
      <c r="D609">
        <v>0</v>
      </c>
      <c r="E609">
        <f t="shared" si="19"/>
        <v>4.8300015424257686E-2</v>
      </c>
    </row>
    <row r="610" spans="1:5" x14ac:dyDescent="0.25">
      <c r="A610">
        <v>0</v>
      </c>
      <c r="B610">
        <v>-0.192</v>
      </c>
      <c r="C610">
        <f t="shared" si="18"/>
        <v>1.0960790467494541</v>
      </c>
      <c r="D610">
        <v>0</v>
      </c>
      <c r="E610">
        <f t="shared" si="19"/>
        <v>4.8300015424257686E-2</v>
      </c>
    </row>
    <row r="611" spans="1:5" x14ac:dyDescent="0.25">
      <c r="A611">
        <v>0</v>
      </c>
      <c r="B611">
        <v>-0.19158878504672899</v>
      </c>
      <c r="C611">
        <f t="shared" si="18"/>
        <v>1.0977418255413787</v>
      </c>
      <c r="D611">
        <v>0</v>
      </c>
      <c r="E611">
        <f t="shared" si="19"/>
        <v>4.8300015424257686E-2</v>
      </c>
    </row>
    <row r="612" spans="1:5" x14ac:dyDescent="0.25">
      <c r="A612">
        <v>0</v>
      </c>
      <c r="B612">
        <v>-0.191176470588235</v>
      </c>
      <c r="C612">
        <f t="shared" si="18"/>
        <v>1.099408429040295</v>
      </c>
      <c r="D612">
        <v>0</v>
      </c>
      <c r="E612">
        <f t="shared" si="19"/>
        <v>4.8300015424257686E-2</v>
      </c>
    </row>
    <row r="613" spans="1:5" x14ac:dyDescent="0.25">
      <c r="A613">
        <v>0</v>
      </c>
      <c r="B613">
        <v>-0.191176470588235</v>
      </c>
      <c r="C613">
        <f t="shared" si="18"/>
        <v>1.099408429040295</v>
      </c>
      <c r="D613">
        <v>0</v>
      </c>
      <c r="E613">
        <f t="shared" si="19"/>
        <v>4.8300015424257686E-2</v>
      </c>
    </row>
    <row r="614" spans="1:5" x14ac:dyDescent="0.25">
      <c r="A614">
        <v>0</v>
      </c>
      <c r="B614">
        <v>-0.19</v>
      </c>
      <c r="C614">
        <f t="shared" si="18"/>
        <v>1.1041602910499846</v>
      </c>
      <c r="D614">
        <v>0</v>
      </c>
      <c r="E614">
        <f t="shared" si="19"/>
        <v>4.8300015424257686E-2</v>
      </c>
    </row>
    <row r="615" spans="1:5" x14ac:dyDescent="0.25">
      <c r="A615">
        <v>0</v>
      </c>
      <c r="B615">
        <v>-0.19</v>
      </c>
      <c r="C615">
        <f t="shared" si="18"/>
        <v>1.1041602910499846</v>
      </c>
      <c r="D615">
        <v>0</v>
      </c>
      <c r="E615">
        <f t="shared" si="19"/>
        <v>4.8300015424257686E-2</v>
      </c>
    </row>
    <row r="616" spans="1:5" x14ac:dyDescent="0.25">
      <c r="A616">
        <v>0</v>
      </c>
      <c r="B616">
        <v>-0.19</v>
      </c>
      <c r="C616">
        <f t="shared" si="18"/>
        <v>1.1041602910499846</v>
      </c>
      <c r="D616">
        <v>0</v>
      </c>
      <c r="E616">
        <f t="shared" si="19"/>
        <v>4.8300015424257686E-2</v>
      </c>
    </row>
    <row r="617" spans="1:5" x14ac:dyDescent="0.25">
      <c r="A617">
        <v>0</v>
      </c>
      <c r="B617">
        <v>-0.19</v>
      </c>
      <c r="C617">
        <f t="shared" si="18"/>
        <v>1.1041602910499846</v>
      </c>
      <c r="D617">
        <v>0</v>
      </c>
      <c r="E617">
        <f t="shared" si="19"/>
        <v>4.8300015424257686E-2</v>
      </c>
    </row>
    <row r="618" spans="1:5" x14ac:dyDescent="0.25">
      <c r="A618">
        <v>0</v>
      </c>
      <c r="B618">
        <v>-0.18918918918918901</v>
      </c>
      <c r="C618">
        <f t="shared" si="18"/>
        <v>1.1074320973467651</v>
      </c>
      <c r="D618">
        <v>0</v>
      </c>
      <c r="E618">
        <f t="shared" si="19"/>
        <v>4.8300015424257686E-2</v>
      </c>
    </row>
    <row r="619" spans="1:5" x14ac:dyDescent="0.25">
      <c r="A619">
        <v>0</v>
      </c>
      <c r="B619">
        <v>-0.18918918918918901</v>
      </c>
      <c r="C619">
        <f t="shared" si="18"/>
        <v>1.1074320973467651</v>
      </c>
      <c r="D619">
        <v>0</v>
      </c>
      <c r="E619">
        <f t="shared" si="19"/>
        <v>4.8300015424257686E-2</v>
      </c>
    </row>
    <row r="620" spans="1:5" x14ac:dyDescent="0.25">
      <c r="A620">
        <v>0</v>
      </c>
      <c r="B620">
        <v>-0.18918918918918901</v>
      </c>
      <c r="C620">
        <f t="shared" si="18"/>
        <v>1.1074320973467651</v>
      </c>
      <c r="D620">
        <v>0</v>
      </c>
      <c r="E620">
        <f t="shared" si="19"/>
        <v>4.8300015424257686E-2</v>
      </c>
    </row>
    <row r="621" spans="1:5" x14ac:dyDescent="0.25">
      <c r="A621">
        <v>0</v>
      </c>
      <c r="B621">
        <v>-0.189</v>
      </c>
      <c r="C621">
        <f t="shared" si="18"/>
        <v>1.1081951414817133</v>
      </c>
      <c r="D621">
        <v>0</v>
      </c>
      <c r="E621">
        <f t="shared" si="19"/>
        <v>4.8300015424257686E-2</v>
      </c>
    </row>
    <row r="622" spans="1:5" x14ac:dyDescent="0.25">
      <c r="A622">
        <v>0</v>
      </c>
      <c r="B622">
        <v>-0.18833333333333299</v>
      </c>
      <c r="C622">
        <f t="shared" si="18"/>
        <v>1.1108828017513515</v>
      </c>
      <c r="D622">
        <v>0</v>
      </c>
      <c r="E622">
        <f t="shared" si="19"/>
        <v>4.8300015424257686E-2</v>
      </c>
    </row>
    <row r="623" spans="1:5" x14ac:dyDescent="0.25">
      <c r="A623">
        <v>0</v>
      </c>
      <c r="B623">
        <v>-0.18833333333333299</v>
      </c>
      <c r="C623">
        <f t="shared" si="18"/>
        <v>1.1108828017513515</v>
      </c>
      <c r="D623">
        <v>0</v>
      </c>
      <c r="E623">
        <f t="shared" si="19"/>
        <v>4.8300015424257686E-2</v>
      </c>
    </row>
    <row r="624" spans="1:5" x14ac:dyDescent="0.25">
      <c r="A624">
        <v>0</v>
      </c>
      <c r="B624">
        <v>-0.18833333333333299</v>
      </c>
      <c r="C624">
        <f t="shared" si="18"/>
        <v>1.1108828017513515</v>
      </c>
      <c r="D624">
        <v>0</v>
      </c>
      <c r="E624">
        <f t="shared" si="19"/>
        <v>4.8300015424257686E-2</v>
      </c>
    </row>
    <row r="625" spans="1:5" x14ac:dyDescent="0.25">
      <c r="A625">
        <v>0</v>
      </c>
      <c r="B625">
        <v>-0.188235294117647</v>
      </c>
      <c r="C625">
        <f t="shared" si="18"/>
        <v>1.1112778914347587</v>
      </c>
      <c r="D625">
        <v>0</v>
      </c>
      <c r="E625">
        <f t="shared" si="19"/>
        <v>4.8300015424257686E-2</v>
      </c>
    </row>
    <row r="626" spans="1:5" x14ac:dyDescent="0.25">
      <c r="A626">
        <v>0</v>
      </c>
      <c r="B626">
        <v>-0.18691588785046701</v>
      </c>
      <c r="C626">
        <f t="shared" si="18"/>
        <v>1.1165910345279946</v>
      </c>
      <c r="D626">
        <v>0</v>
      </c>
      <c r="E626">
        <f t="shared" si="19"/>
        <v>4.8300015424257686E-2</v>
      </c>
    </row>
    <row r="627" spans="1:5" x14ac:dyDescent="0.25">
      <c r="A627">
        <v>0</v>
      </c>
      <c r="B627">
        <v>-0.18666666666666701</v>
      </c>
      <c r="C627">
        <f t="shared" si="18"/>
        <v>1.1175937857227096</v>
      </c>
      <c r="D627">
        <v>0</v>
      </c>
      <c r="E627">
        <f t="shared" si="19"/>
        <v>4.8300015424257686E-2</v>
      </c>
    </row>
    <row r="628" spans="1:5" x14ac:dyDescent="0.25">
      <c r="A628">
        <v>0</v>
      </c>
      <c r="B628">
        <v>-0.18666666666666701</v>
      </c>
      <c r="C628">
        <f t="shared" si="18"/>
        <v>1.1175937857227096</v>
      </c>
      <c r="D628">
        <v>0</v>
      </c>
      <c r="E628">
        <f t="shared" si="19"/>
        <v>4.8300015424257686E-2</v>
      </c>
    </row>
    <row r="629" spans="1:5" x14ac:dyDescent="0.25">
      <c r="A629">
        <v>0</v>
      </c>
      <c r="B629">
        <v>-0.18618618618618599</v>
      </c>
      <c r="C629">
        <f t="shared" si="18"/>
        <v>1.1195262440022686</v>
      </c>
      <c r="D629">
        <v>0</v>
      </c>
      <c r="E629">
        <f t="shared" si="19"/>
        <v>4.8300015424257686E-2</v>
      </c>
    </row>
    <row r="630" spans="1:5" x14ac:dyDescent="0.25">
      <c r="A630">
        <v>0</v>
      </c>
      <c r="B630">
        <v>-0.186</v>
      </c>
      <c r="C630">
        <f t="shared" si="18"/>
        <v>1.1202747947792673</v>
      </c>
      <c r="D630">
        <v>0</v>
      </c>
      <c r="E630">
        <f t="shared" si="19"/>
        <v>4.8300015424257686E-2</v>
      </c>
    </row>
    <row r="631" spans="1:5" x14ac:dyDescent="0.25">
      <c r="A631">
        <v>0</v>
      </c>
      <c r="B631">
        <v>-0.186</v>
      </c>
      <c r="C631">
        <f t="shared" si="18"/>
        <v>1.1202747947792673</v>
      </c>
      <c r="D631">
        <v>0</v>
      </c>
      <c r="E631">
        <f t="shared" si="19"/>
        <v>4.8300015424257686E-2</v>
      </c>
    </row>
    <row r="632" spans="1:5" x14ac:dyDescent="0.25">
      <c r="A632">
        <v>0</v>
      </c>
      <c r="B632">
        <v>-0.186</v>
      </c>
      <c r="C632">
        <f t="shared" si="18"/>
        <v>1.1202747947792673</v>
      </c>
      <c r="D632">
        <v>0</v>
      </c>
      <c r="E632">
        <f t="shared" si="19"/>
        <v>4.8300015424257686E-2</v>
      </c>
    </row>
    <row r="633" spans="1:5" x14ac:dyDescent="0.25">
      <c r="A633">
        <v>0</v>
      </c>
      <c r="B633">
        <v>-0.18533333333333299</v>
      </c>
      <c r="C633">
        <f t="shared" si="18"/>
        <v>1.1229538023409951</v>
      </c>
      <c r="D633">
        <v>0</v>
      </c>
      <c r="E633">
        <f t="shared" si="19"/>
        <v>4.8300015424257686E-2</v>
      </c>
    </row>
    <row r="634" spans="1:5" x14ac:dyDescent="0.25">
      <c r="A634">
        <v>0</v>
      </c>
      <c r="B634">
        <v>-0.18518518518518501</v>
      </c>
      <c r="C634">
        <f t="shared" si="18"/>
        <v>1.1235488610140896</v>
      </c>
      <c r="D634">
        <v>0</v>
      </c>
      <c r="E634">
        <f t="shared" si="19"/>
        <v>4.8300015424257686E-2</v>
      </c>
    </row>
    <row r="635" spans="1:5" x14ac:dyDescent="0.25">
      <c r="A635">
        <v>0</v>
      </c>
      <c r="B635">
        <v>-0.18518518518518501</v>
      </c>
      <c r="C635">
        <f t="shared" si="18"/>
        <v>1.1235488610140896</v>
      </c>
      <c r="D635">
        <v>0</v>
      </c>
      <c r="E635">
        <f t="shared" si="19"/>
        <v>4.8300015424257686E-2</v>
      </c>
    </row>
    <row r="636" spans="1:5" x14ac:dyDescent="0.25">
      <c r="A636">
        <v>0</v>
      </c>
      <c r="B636">
        <v>-0.185</v>
      </c>
      <c r="C636">
        <f t="shared" si="18"/>
        <v>1.1242925414790181</v>
      </c>
      <c r="D636">
        <v>0</v>
      </c>
      <c r="E636">
        <f t="shared" si="19"/>
        <v>4.8300015424257686E-2</v>
      </c>
    </row>
    <row r="637" spans="1:5" x14ac:dyDescent="0.25">
      <c r="A637">
        <v>0</v>
      </c>
      <c r="B637">
        <v>-0.185</v>
      </c>
      <c r="C637">
        <f t="shared" si="18"/>
        <v>1.1242925414790181</v>
      </c>
      <c r="D637">
        <v>0</v>
      </c>
      <c r="E637">
        <f t="shared" si="19"/>
        <v>4.8300015424257686E-2</v>
      </c>
    </row>
    <row r="638" spans="1:5" x14ac:dyDescent="0.25">
      <c r="A638">
        <v>0</v>
      </c>
      <c r="B638">
        <v>-0.18466666666666701</v>
      </c>
      <c r="C638">
        <f t="shared" si="18"/>
        <v>1.1256307633368738</v>
      </c>
      <c r="D638">
        <v>0</v>
      </c>
      <c r="E638">
        <f t="shared" si="19"/>
        <v>4.8300015424257686E-2</v>
      </c>
    </row>
    <row r="639" spans="1:5" x14ac:dyDescent="0.25">
      <c r="A639">
        <v>0</v>
      </c>
      <c r="B639">
        <v>-0.184</v>
      </c>
      <c r="C639">
        <f t="shared" si="18"/>
        <v>1.1283056326344465</v>
      </c>
      <c r="D639">
        <v>0</v>
      </c>
      <c r="E639">
        <f t="shared" si="19"/>
        <v>4.8300015424257686E-2</v>
      </c>
    </row>
    <row r="640" spans="1:5" x14ac:dyDescent="0.25">
      <c r="A640">
        <v>0</v>
      </c>
      <c r="B640">
        <v>-0.184</v>
      </c>
      <c r="C640">
        <f t="shared" si="18"/>
        <v>1.1283056326344465</v>
      </c>
      <c r="D640">
        <v>0</v>
      </c>
      <c r="E640">
        <f t="shared" si="19"/>
        <v>4.8300015424257686E-2</v>
      </c>
    </row>
    <row r="641" spans="1:5" x14ac:dyDescent="0.25">
      <c r="A641">
        <v>0</v>
      </c>
      <c r="B641">
        <v>-0.184</v>
      </c>
      <c r="C641">
        <f t="shared" si="18"/>
        <v>1.1283056326344465</v>
      </c>
      <c r="D641">
        <v>0</v>
      </c>
      <c r="E641">
        <f t="shared" si="19"/>
        <v>4.8300015424257686E-2</v>
      </c>
    </row>
    <row r="642" spans="1:5" x14ac:dyDescent="0.25">
      <c r="A642">
        <v>0</v>
      </c>
      <c r="B642">
        <v>-0.184</v>
      </c>
      <c r="C642">
        <f t="shared" ref="C642:C705" si="20">_xlfn.NORM.DIST(B642,I$10,I$13,FALSE)</f>
        <v>1.1283056326344465</v>
      </c>
      <c r="D642">
        <v>0</v>
      </c>
      <c r="E642">
        <f t="shared" si="19"/>
        <v>4.8300015424257686E-2</v>
      </c>
    </row>
    <row r="643" spans="1:5" x14ac:dyDescent="0.25">
      <c r="A643">
        <v>0</v>
      </c>
      <c r="B643">
        <v>-0.183183183183183</v>
      </c>
      <c r="C643">
        <f t="shared" si="20"/>
        <v>1.1315800323299428</v>
      </c>
      <c r="D643">
        <v>0</v>
      </c>
      <c r="E643">
        <f t="shared" ref="E643:E706" si="21">_xlfn.NORM.DIST(D643,I$4,I$7,FALSE)</f>
        <v>4.8300015424257686E-2</v>
      </c>
    </row>
    <row r="644" spans="1:5" x14ac:dyDescent="0.25">
      <c r="A644">
        <v>0</v>
      </c>
      <c r="B644">
        <v>-0.183183183183183</v>
      </c>
      <c r="C644">
        <f t="shared" si="20"/>
        <v>1.1315800323299428</v>
      </c>
      <c r="D644">
        <v>0</v>
      </c>
      <c r="E644">
        <f t="shared" si="21"/>
        <v>4.8300015424257686E-2</v>
      </c>
    </row>
    <row r="645" spans="1:5" x14ac:dyDescent="0.25">
      <c r="A645">
        <v>0</v>
      </c>
      <c r="B645">
        <v>-0.182666666666667</v>
      </c>
      <c r="C645">
        <f t="shared" si="20"/>
        <v>1.1336489153048124</v>
      </c>
      <c r="D645">
        <v>0</v>
      </c>
      <c r="E645">
        <f t="shared" si="21"/>
        <v>4.8300015424257686E-2</v>
      </c>
    </row>
    <row r="646" spans="1:5" x14ac:dyDescent="0.25">
      <c r="A646">
        <v>0</v>
      </c>
      <c r="B646">
        <v>-0.18224299065420599</v>
      </c>
      <c r="C646">
        <f t="shared" si="20"/>
        <v>1.1353449327001908</v>
      </c>
      <c r="D646">
        <v>0</v>
      </c>
      <c r="E646">
        <f t="shared" si="21"/>
        <v>4.8300015424257686E-2</v>
      </c>
    </row>
    <row r="647" spans="1:5" x14ac:dyDescent="0.25">
      <c r="A647">
        <v>0</v>
      </c>
      <c r="B647">
        <v>-0.182</v>
      </c>
      <c r="C647">
        <f t="shared" si="20"/>
        <v>1.1363172381163493</v>
      </c>
      <c r="D647">
        <v>0</v>
      </c>
      <c r="E647">
        <f t="shared" si="21"/>
        <v>4.8300015424257686E-2</v>
      </c>
    </row>
    <row r="648" spans="1:5" x14ac:dyDescent="0.25">
      <c r="A648">
        <v>0</v>
      </c>
      <c r="B648">
        <v>-0.18181818181818199</v>
      </c>
      <c r="C648">
        <f t="shared" si="20"/>
        <v>1.1370445699734613</v>
      </c>
      <c r="D648">
        <v>0</v>
      </c>
      <c r="E648">
        <f t="shared" si="21"/>
        <v>4.8300015424257686E-2</v>
      </c>
    </row>
    <row r="649" spans="1:5" x14ac:dyDescent="0.25">
      <c r="A649">
        <v>0</v>
      </c>
      <c r="B649">
        <v>-0.181666666666667</v>
      </c>
      <c r="C649">
        <f t="shared" si="20"/>
        <v>1.1376505500527796</v>
      </c>
      <c r="D649">
        <v>0</v>
      </c>
      <c r="E649">
        <f t="shared" si="21"/>
        <v>4.8300015424257686E-2</v>
      </c>
    </row>
    <row r="650" spans="1:5" x14ac:dyDescent="0.25">
      <c r="A650">
        <v>0</v>
      </c>
      <c r="B650">
        <v>-0.181666666666667</v>
      </c>
      <c r="C650">
        <f t="shared" si="20"/>
        <v>1.1376505500527796</v>
      </c>
      <c r="D650">
        <v>0</v>
      </c>
      <c r="E650">
        <f t="shared" si="21"/>
        <v>4.8300015424257686E-2</v>
      </c>
    </row>
    <row r="651" spans="1:5" x14ac:dyDescent="0.25">
      <c r="A651">
        <v>0</v>
      </c>
      <c r="B651">
        <v>-0.18133333333333301</v>
      </c>
      <c r="C651">
        <f t="shared" si="20"/>
        <v>1.1389832881095017</v>
      </c>
      <c r="D651">
        <v>0</v>
      </c>
      <c r="E651">
        <f t="shared" si="21"/>
        <v>4.8300015424257686E-2</v>
      </c>
    </row>
    <row r="652" spans="1:5" x14ac:dyDescent="0.25">
      <c r="A652">
        <v>0</v>
      </c>
      <c r="B652">
        <v>-0.18</v>
      </c>
      <c r="C652">
        <f t="shared" si="20"/>
        <v>1.144308387900725</v>
      </c>
      <c r="D652">
        <v>0</v>
      </c>
      <c r="E652">
        <f t="shared" si="21"/>
        <v>4.8300015424257686E-2</v>
      </c>
    </row>
    <row r="653" spans="1:5" x14ac:dyDescent="0.25">
      <c r="A653">
        <v>0</v>
      </c>
      <c r="B653">
        <v>-0.18</v>
      </c>
      <c r="C653">
        <f t="shared" si="20"/>
        <v>1.144308387900725</v>
      </c>
      <c r="D653">
        <v>0</v>
      </c>
      <c r="E653">
        <f t="shared" si="21"/>
        <v>4.8300015424257686E-2</v>
      </c>
    </row>
    <row r="654" spans="1:5" x14ac:dyDescent="0.25">
      <c r="A654">
        <v>0</v>
      </c>
      <c r="B654">
        <v>-0.17990654205607501</v>
      </c>
      <c r="C654">
        <f t="shared" si="20"/>
        <v>1.1446812853755743</v>
      </c>
      <c r="D654">
        <v>0</v>
      </c>
      <c r="E654">
        <f t="shared" si="21"/>
        <v>4.8300015424257686E-2</v>
      </c>
    </row>
    <row r="655" spans="1:5" x14ac:dyDescent="0.25">
      <c r="A655">
        <v>0</v>
      </c>
      <c r="B655">
        <v>-0.17990654205607501</v>
      </c>
      <c r="C655">
        <f t="shared" si="20"/>
        <v>1.1446812853755743</v>
      </c>
      <c r="D655">
        <v>0</v>
      </c>
      <c r="E655">
        <f t="shared" si="21"/>
        <v>4.8300015424257686E-2</v>
      </c>
    </row>
    <row r="656" spans="1:5" x14ac:dyDescent="0.25">
      <c r="A656">
        <v>0</v>
      </c>
      <c r="B656">
        <v>-0.179640718562874</v>
      </c>
      <c r="C656">
        <f t="shared" si="20"/>
        <v>1.1457416619402503</v>
      </c>
      <c r="D656">
        <v>0</v>
      </c>
      <c r="E656">
        <f t="shared" si="21"/>
        <v>4.8300015424257686E-2</v>
      </c>
    </row>
    <row r="657" spans="1:5" x14ac:dyDescent="0.25">
      <c r="A657">
        <v>0</v>
      </c>
      <c r="B657">
        <v>-0.178666666666667</v>
      </c>
      <c r="C657">
        <f t="shared" si="20"/>
        <v>1.1496238506649976</v>
      </c>
      <c r="D657">
        <v>0</v>
      </c>
      <c r="E657">
        <f t="shared" si="21"/>
        <v>4.8300015424257686E-2</v>
      </c>
    </row>
    <row r="658" spans="1:5" x14ac:dyDescent="0.25">
      <c r="A658">
        <v>0</v>
      </c>
      <c r="B658">
        <v>-0.178666666666667</v>
      </c>
      <c r="C658">
        <f t="shared" si="20"/>
        <v>1.1496238506649976</v>
      </c>
      <c r="D658">
        <v>0</v>
      </c>
      <c r="E658">
        <f t="shared" si="21"/>
        <v>4.8300015424257686E-2</v>
      </c>
    </row>
    <row r="659" spans="1:5" x14ac:dyDescent="0.25">
      <c r="A659">
        <v>0</v>
      </c>
      <c r="B659">
        <v>-0.178666666666667</v>
      </c>
      <c r="C659">
        <f t="shared" si="20"/>
        <v>1.1496238506649976</v>
      </c>
      <c r="D659">
        <v>0</v>
      </c>
      <c r="E659">
        <f t="shared" si="21"/>
        <v>4.8300015424257686E-2</v>
      </c>
    </row>
    <row r="660" spans="1:5" x14ac:dyDescent="0.25">
      <c r="A660">
        <v>0</v>
      </c>
      <c r="B660">
        <v>-0.17833333333333301</v>
      </c>
      <c r="C660">
        <f t="shared" si="20"/>
        <v>1.1509511678335662</v>
      </c>
      <c r="D660">
        <v>0</v>
      </c>
      <c r="E660">
        <f t="shared" si="21"/>
        <v>4.8300015424257686E-2</v>
      </c>
    </row>
    <row r="661" spans="1:5" x14ac:dyDescent="0.25">
      <c r="A661">
        <v>0</v>
      </c>
      <c r="B661">
        <v>-0.17833333333333301</v>
      </c>
      <c r="C661">
        <f t="shared" si="20"/>
        <v>1.1509511678335662</v>
      </c>
      <c r="D661">
        <v>0</v>
      </c>
      <c r="E661">
        <f t="shared" si="21"/>
        <v>4.8300015424257686E-2</v>
      </c>
    </row>
    <row r="662" spans="1:5" x14ac:dyDescent="0.25">
      <c r="A662">
        <v>0</v>
      </c>
      <c r="B662">
        <v>-0.17799999999999999</v>
      </c>
      <c r="C662">
        <f t="shared" si="20"/>
        <v>1.1522778541808831</v>
      </c>
      <c r="D662">
        <v>0</v>
      </c>
      <c r="E662">
        <f t="shared" si="21"/>
        <v>4.8300015424257686E-2</v>
      </c>
    </row>
    <row r="663" spans="1:5" x14ac:dyDescent="0.25">
      <c r="A663">
        <v>0</v>
      </c>
      <c r="B663">
        <v>-0.177570093457944</v>
      </c>
      <c r="C663">
        <f t="shared" si="20"/>
        <v>1.1539879669147948</v>
      </c>
      <c r="D663">
        <v>0</v>
      </c>
      <c r="E663">
        <f t="shared" si="21"/>
        <v>4.8300015424257686E-2</v>
      </c>
    </row>
    <row r="664" spans="1:5" x14ac:dyDescent="0.25">
      <c r="A664">
        <v>0</v>
      </c>
      <c r="B664">
        <v>-0.177215189873418</v>
      </c>
      <c r="C664">
        <f t="shared" si="20"/>
        <v>1.1553989210376456</v>
      </c>
      <c r="D664">
        <v>0</v>
      </c>
      <c r="E664">
        <f t="shared" si="21"/>
        <v>4.8300015424257686E-2</v>
      </c>
    </row>
    <row r="665" spans="1:5" x14ac:dyDescent="0.25">
      <c r="A665">
        <v>0</v>
      </c>
      <c r="B665">
        <v>-0.17717717717717699</v>
      </c>
      <c r="C665">
        <f t="shared" si="20"/>
        <v>1.1555500006871533</v>
      </c>
      <c r="D665">
        <v>0</v>
      </c>
      <c r="E665">
        <f t="shared" si="21"/>
        <v>4.8300015424257686E-2</v>
      </c>
    </row>
    <row r="666" spans="1:5" x14ac:dyDescent="0.25">
      <c r="A666">
        <v>0</v>
      </c>
      <c r="B666">
        <v>-0.17715617715617701</v>
      </c>
      <c r="C666">
        <f t="shared" si="20"/>
        <v>1.1556334606418401</v>
      </c>
      <c r="D666">
        <v>0</v>
      </c>
      <c r="E666">
        <f t="shared" si="21"/>
        <v>4.8300015424257686E-2</v>
      </c>
    </row>
    <row r="667" spans="1:5" x14ac:dyDescent="0.25">
      <c r="A667">
        <v>0</v>
      </c>
      <c r="B667">
        <v>-0.17715617715617701</v>
      </c>
      <c r="C667">
        <f t="shared" si="20"/>
        <v>1.1556334606418401</v>
      </c>
      <c r="D667">
        <v>0</v>
      </c>
      <c r="E667">
        <f t="shared" si="21"/>
        <v>4.8300015424257686E-2</v>
      </c>
    </row>
    <row r="668" spans="1:5" x14ac:dyDescent="0.25">
      <c r="A668">
        <v>0</v>
      </c>
      <c r="B668">
        <v>-0.176666666666667</v>
      </c>
      <c r="C668">
        <f t="shared" si="20"/>
        <v>1.1575781770836995</v>
      </c>
      <c r="D668">
        <v>0</v>
      </c>
      <c r="E668">
        <f t="shared" si="21"/>
        <v>4.8300015424257686E-2</v>
      </c>
    </row>
    <row r="669" spans="1:5" x14ac:dyDescent="0.25">
      <c r="A669">
        <v>0</v>
      </c>
      <c r="B669">
        <v>-0.176666666666667</v>
      </c>
      <c r="C669">
        <f t="shared" si="20"/>
        <v>1.1575781770836995</v>
      </c>
      <c r="D669">
        <v>0</v>
      </c>
      <c r="E669">
        <f t="shared" si="21"/>
        <v>4.8300015424257686E-2</v>
      </c>
    </row>
    <row r="670" spans="1:5" x14ac:dyDescent="0.25">
      <c r="A670">
        <v>0</v>
      </c>
      <c r="B670">
        <v>-0.176666666666667</v>
      </c>
      <c r="C670">
        <f t="shared" si="20"/>
        <v>1.1575781770836995</v>
      </c>
      <c r="D670">
        <v>0</v>
      </c>
      <c r="E670">
        <f t="shared" si="21"/>
        <v>4.8300015424257686E-2</v>
      </c>
    </row>
    <row r="671" spans="1:5" x14ac:dyDescent="0.25">
      <c r="A671">
        <v>0</v>
      </c>
      <c r="B671">
        <v>-0.17599999999999999</v>
      </c>
      <c r="C671">
        <f t="shared" si="20"/>
        <v>1.1602244049692518</v>
      </c>
      <c r="D671">
        <v>0</v>
      </c>
      <c r="E671">
        <f t="shared" si="21"/>
        <v>4.8300015424257686E-2</v>
      </c>
    </row>
    <row r="672" spans="1:5" x14ac:dyDescent="0.25">
      <c r="A672">
        <v>0</v>
      </c>
      <c r="B672">
        <v>-0.17599999999999999</v>
      </c>
      <c r="C672">
        <f t="shared" si="20"/>
        <v>1.1602244049692518</v>
      </c>
      <c r="D672">
        <v>0</v>
      </c>
      <c r="E672">
        <f t="shared" si="21"/>
        <v>4.8300015424257686E-2</v>
      </c>
    </row>
    <row r="673" spans="1:5" x14ac:dyDescent="0.25">
      <c r="A673">
        <v>0</v>
      </c>
      <c r="B673">
        <v>-0.17599999999999999</v>
      </c>
      <c r="C673">
        <f t="shared" si="20"/>
        <v>1.1602244049692518</v>
      </c>
      <c r="D673">
        <v>0</v>
      </c>
      <c r="E673">
        <f t="shared" si="21"/>
        <v>4.8300015424257686E-2</v>
      </c>
    </row>
    <row r="674" spans="1:5" x14ac:dyDescent="0.25">
      <c r="A674">
        <v>0</v>
      </c>
      <c r="B674">
        <v>-0.17599999999999999</v>
      </c>
      <c r="C674">
        <f t="shared" si="20"/>
        <v>1.1602244049692518</v>
      </c>
      <c r="D674">
        <v>0</v>
      </c>
      <c r="E674">
        <f t="shared" si="21"/>
        <v>4.8300015424257686E-2</v>
      </c>
    </row>
    <row r="675" spans="1:5" x14ac:dyDescent="0.25">
      <c r="A675">
        <v>0</v>
      </c>
      <c r="B675">
        <v>-0.17599999999999999</v>
      </c>
      <c r="C675">
        <f t="shared" si="20"/>
        <v>1.1602244049692518</v>
      </c>
      <c r="D675">
        <v>0</v>
      </c>
      <c r="E675">
        <f t="shared" si="21"/>
        <v>4.8300015424257686E-2</v>
      </c>
    </row>
    <row r="676" spans="1:5" x14ac:dyDescent="0.25">
      <c r="A676">
        <v>0</v>
      </c>
      <c r="B676">
        <v>-0.175438596491228</v>
      </c>
      <c r="C676">
        <f t="shared" si="20"/>
        <v>1.1624507279211409</v>
      </c>
      <c r="D676">
        <v>0</v>
      </c>
      <c r="E676">
        <f t="shared" si="21"/>
        <v>4.8300015424257686E-2</v>
      </c>
    </row>
    <row r="677" spans="1:5" x14ac:dyDescent="0.25">
      <c r="A677">
        <v>0</v>
      </c>
      <c r="B677">
        <v>-0.17523364485981299</v>
      </c>
      <c r="C677">
        <f t="shared" si="20"/>
        <v>1.1632630123068282</v>
      </c>
      <c r="D677">
        <v>0</v>
      </c>
      <c r="E677">
        <f t="shared" si="21"/>
        <v>4.8300015424257686E-2</v>
      </c>
    </row>
    <row r="678" spans="1:5" x14ac:dyDescent="0.25">
      <c r="A678">
        <v>0</v>
      </c>
      <c r="B678">
        <v>-0.17523364485981299</v>
      </c>
      <c r="C678">
        <f t="shared" si="20"/>
        <v>1.1632630123068282</v>
      </c>
      <c r="D678">
        <v>0</v>
      </c>
      <c r="E678">
        <f t="shared" si="21"/>
        <v>4.8300015424257686E-2</v>
      </c>
    </row>
    <row r="679" spans="1:5" x14ac:dyDescent="0.25">
      <c r="A679">
        <v>0</v>
      </c>
      <c r="B679">
        <v>-0.17523364485981299</v>
      </c>
      <c r="C679">
        <f t="shared" si="20"/>
        <v>1.1632630123068282</v>
      </c>
      <c r="D679">
        <v>0</v>
      </c>
      <c r="E679">
        <f t="shared" si="21"/>
        <v>4.8300015424257686E-2</v>
      </c>
    </row>
    <row r="680" spans="1:5" x14ac:dyDescent="0.25">
      <c r="A680">
        <v>0</v>
      </c>
      <c r="B680">
        <v>-0.17499999999999999</v>
      </c>
      <c r="C680">
        <f t="shared" si="20"/>
        <v>1.164188700989699</v>
      </c>
      <c r="D680">
        <v>0</v>
      </c>
      <c r="E680">
        <f t="shared" si="21"/>
        <v>4.8300015424257686E-2</v>
      </c>
    </row>
    <row r="681" spans="1:5" x14ac:dyDescent="0.25">
      <c r="A681">
        <v>0</v>
      </c>
      <c r="B681">
        <v>-0.174666666666667</v>
      </c>
      <c r="C681">
        <f t="shared" si="20"/>
        <v>1.1655087645133713</v>
      </c>
      <c r="D681">
        <v>0</v>
      </c>
      <c r="E681">
        <f t="shared" si="21"/>
        <v>4.8300015424257686E-2</v>
      </c>
    </row>
    <row r="682" spans="1:5" x14ac:dyDescent="0.25">
      <c r="A682">
        <v>0</v>
      </c>
      <c r="B682">
        <v>-0.17365269461077801</v>
      </c>
      <c r="C682">
        <f t="shared" si="20"/>
        <v>1.1695199978312174</v>
      </c>
      <c r="D682">
        <v>0</v>
      </c>
      <c r="E682">
        <f t="shared" si="21"/>
        <v>4.8300015424257686E-2</v>
      </c>
    </row>
    <row r="683" spans="1:5" x14ac:dyDescent="0.25">
      <c r="A683">
        <v>0</v>
      </c>
      <c r="B683">
        <v>-0.17333333333333301</v>
      </c>
      <c r="C683">
        <f t="shared" si="20"/>
        <v>1.1707820231199382</v>
      </c>
      <c r="D683">
        <v>0</v>
      </c>
      <c r="E683">
        <f t="shared" si="21"/>
        <v>4.8300015424257686E-2</v>
      </c>
    </row>
    <row r="684" spans="1:5" x14ac:dyDescent="0.25">
      <c r="A684">
        <v>0</v>
      </c>
      <c r="B684">
        <v>-0.17333333333333301</v>
      </c>
      <c r="C684">
        <f t="shared" si="20"/>
        <v>1.1707820231199382</v>
      </c>
      <c r="D684">
        <v>0</v>
      </c>
      <c r="E684">
        <f t="shared" si="21"/>
        <v>4.8300015424257686E-2</v>
      </c>
    </row>
    <row r="685" spans="1:5" x14ac:dyDescent="0.25">
      <c r="A685">
        <v>0</v>
      </c>
      <c r="B685">
        <v>-0.17333333333333301</v>
      </c>
      <c r="C685">
        <f t="shared" si="20"/>
        <v>1.1707820231199382</v>
      </c>
      <c r="D685">
        <v>0</v>
      </c>
      <c r="E685">
        <f t="shared" si="21"/>
        <v>4.8300015424257686E-2</v>
      </c>
    </row>
    <row r="686" spans="1:5" x14ac:dyDescent="0.25">
      <c r="A686">
        <v>0</v>
      </c>
      <c r="B686">
        <v>-0.17333333333333301</v>
      </c>
      <c r="C686">
        <f t="shared" si="20"/>
        <v>1.1707820231199382</v>
      </c>
      <c r="D686">
        <v>0</v>
      </c>
      <c r="E686">
        <f t="shared" si="21"/>
        <v>4.8300015424257686E-2</v>
      </c>
    </row>
    <row r="687" spans="1:5" x14ac:dyDescent="0.25">
      <c r="A687">
        <v>0</v>
      </c>
      <c r="B687">
        <v>-0.17333333333333301</v>
      </c>
      <c r="C687">
        <f t="shared" si="20"/>
        <v>1.1707820231199382</v>
      </c>
      <c r="D687">
        <v>0</v>
      </c>
      <c r="E687">
        <f t="shared" si="21"/>
        <v>4.8300015424257686E-2</v>
      </c>
    </row>
    <row r="688" spans="1:5" x14ac:dyDescent="0.25">
      <c r="A688">
        <v>0</v>
      </c>
      <c r="B688">
        <v>-0.17299999999999999</v>
      </c>
      <c r="C688">
        <f t="shared" si="20"/>
        <v>1.1720985601696594</v>
      </c>
      <c r="D688">
        <v>0</v>
      </c>
      <c r="E688">
        <f t="shared" si="21"/>
        <v>4.8300015424257686E-2</v>
      </c>
    </row>
    <row r="689" spans="1:5" x14ac:dyDescent="0.25">
      <c r="A689">
        <v>0</v>
      </c>
      <c r="B689">
        <v>-0.17199999999999999</v>
      </c>
      <c r="C689">
        <f t="shared" si="20"/>
        <v>1.1760438130498894</v>
      </c>
      <c r="D689">
        <v>0</v>
      </c>
      <c r="E689">
        <f t="shared" si="21"/>
        <v>4.8300015424257686E-2</v>
      </c>
    </row>
    <row r="690" spans="1:5" x14ac:dyDescent="0.25">
      <c r="A690">
        <v>0</v>
      </c>
      <c r="B690">
        <v>-0.17166666666666699</v>
      </c>
      <c r="C690">
        <f t="shared" si="20"/>
        <v>1.1773574253973782</v>
      </c>
      <c r="D690">
        <v>0</v>
      </c>
      <c r="E690">
        <f t="shared" si="21"/>
        <v>4.8300015424257686E-2</v>
      </c>
    </row>
    <row r="691" spans="1:5" x14ac:dyDescent="0.25">
      <c r="A691">
        <v>0</v>
      </c>
      <c r="B691">
        <v>-0.17166666666666699</v>
      </c>
      <c r="C691">
        <f t="shared" si="20"/>
        <v>1.1773574253973782</v>
      </c>
      <c r="D691">
        <v>0</v>
      </c>
      <c r="E691">
        <f t="shared" si="21"/>
        <v>4.8300015424257686E-2</v>
      </c>
    </row>
    <row r="692" spans="1:5" x14ac:dyDescent="0.25">
      <c r="A692">
        <v>0</v>
      </c>
      <c r="B692">
        <v>-0.17166666666666699</v>
      </c>
      <c r="C692">
        <f t="shared" si="20"/>
        <v>1.1773574253973782</v>
      </c>
      <c r="D692">
        <v>0</v>
      </c>
      <c r="E692">
        <f t="shared" si="21"/>
        <v>4.8300015424257686E-2</v>
      </c>
    </row>
    <row r="693" spans="1:5" x14ac:dyDescent="0.25">
      <c r="A693">
        <v>0</v>
      </c>
      <c r="B693">
        <v>-0.17142857142857101</v>
      </c>
      <c r="C693">
        <f t="shared" si="20"/>
        <v>1.1782952637937545</v>
      </c>
      <c r="D693">
        <v>0</v>
      </c>
      <c r="E693">
        <f t="shared" si="21"/>
        <v>4.8300015424257686E-2</v>
      </c>
    </row>
    <row r="694" spans="1:5" x14ac:dyDescent="0.25">
      <c r="A694">
        <v>0</v>
      </c>
      <c r="B694">
        <v>-0.171171171171171</v>
      </c>
      <c r="C694">
        <f t="shared" si="20"/>
        <v>1.1793087128054016</v>
      </c>
      <c r="D694">
        <v>0</v>
      </c>
      <c r="E694">
        <f t="shared" si="21"/>
        <v>4.8300015424257686E-2</v>
      </c>
    </row>
    <row r="695" spans="1:5" x14ac:dyDescent="0.25">
      <c r="A695">
        <v>0</v>
      </c>
      <c r="B695">
        <v>-0.17112299465240599</v>
      </c>
      <c r="C695">
        <f t="shared" si="20"/>
        <v>1.1794983458955406</v>
      </c>
      <c r="D695">
        <v>0</v>
      </c>
      <c r="E695">
        <f t="shared" si="21"/>
        <v>4.8300015424257686E-2</v>
      </c>
    </row>
    <row r="696" spans="1:5" x14ac:dyDescent="0.25">
      <c r="A696">
        <v>0</v>
      </c>
      <c r="B696">
        <v>-0.170886075949367</v>
      </c>
      <c r="C696">
        <f t="shared" si="20"/>
        <v>1.180430678818291</v>
      </c>
      <c r="D696">
        <v>0</v>
      </c>
      <c r="E696">
        <f t="shared" si="21"/>
        <v>4.8300015424257686E-2</v>
      </c>
    </row>
    <row r="697" spans="1:5" x14ac:dyDescent="0.25">
      <c r="A697">
        <v>0</v>
      </c>
      <c r="B697">
        <v>-0.17066666666666699</v>
      </c>
      <c r="C697">
        <f t="shared" si="20"/>
        <v>1.1812937659417433</v>
      </c>
      <c r="D697">
        <v>0</v>
      </c>
      <c r="E697">
        <f t="shared" si="21"/>
        <v>4.8300015424257686E-2</v>
      </c>
    </row>
    <row r="698" spans="1:5" x14ac:dyDescent="0.25">
      <c r="A698">
        <v>0</v>
      </c>
      <c r="B698">
        <v>-0.17066666666666699</v>
      </c>
      <c r="C698">
        <f t="shared" si="20"/>
        <v>1.1812937659417433</v>
      </c>
      <c r="D698">
        <v>0</v>
      </c>
      <c r="E698">
        <f t="shared" si="21"/>
        <v>4.8300015424257686E-2</v>
      </c>
    </row>
    <row r="699" spans="1:5" x14ac:dyDescent="0.25">
      <c r="A699">
        <v>0</v>
      </c>
      <c r="B699">
        <v>-0.17066666666666699</v>
      </c>
      <c r="C699">
        <f t="shared" si="20"/>
        <v>1.1812937659417433</v>
      </c>
      <c r="D699">
        <v>0</v>
      </c>
      <c r="E699">
        <f t="shared" si="21"/>
        <v>4.8300015424257686E-2</v>
      </c>
    </row>
    <row r="700" spans="1:5" x14ac:dyDescent="0.25">
      <c r="A700">
        <v>0</v>
      </c>
      <c r="B700">
        <v>-0.17066666666666699</v>
      </c>
      <c r="C700">
        <f t="shared" si="20"/>
        <v>1.1812937659417433</v>
      </c>
      <c r="D700">
        <v>0</v>
      </c>
      <c r="E700">
        <f t="shared" si="21"/>
        <v>4.8300015424257686E-2</v>
      </c>
    </row>
    <row r="701" spans="1:5" x14ac:dyDescent="0.25">
      <c r="A701">
        <v>0</v>
      </c>
      <c r="B701">
        <v>-0.170560747663551</v>
      </c>
      <c r="C701">
        <f t="shared" si="20"/>
        <v>1.1817102998015201</v>
      </c>
      <c r="D701">
        <v>0</v>
      </c>
      <c r="E701">
        <f t="shared" si="21"/>
        <v>4.8300015424257686E-2</v>
      </c>
    </row>
    <row r="702" spans="1:5" x14ac:dyDescent="0.25">
      <c r="A702">
        <v>0</v>
      </c>
      <c r="B702">
        <v>-0.170560747663551</v>
      </c>
      <c r="C702">
        <f t="shared" si="20"/>
        <v>1.1817102998015201</v>
      </c>
      <c r="D702">
        <v>0</v>
      </c>
      <c r="E702">
        <f t="shared" si="21"/>
        <v>4.8300015424257686E-2</v>
      </c>
    </row>
    <row r="703" spans="1:5" x14ac:dyDescent="0.25">
      <c r="A703">
        <v>0</v>
      </c>
      <c r="B703">
        <v>-0.17</v>
      </c>
      <c r="C703">
        <f t="shared" si="20"/>
        <v>1.1839141882254478</v>
      </c>
      <c r="D703">
        <v>0</v>
      </c>
      <c r="E703">
        <f t="shared" si="21"/>
        <v>4.8300015424257686E-2</v>
      </c>
    </row>
    <row r="704" spans="1:5" x14ac:dyDescent="0.25">
      <c r="A704">
        <v>0</v>
      </c>
      <c r="B704">
        <v>-0.17</v>
      </c>
      <c r="C704">
        <f t="shared" si="20"/>
        <v>1.1839141882254478</v>
      </c>
      <c r="D704">
        <v>0</v>
      </c>
      <c r="E704">
        <f t="shared" si="21"/>
        <v>4.8300015424257686E-2</v>
      </c>
    </row>
    <row r="705" spans="1:5" x14ac:dyDescent="0.25">
      <c r="A705">
        <v>0</v>
      </c>
      <c r="B705">
        <v>-0.17</v>
      </c>
      <c r="C705">
        <f t="shared" si="20"/>
        <v>1.1839141882254478</v>
      </c>
      <c r="D705">
        <v>0</v>
      </c>
      <c r="E705">
        <f t="shared" si="21"/>
        <v>4.8300015424257686E-2</v>
      </c>
    </row>
    <row r="706" spans="1:5" x14ac:dyDescent="0.25">
      <c r="A706">
        <v>0</v>
      </c>
      <c r="B706">
        <v>-0.17</v>
      </c>
      <c r="C706">
        <f t="shared" ref="C706:C769" si="22">_xlfn.NORM.DIST(B706,I$10,I$13,FALSE)</f>
        <v>1.1839141882254478</v>
      </c>
      <c r="D706">
        <v>0</v>
      </c>
      <c r="E706">
        <f t="shared" si="21"/>
        <v>4.8300015424257686E-2</v>
      </c>
    </row>
    <row r="707" spans="1:5" x14ac:dyDescent="0.25">
      <c r="A707">
        <v>0</v>
      </c>
      <c r="B707">
        <v>-0.17</v>
      </c>
      <c r="C707">
        <f t="shared" si="22"/>
        <v>1.1839141882254478</v>
      </c>
      <c r="D707">
        <v>0</v>
      </c>
      <c r="E707">
        <f t="shared" ref="E707:E770" si="23">_xlfn.NORM.DIST(D707,I$4,I$7,FALSE)</f>
        <v>4.8300015424257686E-2</v>
      </c>
    </row>
    <row r="708" spans="1:5" x14ac:dyDescent="0.25">
      <c r="A708">
        <v>0</v>
      </c>
      <c r="B708">
        <v>-0.168224299065421</v>
      </c>
      <c r="C708">
        <f t="shared" si="22"/>
        <v>1.1908785791071452</v>
      </c>
      <c r="D708">
        <v>0</v>
      </c>
      <c r="E708">
        <f t="shared" si="23"/>
        <v>4.8300015424257686E-2</v>
      </c>
    </row>
    <row r="709" spans="1:5" x14ac:dyDescent="0.25">
      <c r="A709">
        <v>0</v>
      </c>
      <c r="B709">
        <v>-0.16800000000000001</v>
      </c>
      <c r="C709">
        <f t="shared" si="22"/>
        <v>1.1917566843027061</v>
      </c>
      <c r="D709">
        <v>0</v>
      </c>
      <c r="E709">
        <f t="shared" si="23"/>
        <v>4.8300015424257686E-2</v>
      </c>
    </row>
    <row r="710" spans="1:5" x14ac:dyDescent="0.25">
      <c r="A710">
        <v>0</v>
      </c>
      <c r="B710">
        <v>-0.16800000000000001</v>
      </c>
      <c r="C710">
        <f t="shared" si="22"/>
        <v>1.1917566843027061</v>
      </c>
      <c r="D710">
        <v>0</v>
      </c>
      <c r="E710">
        <f t="shared" si="23"/>
        <v>4.8300015424257686E-2</v>
      </c>
    </row>
    <row r="711" spans="1:5" x14ac:dyDescent="0.25">
      <c r="A711">
        <v>0</v>
      </c>
      <c r="B711">
        <v>-0.16783216783216801</v>
      </c>
      <c r="C711">
        <f t="shared" si="22"/>
        <v>1.1924134885317541</v>
      </c>
      <c r="D711">
        <v>0</v>
      </c>
      <c r="E711">
        <f t="shared" si="23"/>
        <v>4.8300015424257686E-2</v>
      </c>
    </row>
    <row r="712" spans="1:5" x14ac:dyDescent="0.25">
      <c r="A712">
        <v>0</v>
      </c>
      <c r="B712">
        <v>-0.16783216783216801</v>
      </c>
      <c r="C712">
        <f t="shared" si="22"/>
        <v>1.1924134885317541</v>
      </c>
      <c r="D712">
        <v>0</v>
      </c>
      <c r="E712">
        <f t="shared" si="23"/>
        <v>4.8300015424257686E-2</v>
      </c>
    </row>
    <row r="713" spans="1:5" x14ac:dyDescent="0.25">
      <c r="A713">
        <v>0</v>
      </c>
      <c r="B713">
        <v>-0.16783216783216801</v>
      </c>
      <c r="C713">
        <f t="shared" si="22"/>
        <v>1.1924134885317541</v>
      </c>
      <c r="D713">
        <v>0</v>
      </c>
      <c r="E713">
        <f t="shared" si="23"/>
        <v>4.8300015424257686E-2</v>
      </c>
    </row>
    <row r="714" spans="1:5" x14ac:dyDescent="0.25">
      <c r="A714">
        <v>0</v>
      </c>
      <c r="B714">
        <v>-0.16666666666666699</v>
      </c>
      <c r="C714">
        <f t="shared" si="22"/>
        <v>1.1969689103120962</v>
      </c>
      <c r="D714">
        <v>0</v>
      </c>
      <c r="E714">
        <f t="shared" si="23"/>
        <v>4.8300015424257686E-2</v>
      </c>
    </row>
    <row r="715" spans="1:5" x14ac:dyDescent="0.25">
      <c r="A715">
        <v>0</v>
      </c>
      <c r="B715">
        <v>-0.16666666666666699</v>
      </c>
      <c r="C715">
        <f t="shared" si="22"/>
        <v>1.1969689103120962</v>
      </c>
      <c r="D715">
        <v>0</v>
      </c>
      <c r="E715">
        <f t="shared" si="23"/>
        <v>4.8300015424257686E-2</v>
      </c>
    </row>
    <row r="716" spans="1:5" x14ac:dyDescent="0.25">
      <c r="A716">
        <v>0</v>
      </c>
      <c r="B716">
        <v>-0.16600000000000001</v>
      </c>
      <c r="C716">
        <f t="shared" si="22"/>
        <v>1.1995700530330438</v>
      </c>
      <c r="D716">
        <v>0</v>
      </c>
      <c r="E716">
        <f t="shared" si="23"/>
        <v>4.8300015424257686E-2</v>
      </c>
    </row>
    <row r="717" spans="1:5" x14ac:dyDescent="0.25">
      <c r="A717">
        <v>0</v>
      </c>
      <c r="B717">
        <v>-0.16600000000000001</v>
      </c>
      <c r="C717">
        <f t="shared" si="22"/>
        <v>1.1995700530330438</v>
      </c>
      <c r="D717">
        <v>0</v>
      </c>
      <c r="E717">
        <f t="shared" si="23"/>
        <v>4.8300015424257686E-2</v>
      </c>
    </row>
    <row r="718" spans="1:5" x14ac:dyDescent="0.25">
      <c r="A718">
        <v>0</v>
      </c>
      <c r="B718">
        <v>-0.16600000000000001</v>
      </c>
      <c r="C718">
        <f t="shared" si="22"/>
        <v>1.1995700530330438</v>
      </c>
      <c r="D718">
        <v>0</v>
      </c>
      <c r="E718">
        <f t="shared" si="23"/>
        <v>4.8300015424257686E-2</v>
      </c>
    </row>
    <row r="719" spans="1:5" x14ac:dyDescent="0.25">
      <c r="A719">
        <v>0</v>
      </c>
      <c r="B719">
        <v>-0.16600000000000001</v>
      </c>
      <c r="C719">
        <f t="shared" si="22"/>
        <v>1.1995700530330438</v>
      </c>
      <c r="D719">
        <v>0</v>
      </c>
      <c r="E719">
        <f t="shared" si="23"/>
        <v>4.8300015424257686E-2</v>
      </c>
    </row>
    <row r="720" spans="1:5" x14ac:dyDescent="0.25">
      <c r="A720">
        <v>0</v>
      </c>
      <c r="B720">
        <v>-0.165501165501166</v>
      </c>
      <c r="C720">
        <f t="shared" si="22"/>
        <v>1.2015141574926997</v>
      </c>
      <c r="D720">
        <v>0</v>
      </c>
      <c r="E720">
        <f t="shared" si="23"/>
        <v>4.8300015424257686E-2</v>
      </c>
    </row>
    <row r="721" spans="1:5" x14ac:dyDescent="0.25">
      <c r="A721">
        <v>0</v>
      </c>
      <c r="B721">
        <v>-0.165333333333333</v>
      </c>
      <c r="C721">
        <f t="shared" si="22"/>
        <v>1.2021678204484281</v>
      </c>
      <c r="D721">
        <v>0</v>
      </c>
      <c r="E721">
        <f t="shared" si="23"/>
        <v>4.8300015424257686E-2</v>
      </c>
    </row>
    <row r="722" spans="1:5" x14ac:dyDescent="0.25">
      <c r="A722">
        <v>0</v>
      </c>
      <c r="B722">
        <v>-0.165333333333333</v>
      </c>
      <c r="C722">
        <f t="shared" si="22"/>
        <v>1.2021678204484281</v>
      </c>
      <c r="D722">
        <v>0</v>
      </c>
      <c r="E722">
        <f t="shared" si="23"/>
        <v>4.8300015424257686E-2</v>
      </c>
    </row>
    <row r="723" spans="1:5" x14ac:dyDescent="0.25">
      <c r="A723">
        <v>0</v>
      </c>
      <c r="B723">
        <v>-0.165333333333333</v>
      </c>
      <c r="C723">
        <f t="shared" si="22"/>
        <v>1.2021678204484281</v>
      </c>
      <c r="D723">
        <v>0</v>
      </c>
      <c r="E723">
        <f t="shared" si="23"/>
        <v>4.8300015424257686E-2</v>
      </c>
    </row>
    <row r="724" spans="1:5" x14ac:dyDescent="0.25">
      <c r="A724">
        <v>0</v>
      </c>
      <c r="B724">
        <v>-0.165165165165165</v>
      </c>
      <c r="C724">
        <f t="shared" si="22"/>
        <v>1.2028225745306254</v>
      </c>
      <c r="D724">
        <v>0</v>
      </c>
      <c r="E724">
        <f t="shared" si="23"/>
        <v>4.8300015424257686E-2</v>
      </c>
    </row>
    <row r="725" spans="1:5" x14ac:dyDescent="0.25">
      <c r="A725">
        <v>0</v>
      </c>
      <c r="B725">
        <v>-0.16500000000000001</v>
      </c>
      <c r="C725">
        <f t="shared" si="22"/>
        <v>1.203465423927403</v>
      </c>
      <c r="D725">
        <v>0</v>
      </c>
      <c r="E725">
        <f t="shared" si="23"/>
        <v>4.8300015424257686E-2</v>
      </c>
    </row>
    <row r="726" spans="1:5" x14ac:dyDescent="0.25">
      <c r="A726">
        <v>0</v>
      </c>
      <c r="B726">
        <v>-0.16500000000000001</v>
      </c>
      <c r="C726">
        <f t="shared" si="22"/>
        <v>1.203465423927403</v>
      </c>
      <c r="D726">
        <v>0</v>
      </c>
      <c r="E726">
        <f t="shared" si="23"/>
        <v>4.8300015424257686E-2</v>
      </c>
    </row>
    <row r="727" spans="1:5" x14ac:dyDescent="0.25">
      <c r="A727">
        <v>0</v>
      </c>
      <c r="B727">
        <v>-0.16500000000000001</v>
      </c>
      <c r="C727">
        <f t="shared" si="22"/>
        <v>1.203465423927403</v>
      </c>
      <c r="D727">
        <v>0</v>
      </c>
      <c r="E727">
        <f t="shared" si="23"/>
        <v>4.8300015424257686E-2</v>
      </c>
    </row>
    <row r="728" spans="1:5" x14ac:dyDescent="0.25">
      <c r="A728">
        <v>0</v>
      </c>
      <c r="B728">
        <v>-0.16466666666666699</v>
      </c>
      <c r="C728">
        <f t="shared" si="22"/>
        <v>1.2047621661900987</v>
      </c>
      <c r="D728">
        <v>0</v>
      </c>
      <c r="E728">
        <f t="shared" si="23"/>
        <v>4.8300015424257686E-2</v>
      </c>
    </row>
    <row r="729" spans="1:5" x14ac:dyDescent="0.25">
      <c r="A729">
        <v>0</v>
      </c>
      <c r="B729">
        <v>-0.164556962025316</v>
      </c>
      <c r="C729">
        <f t="shared" si="22"/>
        <v>1.2051887527790266</v>
      </c>
      <c r="D729">
        <v>0</v>
      </c>
      <c r="E729">
        <f t="shared" si="23"/>
        <v>4.8300015424257686E-2</v>
      </c>
    </row>
    <row r="730" spans="1:5" x14ac:dyDescent="0.25">
      <c r="A730">
        <v>0</v>
      </c>
      <c r="B730">
        <v>-0.16400000000000001</v>
      </c>
      <c r="C730">
        <f t="shared" si="22"/>
        <v>1.2073530438668465</v>
      </c>
      <c r="D730">
        <v>0</v>
      </c>
      <c r="E730">
        <f t="shared" si="23"/>
        <v>4.8300015424257686E-2</v>
      </c>
    </row>
    <row r="731" spans="1:5" x14ac:dyDescent="0.25">
      <c r="A731">
        <v>0</v>
      </c>
      <c r="B731">
        <v>-0.16400000000000001</v>
      </c>
      <c r="C731">
        <f t="shared" si="22"/>
        <v>1.2073530438668465</v>
      </c>
      <c r="D731">
        <v>0</v>
      </c>
      <c r="E731">
        <f t="shared" si="23"/>
        <v>4.8300015424257686E-2</v>
      </c>
    </row>
    <row r="732" spans="1:5" x14ac:dyDescent="0.25">
      <c r="A732">
        <v>0</v>
      </c>
      <c r="B732">
        <v>-0.16384180790960501</v>
      </c>
      <c r="C732">
        <f t="shared" si="22"/>
        <v>1.2079673142184872</v>
      </c>
      <c r="D732">
        <v>0</v>
      </c>
      <c r="E732">
        <f t="shared" si="23"/>
        <v>4.8300015424257686E-2</v>
      </c>
    </row>
    <row r="733" spans="1:5" x14ac:dyDescent="0.25">
      <c r="A733">
        <v>0</v>
      </c>
      <c r="B733">
        <v>-0.163333333333333</v>
      </c>
      <c r="C733">
        <f t="shared" si="22"/>
        <v>1.2099404070657278</v>
      </c>
      <c r="D733">
        <v>0</v>
      </c>
      <c r="E733">
        <f t="shared" si="23"/>
        <v>4.8300015424257686E-2</v>
      </c>
    </row>
    <row r="734" spans="1:5" x14ac:dyDescent="0.25">
      <c r="A734">
        <v>0</v>
      </c>
      <c r="B734">
        <v>-0.163333333333333</v>
      </c>
      <c r="C734">
        <f t="shared" si="22"/>
        <v>1.2099404070657278</v>
      </c>
      <c r="D734">
        <v>0</v>
      </c>
      <c r="E734">
        <f t="shared" si="23"/>
        <v>4.8300015424257686E-2</v>
      </c>
    </row>
    <row r="735" spans="1:5" x14ac:dyDescent="0.25">
      <c r="A735">
        <v>0</v>
      </c>
      <c r="B735">
        <v>-0.163333333333333</v>
      </c>
      <c r="C735">
        <f t="shared" si="22"/>
        <v>1.2099404070657278</v>
      </c>
      <c r="D735">
        <v>0</v>
      </c>
      <c r="E735">
        <f t="shared" si="23"/>
        <v>4.8300015424257686E-2</v>
      </c>
    </row>
    <row r="736" spans="1:5" x14ac:dyDescent="0.25">
      <c r="A736">
        <v>0</v>
      </c>
      <c r="B736">
        <v>-0.16266666666666699</v>
      </c>
      <c r="C736">
        <f t="shared" si="22"/>
        <v>1.2125242093534208</v>
      </c>
      <c r="D736">
        <v>0</v>
      </c>
      <c r="E736">
        <f t="shared" si="23"/>
        <v>4.8300015424257686E-2</v>
      </c>
    </row>
    <row r="737" spans="1:5" x14ac:dyDescent="0.25">
      <c r="A737">
        <v>0</v>
      </c>
      <c r="B737">
        <v>-0.16266666666666699</v>
      </c>
      <c r="C737">
        <f t="shared" si="22"/>
        <v>1.2125242093534208</v>
      </c>
      <c r="D737">
        <v>0</v>
      </c>
      <c r="E737">
        <f t="shared" si="23"/>
        <v>4.8300015424257686E-2</v>
      </c>
    </row>
    <row r="738" spans="1:5" x14ac:dyDescent="0.25">
      <c r="A738">
        <v>0</v>
      </c>
      <c r="B738">
        <v>-0.16266666666666699</v>
      </c>
      <c r="C738">
        <f t="shared" si="22"/>
        <v>1.2125242093534208</v>
      </c>
      <c r="D738">
        <v>0</v>
      </c>
      <c r="E738">
        <f t="shared" si="23"/>
        <v>4.8300015424257686E-2</v>
      </c>
    </row>
    <row r="739" spans="1:5" x14ac:dyDescent="0.25">
      <c r="A739">
        <v>0</v>
      </c>
      <c r="B739">
        <v>-0.16266666666666699</v>
      </c>
      <c r="C739">
        <f t="shared" si="22"/>
        <v>1.2125242093534208</v>
      </c>
      <c r="D739">
        <v>0</v>
      </c>
      <c r="E739">
        <f t="shared" si="23"/>
        <v>4.8300015424257686E-2</v>
      </c>
    </row>
    <row r="740" spans="1:5" x14ac:dyDescent="0.25">
      <c r="A740">
        <v>0</v>
      </c>
      <c r="B740">
        <v>-0.16266666666666699</v>
      </c>
      <c r="C740">
        <f t="shared" si="22"/>
        <v>1.2125242093534208</v>
      </c>
      <c r="D740">
        <v>0</v>
      </c>
      <c r="E740">
        <f t="shared" si="23"/>
        <v>4.8300015424257686E-2</v>
      </c>
    </row>
    <row r="741" spans="1:5" x14ac:dyDescent="0.25">
      <c r="A741">
        <v>0</v>
      </c>
      <c r="B741">
        <v>-0.16266666666666699</v>
      </c>
      <c r="C741">
        <f t="shared" si="22"/>
        <v>1.2125242093534208</v>
      </c>
      <c r="D741">
        <v>0</v>
      </c>
      <c r="E741">
        <f t="shared" si="23"/>
        <v>4.8300015424257686E-2</v>
      </c>
    </row>
    <row r="742" spans="1:5" x14ac:dyDescent="0.25">
      <c r="A742">
        <v>0</v>
      </c>
      <c r="B742">
        <v>-0.16266666666666699</v>
      </c>
      <c r="C742">
        <f t="shared" si="22"/>
        <v>1.2125242093534208</v>
      </c>
      <c r="D742">
        <v>0</v>
      </c>
      <c r="E742">
        <f t="shared" si="23"/>
        <v>4.8300015424257686E-2</v>
      </c>
    </row>
    <row r="743" spans="1:5" x14ac:dyDescent="0.25">
      <c r="A743">
        <v>0</v>
      </c>
      <c r="B743">
        <v>-0.162162162162162</v>
      </c>
      <c r="C743">
        <f t="shared" si="22"/>
        <v>1.2144771238147751</v>
      </c>
      <c r="D743">
        <v>0</v>
      </c>
      <c r="E743">
        <f t="shared" si="23"/>
        <v>4.8300015424257686E-2</v>
      </c>
    </row>
    <row r="744" spans="1:5" x14ac:dyDescent="0.25">
      <c r="A744">
        <v>0</v>
      </c>
      <c r="B744">
        <v>-0.162162162162162</v>
      </c>
      <c r="C744">
        <f t="shared" si="22"/>
        <v>1.2144771238147751</v>
      </c>
      <c r="D744">
        <v>0</v>
      </c>
      <c r="E744">
        <f t="shared" si="23"/>
        <v>4.8300015424257686E-2</v>
      </c>
    </row>
    <row r="745" spans="1:5" x14ac:dyDescent="0.25">
      <c r="A745">
        <v>0</v>
      </c>
      <c r="B745">
        <v>-0.162162162162162</v>
      </c>
      <c r="C745">
        <f t="shared" si="22"/>
        <v>1.2144771238147751</v>
      </c>
      <c r="D745">
        <v>0</v>
      </c>
      <c r="E745">
        <f t="shared" si="23"/>
        <v>4.8300015424257686E-2</v>
      </c>
    </row>
    <row r="746" spans="1:5" x14ac:dyDescent="0.25">
      <c r="A746">
        <v>0</v>
      </c>
      <c r="B746">
        <v>-0.16200000000000001</v>
      </c>
      <c r="C746">
        <f t="shared" si="22"/>
        <v>1.215104404277594</v>
      </c>
      <c r="D746">
        <v>0</v>
      </c>
      <c r="E746">
        <f t="shared" si="23"/>
        <v>4.8300015424257686E-2</v>
      </c>
    </row>
    <row r="747" spans="1:5" x14ac:dyDescent="0.25">
      <c r="A747">
        <v>0</v>
      </c>
      <c r="B747">
        <v>-0.16200000000000001</v>
      </c>
      <c r="C747">
        <f t="shared" si="22"/>
        <v>1.215104404277594</v>
      </c>
      <c r="D747">
        <v>0</v>
      </c>
      <c r="E747">
        <f t="shared" si="23"/>
        <v>4.8300015424257686E-2</v>
      </c>
    </row>
    <row r="748" spans="1:5" x14ac:dyDescent="0.25">
      <c r="A748">
        <v>0</v>
      </c>
      <c r="B748">
        <v>-0.16200000000000001</v>
      </c>
      <c r="C748">
        <f t="shared" si="22"/>
        <v>1.215104404277594</v>
      </c>
      <c r="D748">
        <v>0</v>
      </c>
      <c r="E748">
        <f t="shared" si="23"/>
        <v>4.8300015424257686E-2</v>
      </c>
    </row>
    <row r="749" spans="1:5" x14ac:dyDescent="0.25">
      <c r="A749">
        <v>0</v>
      </c>
      <c r="B749">
        <v>-0.16200000000000001</v>
      </c>
      <c r="C749">
        <f t="shared" si="22"/>
        <v>1.215104404277594</v>
      </c>
      <c r="D749">
        <v>0</v>
      </c>
      <c r="E749">
        <f t="shared" si="23"/>
        <v>4.8300015424257686E-2</v>
      </c>
    </row>
    <row r="750" spans="1:5" x14ac:dyDescent="0.25">
      <c r="A750">
        <v>0</v>
      </c>
      <c r="B750">
        <v>-0.16200000000000001</v>
      </c>
      <c r="C750">
        <f t="shared" si="22"/>
        <v>1.215104404277594</v>
      </c>
      <c r="D750">
        <v>0</v>
      </c>
      <c r="E750">
        <f t="shared" si="23"/>
        <v>4.8300015424257686E-2</v>
      </c>
    </row>
    <row r="751" spans="1:5" x14ac:dyDescent="0.25">
      <c r="A751">
        <v>0</v>
      </c>
      <c r="B751">
        <v>-0.16167664670658699</v>
      </c>
      <c r="C751">
        <f t="shared" si="22"/>
        <v>1.2163545630417318</v>
      </c>
      <c r="D751">
        <v>0</v>
      </c>
      <c r="E751">
        <f t="shared" si="23"/>
        <v>4.8300015424257686E-2</v>
      </c>
    </row>
    <row r="752" spans="1:5" x14ac:dyDescent="0.25">
      <c r="A752">
        <v>0</v>
      </c>
      <c r="B752">
        <v>-0.16166666666666701</v>
      </c>
      <c r="C752">
        <f t="shared" si="22"/>
        <v>1.216393134457133</v>
      </c>
      <c r="D752">
        <v>0</v>
      </c>
      <c r="E752">
        <f t="shared" si="23"/>
        <v>4.8300015424257686E-2</v>
      </c>
    </row>
    <row r="753" spans="1:5" x14ac:dyDescent="0.25">
      <c r="A753">
        <v>0</v>
      </c>
      <c r="B753">
        <v>-0.161333333333333</v>
      </c>
      <c r="C753">
        <f t="shared" si="22"/>
        <v>1.2176809453682369</v>
      </c>
      <c r="D753">
        <v>0</v>
      </c>
      <c r="E753">
        <f t="shared" si="23"/>
        <v>4.8300015424257686E-2</v>
      </c>
    </row>
    <row r="754" spans="1:5" x14ac:dyDescent="0.25">
      <c r="A754">
        <v>0</v>
      </c>
      <c r="B754">
        <v>-0.161</v>
      </c>
      <c r="C754">
        <f t="shared" si="22"/>
        <v>1.2189678311996088</v>
      </c>
      <c r="D754">
        <v>0</v>
      </c>
      <c r="E754">
        <f t="shared" si="23"/>
        <v>4.8300015424257686E-2</v>
      </c>
    </row>
    <row r="755" spans="1:5" x14ac:dyDescent="0.25">
      <c r="A755">
        <v>0</v>
      </c>
      <c r="B755">
        <v>-0.160839160839161</v>
      </c>
      <c r="C755">
        <f t="shared" si="22"/>
        <v>1.2195884435174711</v>
      </c>
      <c r="D755">
        <v>0</v>
      </c>
      <c r="E755">
        <f t="shared" si="23"/>
        <v>4.8300015424257686E-2</v>
      </c>
    </row>
    <row r="756" spans="1:5" x14ac:dyDescent="0.25">
      <c r="A756">
        <v>0</v>
      </c>
      <c r="B756">
        <v>-0.16</v>
      </c>
      <c r="C756">
        <f t="shared" si="22"/>
        <v>1.2228228800887269</v>
      </c>
      <c r="D756">
        <v>0</v>
      </c>
      <c r="E756">
        <f t="shared" si="23"/>
        <v>4.8300015424257686E-2</v>
      </c>
    </row>
    <row r="757" spans="1:5" x14ac:dyDescent="0.25">
      <c r="A757">
        <v>0</v>
      </c>
      <c r="B757">
        <v>-0.16</v>
      </c>
      <c r="C757">
        <f t="shared" si="22"/>
        <v>1.2228228800887269</v>
      </c>
      <c r="D757">
        <v>0</v>
      </c>
      <c r="E757">
        <f t="shared" si="23"/>
        <v>4.8300015424257686E-2</v>
      </c>
    </row>
    <row r="758" spans="1:5" x14ac:dyDescent="0.25">
      <c r="A758">
        <v>0</v>
      </c>
      <c r="B758">
        <v>-0.16</v>
      </c>
      <c r="C758">
        <f t="shared" si="22"/>
        <v>1.2228228800887269</v>
      </c>
      <c r="D758">
        <v>0</v>
      </c>
      <c r="E758">
        <f t="shared" si="23"/>
        <v>4.8300015424257686E-2</v>
      </c>
    </row>
    <row r="759" spans="1:5" x14ac:dyDescent="0.25">
      <c r="A759">
        <v>0</v>
      </c>
      <c r="B759">
        <v>-0.16</v>
      </c>
      <c r="C759">
        <f t="shared" si="22"/>
        <v>1.2228228800887269</v>
      </c>
      <c r="D759">
        <v>0</v>
      </c>
      <c r="E759">
        <f t="shared" si="23"/>
        <v>4.8300015424257686E-2</v>
      </c>
    </row>
    <row r="760" spans="1:5" x14ac:dyDescent="0.25">
      <c r="A760">
        <v>0</v>
      </c>
      <c r="B760">
        <v>-0.16</v>
      </c>
      <c r="C760">
        <f t="shared" si="22"/>
        <v>1.2228228800887269</v>
      </c>
      <c r="D760">
        <v>0</v>
      </c>
      <c r="E760">
        <f t="shared" si="23"/>
        <v>4.8300015424257686E-2</v>
      </c>
    </row>
    <row r="761" spans="1:5" x14ac:dyDescent="0.25">
      <c r="A761">
        <v>0</v>
      </c>
      <c r="B761">
        <v>-0.16</v>
      </c>
      <c r="C761">
        <f t="shared" si="22"/>
        <v>1.2228228800887269</v>
      </c>
      <c r="D761">
        <v>0</v>
      </c>
      <c r="E761">
        <f t="shared" si="23"/>
        <v>4.8300015424257686E-2</v>
      </c>
    </row>
    <row r="762" spans="1:5" x14ac:dyDescent="0.25">
      <c r="A762">
        <v>0</v>
      </c>
      <c r="B762">
        <v>-0.16</v>
      </c>
      <c r="C762">
        <f t="shared" si="22"/>
        <v>1.2228228800887269</v>
      </c>
      <c r="D762">
        <v>0</v>
      </c>
      <c r="E762">
        <f t="shared" si="23"/>
        <v>4.8300015424257686E-2</v>
      </c>
    </row>
    <row r="763" spans="1:5" x14ac:dyDescent="0.25">
      <c r="A763">
        <v>0</v>
      </c>
      <c r="B763">
        <v>-0.16</v>
      </c>
      <c r="C763">
        <f t="shared" si="22"/>
        <v>1.2228228800887269</v>
      </c>
      <c r="D763">
        <v>0</v>
      </c>
      <c r="E763">
        <f t="shared" si="23"/>
        <v>4.8300015424257686E-2</v>
      </c>
    </row>
    <row r="764" spans="1:5" x14ac:dyDescent="0.25">
      <c r="A764">
        <v>0</v>
      </c>
      <c r="B764">
        <v>-0.16</v>
      </c>
      <c r="C764">
        <f t="shared" si="22"/>
        <v>1.2228228800887269</v>
      </c>
      <c r="D764">
        <v>0</v>
      </c>
      <c r="E764">
        <f t="shared" si="23"/>
        <v>4.8300015424257686E-2</v>
      </c>
    </row>
    <row r="765" spans="1:5" x14ac:dyDescent="0.25">
      <c r="A765">
        <v>0</v>
      </c>
      <c r="B765">
        <v>-0.16</v>
      </c>
      <c r="C765">
        <f t="shared" si="22"/>
        <v>1.2228228800887269</v>
      </c>
      <c r="D765">
        <v>0</v>
      </c>
      <c r="E765">
        <f t="shared" si="23"/>
        <v>4.8300015424257686E-2</v>
      </c>
    </row>
    <row r="766" spans="1:5" x14ac:dyDescent="0.25">
      <c r="A766">
        <v>0</v>
      </c>
      <c r="B766">
        <v>-0.16</v>
      </c>
      <c r="C766">
        <f t="shared" si="22"/>
        <v>1.2228228800887269</v>
      </c>
      <c r="D766">
        <v>0</v>
      </c>
      <c r="E766">
        <f t="shared" si="23"/>
        <v>4.8300015424257686E-2</v>
      </c>
    </row>
    <row r="767" spans="1:5" x14ac:dyDescent="0.25">
      <c r="A767">
        <v>0</v>
      </c>
      <c r="B767">
        <v>-0.16</v>
      </c>
      <c r="C767">
        <f t="shared" si="22"/>
        <v>1.2228228800887269</v>
      </c>
      <c r="D767">
        <v>0</v>
      </c>
      <c r="E767">
        <f t="shared" si="23"/>
        <v>4.8300015424257686E-2</v>
      </c>
    </row>
    <row r="768" spans="1:5" x14ac:dyDescent="0.25">
      <c r="A768">
        <v>0</v>
      </c>
      <c r="B768">
        <v>-0.16</v>
      </c>
      <c r="C768">
        <f t="shared" si="22"/>
        <v>1.2228228800887269</v>
      </c>
      <c r="D768">
        <v>0</v>
      </c>
      <c r="E768">
        <f t="shared" si="23"/>
        <v>4.8300015424257686E-2</v>
      </c>
    </row>
    <row r="769" spans="1:5" x14ac:dyDescent="0.25">
      <c r="A769">
        <v>0</v>
      </c>
      <c r="B769">
        <v>-0.16</v>
      </c>
      <c r="C769">
        <f t="shared" si="22"/>
        <v>1.2228228800887269</v>
      </c>
      <c r="D769">
        <v>0</v>
      </c>
      <c r="E769">
        <f t="shared" si="23"/>
        <v>4.8300015424257686E-2</v>
      </c>
    </row>
    <row r="770" spans="1:5" x14ac:dyDescent="0.25">
      <c r="A770">
        <v>0</v>
      </c>
      <c r="B770">
        <v>-0.16</v>
      </c>
      <c r="C770">
        <f t="shared" ref="C770:C833" si="24">_xlfn.NORM.DIST(B770,I$10,I$13,FALSE)</f>
        <v>1.2228228800887269</v>
      </c>
      <c r="D770">
        <v>0</v>
      </c>
      <c r="E770">
        <f t="shared" si="23"/>
        <v>4.8300015424257686E-2</v>
      </c>
    </row>
    <row r="771" spans="1:5" x14ac:dyDescent="0.25">
      <c r="A771">
        <v>0</v>
      </c>
      <c r="B771">
        <v>-0.15915915915915901</v>
      </c>
      <c r="C771">
        <f t="shared" si="24"/>
        <v>1.2260577636109324</v>
      </c>
      <c r="D771">
        <v>0</v>
      </c>
      <c r="E771">
        <f t="shared" ref="E771:E834" si="25">_xlfn.NORM.DIST(D771,I$4,I$7,FALSE)</f>
        <v>4.8300015424257686E-2</v>
      </c>
    </row>
    <row r="772" spans="1:5" x14ac:dyDescent="0.25">
      <c r="A772">
        <v>0</v>
      </c>
      <c r="B772">
        <v>-0.158508158508158</v>
      </c>
      <c r="C772">
        <f t="shared" si="24"/>
        <v>1.2285580899629109</v>
      </c>
      <c r="D772">
        <v>0</v>
      </c>
      <c r="E772">
        <f t="shared" si="25"/>
        <v>4.8300015424257686E-2</v>
      </c>
    </row>
    <row r="773" spans="1:5" x14ac:dyDescent="0.25">
      <c r="A773">
        <v>0</v>
      </c>
      <c r="B773">
        <v>-0.15833333333333299</v>
      </c>
      <c r="C773">
        <f t="shared" si="24"/>
        <v>1.2292289173373381</v>
      </c>
      <c r="D773">
        <v>0</v>
      </c>
      <c r="E773">
        <f t="shared" si="25"/>
        <v>4.8300015424257686E-2</v>
      </c>
    </row>
    <row r="774" spans="1:5" x14ac:dyDescent="0.25">
      <c r="A774">
        <v>0</v>
      </c>
      <c r="B774">
        <v>-0.158</v>
      </c>
      <c r="C774">
        <f t="shared" si="24"/>
        <v>1.23050721580319</v>
      </c>
      <c r="D774">
        <v>0</v>
      </c>
      <c r="E774">
        <f t="shared" si="25"/>
        <v>4.8300015424257686E-2</v>
      </c>
    </row>
    <row r="775" spans="1:5" x14ac:dyDescent="0.25">
      <c r="A775">
        <v>0</v>
      </c>
      <c r="B775">
        <v>-0.15733333333333299</v>
      </c>
      <c r="C775">
        <f t="shared" si="24"/>
        <v>1.2330608572049306</v>
      </c>
      <c r="D775">
        <v>0</v>
      </c>
      <c r="E775">
        <f t="shared" si="25"/>
        <v>4.8300015424257686E-2</v>
      </c>
    </row>
    <row r="776" spans="1:5" x14ac:dyDescent="0.25">
      <c r="A776">
        <v>0</v>
      </c>
      <c r="B776">
        <v>-0.15733333333333299</v>
      </c>
      <c r="C776">
        <f t="shared" si="24"/>
        <v>1.2330608572049306</v>
      </c>
      <c r="D776">
        <v>0</v>
      </c>
      <c r="E776">
        <f t="shared" si="25"/>
        <v>4.8300015424257686E-2</v>
      </c>
    </row>
    <row r="777" spans="1:5" x14ac:dyDescent="0.25">
      <c r="A777">
        <v>0</v>
      </c>
      <c r="B777">
        <v>-0.15733333333333299</v>
      </c>
      <c r="C777">
        <f t="shared" si="24"/>
        <v>1.2330608572049306</v>
      </c>
      <c r="D777">
        <v>0</v>
      </c>
      <c r="E777">
        <f t="shared" si="25"/>
        <v>4.8300015424257686E-2</v>
      </c>
    </row>
    <row r="778" spans="1:5" x14ac:dyDescent="0.25">
      <c r="A778">
        <v>0</v>
      </c>
      <c r="B778">
        <v>-0.157</v>
      </c>
      <c r="C778">
        <f t="shared" si="24"/>
        <v>1.2343361885019413</v>
      </c>
      <c r="D778">
        <v>0</v>
      </c>
      <c r="E778">
        <f t="shared" si="25"/>
        <v>4.8300015424257686E-2</v>
      </c>
    </row>
    <row r="779" spans="1:5" x14ac:dyDescent="0.25">
      <c r="A779">
        <v>0</v>
      </c>
      <c r="B779">
        <v>-0.15666666666666701</v>
      </c>
      <c r="C779">
        <f t="shared" si="24"/>
        <v>1.2356105191030722</v>
      </c>
      <c r="D779">
        <v>0</v>
      </c>
      <c r="E779">
        <f t="shared" si="25"/>
        <v>4.8300015424257686E-2</v>
      </c>
    </row>
    <row r="780" spans="1:5" x14ac:dyDescent="0.25">
      <c r="A780">
        <v>0</v>
      </c>
      <c r="B780">
        <v>-0.15666666666666701</v>
      </c>
      <c r="C780">
        <f t="shared" si="24"/>
        <v>1.2356105191030722</v>
      </c>
      <c r="D780">
        <v>0</v>
      </c>
      <c r="E780">
        <f t="shared" si="25"/>
        <v>4.8300015424257686E-2</v>
      </c>
    </row>
    <row r="781" spans="1:5" x14ac:dyDescent="0.25">
      <c r="A781">
        <v>0</v>
      </c>
      <c r="B781">
        <v>-0.15666666666666701</v>
      </c>
      <c r="C781">
        <f t="shared" si="24"/>
        <v>1.2356105191030722</v>
      </c>
      <c r="D781">
        <v>0</v>
      </c>
      <c r="E781">
        <f t="shared" si="25"/>
        <v>4.8300015424257686E-2</v>
      </c>
    </row>
    <row r="782" spans="1:5" x14ac:dyDescent="0.25">
      <c r="A782">
        <v>0</v>
      </c>
      <c r="B782">
        <v>-0.15666666666666701</v>
      </c>
      <c r="C782">
        <f t="shared" si="24"/>
        <v>1.2356105191030722</v>
      </c>
      <c r="D782">
        <v>0</v>
      </c>
      <c r="E782">
        <f t="shared" si="25"/>
        <v>4.8300015424257686E-2</v>
      </c>
    </row>
    <row r="783" spans="1:5" x14ac:dyDescent="0.25">
      <c r="A783">
        <v>0</v>
      </c>
      <c r="B783">
        <v>-0.15654205607476601</v>
      </c>
      <c r="C783">
        <f t="shared" si="24"/>
        <v>1.2360866462221787</v>
      </c>
      <c r="D783">
        <v>0</v>
      </c>
      <c r="E783">
        <f t="shared" si="25"/>
        <v>4.8300015424257686E-2</v>
      </c>
    </row>
    <row r="784" spans="1:5" x14ac:dyDescent="0.25">
      <c r="A784">
        <v>0</v>
      </c>
      <c r="B784">
        <v>-0.156177156177156</v>
      </c>
      <c r="C784">
        <f t="shared" si="24"/>
        <v>1.2374800876750907</v>
      </c>
      <c r="D784">
        <v>0</v>
      </c>
      <c r="E784">
        <f t="shared" si="25"/>
        <v>4.8300015424257686E-2</v>
      </c>
    </row>
    <row r="785" spans="1:5" x14ac:dyDescent="0.25">
      <c r="A785">
        <v>0</v>
      </c>
      <c r="B785">
        <v>-0.156177156177156</v>
      </c>
      <c r="C785">
        <f t="shared" si="24"/>
        <v>1.2374800876750907</v>
      </c>
      <c r="D785">
        <v>0</v>
      </c>
      <c r="E785">
        <f t="shared" si="25"/>
        <v>4.8300015424257686E-2</v>
      </c>
    </row>
    <row r="786" spans="1:5" x14ac:dyDescent="0.25">
      <c r="A786">
        <v>0</v>
      </c>
      <c r="B786">
        <v>-0.156156156156156</v>
      </c>
      <c r="C786">
        <f t="shared" si="24"/>
        <v>1.2375602434085533</v>
      </c>
      <c r="D786">
        <v>0</v>
      </c>
      <c r="E786">
        <f t="shared" si="25"/>
        <v>4.8300015424257686E-2</v>
      </c>
    </row>
    <row r="787" spans="1:5" x14ac:dyDescent="0.25">
      <c r="A787">
        <v>0</v>
      </c>
      <c r="B787">
        <v>-0.156</v>
      </c>
      <c r="C787">
        <f t="shared" si="24"/>
        <v>1.2381561549355196</v>
      </c>
      <c r="D787">
        <v>0</v>
      </c>
      <c r="E787">
        <f t="shared" si="25"/>
        <v>4.8300015424257686E-2</v>
      </c>
    </row>
    <row r="788" spans="1:5" x14ac:dyDescent="0.25">
      <c r="A788">
        <v>0</v>
      </c>
      <c r="B788">
        <v>-0.156</v>
      </c>
      <c r="C788">
        <f t="shared" si="24"/>
        <v>1.2381561549355196</v>
      </c>
      <c r="D788">
        <v>0</v>
      </c>
      <c r="E788">
        <f t="shared" si="25"/>
        <v>4.8300015424257686E-2</v>
      </c>
    </row>
    <row r="789" spans="1:5" x14ac:dyDescent="0.25">
      <c r="A789">
        <v>0</v>
      </c>
      <c r="B789">
        <v>-0.15584415584415601</v>
      </c>
      <c r="C789">
        <f t="shared" si="24"/>
        <v>1.2387506530519359</v>
      </c>
      <c r="D789">
        <v>0</v>
      </c>
      <c r="E789">
        <f t="shared" si="25"/>
        <v>4.8300015424257686E-2</v>
      </c>
    </row>
    <row r="790" spans="1:5" x14ac:dyDescent="0.25">
      <c r="A790">
        <v>0</v>
      </c>
      <c r="B790">
        <v>-0.15533333333333299</v>
      </c>
      <c r="C790">
        <f t="shared" si="24"/>
        <v>1.2406977181348593</v>
      </c>
      <c r="D790">
        <v>0</v>
      </c>
      <c r="E790">
        <f t="shared" si="25"/>
        <v>4.8300015424257686E-2</v>
      </c>
    </row>
    <row r="791" spans="1:5" x14ac:dyDescent="0.25">
      <c r="A791">
        <v>0</v>
      </c>
      <c r="B791">
        <v>-0.155</v>
      </c>
      <c r="C791">
        <f t="shared" si="24"/>
        <v>1.2419669579436865</v>
      </c>
      <c r="D791">
        <v>0</v>
      </c>
      <c r="E791">
        <f t="shared" si="25"/>
        <v>4.8300015424257686E-2</v>
      </c>
    </row>
    <row r="792" spans="1:5" x14ac:dyDescent="0.25">
      <c r="A792">
        <v>0</v>
      </c>
      <c r="B792">
        <v>-0.15466666666666701</v>
      </c>
      <c r="C792">
        <f t="shared" si="24"/>
        <v>1.2432351621297588</v>
      </c>
      <c r="D792">
        <v>0</v>
      </c>
      <c r="E792">
        <f t="shared" si="25"/>
        <v>4.8300015424257686E-2</v>
      </c>
    </row>
    <row r="793" spans="1:5" x14ac:dyDescent="0.25">
      <c r="A793">
        <v>0</v>
      </c>
      <c r="B793">
        <v>-0.15466666666666701</v>
      </c>
      <c r="C793">
        <f t="shared" si="24"/>
        <v>1.2432351621297588</v>
      </c>
      <c r="D793">
        <v>0</v>
      </c>
      <c r="E793">
        <f t="shared" si="25"/>
        <v>4.8300015424257686E-2</v>
      </c>
    </row>
    <row r="794" spans="1:5" x14ac:dyDescent="0.25">
      <c r="A794">
        <v>0</v>
      </c>
      <c r="B794">
        <v>-0.15466666666666701</v>
      </c>
      <c r="C794">
        <f t="shared" si="24"/>
        <v>1.2432351621297588</v>
      </c>
      <c r="D794">
        <v>0</v>
      </c>
      <c r="E794">
        <f t="shared" si="25"/>
        <v>4.8300015424257686E-2</v>
      </c>
    </row>
    <row r="795" spans="1:5" x14ac:dyDescent="0.25">
      <c r="A795">
        <v>0</v>
      </c>
      <c r="B795">
        <v>-0.154</v>
      </c>
      <c r="C795">
        <f t="shared" si="24"/>
        <v>1.2457684403463716</v>
      </c>
      <c r="D795">
        <v>0</v>
      </c>
      <c r="E795">
        <f t="shared" si="25"/>
        <v>4.8300015424257686E-2</v>
      </c>
    </row>
    <row r="796" spans="1:5" x14ac:dyDescent="0.25">
      <c r="A796">
        <v>0</v>
      </c>
      <c r="B796">
        <v>-0.154</v>
      </c>
      <c r="C796">
        <f t="shared" si="24"/>
        <v>1.2457684403463716</v>
      </c>
      <c r="D796">
        <v>0</v>
      </c>
      <c r="E796">
        <f t="shared" si="25"/>
        <v>4.8300015424257686E-2</v>
      </c>
    </row>
    <row r="797" spans="1:5" x14ac:dyDescent="0.25">
      <c r="A797">
        <v>0</v>
      </c>
      <c r="B797">
        <v>-0.154</v>
      </c>
      <c r="C797">
        <f t="shared" si="24"/>
        <v>1.2457684403463716</v>
      </c>
      <c r="D797">
        <v>0</v>
      </c>
      <c r="E797">
        <f t="shared" si="25"/>
        <v>4.8300015424257686E-2</v>
      </c>
    </row>
    <row r="798" spans="1:5" x14ac:dyDescent="0.25">
      <c r="A798">
        <v>0</v>
      </c>
      <c r="B798">
        <v>-0.15384615384615399</v>
      </c>
      <c r="C798">
        <f t="shared" si="24"/>
        <v>1.2463524465036806</v>
      </c>
      <c r="D798">
        <v>0</v>
      </c>
      <c r="E798">
        <f t="shared" si="25"/>
        <v>4.8300015424257686E-2</v>
      </c>
    </row>
    <row r="799" spans="1:5" x14ac:dyDescent="0.25">
      <c r="A799">
        <v>0</v>
      </c>
      <c r="B799">
        <v>-0.15384615384615399</v>
      </c>
      <c r="C799">
        <f t="shared" si="24"/>
        <v>1.2463524465036806</v>
      </c>
      <c r="D799">
        <v>0</v>
      </c>
      <c r="E799">
        <f t="shared" si="25"/>
        <v>4.8300015424257686E-2</v>
      </c>
    </row>
    <row r="800" spans="1:5" x14ac:dyDescent="0.25">
      <c r="A800">
        <v>0</v>
      </c>
      <c r="B800">
        <v>-0.15384615384615399</v>
      </c>
      <c r="C800">
        <f t="shared" si="24"/>
        <v>1.2463524465036806</v>
      </c>
      <c r="D800">
        <v>0</v>
      </c>
      <c r="E800">
        <f t="shared" si="25"/>
        <v>4.8300015424257686E-2</v>
      </c>
    </row>
    <row r="801" spans="1:5" x14ac:dyDescent="0.25">
      <c r="A801">
        <v>0</v>
      </c>
      <c r="B801">
        <v>-0.15384615384615399</v>
      </c>
      <c r="C801">
        <f t="shared" si="24"/>
        <v>1.2463524465036806</v>
      </c>
      <c r="D801">
        <v>0</v>
      </c>
      <c r="E801">
        <f t="shared" si="25"/>
        <v>4.8300015424257686E-2</v>
      </c>
    </row>
    <row r="802" spans="1:5" x14ac:dyDescent="0.25">
      <c r="A802">
        <v>0</v>
      </c>
      <c r="B802">
        <v>-0.15333333333333299</v>
      </c>
      <c r="C802">
        <f t="shared" si="24"/>
        <v>1.2482975062097095</v>
      </c>
      <c r="D802">
        <v>0</v>
      </c>
      <c r="E802">
        <f t="shared" si="25"/>
        <v>4.8300015424257686E-2</v>
      </c>
    </row>
    <row r="803" spans="1:5" x14ac:dyDescent="0.25">
      <c r="A803">
        <v>0</v>
      </c>
      <c r="B803">
        <v>-0.15333333333333299</v>
      </c>
      <c r="C803">
        <f t="shared" si="24"/>
        <v>1.2482975062097095</v>
      </c>
      <c r="D803">
        <v>0</v>
      </c>
      <c r="E803">
        <f t="shared" si="25"/>
        <v>4.8300015424257686E-2</v>
      </c>
    </row>
    <row r="804" spans="1:5" x14ac:dyDescent="0.25">
      <c r="A804">
        <v>0</v>
      </c>
      <c r="B804">
        <v>-0.15333333333333299</v>
      </c>
      <c r="C804">
        <f t="shared" si="24"/>
        <v>1.2482975062097095</v>
      </c>
      <c r="D804">
        <v>0</v>
      </c>
      <c r="E804">
        <f t="shared" si="25"/>
        <v>4.8300015424257686E-2</v>
      </c>
    </row>
    <row r="805" spans="1:5" x14ac:dyDescent="0.25">
      <c r="A805">
        <v>0</v>
      </c>
      <c r="B805">
        <v>-0.15333333333333299</v>
      </c>
      <c r="C805">
        <f t="shared" si="24"/>
        <v>1.2482975062097095</v>
      </c>
      <c r="D805">
        <v>0</v>
      </c>
      <c r="E805">
        <f t="shared" si="25"/>
        <v>4.8300015424257686E-2</v>
      </c>
    </row>
    <row r="806" spans="1:5" x14ac:dyDescent="0.25">
      <c r="A806">
        <v>0</v>
      </c>
      <c r="B806">
        <v>-0.153</v>
      </c>
      <c r="C806">
        <f t="shared" si="24"/>
        <v>1.2495604449542501</v>
      </c>
      <c r="D806">
        <v>0</v>
      </c>
      <c r="E806">
        <f t="shared" si="25"/>
        <v>4.8300015424257686E-2</v>
      </c>
    </row>
    <row r="807" spans="1:5" x14ac:dyDescent="0.25">
      <c r="A807">
        <v>0</v>
      </c>
      <c r="B807">
        <v>-0.15269461077844301</v>
      </c>
      <c r="C807">
        <f t="shared" si="24"/>
        <v>1.2507165690421933</v>
      </c>
      <c r="D807">
        <v>0</v>
      </c>
      <c r="E807">
        <f t="shared" si="25"/>
        <v>4.8300015424257686E-2</v>
      </c>
    </row>
    <row r="808" spans="1:5" x14ac:dyDescent="0.25">
      <c r="A808">
        <v>0</v>
      </c>
      <c r="B808">
        <v>-0.152</v>
      </c>
      <c r="C808">
        <f t="shared" si="24"/>
        <v>1.2533428145793555</v>
      </c>
      <c r="D808">
        <v>0</v>
      </c>
      <c r="E808">
        <f t="shared" si="25"/>
        <v>4.8300015424257686E-2</v>
      </c>
    </row>
    <row r="809" spans="1:5" x14ac:dyDescent="0.25">
      <c r="A809">
        <v>0</v>
      </c>
      <c r="B809">
        <v>-0.152</v>
      </c>
      <c r="C809">
        <f t="shared" si="24"/>
        <v>1.2533428145793555</v>
      </c>
      <c r="D809">
        <v>0</v>
      </c>
      <c r="E809">
        <f t="shared" si="25"/>
        <v>4.8300015424257686E-2</v>
      </c>
    </row>
    <row r="810" spans="1:5" x14ac:dyDescent="0.25">
      <c r="A810">
        <v>0</v>
      </c>
      <c r="B810">
        <v>-0.152</v>
      </c>
      <c r="C810">
        <f t="shared" si="24"/>
        <v>1.2533428145793555</v>
      </c>
      <c r="D810">
        <v>0</v>
      </c>
      <c r="E810">
        <f t="shared" si="25"/>
        <v>4.8300015424257686E-2</v>
      </c>
    </row>
    <row r="811" spans="1:5" x14ac:dyDescent="0.25">
      <c r="A811">
        <v>0</v>
      </c>
      <c r="B811">
        <v>-0.152</v>
      </c>
      <c r="C811">
        <f t="shared" si="24"/>
        <v>1.2533428145793555</v>
      </c>
      <c r="D811">
        <v>0</v>
      </c>
      <c r="E811">
        <f t="shared" si="25"/>
        <v>4.8300015424257686E-2</v>
      </c>
    </row>
    <row r="812" spans="1:5" x14ac:dyDescent="0.25">
      <c r="A812">
        <v>0</v>
      </c>
      <c r="B812">
        <v>-0.152</v>
      </c>
      <c r="C812">
        <f t="shared" si="24"/>
        <v>1.2533428145793555</v>
      </c>
      <c r="D812">
        <v>0</v>
      </c>
      <c r="E812">
        <f t="shared" si="25"/>
        <v>4.8300015424257686E-2</v>
      </c>
    </row>
    <row r="813" spans="1:5" x14ac:dyDescent="0.25">
      <c r="A813">
        <v>0</v>
      </c>
      <c r="B813">
        <v>-0.152</v>
      </c>
      <c r="C813">
        <f t="shared" si="24"/>
        <v>1.2533428145793555</v>
      </c>
      <c r="D813">
        <v>0</v>
      </c>
      <c r="E813">
        <f t="shared" si="25"/>
        <v>4.8300015424257686E-2</v>
      </c>
    </row>
    <row r="814" spans="1:5" x14ac:dyDescent="0.25">
      <c r="A814">
        <v>0</v>
      </c>
      <c r="B814">
        <v>-0.151869158878505</v>
      </c>
      <c r="C814">
        <f t="shared" si="24"/>
        <v>1.2538369830051841</v>
      </c>
      <c r="D814">
        <v>0</v>
      </c>
      <c r="E814">
        <f t="shared" si="25"/>
        <v>4.8300015424257686E-2</v>
      </c>
    </row>
    <row r="815" spans="1:5" x14ac:dyDescent="0.25">
      <c r="A815">
        <v>0</v>
      </c>
      <c r="B815">
        <v>-0.151666666666667</v>
      </c>
      <c r="C815">
        <f t="shared" si="24"/>
        <v>1.2546014361803399</v>
      </c>
      <c r="D815">
        <v>0</v>
      </c>
      <c r="E815">
        <f t="shared" si="25"/>
        <v>4.8300015424257686E-2</v>
      </c>
    </row>
    <row r="816" spans="1:5" x14ac:dyDescent="0.25">
      <c r="A816">
        <v>0</v>
      </c>
      <c r="B816">
        <v>-0.151666666666667</v>
      </c>
      <c r="C816">
        <f t="shared" si="24"/>
        <v>1.2546014361803399</v>
      </c>
      <c r="D816">
        <v>0</v>
      </c>
      <c r="E816">
        <f t="shared" si="25"/>
        <v>4.8300015424257686E-2</v>
      </c>
    </row>
    <row r="817" spans="1:5" x14ac:dyDescent="0.25">
      <c r="A817">
        <v>0</v>
      </c>
      <c r="B817">
        <v>-0.151666666666667</v>
      </c>
      <c r="C817">
        <f t="shared" si="24"/>
        <v>1.2546014361803399</v>
      </c>
      <c r="D817">
        <v>0</v>
      </c>
      <c r="E817">
        <f t="shared" si="25"/>
        <v>4.8300015424257686E-2</v>
      </c>
    </row>
    <row r="818" spans="1:5" x14ac:dyDescent="0.25">
      <c r="A818">
        <v>0</v>
      </c>
      <c r="B818">
        <v>-0.15151515151515199</v>
      </c>
      <c r="C818">
        <f t="shared" si="24"/>
        <v>1.2551731756583473</v>
      </c>
      <c r="D818">
        <v>0</v>
      </c>
      <c r="E818">
        <f t="shared" si="25"/>
        <v>4.8300015424257686E-2</v>
      </c>
    </row>
    <row r="819" spans="1:5" x14ac:dyDescent="0.25">
      <c r="A819">
        <v>0</v>
      </c>
      <c r="B819">
        <v>-0.15151515151515199</v>
      </c>
      <c r="C819">
        <f t="shared" si="24"/>
        <v>1.2551731756583473</v>
      </c>
      <c r="D819">
        <v>0</v>
      </c>
      <c r="E819">
        <f t="shared" si="25"/>
        <v>4.8300015424257686E-2</v>
      </c>
    </row>
    <row r="820" spans="1:5" x14ac:dyDescent="0.25">
      <c r="A820">
        <v>0</v>
      </c>
      <c r="B820">
        <v>-0.15015015015015001</v>
      </c>
      <c r="C820">
        <f t="shared" si="24"/>
        <v>1.2603137019909336</v>
      </c>
      <c r="D820">
        <v>0</v>
      </c>
      <c r="E820">
        <f t="shared" si="25"/>
        <v>4.8300015424257686E-2</v>
      </c>
    </row>
    <row r="821" spans="1:5" x14ac:dyDescent="0.25">
      <c r="A821">
        <v>0</v>
      </c>
      <c r="B821">
        <v>-0.15</v>
      </c>
      <c r="C821">
        <f t="shared" si="24"/>
        <v>1.2608780202000631</v>
      </c>
      <c r="D821">
        <v>0</v>
      </c>
      <c r="E821">
        <f t="shared" si="25"/>
        <v>4.8300015424257686E-2</v>
      </c>
    </row>
    <row r="822" spans="1:5" x14ac:dyDescent="0.25">
      <c r="A822">
        <v>0</v>
      </c>
      <c r="B822">
        <v>-0.15</v>
      </c>
      <c r="C822">
        <f t="shared" si="24"/>
        <v>1.2608780202000631</v>
      </c>
      <c r="D822">
        <v>0</v>
      </c>
      <c r="E822">
        <f t="shared" si="25"/>
        <v>4.8300015424257686E-2</v>
      </c>
    </row>
    <row r="823" spans="1:5" x14ac:dyDescent="0.25">
      <c r="A823">
        <v>0</v>
      </c>
      <c r="B823">
        <v>-0.15</v>
      </c>
      <c r="C823">
        <f t="shared" si="24"/>
        <v>1.2608780202000631</v>
      </c>
      <c r="D823">
        <v>0</v>
      </c>
      <c r="E823">
        <f t="shared" si="25"/>
        <v>4.8300015424257686E-2</v>
      </c>
    </row>
    <row r="824" spans="1:5" x14ac:dyDescent="0.25">
      <c r="A824">
        <v>0</v>
      </c>
      <c r="B824">
        <v>-0.15</v>
      </c>
      <c r="C824">
        <f t="shared" si="24"/>
        <v>1.2608780202000631</v>
      </c>
      <c r="D824">
        <v>0</v>
      </c>
      <c r="E824">
        <f t="shared" si="25"/>
        <v>4.8300015424257686E-2</v>
      </c>
    </row>
    <row r="825" spans="1:5" x14ac:dyDescent="0.25">
      <c r="A825">
        <v>0</v>
      </c>
      <c r="B825">
        <v>-0.15</v>
      </c>
      <c r="C825">
        <f t="shared" si="24"/>
        <v>1.2608780202000631</v>
      </c>
      <c r="D825">
        <v>0</v>
      </c>
      <c r="E825">
        <f t="shared" si="25"/>
        <v>4.8300015424257686E-2</v>
      </c>
    </row>
    <row r="826" spans="1:5" x14ac:dyDescent="0.25">
      <c r="A826">
        <v>0</v>
      </c>
      <c r="B826">
        <v>-0.15</v>
      </c>
      <c r="C826">
        <f t="shared" si="24"/>
        <v>1.2608780202000631</v>
      </c>
      <c r="D826">
        <v>0</v>
      </c>
      <c r="E826">
        <f t="shared" si="25"/>
        <v>4.8300015424257686E-2</v>
      </c>
    </row>
    <row r="827" spans="1:5" x14ac:dyDescent="0.25">
      <c r="A827">
        <v>0</v>
      </c>
      <c r="B827">
        <v>-0.149700598802395</v>
      </c>
      <c r="C827">
        <f t="shared" si="24"/>
        <v>1.2620025967974247</v>
      </c>
      <c r="D827">
        <v>0</v>
      </c>
      <c r="E827">
        <f t="shared" si="25"/>
        <v>4.8300015424257686E-2</v>
      </c>
    </row>
    <row r="828" spans="1:5" x14ac:dyDescent="0.25">
      <c r="A828">
        <v>0</v>
      </c>
      <c r="B828">
        <v>-0.149700598802395</v>
      </c>
      <c r="C828">
        <f t="shared" si="24"/>
        <v>1.2620025967974247</v>
      </c>
      <c r="D828">
        <v>0</v>
      </c>
      <c r="E828">
        <f t="shared" si="25"/>
        <v>4.8300015424257686E-2</v>
      </c>
    </row>
    <row r="829" spans="1:5" x14ac:dyDescent="0.25">
      <c r="A829">
        <v>0</v>
      </c>
      <c r="B829">
        <v>-0.14953271028037399</v>
      </c>
      <c r="C829">
        <f t="shared" si="24"/>
        <v>1.2626328024840645</v>
      </c>
      <c r="D829">
        <v>0</v>
      </c>
      <c r="E829">
        <f t="shared" si="25"/>
        <v>4.8300015424257686E-2</v>
      </c>
    </row>
    <row r="830" spans="1:5" x14ac:dyDescent="0.25">
      <c r="A830">
        <v>0</v>
      </c>
      <c r="B830">
        <v>-0.14953271028037399</v>
      </c>
      <c r="C830">
        <f t="shared" si="24"/>
        <v>1.2626328024840645</v>
      </c>
      <c r="D830">
        <v>0</v>
      </c>
      <c r="E830">
        <f t="shared" si="25"/>
        <v>4.8300015424257686E-2</v>
      </c>
    </row>
    <row r="831" spans="1:5" x14ac:dyDescent="0.25">
      <c r="A831">
        <v>0</v>
      </c>
      <c r="B831">
        <v>-0.14933333333333301</v>
      </c>
      <c r="C831">
        <f t="shared" si="24"/>
        <v>1.2633808339822801</v>
      </c>
      <c r="D831">
        <v>0</v>
      </c>
      <c r="E831">
        <f t="shared" si="25"/>
        <v>4.8300015424257686E-2</v>
      </c>
    </row>
    <row r="832" spans="1:5" x14ac:dyDescent="0.25">
      <c r="A832">
        <v>0</v>
      </c>
      <c r="B832">
        <v>-0.14933333333333301</v>
      </c>
      <c r="C832">
        <f t="shared" si="24"/>
        <v>1.2633808339822801</v>
      </c>
      <c r="D832">
        <v>0</v>
      </c>
      <c r="E832">
        <f t="shared" si="25"/>
        <v>4.8300015424257686E-2</v>
      </c>
    </row>
    <row r="833" spans="1:5" x14ac:dyDescent="0.25">
      <c r="A833">
        <v>0</v>
      </c>
      <c r="B833">
        <v>-0.14918414918414899</v>
      </c>
      <c r="C833">
        <f t="shared" si="24"/>
        <v>1.2639402844378302</v>
      </c>
      <c r="D833">
        <v>0</v>
      </c>
      <c r="E833">
        <f t="shared" si="25"/>
        <v>4.8300015424257686E-2</v>
      </c>
    </row>
    <row r="834" spans="1:5" x14ac:dyDescent="0.25">
      <c r="A834">
        <v>0</v>
      </c>
      <c r="B834">
        <v>-0.14799999999999999</v>
      </c>
      <c r="C834">
        <f t="shared" ref="C834:C897" si="26">_xlfn.NORM.DIST(B834,I$10,I$13,FALSE)</f>
        <v>1.2683728001371593</v>
      </c>
      <c r="D834">
        <v>0</v>
      </c>
      <c r="E834">
        <f t="shared" si="25"/>
        <v>4.8300015424257686E-2</v>
      </c>
    </row>
    <row r="835" spans="1:5" x14ac:dyDescent="0.25">
      <c r="A835">
        <v>0</v>
      </c>
      <c r="B835">
        <v>-0.14799999999999999</v>
      </c>
      <c r="C835">
        <f t="shared" si="26"/>
        <v>1.2683728001371593</v>
      </c>
      <c r="D835">
        <v>0</v>
      </c>
      <c r="E835">
        <f t="shared" ref="E835:E898" si="27">_xlfn.NORM.DIST(D835,I$4,I$7,FALSE)</f>
        <v>4.8300015424257686E-2</v>
      </c>
    </row>
    <row r="836" spans="1:5" x14ac:dyDescent="0.25">
      <c r="A836">
        <v>0</v>
      </c>
      <c r="B836">
        <v>-0.14799999999999999</v>
      </c>
      <c r="C836">
        <f t="shared" si="26"/>
        <v>1.2683728001371593</v>
      </c>
      <c r="D836">
        <v>0</v>
      </c>
      <c r="E836">
        <f t="shared" si="27"/>
        <v>4.8300015424257686E-2</v>
      </c>
    </row>
    <row r="837" spans="1:5" x14ac:dyDescent="0.25">
      <c r="A837">
        <v>0</v>
      </c>
      <c r="B837">
        <v>-0.14799999999999999</v>
      </c>
      <c r="C837">
        <f t="shared" si="26"/>
        <v>1.2683728001371593</v>
      </c>
      <c r="D837">
        <v>0</v>
      </c>
      <c r="E837">
        <f t="shared" si="27"/>
        <v>4.8300015424257686E-2</v>
      </c>
    </row>
    <row r="838" spans="1:5" x14ac:dyDescent="0.25">
      <c r="A838">
        <v>0</v>
      </c>
      <c r="B838">
        <v>-0.14719626168224301</v>
      </c>
      <c r="C838">
        <f t="shared" si="26"/>
        <v>1.2713730504080194</v>
      </c>
      <c r="D838">
        <v>0</v>
      </c>
      <c r="E838">
        <f t="shared" si="27"/>
        <v>4.8300015424257686E-2</v>
      </c>
    </row>
    <row r="839" spans="1:5" x14ac:dyDescent="0.25">
      <c r="A839">
        <v>0</v>
      </c>
      <c r="B839">
        <v>-0.14705882352941199</v>
      </c>
      <c r="C839">
        <f t="shared" si="26"/>
        <v>1.2718854092285428</v>
      </c>
      <c r="D839">
        <v>0</v>
      </c>
      <c r="E839">
        <f t="shared" si="27"/>
        <v>4.8300015424257686E-2</v>
      </c>
    </row>
    <row r="840" spans="1:5" x14ac:dyDescent="0.25">
      <c r="A840">
        <v>0</v>
      </c>
      <c r="B840">
        <v>-0.14685314685314699</v>
      </c>
      <c r="C840">
        <f t="shared" si="26"/>
        <v>1.2726517829641515</v>
      </c>
      <c r="D840">
        <v>0</v>
      </c>
      <c r="E840">
        <f t="shared" si="27"/>
        <v>4.8300015424257686E-2</v>
      </c>
    </row>
    <row r="841" spans="1:5" x14ac:dyDescent="0.25">
      <c r="A841">
        <v>0</v>
      </c>
      <c r="B841">
        <v>-0.14685314685314699</v>
      </c>
      <c r="C841">
        <f t="shared" si="26"/>
        <v>1.2726517829641515</v>
      </c>
      <c r="D841">
        <v>0</v>
      </c>
      <c r="E841">
        <f t="shared" si="27"/>
        <v>4.8300015424257686E-2</v>
      </c>
    </row>
    <row r="842" spans="1:5" x14ac:dyDescent="0.25">
      <c r="A842">
        <v>0</v>
      </c>
      <c r="B842">
        <v>-0.14670658682634699</v>
      </c>
      <c r="C842">
        <f t="shared" si="26"/>
        <v>1.2731976080738709</v>
      </c>
      <c r="D842">
        <v>0</v>
      </c>
      <c r="E842">
        <f t="shared" si="27"/>
        <v>4.8300015424257686E-2</v>
      </c>
    </row>
    <row r="843" spans="1:5" x14ac:dyDescent="0.25">
      <c r="A843">
        <v>0</v>
      </c>
      <c r="B843">
        <v>-0.14670658682634699</v>
      </c>
      <c r="C843">
        <f t="shared" si="26"/>
        <v>1.2731976080738709</v>
      </c>
      <c r="D843">
        <v>0</v>
      </c>
      <c r="E843">
        <f t="shared" si="27"/>
        <v>4.8300015424257686E-2</v>
      </c>
    </row>
    <row r="844" spans="1:5" x14ac:dyDescent="0.25">
      <c r="A844">
        <v>0</v>
      </c>
      <c r="B844">
        <v>-0.146666666666667</v>
      </c>
      <c r="C844">
        <f t="shared" si="26"/>
        <v>1.2733462409153773</v>
      </c>
      <c r="D844">
        <v>0</v>
      </c>
      <c r="E844">
        <f t="shared" si="27"/>
        <v>4.8300015424257686E-2</v>
      </c>
    </row>
    <row r="845" spans="1:5" x14ac:dyDescent="0.25">
      <c r="A845">
        <v>0</v>
      </c>
      <c r="B845">
        <v>-0.146666666666667</v>
      </c>
      <c r="C845">
        <f t="shared" si="26"/>
        <v>1.2733462409153773</v>
      </c>
      <c r="D845">
        <v>0</v>
      </c>
      <c r="E845">
        <f t="shared" si="27"/>
        <v>4.8300015424257686E-2</v>
      </c>
    </row>
    <row r="846" spans="1:5" x14ac:dyDescent="0.25">
      <c r="A846">
        <v>0</v>
      </c>
      <c r="B846">
        <v>-0.146666666666667</v>
      </c>
      <c r="C846">
        <f t="shared" si="26"/>
        <v>1.2733462409153773</v>
      </c>
      <c r="D846">
        <v>0</v>
      </c>
      <c r="E846">
        <f t="shared" si="27"/>
        <v>4.8300015424257686E-2</v>
      </c>
    </row>
    <row r="847" spans="1:5" x14ac:dyDescent="0.25">
      <c r="A847">
        <v>0</v>
      </c>
      <c r="B847">
        <v>-0.14599999999999999</v>
      </c>
      <c r="C847">
        <f t="shared" si="26"/>
        <v>1.2758258980254134</v>
      </c>
      <c r="D847">
        <v>0</v>
      </c>
      <c r="E847">
        <f t="shared" si="27"/>
        <v>4.8300015424257686E-2</v>
      </c>
    </row>
    <row r="848" spans="1:5" x14ac:dyDescent="0.25">
      <c r="A848">
        <v>0</v>
      </c>
      <c r="B848">
        <v>-0.14599999999999999</v>
      </c>
      <c r="C848">
        <f t="shared" si="26"/>
        <v>1.2758258980254134</v>
      </c>
      <c r="D848">
        <v>0</v>
      </c>
      <c r="E848">
        <f t="shared" si="27"/>
        <v>4.8300015424257686E-2</v>
      </c>
    </row>
    <row r="849" spans="1:5" x14ac:dyDescent="0.25">
      <c r="A849">
        <v>0</v>
      </c>
      <c r="B849">
        <v>-0.14599999999999999</v>
      </c>
      <c r="C849">
        <f t="shared" si="26"/>
        <v>1.2758258980254134</v>
      </c>
      <c r="D849">
        <v>0</v>
      </c>
      <c r="E849">
        <f t="shared" si="27"/>
        <v>4.8300015424257686E-2</v>
      </c>
    </row>
    <row r="850" spans="1:5" x14ac:dyDescent="0.25">
      <c r="A850">
        <v>0</v>
      </c>
      <c r="B850">
        <v>-0.14599999999999999</v>
      </c>
      <c r="C850">
        <f t="shared" si="26"/>
        <v>1.2758258980254134</v>
      </c>
      <c r="D850">
        <v>0</v>
      </c>
      <c r="E850">
        <f t="shared" si="27"/>
        <v>4.8300015424257686E-2</v>
      </c>
    </row>
    <row r="851" spans="1:5" x14ac:dyDescent="0.25">
      <c r="A851">
        <v>0</v>
      </c>
      <c r="B851">
        <v>-0.14599999999999999</v>
      </c>
      <c r="C851">
        <f t="shared" si="26"/>
        <v>1.2758258980254134</v>
      </c>
      <c r="D851">
        <v>0</v>
      </c>
      <c r="E851">
        <f t="shared" si="27"/>
        <v>4.8300015424257686E-2</v>
      </c>
    </row>
    <row r="852" spans="1:5" x14ac:dyDescent="0.25">
      <c r="A852">
        <v>0</v>
      </c>
      <c r="B852">
        <v>-0.14599999999999999</v>
      </c>
      <c r="C852">
        <f t="shared" si="26"/>
        <v>1.2758258980254134</v>
      </c>
      <c r="D852">
        <v>0</v>
      </c>
      <c r="E852">
        <f t="shared" si="27"/>
        <v>4.8300015424257686E-2</v>
      </c>
    </row>
    <row r="853" spans="1:5" x14ac:dyDescent="0.25">
      <c r="A853">
        <v>0</v>
      </c>
      <c r="B853">
        <v>-0.14499999999999999</v>
      </c>
      <c r="C853">
        <f t="shared" si="26"/>
        <v>1.279536423864994</v>
      </c>
      <c r="D853">
        <v>0</v>
      </c>
      <c r="E853">
        <f t="shared" si="27"/>
        <v>4.8300015424257686E-2</v>
      </c>
    </row>
    <row r="854" spans="1:5" x14ac:dyDescent="0.25">
      <c r="A854">
        <v>0</v>
      </c>
      <c r="B854">
        <v>-0.14499999999999999</v>
      </c>
      <c r="C854">
        <f t="shared" si="26"/>
        <v>1.279536423864994</v>
      </c>
      <c r="D854">
        <v>0</v>
      </c>
      <c r="E854">
        <f t="shared" si="27"/>
        <v>4.8300015424257686E-2</v>
      </c>
    </row>
    <row r="855" spans="1:5" x14ac:dyDescent="0.25">
      <c r="A855">
        <v>0</v>
      </c>
      <c r="B855">
        <v>-0.14499999999999999</v>
      </c>
      <c r="C855">
        <f t="shared" si="26"/>
        <v>1.279536423864994</v>
      </c>
      <c r="D855">
        <v>0</v>
      </c>
      <c r="E855">
        <f t="shared" si="27"/>
        <v>4.8300015424257686E-2</v>
      </c>
    </row>
    <row r="856" spans="1:5" x14ac:dyDescent="0.25">
      <c r="A856">
        <v>0</v>
      </c>
      <c r="B856">
        <v>-0.144859813084112</v>
      </c>
      <c r="C856">
        <f t="shared" si="26"/>
        <v>1.2800557242118218</v>
      </c>
      <c r="D856">
        <v>0</v>
      </c>
      <c r="E856">
        <f t="shared" si="27"/>
        <v>4.8300015424257686E-2</v>
      </c>
    </row>
    <row r="857" spans="1:5" x14ac:dyDescent="0.25">
      <c r="A857">
        <v>0</v>
      </c>
      <c r="B857">
        <v>-0.14452214452214501</v>
      </c>
      <c r="C857">
        <f t="shared" si="26"/>
        <v>1.2813056829216418</v>
      </c>
      <c r="D857">
        <v>0</v>
      </c>
      <c r="E857">
        <f t="shared" si="27"/>
        <v>4.8300015424257686E-2</v>
      </c>
    </row>
    <row r="858" spans="1:5" x14ac:dyDescent="0.25">
      <c r="A858">
        <v>0</v>
      </c>
      <c r="B858">
        <v>-0.14452214452214501</v>
      </c>
      <c r="C858">
        <f t="shared" si="26"/>
        <v>1.2813056829216418</v>
      </c>
      <c r="D858">
        <v>0</v>
      </c>
      <c r="E858">
        <f t="shared" si="27"/>
        <v>4.8300015424257686E-2</v>
      </c>
    </row>
    <row r="859" spans="1:5" x14ac:dyDescent="0.25">
      <c r="A859">
        <v>0</v>
      </c>
      <c r="B859">
        <v>-0.144144144144144</v>
      </c>
      <c r="C859">
        <f t="shared" si="26"/>
        <v>1.2827034556578318</v>
      </c>
      <c r="D859">
        <v>0</v>
      </c>
      <c r="E859">
        <f t="shared" si="27"/>
        <v>4.8300015424257686E-2</v>
      </c>
    </row>
    <row r="860" spans="1:5" x14ac:dyDescent="0.25">
      <c r="A860">
        <v>0</v>
      </c>
      <c r="B860">
        <v>-0.14399999999999999</v>
      </c>
      <c r="C860">
        <f t="shared" si="26"/>
        <v>1.2832360585505416</v>
      </c>
      <c r="D860">
        <v>0</v>
      </c>
      <c r="E860">
        <f t="shared" si="27"/>
        <v>4.8300015424257686E-2</v>
      </c>
    </row>
    <row r="861" spans="1:5" x14ac:dyDescent="0.25">
      <c r="A861">
        <v>0</v>
      </c>
      <c r="B861">
        <v>-0.14399999999999999</v>
      </c>
      <c r="C861">
        <f t="shared" si="26"/>
        <v>1.2832360585505416</v>
      </c>
      <c r="D861">
        <v>0</v>
      </c>
      <c r="E861">
        <f t="shared" si="27"/>
        <v>4.8300015424257686E-2</v>
      </c>
    </row>
    <row r="862" spans="1:5" x14ac:dyDescent="0.25">
      <c r="A862">
        <v>0</v>
      </c>
      <c r="B862">
        <v>-0.14399999999999999</v>
      </c>
      <c r="C862">
        <f t="shared" si="26"/>
        <v>1.2832360585505416</v>
      </c>
      <c r="D862">
        <v>0</v>
      </c>
      <c r="E862">
        <f t="shared" si="27"/>
        <v>4.8300015424257686E-2</v>
      </c>
    </row>
    <row r="863" spans="1:5" x14ac:dyDescent="0.25">
      <c r="A863">
        <v>0</v>
      </c>
      <c r="B863">
        <v>-0.14399999999999999</v>
      </c>
      <c r="C863">
        <f t="shared" si="26"/>
        <v>1.2832360585505416</v>
      </c>
      <c r="D863">
        <v>0</v>
      </c>
      <c r="E863">
        <f t="shared" si="27"/>
        <v>4.8300015424257686E-2</v>
      </c>
    </row>
    <row r="864" spans="1:5" x14ac:dyDescent="0.25">
      <c r="A864">
        <v>0</v>
      </c>
      <c r="B864">
        <v>-0.14399999999999999</v>
      </c>
      <c r="C864">
        <f t="shared" si="26"/>
        <v>1.2832360585505416</v>
      </c>
      <c r="D864">
        <v>0</v>
      </c>
      <c r="E864">
        <f t="shared" si="27"/>
        <v>4.8300015424257686E-2</v>
      </c>
    </row>
    <row r="865" spans="1:5" x14ac:dyDescent="0.25">
      <c r="A865">
        <v>0</v>
      </c>
      <c r="B865">
        <v>-0.14399999999999999</v>
      </c>
      <c r="C865">
        <f t="shared" si="26"/>
        <v>1.2832360585505416</v>
      </c>
      <c r="D865">
        <v>0</v>
      </c>
      <c r="E865">
        <f t="shared" si="27"/>
        <v>4.8300015424257686E-2</v>
      </c>
    </row>
    <row r="866" spans="1:5" x14ac:dyDescent="0.25">
      <c r="A866">
        <v>0</v>
      </c>
      <c r="B866">
        <v>-0.14399999999999999</v>
      </c>
      <c r="C866">
        <f t="shared" si="26"/>
        <v>1.2832360585505416</v>
      </c>
      <c r="D866">
        <v>0</v>
      </c>
      <c r="E866">
        <f t="shared" si="27"/>
        <v>4.8300015424257686E-2</v>
      </c>
    </row>
    <row r="867" spans="1:5" x14ac:dyDescent="0.25">
      <c r="A867">
        <v>0</v>
      </c>
      <c r="B867">
        <v>-0.14399999999999999</v>
      </c>
      <c r="C867">
        <f t="shared" si="26"/>
        <v>1.2832360585505416</v>
      </c>
      <c r="D867">
        <v>0</v>
      </c>
      <c r="E867">
        <f t="shared" si="27"/>
        <v>4.8300015424257686E-2</v>
      </c>
    </row>
    <row r="868" spans="1:5" x14ac:dyDescent="0.25">
      <c r="A868">
        <v>0</v>
      </c>
      <c r="B868">
        <v>-0.14399999999999999</v>
      </c>
      <c r="C868">
        <f t="shared" si="26"/>
        <v>1.2832360585505416</v>
      </c>
      <c r="D868">
        <v>0</v>
      </c>
      <c r="E868">
        <f t="shared" si="27"/>
        <v>4.8300015424257686E-2</v>
      </c>
    </row>
    <row r="869" spans="1:5" x14ac:dyDescent="0.25">
      <c r="A869">
        <v>0</v>
      </c>
      <c r="B869">
        <v>-0.14399999999999999</v>
      </c>
      <c r="C869">
        <f t="shared" si="26"/>
        <v>1.2832360585505416</v>
      </c>
      <c r="D869">
        <v>0</v>
      </c>
      <c r="E869">
        <f t="shared" si="27"/>
        <v>4.8300015424257686E-2</v>
      </c>
    </row>
    <row r="870" spans="1:5" x14ac:dyDescent="0.25">
      <c r="A870">
        <v>0</v>
      </c>
      <c r="B870">
        <v>-0.14371257485029901</v>
      </c>
      <c r="C870">
        <f t="shared" si="26"/>
        <v>1.2842973894236969</v>
      </c>
      <c r="D870">
        <v>0</v>
      </c>
      <c r="E870">
        <f t="shared" si="27"/>
        <v>4.8300015424257686E-2</v>
      </c>
    </row>
    <row r="871" spans="1:5" x14ac:dyDescent="0.25">
      <c r="A871">
        <v>0</v>
      </c>
      <c r="B871">
        <v>-0.14361702127659601</v>
      </c>
      <c r="C871">
        <f t="shared" si="26"/>
        <v>1.2846500226967412</v>
      </c>
      <c r="D871">
        <v>0</v>
      </c>
      <c r="E871">
        <f t="shared" si="27"/>
        <v>4.8300015424257686E-2</v>
      </c>
    </row>
    <row r="872" spans="1:5" x14ac:dyDescent="0.25">
      <c r="A872">
        <v>0</v>
      </c>
      <c r="B872">
        <v>-0.14333333333333301</v>
      </c>
      <c r="C872">
        <f t="shared" si="26"/>
        <v>1.2856963536493731</v>
      </c>
      <c r="D872">
        <v>0</v>
      </c>
      <c r="E872">
        <f t="shared" si="27"/>
        <v>4.8300015424257686E-2</v>
      </c>
    </row>
    <row r="873" spans="1:5" x14ac:dyDescent="0.25">
      <c r="A873">
        <v>0</v>
      </c>
      <c r="B873">
        <v>-0.14333333333333301</v>
      </c>
      <c r="C873">
        <f t="shared" si="26"/>
        <v>1.2856963536493731</v>
      </c>
      <c r="D873">
        <v>0</v>
      </c>
      <c r="E873">
        <f t="shared" si="27"/>
        <v>4.8300015424257686E-2</v>
      </c>
    </row>
    <row r="874" spans="1:5" x14ac:dyDescent="0.25">
      <c r="A874">
        <v>0</v>
      </c>
      <c r="B874">
        <v>-0.14333333333333301</v>
      </c>
      <c r="C874">
        <f t="shared" si="26"/>
        <v>1.2856963536493731</v>
      </c>
      <c r="D874">
        <v>0</v>
      </c>
      <c r="E874">
        <f t="shared" si="27"/>
        <v>4.8300015424257686E-2</v>
      </c>
    </row>
    <row r="875" spans="1:5" x14ac:dyDescent="0.25">
      <c r="A875">
        <v>0</v>
      </c>
      <c r="B875">
        <v>-0.14333333333333301</v>
      </c>
      <c r="C875">
        <f t="shared" si="26"/>
        <v>1.2856963536493731</v>
      </c>
      <c r="D875">
        <v>0</v>
      </c>
      <c r="E875">
        <f t="shared" si="27"/>
        <v>4.8300015424257686E-2</v>
      </c>
    </row>
    <row r="876" spans="1:5" x14ac:dyDescent="0.25">
      <c r="A876">
        <v>0</v>
      </c>
      <c r="B876">
        <v>-0.142666666666667</v>
      </c>
      <c r="C876">
        <f t="shared" si="26"/>
        <v>1.2881516921904848</v>
      </c>
      <c r="D876">
        <v>0</v>
      </c>
      <c r="E876">
        <f t="shared" si="27"/>
        <v>4.8300015424257686E-2</v>
      </c>
    </row>
    <row r="877" spans="1:5" x14ac:dyDescent="0.25">
      <c r="A877">
        <v>0</v>
      </c>
      <c r="B877">
        <v>-0.142666666666667</v>
      </c>
      <c r="C877">
        <f t="shared" si="26"/>
        <v>1.2881516921904848</v>
      </c>
      <c r="D877">
        <v>0</v>
      </c>
      <c r="E877">
        <f t="shared" si="27"/>
        <v>4.8300015424257686E-2</v>
      </c>
    </row>
    <row r="878" spans="1:5" x14ac:dyDescent="0.25">
      <c r="A878">
        <v>0</v>
      </c>
      <c r="B878">
        <v>-0.14252336448598099</v>
      </c>
      <c r="C878">
        <f t="shared" si="26"/>
        <v>1.2886788235468678</v>
      </c>
      <c r="D878">
        <v>0</v>
      </c>
      <c r="E878">
        <f t="shared" si="27"/>
        <v>4.8300015424257686E-2</v>
      </c>
    </row>
    <row r="879" spans="1:5" x14ac:dyDescent="0.25">
      <c r="A879">
        <v>0</v>
      </c>
      <c r="B879">
        <v>-0.14252336448598099</v>
      </c>
      <c r="C879">
        <f t="shared" si="26"/>
        <v>1.2886788235468678</v>
      </c>
      <c r="D879">
        <v>0</v>
      </c>
      <c r="E879">
        <f t="shared" si="27"/>
        <v>4.8300015424257686E-2</v>
      </c>
    </row>
    <row r="880" spans="1:5" x14ac:dyDescent="0.25">
      <c r="A880">
        <v>0</v>
      </c>
      <c r="B880">
        <v>-0.14219114219114201</v>
      </c>
      <c r="C880">
        <f t="shared" si="26"/>
        <v>1.2898999983003454</v>
      </c>
      <c r="D880">
        <v>0</v>
      </c>
      <c r="E880">
        <f t="shared" si="27"/>
        <v>4.8300015424257686E-2</v>
      </c>
    </row>
    <row r="881" spans="1:5" x14ac:dyDescent="0.25">
      <c r="A881">
        <v>0</v>
      </c>
      <c r="B881">
        <v>-0.14219114219114201</v>
      </c>
      <c r="C881">
        <f t="shared" si="26"/>
        <v>1.2898999983003454</v>
      </c>
      <c r="D881">
        <v>0</v>
      </c>
      <c r="E881">
        <f t="shared" si="27"/>
        <v>4.8300015424257686E-2</v>
      </c>
    </row>
    <row r="882" spans="1:5" x14ac:dyDescent="0.25">
      <c r="A882">
        <v>0</v>
      </c>
      <c r="B882">
        <v>-0.14219114219114201</v>
      </c>
      <c r="C882">
        <f t="shared" si="26"/>
        <v>1.2898999983003454</v>
      </c>
      <c r="D882">
        <v>0</v>
      </c>
      <c r="E882">
        <f t="shared" si="27"/>
        <v>4.8300015424257686E-2</v>
      </c>
    </row>
    <row r="883" spans="1:5" x14ac:dyDescent="0.25">
      <c r="A883">
        <v>0</v>
      </c>
      <c r="B883">
        <v>-0.14199999999999999</v>
      </c>
      <c r="C883">
        <f t="shared" si="26"/>
        <v>1.2906020277957317</v>
      </c>
      <c r="D883">
        <v>0</v>
      </c>
      <c r="E883">
        <f t="shared" si="27"/>
        <v>4.8300015424257686E-2</v>
      </c>
    </row>
    <row r="884" spans="1:5" x14ac:dyDescent="0.25">
      <c r="A884">
        <v>0</v>
      </c>
      <c r="B884">
        <v>-0.14199999999999999</v>
      </c>
      <c r="C884">
        <f t="shared" si="26"/>
        <v>1.2906020277957317</v>
      </c>
      <c r="D884">
        <v>0</v>
      </c>
      <c r="E884">
        <f t="shared" si="27"/>
        <v>4.8300015424257686E-2</v>
      </c>
    </row>
    <row r="885" spans="1:5" x14ac:dyDescent="0.25">
      <c r="A885">
        <v>0</v>
      </c>
      <c r="B885">
        <v>-0.14133333333333301</v>
      </c>
      <c r="C885">
        <f t="shared" si="26"/>
        <v>1.293047314111381</v>
      </c>
      <c r="D885">
        <v>0</v>
      </c>
      <c r="E885">
        <f t="shared" si="27"/>
        <v>4.8300015424257686E-2</v>
      </c>
    </row>
    <row r="886" spans="1:5" x14ac:dyDescent="0.25">
      <c r="A886">
        <v>0</v>
      </c>
      <c r="B886">
        <v>-0.14133333333333301</v>
      </c>
      <c r="C886">
        <f t="shared" si="26"/>
        <v>1.293047314111381</v>
      </c>
      <c r="D886">
        <v>0</v>
      </c>
      <c r="E886">
        <f t="shared" si="27"/>
        <v>4.8300015424257686E-2</v>
      </c>
    </row>
    <row r="887" spans="1:5" x14ac:dyDescent="0.25">
      <c r="A887">
        <v>0</v>
      </c>
      <c r="B887">
        <v>-0.14133333333333301</v>
      </c>
      <c r="C887">
        <f t="shared" si="26"/>
        <v>1.293047314111381</v>
      </c>
      <c r="D887">
        <v>0</v>
      </c>
      <c r="E887">
        <f t="shared" si="27"/>
        <v>4.8300015424257686E-2</v>
      </c>
    </row>
    <row r="888" spans="1:5" x14ac:dyDescent="0.25">
      <c r="A888">
        <v>0</v>
      </c>
      <c r="B888">
        <v>-0.14133333333333301</v>
      </c>
      <c r="C888">
        <f t="shared" si="26"/>
        <v>1.293047314111381</v>
      </c>
      <c r="D888">
        <v>0</v>
      </c>
      <c r="E888">
        <f t="shared" si="27"/>
        <v>4.8300015424257686E-2</v>
      </c>
    </row>
    <row r="889" spans="1:5" x14ac:dyDescent="0.25">
      <c r="A889">
        <v>0</v>
      </c>
      <c r="B889">
        <v>-0.14133333333333301</v>
      </c>
      <c r="C889">
        <f t="shared" si="26"/>
        <v>1.293047314111381</v>
      </c>
      <c r="D889">
        <v>0</v>
      </c>
      <c r="E889">
        <f t="shared" si="27"/>
        <v>4.8300015424257686E-2</v>
      </c>
    </row>
    <row r="890" spans="1:5" x14ac:dyDescent="0.25">
      <c r="A890">
        <v>0</v>
      </c>
      <c r="B890">
        <v>-0.14117647058823499</v>
      </c>
      <c r="C890">
        <f t="shared" si="26"/>
        <v>1.2936219367734949</v>
      </c>
      <c r="D890">
        <v>0</v>
      </c>
      <c r="E890">
        <f t="shared" si="27"/>
        <v>4.8300015424257686E-2</v>
      </c>
    </row>
    <row r="891" spans="1:5" x14ac:dyDescent="0.25">
      <c r="A891">
        <v>0</v>
      </c>
      <c r="B891">
        <v>-0.14114114114114101</v>
      </c>
      <c r="C891">
        <f t="shared" si="26"/>
        <v>1.2937513173058295</v>
      </c>
      <c r="D891">
        <v>0</v>
      </c>
      <c r="E891">
        <f t="shared" si="27"/>
        <v>4.8300015424257686E-2</v>
      </c>
    </row>
    <row r="892" spans="1:5" x14ac:dyDescent="0.25">
      <c r="A892">
        <v>0</v>
      </c>
      <c r="B892">
        <v>-0.140625</v>
      </c>
      <c r="C892">
        <f t="shared" si="26"/>
        <v>1.2956398464807151</v>
      </c>
      <c r="D892">
        <v>0</v>
      </c>
      <c r="E892">
        <f t="shared" si="27"/>
        <v>4.8300015424257686E-2</v>
      </c>
    </row>
    <row r="893" spans="1:5" x14ac:dyDescent="0.25">
      <c r="A893">
        <v>0</v>
      </c>
      <c r="B893">
        <v>-0.14000000000000001</v>
      </c>
      <c r="C893">
        <f t="shared" si="26"/>
        <v>1.2979225535897174</v>
      </c>
      <c r="D893">
        <v>0</v>
      </c>
      <c r="E893">
        <f t="shared" si="27"/>
        <v>4.8300015424257686E-2</v>
      </c>
    </row>
    <row r="894" spans="1:5" x14ac:dyDescent="0.25">
      <c r="A894">
        <v>0</v>
      </c>
      <c r="B894">
        <v>-0.14000000000000001</v>
      </c>
      <c r="C894">
        <f t="shared" si="26"/>
        <v>1.2979225535897174</v>
      </c>
      <c r="D894">
        <v>0</v>
      </c>
      <c r="E894">
        <f t="shared" si="27"/>
        <v>4.8300015424257686E-2</v>
      </c>
    </row>
    <row r="895" spans="1:5" x14ac:dyDescent="0.25">
      <c r="A895">
        <v>0</v>
      </c>
      <c r="B895">
        <v>-0.14000000000000001</v>
      </c>
      <c r="C895">
        <f t="shared" si="26"/>
        <v>1.2979225535897174</v>
      </c>
      <c r="D895">
        <v>0</v>
      </c>
      <c r="E895">
        <f t="shared" si="27"/>
        <v>4.8300015424257686E-2</v>
      </c>
    </row>
    <row r="896" spans="1:5" x14ac:dyDescent="0.25">
      <c r="A896">
        <v>0</v>
      </c>
      <c r="B896">
        <v>-0.14000000000000001</v>
      </c>
      <c r="C896">
        <f t="shared" si="26"/>
        <v>1.2979225535897174</v>
      </c>
      <c r="D896">
        <v>0</v>
      </c>
      <c r="E896">
        <f t="shared" si="27"/>
        <v>4.8300015424257686E-2</v>
      </c>
    </row>
    <row r="897" spans="1:5" x14ac:dyDescent="0.25">
      <c r="A897">
        <v>0</v>
      </c>
      <c r="B897">
        <v>-0.14000000000000001</v>
      </c>
      <c r="C897">
        <f t="shared" si="26"/>
        <v>1.2979225535897174</v>
      </c>
      <c r="D897">
        <v>0</v>
      </c>
      <c r="E897">
        <f t="shared" si="27"/>
        <v>4.8300015424257686E-2</v>
      </c>
    </row>
    <row r="898" spans="1:5" x14ac:dyDescent="0.25">
      <c r="A898">
        <v>0</v>
      </c>
      <c r="B898">
        <v>-0.14000000000000001</v>
      </c>
      <c r="C898">
        <f t="shared" ref="C898:C961" si="28">_xlfn.NORM.DIST(B898,I$10,I$13,FALSE)</f>
        <v>1.2979225535897174</v>
      </c>
      <c r="D898">
        <v>0</v>
      </c>
      <c r="E898">
        <f t="shared" si="27"/>
        <v>4.8300015424257686E-2</v>
      </c>
    </row>
    <row r="899" spans="1:5" x14ac:dyDescent="0.25">
      <c r="A899">
        <v>0</v>
      </c>
      <c r="B899">
        <v>-0.14000000000000001</v>
      </c>
      <c r="C899">
        <f t="shared" si="28"/>
        <v>1.2979225535897174</v>
      </c>
      <c r="D899">
        <v>0</v>
      </c>
      <c r="E899">
        <f t="shared" ref="E899:E962" si="29">_xlfn.NORM.DIST(D899,I$4,I$7,FALSE)</f>
        <v>4.8300015424257686E-2</v>
      </c>
    </row>
    <row r="900" spans="1:5" x14ac:dyDescent="0.25">
      <c r="A900">
        <v>0</v>
      </c>
      <c r="B900">
        <v>-0.14000000000000001</v>
      </c>
      <c r="C900">
        <f t="shared" si="28"/>
        <v>1.2979225535897174</v>
      </c>
      <c r="D900">
        <v>0</v>
      </c>
      <c r="E900">
        <f t="shared" si="29"/>
        <v>4.8300015424257686E-2</v>
      </c>
    </row>
    <row r="901" spans="1:5" x14ac:dyDescent="0.25">
      <c r="A901">
        <v>0</v>
      </c>
      <c r="B901">
        <v>-0.14000000000000001</v>
      </c>
      <c r="C901">
        <f t="shared" si="28"/>
        <v>1.2979225535897174</v>
      </c>
      <c r="D901">
        <v>0</v>
      </c>
      <c r="E901">
        <f t="shared" si="29"/>
        <v>4.8300015424257686E-2</v>
      </c>
    </row>
    <row r="902" spans="1:5" x14ac:dyDescent="0.25">
      <c r="A902">
        <v>0</v>
      </c>
      <c r="B902">
        <v>-0.13986013986014001</v>
      </c>
      <c r="C902">
        <f t="shared" si="28"/>
        <v>1.2984327461434482</v>
      </c>
      <c r="D902">
        <v>0</v>
      </c>
      <c r="E902">
        <f t="shared" si="29"/>
        <v>4.8300015424257686E-2</v>
      </c>
    </row>
    <row r="903" spans="1:5" x14ac:dyDescent="0.25">
      <c r="A903">
        <v>0</v>
      </c>
      <c r="B903">
        <v>-0.13978494623655899</v>
      </c>
      <c r="C903">
        <f t="shared" si="28"/>
        <v>1.2987069486824012</v>
      </c>
      <c r="D903">
        <v>0</v>
      </c>
      <c r="E903">
        <f t="shared" si="29"/>
        <v>4.8300015424257686E-2</v>
      </c>
    </row>
    <row r="904" spans="1:5" x14ac:dyDescent="0.25">
      <c r="A904">
        <v>0</v>
      </c>
      <c r="B904">
        <v>-0.13866666666666699</v>
      </c>
      <c r="C904">
        <f t="shared" si="28"/>
        <v>1.3027770403388728</v>
      </c>
      <c r="D904">
        <v>0</v>
      </c>
      <c r="E904">
        <f t="shared" si="29"/>
        <v>4.8300015424257686E-2</v>
      </c>
    </row>
    <row r="905" spans="1:5" x14ac:dyDescent="0.25">
      <c r="A905">
        <v>0</v>
      </c>
      <c r="B905">
        <v>-0.13866666666666699</v>
      </c>
      <c r="C905">
        <f t="shared" si="28"/>
        <v>1.3027770403388728</v>
      </c>
      <c r="D905">
        <v>0</v>
      </c>
      <c r="E905">
        <f t="shared" si="29"/>
        <v>4.8300015424257686E-2</v>
      </c>
    </row>
    <row r="906" spans="1:5" x14ac:dyDescent="0.25">
      <c r="A906">
        <v>0</v>
      </c>
      <c r="B906">
        <v>-0.13866666666666699</v>
      </c>
      <c r="C906">
        <f t="shared" si="28"/>
        <v>1.3027770403388728</v>
      </c>
      <c r="D906">
        <v>0</v>
      </c>
      <c r="E906">
        <f t="shared" si="29"/>
        <v>4.8300015424257686E-2</v>
      </c>
    </row>
    <row r="907" spans="1:5" x14ac:dyDescent="0.25">
      <c r="A907">
        <v>0</v>
      </c>
      <c r="B907">
        <v>-0.13866666666666699</v>
      </c>
      <c r="C907">
        <f t="shared" si="28"/>
        <v>1.3027770403388728</v>
      </c>
      <c r="D907">
        <v>0</v>
      </c>
      <c r="E907">
        <f t="shared" si="29"/>
        <v>4.8300015424257686E-2</v>
      </c>
    </row>
    <row r="908" spans="1:5" x14ac:dyDescent="0.25">
      <c r="A908">
        <v>0</v>
      </c>
      <c r="B908">
        <v>-0.13866666666666699</v>
      </c>
      <c r="C908">
        <f t="shared" si="28"/>
        <v>1.3027770403388728</v>
      </c>
      <c r="D908">
        <v>0</v>
      </c>
      <c r="E908">
        <f t="shared" si="29"/>
        <v>4.8300015424257686E-2</v>
      </c>
    </row>
    <row r="909" spans="1:5" x14ac:dyDescent="0.25">
      <c r="A909">
        <v>0</v>
      </c>
      <c r="B909">
        <v>-0.13866666666666699</v>
      </c>
      <c r="C909">
        <f t="shared" si="28"/>
        <v>1.3027770403388728</v>
      </c>
      <c r="D909">
        <v>0</v>
      </c>
      <c r="E909">
        <f t="shared" si="29"/>
        <v>4.8300015424257686E-2</v>
      </c>
    </row>
    <row r="910" spans="1:5" x14ac:dyDescent="0.25">
      <c r="A910">
        <v>0</v>
      </c>
      <c r="B910">
        <v>-0.13866666666666699</v>
      </c>
      <c r="C910">
        <f t="shared" si="28"/>
        <v>1.3027770403388728</v>
      </c>
      <c r="D910">
        <v>0</v>
      </c>
      <c r="E910">
        <f t="shared" si="29"/>
        <v>4.8300015424257686E-2</v>
      </c>
    </row>
    <row r="911" spans="1:5" x14ac:dyDescent="0.25">
      <c r="A911">
        <v>0</v>
      </c>
      <c r="B911">
        <v>-0.13866666666666699</v>
      </c>
      <c r="C911">
        <f t="shared" si="28"/>
        <v>1.3027770403388728</v>
      </c>
      <c r="D911">
        <v>0</v>
      </c>
      <c r="E911">
        <f t="shared" si="29"/>
        <v>4.8300015424257686E-2</v>
      </c>
    </row>
    <row r="912" spans="1:5" x14ac:dyDescent="0.25">
      <c r="A912">
        <v>0</v>
      </c>
      <c r="B912">
        <v>-0.138333333333333</v>
      </c>
      <c r="C912">
        <f t="shared" si="28"/>
        <v>1.3039873760646032</v>
      </c>
      <c r="D912">
        <v>0</v>
      </c>
      <c r="E912">
        <f t="shared" si="29"/>
        <v>4.8300015424257686E-2</v>
      </c>
    </row>
    <row r="913" spans="1:5" x14ac:dyDescent="0.25">
      <c r="A913">
        <v>0</v>
      </c>
      <c r="B913">
        <v>-0.138333333333333</v>
      </c>
      <c r="C913">
        <f t="shared" si="28"/>
        <v>1.3039873760646032</v>
      </c>
      <c r="D913">
        <v>0</v>
      </c>
      <c r="E913">
        <f t="shared" si="29"/>
        <v>4.8300015424257686E-2</v>
      </c>
    </row>
    <row r="914" spans="1:5" x14ac:dyDescent="0.25">
      <c r="A914">
        <v>0</v>
      </c>
      <c r="B914">
        <v>-0.13813813813813799</v>
      </c>
      <c r="C914">
        <f t="shared" si="28"/>
        <v>1.3046955160271803</v>
      </c>
      <c r="D914">
        <v>0</v>
      </c>
      <c r="E914">
        <f t="shared" si="29"/>
        <v>4.8300015424257686E-2</v>
      </c>
    </row>
    <row r="915" spans="1:5" x14ac:dyDescent="0.25">
      <c r="A915">
        <v>0</v>
      </c>
      <c r="B915">
        <v>-0.13800000000000001</v>
      </c>
      <c r="C915">
        <f t="shared" si="28"/>
        <v>1.3051963858562716</v>
      </c>
      <c r="D915">
        <v>0</v>
      </c>
      <c r="E915">
        <f t="shared" si="29"/>
        <v>4.8300015424257686E-2</v>
      </c>
    </row>
    <row r="916" spans="1:5" x14ac:dyDescent="0.25">
      <c r="A916">
        <v>0</v>
      </c>
      <c r="B916">
        <v>-0.13800000000000001</v>
      </c>
      <c r="C916">
        <f t="shared" si="28"/>
        <v>1.3051963858562716</v>
      </c>
      <c r="D916">
        <v>0</v>
      </c>
      <c r="E916">
        <f t="shared" si="29"/>
        <v>4.8300015424257686E-2</v>
      </c>
    </row>
    <row r="917" spans="1:5" x14ac:dyDescent="0.25">
      <c r="A917">
        <v>0</v>
      </c>
      <c r="B917">
        <v>-0.13800000000000001</v>
      </c>
      <c r="C917">
        <f t="shared" si="28"/>
        <v>1.3051963858562716</v>
      </c>
      <c r="D917">
        <v>0</v>
      </c>
      <c r="E917">
        <f t="shared" si="29"/>
        <v>4.8300015424257686E-2</v>
      </c>
    </row>
    <row r="918" spans="1:5" x14ac:dyDescent="0.25">
      <c r="A918">
        <v>0</v>
      </c>
      <c r="B918">
        <v>-0.13800000000000001</v>
      </c>
      <c r="C918">
        <f t="shared" si="28"/>
        <v>1.3051963858562716</v>
      </c>
      <c r="D918">
        <v>0</v>
      </c>
      <c r="E918">
        <f t="shared" si="29"/>
        <v>4.8300015424257686E-2</v>
      </c>
    </row>
    <row r="919" spans="1:5" x14ac:dyDescent="0.25">
      <c r="A919">
        <v>0</v>
      </c>
      <c r="B919">
        <v>-0.13800000000000001</v>
      </c>
      <c r="C919">
        <f t="shared" si="28"/>
        <v>1.3051963858562716</v>
      </c>
      <c r="D919">
        <v>0</v>
      </c>
      <c r="E919">
        <f t="shared" si="29"/>
        <v>4.8300015424257686E-2</v>
      </c>
    </row>
    <row r="920" spans="1:5" x14ac:dyDescent="0.25">
      <c r="A920">
        <v>0</v>
      </c>
      <c r="B920">
        <v>-0.13800000000000001</v>
      </c>
      <c r="C920">
        <f t="shared" si="28"/>
        <v>1.3051963858562716</v>
      </c>
      <c r="D920">
        <v>0</v>
      </c>
      <c r="E920">
        <f t="shared" si="29"/>
        <v>4.8300015424257686E-2</v>
      </c>
    </row>
    <row r="921" spans="1:5" x14ac:dyDescent="0.25">
      <c r="A921">
        <v>0</v>
      </c>
      <c r="B921">
        <v>-0.13785046728972</v>
      </c>
      <c r="C921">
        <f t="shared" si="28"/>
        <v>1.3057383130369806</v>
      </c>
      <c r="D921">
        <v>0</v>
      </c>
      <c r="E921">
        <f t="shared" si="29"/>
        <v>4.8300015424257686E-2</v>
      </c>
    </row>
    <row r="922" spans="1:5" x14ac:dyDescent="0.25">
      <c r="A922">
        <v>0</v>
      </c>
      <c r="B922">
        <v>-0.13752913752913801</v>
      </c>
      <c r="C922">
        <f t="shared" si="28"/>
        <v>1.3069019472983829</v>
      </c>
      <c r="D922">
        <v>0</v>
      </c>
      <c r="E922">
        <f t="shared" si="29"/>
        <v>4.8300015424257686E-2</v>
      </c>
    </row>
    <row r="923" spans="1:5" x14ac:dyDescent="0.25">
      <c r="A923">
        <v>0</v>
      </c>
      <c r="B923">
        <v>-0.13752913752913801</v>
      </c>
      <c r="C923">
        <f t="shared" si="28"/>
        <v>1.3069019472983829</v>
      </c>
      <c r="D923">
        <v>0</v>
      </c>
      <c r="E923">
        <f t="shared" si="29"/>
        <v>4.8300015424257686E-2</v>
      </c>
    </row>
    <row r="924" spans="1:5" x14ac:dyDescent="0.25">
      <c r="A924">
        <v>0</v>
      </c>
      <c r="B924">
        <v>-0.137333333333333</v>
      </c>
      <c r="C924">
        <f t="shared" si="28"/>
        <v>1.3076104045553294</v>
      </c>
      <c r="D924">
        <v>0</v>
      </c>
      <c r="E924">
        <f t="shared" si="29"/>
        <v>4.8300015424257686E-2</v>
      </c>
    </row>
    <row r="925" spans="1:5" x14ac:dyDescent="0.25">
      <c r="A925">
        <v>0</v>
      </c>
      <c r="B925">
        <v>-0.13600000000000001</v>
      </c>
      <c r="C925">
        <f t="shared" si="28"/>
        <v>1.3124222769649847</v>
      </c>
      <c r="D925">
        <v>0</v>
      </c>
      <c r="E925">
        <f t="shared" si="29"/>
        <v>4.8300015424257686E-2</v>
      </c>
    </row>
    <row r="926" spans="1:5" x14ac:dyDescent="0.25">
      <c r="A926">
        <v>0</v>
      </c>
      <c r="B926">
        <v>-0.13600000000000001</v>
      </c>
      <c r="C926">
        <f t="shared" si="28"/>
        <v>1.3124222769649847</v>
      </c>
      <c r="D926">
        <v>0</v>
      </c>
      <c r="E926">
        <f t="shared" si="29"/>
        <v>4.8300015424257686E-2</v>
      </c>
    </row>
    <row r="927" spans="1:5" x14ac:dyDescent="0.25">
      <c r="A927">
        <v>0</v>
      </c>
      <c r="B927">
        <v>-0.13600000000000001</v>
      </c>
      <c r="C927">
        <f t="shared" si="28"/>
        <v>1.3124222769649847</v>
      </c>
      <c r="D927">
        <v>0</v>
      </c>
      <c r="E927">
        <f t="shared" si="29"/>
        <v>4.8300015424257686E-2</v>
      </c>
    </row>
    <row r="928" spans="1:5" x14ac:dyDescent="0.25">
      <c r="A928">
        <v>0</v>
      </c>
      <c r="B928">
        <v>-0.13600000000000001</v>
      </c>
      <c r="C928">
        <f t="shared" si="28"/>
        <v>1.3124222769649847</v>
      </c>
      <c r="D928">
        <v>0</v>
      </c>
      <c r="E928">
        <f t="shared" si="29"/>
        <v>4.8300015424257686E-2</v>
      </c>
    </row>
    <row r="929" spans="1:5" x14ac:dyDescent="0.25">
      <c r="A929">
        <v>0</v>
      </c>
      <c r="B929">
        <v>-0.13600000000000001</v>
      </c>
      <c r="C929">
        <f t="shared" si="28"/>
        <v>1.3124222769649847</v>
      </c>
      <c r="D929">
        <v>0</v>
      </c>
      <c r="E929">
        <f t="shared" si="29"/>
        <v>4.8300015424257686E-2</v>
      </c>
    </row>
    <row r="930" spans="1:5" x14ac:dyDescent="0.25">
      <c r="A930">
        <v>0</v>
      </c>
      <c r="B930">
        <v>-0.13600000000000001</v>
      </c>
      <c r="C930">
        <f t="shared" si="28"/>
        <v>1.3124222769649847</v>
      </c>
      <c r="D930">
        <v>0</v>
      </c>
      <c r="E930">
        <f t="shared" si="29"/>
        <v>4.8300015424257686E-2</v>
      </c>
    </row>
    <row r="931" spans="1:5" x14ac:dyDescent="0.25">
      <c r="A931">
        <v>0</v>
      </c>
      <c r="B931">
        <v>-0.13551401869158899</v>
      </c>
      <c r="C931">
        <f t="shared" si="28"/>
        <v>1.3141707203970847</v>
      </c>
      <c r="D931">
        <v>0</v>
      </c>
      <c r="E931">
        <f t="shared" si="29"/>
        <v>4.8300015424257686E-2</v>
      </c>
    </row>
    <row r="932" spans="1:5" x14ac:dyDescent="0.25">
      <c r="A932">
        <v>0</v>
      </c>
      <c r="B932">
        <v>-0.135135135135135</v>
      </c>
      <c r="C932">
        <f t="shared" si="28"/>
        <v>1.3155318258209854</v>
      </c>
      <c r="D932">
        <v>0</v>
      </c>
      <c r="E932">
        <f t="shared" si="29"/>
        <v>4.8300015424257686E-2</v>
      </c>
    </row>
    <row r="933" spans="1:5" x14ac:dyDescent="0.25">
      <c r="A933">
        <v>0</v>
      </c>
      <c r="B933">
        <v>-0.135135135135135</v>
      </c>
      <c r="C933">
        <f t="shared" si="28"/>
        <v>1.3155318258209854</v>
      </c>
      <c r="D933">
        <v>0</v>
      </c>
      <c r="E933">
        <f t="shared" si="29"/>
        <v>4.8300015424257686E-2</v>
      </c>
    </row>
    <row r="934" spans="1:5" x14ac:dyDescent="0.25">
      <c r="A934">
        <v>0</v>
      </c>
      <c r="B934">
        <v>-0.135135135135135</v>
      </c>
      <c r="C934">
        <f t="shared" si="28"/>
        <v>1.3155318258209854</v>
      </c>
      <c r="D934">
        <v>0</v>
      </c>
      <c r="E934">
        <f t="shared" si="29"/>
        <v>4.8300015424257686E-2</v>
      </c>
    </row>
    <row r="935" spans="1:5" x14ac:dyDescent="0.25">
      <c r="A935">
        <v>0</v>
      </c>
      <c r="B935">
        <v>-0.135135135135135</v>
      </c>
      <c r="C935">
        <f t="shared" si="28"/>
        <v>1.3155318258209854</v>
      </c>
      <c r="D935">
        <v>0</v>
      </c>
      <c r="E935">
        <f t="shared" si="29"/>
        <v>4.8300015424257686E-2</v>
      </c>
    </row>
    <row r="936" spans="1:5" x14ac:dyDescent="0.25">
      <c r="A936">
        <v>0</v>
      </c>
      <c r="B936">
        <v>-0.135135135135135</v>
      </c>
      <c r="C936">
        <f t="shared" si="28"/>
        <v>1.3155318258209854</v>
      </c>
      <c r="D936">
        <v>0</v>
      </c>
      <c r="E936">
        <f t="shared" si="29"/>
        <v>4.8300015424257686E-2</v>
      </c>
    </row>
    <row r="937" spans="1:5" x14ac:dyDescent="0.25">
      <c r="A937">
        <v>0</v>
      </c>
      <c r="B937">
        <v>-0.135135135135135</v>
      </c>
      <c r="C937">
        <f t="shared" si="28"/>
        <v>1.3155318258209854</v>
      </c>
      <c r="D937">
        <v>0</v>
      </c>
      <c r="E937">
        <f t="shared" si="29"/>
        <v>4.8300015424257686E-2</v>
      </c>
    </row>
    <row r="938" spans="1:5" x14ac:dyDescent="0.25">
      <c r="A938">
        <v>0</v>
      </c>
      <c r="B938">
        <v>-0.13500000000000001</v>
      </c>
      <c r="C938">
        <f t="shared" si="28"/>
        <v>1.3160168554560114</v>
      </c>
      <c r="D938">
        <v>0</v>
      </c>
      <c r="E938">
        <f t="shared" si="29"/>
        <v>4.8300015424257686E-2</v>
      </c>
    </row>
    <row r="939" spans="1:5" x14ac:dyDescent="0.25">
      <c r="A939">
        <v>0</v>
      </c>
      <c r="B939">
        <v>-0.13500000000000001</v>
      </c>
      <c r="C939">
        <f t="shared" si="28"/>
        <v>1.3160168554560114</v>
      </c>
      <c r="D939">
        <v>0</v>
      </c>
      <c r="E939">
        <f t="shared" si="29"/>
        <v>4.8300015424257686E-2</v>
      </c>
    </row>
    <row r="940" spans="1:5" x14ac:dyDescent="0.25">
      <c r="A940">
        <v>0</v>
      </c>
      <c r="B940">
        <v>-0.13500000000000001</v>
      </c>
      <c r="C940">
        <f t="shared" si="28"/>
        <v>1.3160168554560114</v>
      </c>
      <c r="D940">
        <v>0</v>
      </c>
      <c r="E940">
        <f t="shared" si="29"/>
        <v>4.8300015424257686E-2</v>
      </c>
    </row>
    <row r="941" spans="1:5" x14ac:dyDescent="0.25">
      <c r="A941">
        <v>0</v>
      </c>
      <c r="B941">
        <v>-0.13500000000000001</v>
      </c>
      <c r="C941">
        <f t="shared" si="28"/>
        <v>1.3160168554560114</v>
      </c>
      <c r="D941">
        <v>0</v>
      </c>
      <c r="E941">
        <f t="shared" si="29"/>
        <v>4.8300015424257686E-2</v>
      </c>
    </row>
    <row r="942" spans="1:5" x14ac:dyDescent="0.25">
      <c r="A942">
        <v>0</v>
      </c>
      <c r="B942">
        <v>-0.134730538922156</v>
      </c>
      <c r="C942">
        <f t="shared" si="28"/>
        <v>1.3169833312079018</v>
      </c>
      <c r="D942">
        <v>0</v>
      </c>
      <c r="E942">
        <f t="shared" si="29"/>
        <v>4.8300015424257686E-2</v>
      </c>
    </row>
    <row r="943" spans="1:5" x14ac:dyDescent="0.25">
      <c r="A943">
        <v>0</v>
      </c>
      <c r="B943">
        <v>-0.134146341463415</v>
      </c>
      <c r="C943">
        <f t="shared" si="28"/>
        <v>1.3190755521977477</v>
      </c>
      <c r="D943">
        <v>0</v>
      </c>
      <c r="E943">
        <f t="shared" si="29"/>
        <v>4.8300015424257686E-2</v>
      </c>
    </row>
    <row r="944" spans="1:5" x14ac:dyDescent="0.25">
      <c r="A944">
        <v>0</v>
      </c>
      <c r="B944">
        <v>-0.134020618556701</v>
      </c>
      <c r="C944">
        <f t="shared" si="28"/>
        <v>1.3195252505588118</v>
      </c>
      <c r="D944">
        <v>0</v>
      </c>
      <c r="E944">
        <f t="shared" si="29"/>
        <v>4.8300015424257686E-2</v>
      </c>
    </row>
    <row r="945" spans="1:5" x14ac:dyDescent="0.25">
      <c r="A945">
        <v>0</v>
      </c>
      <c r="B945">
        <v>-0.133333333333333</v>
      </c>
      <c r="C945">
        <f t="shared" si="28"/>
        <v>1.3219800721932284</v>
      </c>
      <c r="D945">
        <v>0</v>
      </c>
      <c r="E945">
        <f t="shared" si="29"/>
        <v>4.8300015424257686E-2</v>
      </c>
    </row>
    <row r="946" spans="1:5" x14ac:dyDescent="0.25">
      <c r="A946">
        <v>0</v>
      </c>
      <c r="B946">
        <v>-0.133333333333333</v>
      </c>
      <c r="C946">
        <f t="shared" si="28"/>
        <v>1.3219800721932284</v>
      </c>
      <c r="D946">
        <v>0</v>
      </c>
      <c r="E946">
        <f t="shared" si="29"/>
        <v>4.8300015424257686E-2</v>
      </c>
    </row>
    <row r="947" spans="1:5" x14ac:dyDescent="0.25">
      <c r="A947">
        <v>0</v>
      </c>
      <c r="B947">
        <v>-0.133333333333333</v>
      </c>
      <c r="C947">
        <f t="shared" si="28"/>
        <v>1.3219800721932284</v>
      </c>
      <c r="D947">
        <v>0</v>
      </c>
      <c r="E947">
        <f t="shared" si="29"/>
        <v>4.8300015424257686E-2</v>
      </c>
    </row>
    <row r="948" spans="1:5" x14ac:dyDescent="0.25">
      <c r="A948">
        <v>0</v>
      </c>
      <c r="B948">
        <v>-0.133333333333333</v>
      </c>
      <c r="C948">
        <f t="shared" si="28"/>
        <v>1.3219800721932284</v>
      </c>
      <c r="D948">
        <v>0</v>
      </c>
      <c r="E948">
        <f t="shared" si="29"/>
        <v>4.8300015424257686E-2</v>
      </c>
    </row>
    <row r="949" spans="1:5" x14ac:dyDescent="0.25">
      <c r="A949">
        <v>0</v>
      </c>
      <c r="B949">
        <v>-0.133333333333333</v>
      </c>
      <c r="C949">
        <f t="shared" si="28"/>
        <v>1.3219800721932284</v>
      </c>
      <c r="D949">
        <v>0</v>
      </c>
      <c r="E949">
        <f t="shared" si="29"/>
        <v>4.8300015424257686E-2</v>
      </c>
    </row>
    <row r="950" spans="1:5" x14ac:dyDescent="0.25">
      <c r="A950">
        <v>0</v>
      </c>
      <c r="B950">
        <v>-0.133333333333333</v>
      </c>
      <c r="C950">
        <f t="shared" si="28"/>
        <v>1.3219800721932284</v>
      </c>
      <c r="D950">
        <v>0</v>
      </c>
      <c r="E950">
        <f t="shared" si="29"/>
        <v>4.8300015424257686E-2</v>
      </c>
    </row>
    <row r="951" spans="1:5" x14ac:dyDescent="0.25">
      <c r="A951">
        <v>0</v>
      </c>
      <c r="B951">
        <v>-0.133333333333333</v>
      </c>
      <c r="C951">
        <f t="shared" si="28"/>
        <v>1.3219800721932284</v>
      </c>
      <c r="D951">
        <v>0</v>
      </c>
      <c r="E951">
        <f t="shared" si="29"/>
        <v>4.8300015424257686E-2</v>
      </c>
    </row>
    <row r="952" spans="1:5" x14ac:dyDescent="0.25">
      <c r="A952">
        <v>0</v>
      </c>
      <c r="B952">
        <v>-0.133333333333333</v>
      </c>
      <c r="C952">
        <f t="shared" si="28"/>
        <v>1.3219800721932284</v>
      </c>
      <c r="D952">
        <v>0</v>
      </c>
      <c r="E952">
        <f t="shared" si="29"/>
        <v>4.8300015424257686E-2</v>
      </c>
    </row>
    <row r="953" spans="1:5" x14ac:dyDescent="0.25">
      <c r="A953">
        <v>0</v>
      </c>
      <c r="B953">
        <v>-0.133333333333333</v>
      </c>
      <c r="C953">
        <f t="shared" si="28"/>
        <v>1.3219800721932284</v>
      </c>
      <c r="D953">
        <v>0</v>
      </c>
      <c r="E953">
        <f t="shared" si="29"/>
        <v>4.8300015424257686E-2</v>
      </c>
    </row>
    <row r="954" spans="1:5" x14ac:dyDescent="0.25">
      <c r="A954">
        <v>0</v>
      </c>
      <c r="B954">
        <v>-0.133333333333333</v>
      </c>
      <c r="C954">
        <f t="shared" si="28"/>
        <v>1.3219800721932284</v>
      </c>
      <c r="D954">
        <v>0</v>
      </c>
      <c r="E954">
        <f t="shared" si="29"/>
        <v>4.8300015424257686E-2</v>
      </c>
    </row>
    <row r="955" spans="1:5" x14ac:dyDescent="0.25">
      <c r="A955">
        <v>0</v>
      </c>
      <c r="B955">
        <v>-0.13317757009345799</v>
      </c>
      <c r="C955">
        <f t="shared" si="28"/>
        <v>1.3225355892269453</v>
      </c>
      <c r="D955">
        <v>0</v>
      </c>
      <c r="E955">
        <f t="shared" si="29"/>
        <v>4.8300015424257686E-2</v>
      </c>
    </row>
    <row r="956" spans="1:5" x14ac:dyDescent="0.25">
      <c r="A956">
        <v>0</v>
      </c>
      <c r="B956">
        <v>-0.13317757009345799</v>
      </c>
      <c r="C956">
        <f t="shared" si="28"/>
        <v>1.3225355892269453</v>
      </c>
      <c r="D956">
        <v>0</v>
      </c>
      <c r="E956">
        <f t="shared" si="29"/>
        <v>4.8300015424257686E-2</v>
      </c>
    </row>
    <row r="957" spans="1:5" x14ac:dyDescent="0.25">
      <c r="A957">
        <v>0</v>
      </c>
      <c r="B957">
        <v>-0.13213213213213201</v>
      </c>
      <c r="C957">
        <f t="shared" si="28"/>
        <v>1.3262560347840817</v>
      </c>
      <c r="D957">
        <v>0</v>
      </c>
      <c r="E957">
        <f t="shared" si="29"/>
        <v>4.8300015424257686E-2</v>
      </c>
    </row>
    <row r="958" spans="1:5" x14ac:dyDescent="0.25">
      <c r="A958">
        <v>0</v>
      </c>
      <c r="B958">
        <v>-0.13213213213213201</v>
      </c>
      <c r="C958">
        <f t="shared" si="28"/>
        <v>1.3262560347840817</v>
      </c>
      <c r="D958">
        <v>0</v>
      </c>
      <c r="E958">
        <f t="shared" si="29"/>
        <v>4.8300015424257686E-2</v>
      </c>
    </row>
    <row r="959" spans="1:5" x14ac:dyDescent="0.25">
      <c r="A959">
        <v>0</v>
      </c>
      <c r="B959">
        <v>-0.13213213213213201</v>
      </c>
      <c r="C959">
        <f t="shared" si="28"/>
        <v>1.3262560347840817</v>
      </c>
      <c r="D959">
        <v>0</v>
      </c>
      <c r="E959">
        <f t="shared" si="29"/>
        <v>4.8300015424257686E-2</v>
      </c>
    </row>
    <row r="960" spans="1:5" x14ac:dyDescent="0.25">
      <c r="A960">
        <v>0</v>
      </c>
      <c r="B960">
        <v>-0.13213213213213201</v>
      </c>
      <c r="C960">
        <f t="shared" si="28"/>
        <v>1.3262560347840817</v>
      </c>
      <c r="D960">
        <v>0</v>
      </c>
      <c r="E960">
        <f t="shared" si="29"/>
        <v>4.8300015424257686E-2</v>
      </c>
    </row>
    <row r="961" spans="1:5" x14ac:dyDescent="0.25">
      <c r="A961">
        <v>0</v>
      </c>
      <c r="B961">
        <v>-0.13200000000000001</v>
      </c>
      <c r="C961">
        <f t="shared" si="28"/>
        <v>1.3267252595289034</v>
      </c>
      <c r="D961">
        <v>0</v>
      </c>
      <c r="E961">
        <f t="shared" si="29"/>
        <v>4.8300015424257686E-2</v>
      </c>
    </row>
    <row r="962" spans="1:5" x14ac:dyDescent="0.25">
      <c r="A962">
        <v>0</v>
      </c>
      <c r="B962">
        <v>-0.13200000000000001</v>
      </c>
      <c r="C962">
        <f t="shared" ref="C962:C1025" si="30">_xlfn.NORM.DIST(B962,I$10,I$13,FALSE)</f>
        <v>1.3267252595289034</v>
      </c>
      <c r="D962">
        <v>0</v>
      </c>
      <c r="E962">
        <f t="shared" si="29"/>
        <v>4.8300015424257686E-2</v>
      </c>
    </row>
    <row r="963" spans="1:5" x14ac:dyDescent="0.25">
      <c r="A963">
        <v>0</v>
      </c>
      <c r="B963">
        <v>-0.13200000000000001</v>
      </c>
      <c r="C963">
        <f t="shared" si="30"/>
        <v>1.3267252595289034</v>
      </c>
      <c r="D963">
        <v>0</v>
      </c>
      <c r="E963">
        <f t="shared" ref="E963:E1026" si="31">_xlfn.NORM.DIST(D963,I$4,I$7,FALSE)</f>
        <v>4.8300015424257686E-2</v>
      </c>
    </row>
    <row r="964" spans="1:5" x14ac:dyDescent="0.25">
      <c r="A964">
        <v>0</v>
      </c>
      <c r="B964">
        <v>-0.13200000000000001</v>
      </c>
      <c r="C964">
        <f t="shared" si="30"/>
        <v>1.3267252595289034</v>
      </c>
      <c r="D964">
        <v>0</v>
      </c>
      <c r="E964">
        <f t="shared" si="31"/>
        <v>4.8300015424257686E-2</v>
      </c>
    </row>
    <row r="965" spans="1:5" x14ac:dyDescent="0.25">
      <c r="A965">
        <v>0</v>
      </c>
      <c r="B965">
        <v>-0.13186813186813201</v>
      </c>
      <c r="C965">
        <f t="shared" si="30"/>
        <v>1.3271933219287551</v>
      </c>
      <c r="D965">
        <v>0</v>
      </c>
      <c r="E965">
        <f t="shared" si="31"/>
        <v>4.8300015424257686E-2</v>
      </c>
    </row>
    <row r="966" spans="1:5" x14ac:dyDescent="0.25">
      <c r="A966">
        <v>0</v>
      </c>
      <c r="B966">
        <v>-0.13173652694610799</v>
      </c>
      <c r="C966">
        <f t="shared" si="30"/>
        <v>1.3276602257829109</v>
      </c>
      <c r="D966">
        <v>0</v>
      </c>
      <c r="E966">
        <f t="shared" si="31"/>
        <v>4.8300015424257686E-2</v>
      </c>
    </row>
    <row r="967" spans="1:5" x14ac:dyDescent="0.25">
      <c r="A967">
        <v>0</v>
      </c>
      <c r="B967">
        <v>-0.13166666666666699</v>
      </c>
      <c r="C967">
        <f t="shared" si="30"/>
        <v>1.3279079827516604</v>
      </c>
      <c r="D967">
        <v>0</v>
      </c>
      <c r="E967">
        <f t="shared" si="31"/>
        <v>4.8300015424257686E-2</v>
      </c>
    </row>
    <row r="968" spans="1:5" x14ac:dyDescent="0.25">
      <c r="A968">
        <v>0</v>
      </c>
      <c r="B968">
        <v>-0.13166666666666699</v>
      </c>
      <c r="C968">
        <f t="shared" si="30"/>
        <v>1.3279079827516604</v>
      </c>
      <c r="D968">
        <v>0</v>
      </c>
      <c r="E968">
        <f t="shared" si="31"/>
        <v>4.8300015424257686E-2</v>
      </c>
    </row>
    <row r="969" spans="1:5" x14ac:dyDescent="0.25">
      <c r="A969">
        <v>0</v>
      </c>
      <c r="B969">
        <v>-0.13084112149532701</v>
      </c>
      <c r="C969">
        <f t="shared" si="30"/>
        <v>1.3308309416647264</v>
      </c>
      <c r="D969">
        <v>0</v>
      </c>
      <c r="E969">
        <f t="shared" si="31"/>
        <v>4.8300015424257686E-2</v>
      </c>
    </row>
    <row r="970" spans="1:5" x14ac:dyDescent="0.25">
      <c r="A970">
        <v>0</v>
      </c>
      <c r="B970">
        <v>-0.13084112149532701</v>
      </c>
      <c r="C970">
        <f t="shared" si="30"/>
        <v>1.3308309416647264</v>
      </c>
      <c r="D970">
        <v>0</v>
      </c>
      <c r="E970">
        <f t="shared" si="31"/>
        <v>4.8300015424257686E-2</v>
      </c>
    </row>
    <row r="971" spans="1:5" x14ac:dyDescent="0.25">
      <c r="A971">
        <v>0</v>
      </c>
      <c r="B971">
        <v>-0.13084112149532701</v>
      </c>
      <c r="C971">
        <f t="shared" si="30"/>
        <v>1.3308309416647264</v>
      </c>
      <c r="D971">
        <v>0</v>
      </c>
      <c r="E971">
        <f t="shared" si="31"/>
        <v>4.8300015424257686E-2</v>
      </c>
    </row>
    <row r="972" spans="1:5" x14ac:dyDescent="0.25">
      <c r="A972">
        <v>0</v>
      </c>
      <c r="B972">
        <v>-0.13066666666666699</v>
      </c>
      <c r="C972">
        <f t="shared" si="30"/>
        <v>1.331447484185184</v>
      </c>
      <c r="D972">
        <v>0</v>
      </c>
      <c r="E972">
        <f t="shared" si="31"/>
        <v>4.8300015424257686E-2</v>
      </c>
    </row>
    <row r="973" spans="1:5" x14ac:dyDescent="0.25">
      <c r="A973">
        <v>0</v>
      </c>
      <c r="B973">
        <v>-0.13066666666666699</v>
      </c>
      <c r="C973">
        <f t="shared" si="30"/>
        <v>1.331447484185184</v>
      </c>
      <c r="D973">
        <v>0</v>
      </c>
      <c r="E973">
        <f t="shared" si="31"/>
        <v>4.8300015424257686E-2</v>
      </c>
    </row>
    <row r="974" spans="1:5" x14ac:dyDescent="0.25">
      <c r="A974">
        <v>0</v>
      </c>
      <c r="B974">
        <v>-0.13066666666666699</v>
      </c>
      <c r="C974">
        <f t="shared" si="30"/>
        <v>1.331447484185184</v>
      </c>
      <c r="D974">
        <v>0</v>
      </c>
      <c r="E974">
        <f t="shared" si="31"/>
        <v>4.8300015424257686E-2</v>
      </c>
    </row>
    <row r="975" spans="1:5" x14ac:dyDescent="0.25">
      <c r="A975">
        <v>0</v>
      </c>
      <c r="B975">
        <v>-0.130536130536131</v>
      </c>
      <c r="C975">
        <f t="shared" si="30"/>
        <v>1.331908552032609</v>
      </c>
      <c r="D975">
        <v>0</v>
      </c>
      <c r="E975">
        <f t="shared" si="31"/>
        <v>4.8300015424257686E-2</v>
      </c>
    </row>
    <row r="976" spans="1:5" x14ac:dyDescent="0.25">
      <c r="A976">
        <v>0</v>
      </c>
      <c r="B976">
        <v>-0.130536130536131</v>
      </c>
      <c r="C976">
        <f t="shared" si="30"/>
        <v>1.331908552032609</v>
      </c>
      <c r="D976">
        <v>0</v>
      </c>
      <c r="E976">
        <f t="shared" si="31"/>
        <v>4.8300015424257686E-2</v>
      </c>
    </row>
    <row r="977" spans="1:5" x14ac:dyDescent="0.25">
      <c r="A977">
        <v>0</v>
      </c>
      <c r="B977">
        <v>-0.13043478260869601</v>
      </c>
      <c r="C977">
        <f t="shared" si="30"/>
        <v>1.3322663695506343</v>
      </c>
      <c r="D977">
        <v>0</v>
      </c>
      <c r="E977">
        <f t="shared" si="31"/>
        <v>4.8300015424257686E-2</v>
      </c>
    </row>
    <row r="978" spans="1:5" x14ac:dyDescent="0.25">
      <c r="A978">
        <v>0</v>
      </c>
      <c r="B978">
        <v>-0.13</v>
      </c>
      <c r="C978">
        <f t="shared" si="30"/>
        <v>1.3337998711246348</v>
      </c>
      <c r="D978">
        <v>0</v>
      </c>
      <c r="E978">
        <f t="shared" si="31"/>
        <v>4.8300015424257686E-2</v>
      </c>
    </row>
    <row r="979" spans="1:5" x14ac:dyDescent="0.25">
      <c r="A979">
        <v>0</v>
      </c>
      <c r="B979">
        <v>-0.13</v>
      </c>
      <c r="C979">
        <f t="shared" si="30"/>
        <v>1.3337998711246348</v>
      </c>
      <c r="D979">
        <v>0</v>
      </c>
      <c r="E979">
        <f t="shared" si="31"/>
        <v>4.8300015424257686E-2</v>
      </c>
    </row>
    <row r="980" spans="1:5" x14ac:dyDescent="0.25">
      <c r="A980">
        <v>0</v>
      </c>
      <c r="B980">
        <v>-0.13</v>
      </c>
      <c r="C980">
        <f t="shared" si="30"/>
        <v>1.3337998711246348</v>
      </c>
      <c r="D980">
        <v>0</v>
      </c>
      <c r="E980">
        <f t="shared" si="31"/>
        <v>4.8300015424257686E-2</v>
      </c>
    </row>
    <row r="981" spans="1:5" x14ac:dyDescent="0.25">
      <c r="A981">
        <v>0</v>
      </c>
      <c r="B981">
        <v>-0.13</v>
      </c>
      <c r="C981">
        <f t="shared" si="30"/>
        <v>1.3337998711246348</v>
      </c>
      <c r="D981">
        <v>0</v>
      </c>
      <c r="E981">
        <f t="shared" si="31"/>
        <v>4.8300015424257686E-2</v>
      </c>
    </row>
    <row r="982" spans="1:5" x14ac:dyDescent="0.25">
      <c r="A982">
        <v>0</v>
      </c>
      <c r="B982">
        <v>-0.13</v>
      </c>
      <c r="C982">
        <f t="shared" si="30"/>
        <v>1.3337998711246348</v>
      </c>
      <c r="D982">
        <v>0</v>
      </c>
      <c r="E982">
        <f t="shared" si="31"/>
        <v>4.8300015424257686E-2</v>
      </c>
    </row>
    <row r="983" spans="1:5" x14ac:dyDescent="0.25">
      <c r="A983">
        <v>0</v>
      </c>
      <c r="B983">
        <v>-0.13</v>
      </c>
      <c r="C983">
        <f t="shared" si="30"/>
        <v>1.3337998711246348</v>
      </c>
      <c r="D983">
        <v>0</v>
      </c>
      <c r="E983">
        <f t="shared" si="31"/>
        <v>4.8300015424257686E-2</v>
      </c>
    </row>
    <row r="984" spans="1:5" x14ac:dyDescent="0.25">
      <c r="A984">
        <v>0</v>
      </c>
      <c r="B984">
        <v>-0.12933333333333299</v>
      </c>
      <c r="C984">
        <f t="shared" si="30"/>
        <v>1.3361463802329094</v>
      </c>
      <c r="D984">
        <v>0</v>
      </c>
      <c r="E984">
        <f t="shared" si="31"/>
        <v>4.8300015424257686E-2</v>
      </c>
    </row>
    <row r="985" spans="1:5" x14ac:dyDescent="0.25">
      <c r="A985">
        <v>0</v>
      </c>
      <c r="B985">
        <v>-0.12933333333333299</v>
      </c>
      <c r="C985">
        <f t="shared" si="30"/>
        <v>1.3361463802329094</v>
      </c>
      <c r="D985">
        <v>0</v>
      </c>
      <c r="E985">
        <f t="shared" si="31"/>
        <v>4.8300015424257686E-2</v>
      </c>
    </row>
    <row r="986" spans="1:5" x14ac:dyDescent="0.25">
      <c r="A986">
        <v>0</v>
      </c>
      <c r="B986">
        <v>-0.12933333333333299</v>
      </c>
      <c r="C986">
        <f t="shared" si="30"/>
        <v>1.3361463802329094</v>
      </c>
      <c r="D986">
        <v>0</v>
      </c>
      <c r="E986">
        <f t="shared" si="31"/>
        <v>4.8300015424257686E-2</v>
      </c>
    </row>
    <row r="987" spans="1:5" x14ac:dyDescent="0.25">
      <c r="A987">
        <v>0</v>
      </c>
      <c r="B987">
        <v>-0.12931034482758599</v>
      </c>
      <c r="C987">
        <f t="shared" si="30"/>
        <v>1.3362271889517368</v>
      </c>
      <c r="D987">
        <v>0</v>
      </c>
      <c r="E987">
        <f t="shared" si="31"/>
        <v>4.8300015424257686E-2</v>
      </c>
    </row>
    <row r="988" spans="1:5" x14ac:dyDescent="0.25">
      <c r="A988">
        <v>0</v>
      </c>
      <c r="B988">
        <v>-0.12912912912912899</v>
      </c>
      <c r="C988">
        <f t="shared" si="30"/>
        <v>1.3368639478056257</v>
      </c>
      <c r="D988">
        <v>0</v>
      </c>
      <c r="E988">
        <f t="shared" si="31"/>
        <v>4.8300015424257686E-2</v>
      </c>
    </row>
    <row r="989" spans="1:5" x14ac:dyDescent="0.25">
      <c r="A989">
        <v>0</v>
      </c>
      <c r="B989">
        <v>-0.12903225806451599</v>
      </c>
      <c r="C989">
        <f t="shared" si="30"/>
        <v>1.3372041551468286</v>
      </c>
      <c r="D989">
        <v>0</v>
      </c>
      <c r="E989">
        <f t="shared" si="31"/>
        <v>4.8300015424257686E-2</v>
      </c>
    </row>
    <row r="990" spans="1:5" x14ac:dyDescent="0.25">
      <c r="A990">
        <v>0</v>
      </c>
      <c r="B990">
        <v>-0.129</v>
      </c>
      <c r="C990">
        <f t="shared" si="30"/>
        <v>1.3373174163437913</v>
      </c>
      <c r="D990">
        <v>0</v>
      </c>
      <c r="E990">
        <f t="shared" si="31"/>
        <v>4.8300015424257686E-2</v>
      </c>
    </row>
    <row r="991" spans="1:5" x14ac:dyDescent="0.25">
      <c r="A991">
        <v>0</v>
      </c>
      <c r="B991">
        <v>-0.12874251497006001</v>
      </c>
      <c r="C991">
        <f t="shared" si="30"/>
        <v>1.3382209717885087</v>
      </c>
      <c r="D991">
        <v>0</v>
      </c>
      <c r="E991">
        <f t="shared" si="31"/>
        <v>4.8300015424257686E-2</v>
      </c>
    </row>
    <row r="992" spans="1:5" x14ac:dyDescent="0.25">
      <c r="A992">
        <v>0</v>
      </c>
      <c r="B992">
        <v>-0.12833333333333299</v>
      </c>
      <c r="C992">
        <f t="shared" si="30"/>
        <v>1.3396550231950168</v>
      </c>
      <c r="D992">
        <v>0</v>
      </c>
      <c r="E992">
        <f t="shared" si="31"/>
        <v>4.8300015424257686E-2</v>
      </c>
    </row>
    <row r="993" spans="1:5" x14ac:dyDescent="0.25">
      <c r="A993">
        <v>0</v>
      </c>
      <c r="B993">
        <v>-0.128205128205128</v>
      </c>
      <c r="C993">
        <f t="shared" si="30"/>
        <v>1.3401038774527267</v>
      </c>
      <c r="D993">
        <v>0</v>
      </c>
      <c r="E993">
        <f t="shared" si="31"/>
        <v>4.8300015424257686E-2</v>
      </c>
    </row>
    <row r="994" spans="1:5" x14ac:dyDescent="0.25">
      <c r="A994">
        <v>0</v>
      </c>
      <c r="B994">
        <v>-0.128</v>
      </c>
      <c r="C994">
        <f t="shared" si="30"/>
        <v>1.3408215825519374</v>
      </c>
      <c r="D994">
        <v>0</v>
      </c>
      <c r="E994">
        <f t="shared" si="31"/>
        <v>4.8300015424257686E-2</v>
      </c>
    </row>
    <row r="995" spans="1:5" x14ac:dyDescent="0.25">
      <c r="A995">
        <v>0</v>
      </c>
      <c r="B995">
        <v>-0.128</v>
      </c>
      <c r="C995">
        <f t="shared" si="30"/>
        <v>1.3408215825519374</v>
      </c>
      <c r="D995">
        <v>0</v>
      </c>
      <c r="E995">
        <f t="shared" si="31"/>
        <v>4.8300015424257686E-2</v>
      </c>
    </row>
    <row r="996" spans="1:5" x14ac:dyDescent="0.25">
      <c r="A996">
        <v>0</v>
      </c>
      <c r="B996">
        <v>-0.128</v>
      </c>
      <c r="C996">
        <f t="shared" si="30"/>
        <v>1.3408215825519374</v>
      </c>
      <c r="D996">
        <v>0</v>
      </c>
      <c r="E996">
        <f t="shared" si="31"/>
        <v>4.8300015424257686E-2</v>
      </c>
    </row>
    <row r="997" spans="1:5" x14ac:dyDescent="0.25">
      <c r="A997">
        <v>0</v>
      </c>
      <c r="B997">
        <v>-0.128</v>
      </c>
      <c r="C997">
        <f t="shared" si="30"/>
        <v>1.3408215825519374</v>
      </c>
      <c r="D997">
        <v>0</v>
      </c>
      <c r="E997">
        <f t="shared" si="31"/>
        <v>4.8300015424257686E-2</v>
      </c>
    </row>
    <row r="998" spans="1:5" x14ac:dyDescent="0.25">
      <c r="A998">
        <v>0</v>
      </c>
      <c r="B998">
        <v>-0.128</v>
      </c>
      <c r="C998">
        <f t="shared" si="30"/>
        <v>1.3408215825519374</v>
      </c>
      <c r="D998">
        <v>0</v>
      </c>
      <c r="E998">
        <f t="shared" si="31"/>
        <v>4.8300015424257686E-2</v>
      </c>
    </row>
    <row r="999" spans="1:5" x14ac:dyDescent="0.25">
      <c r="A999">
        <v>0</v>
      </c>
      <c r="B999">
        <v>-0.12765957446808501</v>
      </c>
      <c r="C999">
        <f t="shared" si="30"/>
        <v>1.3420114103216323</v>
      </c>
      <c r="D999">
        <v>0</v>
      </c>
      <c r="E999">
        <f t="shared" si="31"/>
        <v>4.8300015424257686E-2</v>
      </c>
    </row>
    <row r="1000" spans="1:5" x14ac:dyDescent="0.25">
      <c r="A1000">
        <v>0</v>
      </c>
      <c r="B1000">
        <v>-0.12666666666666701</v>
      </c>
      <c r="C1000">
        <f t="shared" si="30"/>
        <v>1.3454727268779654</v>
      </c>
      <c r="D1000">
        <v>0</v>
      </c>
      <c r="E1000">
        <f t="shared" si="31"/>
        <v>4.8300015424257686E-2</v>
      </c>
    </row>
    <row r="1001" spans="1:5" x14ac:dyDescent="0.25">
      <c r="A1001">
        <v>0</v>
      </c>
      <c r="B1001">
        <v>-0.12666666666666701</v>
      </c>
      <c r="C1001">
        <f t="shared" si="30"/>
        <v>1.3454727268779654</v>
      </c>
      <c r="D1001">
        <v>0</v>
      </c>
      <c r="E1001">
        <f t="shared" si="31"/>
        <v>4.8300015424257686E-2</v>
      </c>
    </row>
    <row r="1002" spans="1:5" x14ac:dyDescent="0.25">
      <c r="A1002">
        <v>0</v>
      </c>
      <c r="B1002">
        <v>-0.12666666666666701</v>
      </c>
      <c r="C1002">
        <f t="shared" si="30"/>
        <v>1.3454727268779654</v>
      </c>
      <c r="D1002">
        <v>0</v>
      </c>
      <c r="E1002">
        <f t="shared" si="31"/>
        <v>4.8300015424257686E-2</v>
      </c>
    </row>
    <row r="1003" spans="1:5" x14ac:dyDescent="0.25">
      <c r="A1003">
        <v>0</v>
      </c>
      <c r="B1003">
        <v>-0.12666666666666701</v>
      </c>
      <c r="C1003">
        <f t="shared" si="30"/>
        <v>1.3454727268779654</v>
      </c>
      <c r="D1003">
        <v>0</v>
      </c>
      <c r="E1003">
        <f t="shared" si="31"/>
        <v>4.8300015424257686E-2</v>
      </c>
    </row>
    <row r="1004" spans="1:5" x14ac:dyDescent="0.25">
      <c r="A1004">
        <v>0</v>
      </c>
      <c r="B1004">
        <v>-0.12666666666666701</v>
      </c>
      <c r="C1004">
        <f t="shared" si="30"/>
        <v>1.3454727268779654</v>
      </c>
      <c r="D1004">
        <v>0</v>
      </c>
      <c r="E1004">
        <f t="shared" si="31"/>
        <v>4.8300015424257686E-2</v>
      </c>
    </row>
    <row r="1005" spans="1:5" x14ac:dyDescent="0.25">
      <c r="A1005">
        <v>0</v>
      </c>
      <c r="B1005">
        <v>-0.12666666666666701</v>
      </c>
      <c r="C1005">
        <f t="shared" si="30"/>
        <v>1.3454727268779654</v>
      </c>
      <c r="D1005">
        <v>0</v>
      </c>
      <c r="E1005">
        <f t="shared" si="31"/>
        <v>4.8300015424257686E-2</v>
      </c>
    </row>
    <row r="1006" spans="1:5" x14ac:dyDescent="0.25">
      <c r="A1006">
        <v>0</v>
      </c>
      <c r="B1006">
        <v>-0.12616822429906499</v>
      </c>
      <c r="C1006">
        <f t="shared" si="30"/>
        <v>1.347205220682451</v>
      </c>
      <c r="D1006">
        <v>0</v>
      </c>
      <c r="E1006">
        <f t="shared" si="31"/>
        <v>4.8300015424257686E-2</v>
      </c>
    </row>
    <row r="1007" spans="1:5" x14ac:dyDescent="0.25">
      <c r="A1007">
        <v>0</v>
      </c>
      <c r="B1007">
        <v>-0.126126126126126</v>
      </c>
      <c r="C1007">
        <f t="shared" si="30"/>
        <v>1.3473513892710036</v>
      </c>
      <c r="D1007">
        <v>0</v>
      </c>
      <c r="E1007">
        <f t="shared" si="31"/>
        <v>4.8300015424257686E-2</v>
      </c>
    </row>
    <row r="1008" spans="1:5" x14ac:dyDescent="0.25">
      <c r="A1008">
        <v>0</v>
      </c>
      <c r="B1008">
        <v>-0.126</v>
      </c>
      <c r="C1008">
        <f t="shared" si="30"/>
        <v>1.347789163706552</v>
      </c>
      <c r="D1008">
        <v>0</v>
      </c>
      <c r="E1008">
        <f t="shared" si="31"/>
        <v>4.8300015424257686E-2</v>
      </c>
    </row>
    <row r="1009" spans="1:5" x14ac:dyDescent="0.25">
      <c r="A1009">
        <v>0</v>
      </c>
      <c r="B1009">
        <v>-0.126</v>
      </c>
      <c r="C1009">
        <f t="shared" si="30"/>
        <v>1.347789163706552</v>
      </c>
      <c r="D1009">
        <v>0</v>
      </c>
      <c r="E1009">
        <f t="shared" si="31"/>
        <v>4.8300015424257686E-2</v>
      </c>
    </row>
    <row r="1010" spans="1:5" x14ac:dyDescent="0.25">
      <c r="A1010">
        <v>0</v>
      </c>
      <c r="B1010">
        <v>-0.125874125874126</v>
      </c>
      <c r="C1010">
        <f t="shared" si="30"/>
        <v>1.3482258439785555</v>
      </c>
      <c r="D1010">
        <v>0</v>
      </c>
      <c r="E1010">
        <f t="shared" si="31"/>
        <v>4.8300015424257686E-2</v>
      </c>
    </row>
    <row r="1011" spans="1:5" x14ac:dyDescent="0.25">
      <c r="A1011">
        <v>0</v>
      </c>
      <c r="B1011">
        <v>-0.125874125874126</v>
      </c>
      <c r="C1011">
        <f t="shared" si="30"/>
        <v>1.3482258439785555</v>
      </c>
      <c r="D1011">
        <v>0</v>
      </c>
      <c r="E1011">
        <f t="shared" si="31"/>
        <v>4.8300015424257686E-2</v>
      </c>
    </row>
    <row r="1012" spans="1:5" x14ac:dyDescent="0.25">
      <c r="A1012">
        <v>0</v>
      </c>
      <c r="B1012">
        <v>-0.125874125874126</v>
      </c>
      <c r="C1012">
        <f t="shared" si="30"/>
        <v>1.3482258439785555</v>
      </c>
      <c r="D1012">
        <v>0</v>
      </c>
      <c r="E1012">
        <f t="shared" si="31"/>
        <v>4.8300015424257686E-2</v>
      </c>
    </row>
    <row r="1013" spans="1:5" x14ac:dyDescent="0.25">
      <c r="A1013">
        <v>0</v>
      </c>
      <c r="B1013">
        <v>-0.12554112554112601</v>
      </c>
      <c r="C1013">
        <f t="shared" si="30"/>
        <v>1.3493800231762472</v>
      </c>
      <c r="D1013">
        <v>0</v>
      </c>
      <c r="E1013">
        <f t="shared" si="31"/>
        <v>4.8300015424257686E-2</v>
      </c>
    </row>
    <row r="1014" spans="1:5" x14ac:dyDescent="0.25">
      <c r="A1014">
        <v>0</v>
      </c>
      <c r="B1014">
        <v>-0.12533333333333299</v>
      </c>
      <c r="C1014">
        <f t="shared" si="30"/>
        <v>1.3500994498493575</v>
      </c>
      <c r="D1014">
        <v>0</v>
      </c>
      <c r="E1014">
        <f t="shared" si="31"/>
        <v>4.8300015424257686E-2</v>
      </c>
    </row>
    <row r="1015" spans="1:5" x14ac:dyDescent="0.25">
      <c r="A1015">
        <v>0</v>
      </c>
      <c r="B1015">
        <v>-0.12533333333333299</v>
      </c>
      <c r="C1015">
        <f t="shared" si="30"/>
        <v>1.3500994498493575</v>
      </c>
      <c r="D1015">
        <v>0</v>
      </c>
      <c r="E1015">
        <f t="shared" si="31"/>
        <v>4.8300015424257686E-2</v>
      </c>
    </row>
    <row r="1016" spans="1:5" x14ac:dyDescent="0.25">
      <c r="A1016">
        <v>0</v>
      </c>
      <c r="B1016">
        <v>-0.12533333333333299</v>
      </c>
      <c r="C1016">
        <f t="shared" si="30"/>
        <v>1.3500994498493575</v>
      </c>
      <c r="D1016">
        <v>0</v>
      </c>
      <c r="E1016">
        <f t="shared" si="31"/>
        <v>4.8300015424257686E-2</v>
      </c>
    </row>
    <row r="1017" spans="1:5" x14ac:dyDescent="0.25">
      <c r="A1017">
        <v>0</v>
      </c>
      <c r="B1017">
        <v>-0.12533333333333299</v>
      </c>
      <c r="C1017">
        <f t="shared" si="30"/>
        <v>1.3500994498493575</v>
      </c>
      <c r="D1017">
        <v>0</v>
      </c>
      <c r="E1017">
        <f t="shared" si="31"/>
        <v>4.8300015424257686E-2</v>
      </c>
    </row>
    <row r="1018" spans="1:5" x14ac:dyDescent="0.25">
      <c r="A1018">
        <v>0</v>
      </c>
      <c r="B1018">
        <v>-0.12533333333333299</v>
      </c>
      <c r="C1018">
        <f t="shared" si="30"/>
        <v>1.3500994498493575</v>
      </c>
      <c r="D1018">
        <v>0</v>
      </c>
      <c r="E1018">
        <f t="shared" si="31"/>
        <v>4.8300015424257686E-2</v>
      </c>
    </row>
    <row r="1019" spans="1:5" x14ac:dyDescent="0.25">
      <c r="A1019">
        <v>0</v>
      </c>
      <c r="B1019">
        <v>-0.12533333333333299</v>
      </c>
      <c r="C1019">
        <f t="shared" si="30"/>
        <v>1.3500994498493575</v>
      </c>
      <c r="D1019">
        <v>0</v>
      </c>
      <c r="E1019">
        <f t="shared" si="31"/>
        <v>4.8300015424257686E-2</v>
      </c>
    </row>
    <row r="1020" spans="1:5" x14ac:dyDescent="0.25">
      <c r="A1020">
        <v>0</v>
      </c>
      <c r="B1020">
        <v>-0.12533333333333299</v>
      </c>
      <c r="C1020">
        <f t="shared" si="30"/>
        <v>1.3500994498493575</v>
      </c>
      <c r="D1020">
        <v>0</v>
      </c>
      <c r="E1020">
        <f t="shared" si="31"/>
        <v>4.8300015424257686E-2</v>
      </c>
    </row>
    <row r="1021" spans="1:5" x14ac:dyDescent="0.25">
      <c r="A1021">
        <v>0</v>
      </c>
      <c r="B1021">
        <v>-0.12533333333333299</v>
      </c>
      <c r="C1021">
        <f t="shared" si="30"/>
        <v>1.3500994498493575</v>
      </c>
      <c r="D1021">
        <v>0</v>
      </c>
      <c r="E1021">
        <f t="shared" si="31"/>
        <v>4.8300015424257686E-2</v>
      </c>
    </row>
    <row r="1022" spans="1:5" x14ac:dyDescent="0.25">
      <c r="A1022">
        <v>0</v>
      </c>
      <c r="B1022">
        <v>-0.12533333333333299</v>
      </c>
      <c r="C1022">
        <f t="shared" si="30"/>
        <v>1.3500994498493575</v>
      </c>
      <c r="D1022">
        <v>0</v>
      </c>
      <c r="E1022">
        <f t="shared" si="31"/>
        <v>4.8300015424257686E-2</v>
      </c>
    </row>
    <row r="1023" spans="1:5" x14ac:dyDescent="0.25">
      <c r="A1023">
        <v>0</v>
      </c>
      <c r="B1023">
        <v>-0.12533333333333299</v>
      </c>
      <c r="C1023">
        <f t="shared" si="30"/>
        <v>1.3500994498493575</v>
      </c>
      <c r="D1023">
        <v>0</v>
      </c>
      <c r="E1023">
        <f t="shared" si="31"/>
        <v>4.8300015424257686E-2</v>
      </c>
    </row>
    <row r="1024" spans="1:5" x14ac:dyDescent="0.25">
      <c r="A1024">
        <v>0</v>
      </c>
      <c r="B1024">
        <v>-0.125</v>
      </c>
      <c r="C1024">
        <f t="shared" si="30"/>
        <v>1.3512522722638394</v>
      </c>
      <c r="D1024">
        <v>0</v>
      </c>
      <c r="E1024">
        <f t="shared" si="31"/>
        <v>4.8300015424257686E-2</v>
      </c>
    </row>
    <row r="1025" spans="1:5" x14ac:dyDescent="0.25">
      <c r="A1025">
        <v>0</v>
      </c>
      <c r="B1025">
        <v>-0.125</v>
      </c>
      <c r="C1025">
        <f t="shared" si="30"/>
        <v>1.3512522722638394</v>
      </c>
      <c r="D1025">
        <v>0</v>
      </c>
      <c r="E1025">
        <f t="shared" si="31"/>
        <v>4.8300015424257686E-2</v>
      </c>
    </row>
    <row r="1026" spans="1:5" x14ac:dyDescent="0.25">
      <c r="A1026">
        <v>0</v>
      </c>
      <c r="B1026">
        <v>-0.125</v>
      </c>
      <c r="C1026">
        <f t="shared" ref="C1026:C1089" si="32">_xlfn.NORM.DIST(B1026,I$10,I$13,FALSE)</f>
        <v>1.3512522722638394</v>
      </c>
      <c r="D1026">
        <v>0</v>
      </c>
      <c r="E1026">
        <f t="shared" si="31"/>
        <v>4.8300015424257686E-2</v>
      </c>
    </row>
    <row r="1027" spans="1:5" x14ac:dyDescent="0.25">
      <c r="A1027">
        <v>0</v>
      </c>
      <c r="B1027">
        <v>-0.125</v>
      </c>
      <c r="C1027">
        <f t="shared" si="32"/>
        <v>1.3512522722638394</v>
      </c>
      <c r="D1027">
        <v>0</v>
      </c>
      <c r="E1027">
        <f t="shared" ref="E1027:E1090" si="33">_xlfn.NORM.DIST(D1027,I$4,I$7,FALSE)</f>
        <v>4.8300015424257686E-2</v>
      </c>
    </row>
    <row r="1028" spans="1:5" x14ac:dyDescent="0.25">
      <c r="A1028">
        <v>0</v>
      </c>
      <c r="B1028">
        <v>-0.125</v>
      </c>
      <c r="C1028">
        <f t="shared" si="32"/>
        <v>1.3512522722638394</v>
      </c>
      <c r="D1028">
        <v>0</v>
      </c>
      <c r="E1028">
        <f t="shared" si="33"/>
        <v>4.8300015424257686E-2</v>
      </c>
    </row>
    <row r="1029" spans="1:5" x14ac:dyDescent="0.25">
      <c r="A1029">
        <v>0</v>
      </c>
      <c r="B1029">
        <v>-0.124</v>
      </c>
      <c r="C1029">
        <f t="shared" si="32"/>
        <v>1.3547013890540012</v>
      </c>
      <c r="D1029">
        <v>0</v>
      </c>
      <c r="E1029">
        <f t="shared" si="33"/>
        <v>4.8300015424257686E-2</v>
      </c>
    </row>
    <row r="1030" spans="1:5" x14ac:dyDescent="0.25">
      <c r="A1030">
        <v>0</v>
      </c>
      <c r="B1030">
        <v>-0.124</v>
      </c>
      <c r="C1030">
        <f t="shared" si="32"/>
        <v>1.3547013890540012</v>
      </c>
      <c r="D1030">
        <v>0</v>
      </c>
      <c r="E1030">
        <f t="shared" si="33"/>
        <v>4.8300015424257686E-2</v>
      </c>
    </row>
    <row r="1031" spans="1:5" x14ac:dyDescent="0.25">
      <c r="A1031">
        <v>0</v>
      </c>
      <c r="B1031">
        <v>-0.124</v>
      </c>
      <c r="C1031">
        <f t="shared" si="32"/>
        <v>1.3547013890540012</v>
      </c>
      <c r="D1031">
        <v>0</v>
      </c>
      <c r="E1031">
        <f t="shared" si="33"/>
        <v>4.8300015424257686E-2</v>
      </c>
    </row>
    <row r="1032" spans="1:5" x14ac:dyDescent="0.25">
      <c r="A1032">
        <v>0</v>
      </c>
      <c r="B1032">
        <v>-0.124</v>
      </c>
      <c r="C1032">
        <f t="shared" si="32"/>
        <v>1.3547013890540012</v>
      </c>
      <c r="D1032">
        <v>0</v>
      </c>
      <c r="E1032">
        <f t="shared" si="33"/>
        <v>4.8300015424257686E-2</v>
      </c>
    </row>
    <row r="1033" spans="1:5" x14ac:dyDescent="0.25">
      <c r="A1033">
        <v>0</v>
      </c>
      <c r="B1033">
        <v>-0.124</v>
      </c>
      <c r="C1033">
        <f t="shared" si="32"/>
        <v>1.3547013890540012</v>
      </c>
      <c r="D1033">
        <v>0</v>
      </c>
      <c r="E1033">
        <f t="shared" si="33"/>
        <v>4.8300015424257686E-2</v>
      </c>
    </row>
    <row r="1034" spans="1:5" x14ac:dyDescent="0.25">
      <c r="A1034">
        <v>0</v>
      </c>
      <c r="B1034">
        <v>-0.124</v>
      </c>
      <c r="C1034">
        <f t="shared" si="32"/>
        <v>1.3547013890540012</v>
      </c>
      <c r="D1034">
        <v>0</v>
      </c>
      <c r="E1034">
        <f t="shared" si="33"/>
        <v>4.8300015424257686E-2</v>
      </c>
    </row>
    <row r="1035" spans="1:5" x14ac:dyDescent="0.25">
      <c r="A1035">
        <v>0</v>
      </c>
      <c r="B1035">
        <v>-0.124</v>
      </c>
      <c r="C1035">
        <f t="shared" si="32"/>
        <v>1.3547013890540012</v>
      </c>
      <c r="D1035">
        <v>0</v>
      </c>
      <c r="E1035">
        <f t="shared" si="33"/>
        <v>4.8300015424257686E-2</v>
      </c>
    </row>
    <row r="1036" spans="1:5" x14ac:dyDescent="0.25">
      <c r="A1036">
        <v>0</v>
      </c>
      <c r="B1036">
        <v>-0.123831775700935</v>
      </c>
      <c r="C1036">
        <f t="shared" si="32"/>
        <v>1.3552802286220778</v>
      </c>
      <c r="D1036">
        <v>0</v>
      </c>
      <c r="E1036">
        <f t="shared" si="33"/>
        <v>4.8300015424257686E-2</v>
      </c>
    </row>
    <row r="1037" spans="1:5" x14ac:dyDescent="0.25">
      <c r="A1037">
        <v>0</v>
      </c>
      <c r="B1037">
        <v>-0.123831775700935</v>
      </c>
      <c r="C1037">
        <f t="shared" si="32"/>
        <v>1.3552802286220778</v>
      </c>
      <c r="D1037">
        <v>0</v>
      </c>
      <c r="E1037">
        <f t="shared" si="33"/>
        <v>4.8300015424257686E-2</v>
      </c>
    </row>
    <row r="1038" spans="1:5" x14ac:dyDescent="0.25">
      <c r="A1038">
        <v>0</v>
      </c>
      <c r="B1038">
        <v>-0.123831775700935</v>
      </c>
      <c r="C1038">
        <f t="shared" si="32"/>
        <v>1.3552802286220778</v>
      </c>
      <c r="D1038">
        <v>0</v>
      </c>
      <c r="E1038">
        <f t="shared" si="33"/>
        <v>4.8300015424257686E-2</v>
      </c>
    </row>
    <row r="1039" spans="1:5" x14ac:dyDescent="0.25">
      <c r="A1039">
        <v>0</v>
      </c>
      <c r="B1039">
        <v>-0.12354312354312399</v>
      </c>
      <c r="C1039">
        <f t="shared" si="32"/>
        <v>1.3562725112098173</v>
      </c>
      <c r="D1039">
        <v>0</v>
      </c>
      <c r="E1039">
        <f t="shared" si="33"/>
        <v>4.8300015424257686E-2</v>
      </c>
    </row>
    <row r="1040" spans="1:5" x14ac:dyDescent="0.25">
      <c r="A1040">
        <v>0</v>
      </c>
      <c r="B1040">
        <v>-0.12354312354312399</v>
      </c>
      <c r="C1040">
        <f t="shared" si="32"/>
        <v>1.3562725112098173</v>
      </c>
      <c r="D1040">
        <v>0</v>
      </c>
      <c r="E1040">
        <f t="shared" si="33"/>
        <v>4.8300015424257686E-2</v>
      </c>
    </row>
    <row r="1041" spans="1:5" x14ac:dyDescent="0.25">
      <c r="A1041">
        <v>0</v>
      </c>
      <c r="B1041">
        <v>-0.12354312354312399</v>
      </c>
      <c r="C1041">
        <f t="shared" si="32"/>
        <v>1.3562725112098173</v>
      </c>
      <c r="D1041">
        <v>0</v>
      </c>
      <c r="E1041">
        <f t="shared" si="33"/>
        <v>4.8300015424257686E-2</v>
      </c>
    </row>
    <row r="1042" spans="1:5" x14ac:dyDescent="0.25">
      <c r="A1042">
        <v>0</v>
      </c>
      <c r="B1042">
        <v>-0.12354312354312399</v>
      </c>
      <c r="C1042">
        <f t="shared" si="32"/>
        <v>1.3562725112098173</v>
      </c>
      <c r="D1042">
        <v>0</v>
      </c>
      <c r="E1042">
        <f t="shared" si="33"/>
        <v>4.8300015424257686E-2</v>
      </c>
    </row>
    <row r="1043" spans="1:5" x14ac:dyDescent="0.25">
      <c r="A1043">
        <v>0</v>
      </c>
      <c r="B1043">
        <v>-0.12354312354312399</v>
      </c>
      <c r="C1043">
        <f t="shared" si="32"/>
        <v>1.3562725112098173</v>
      </c>
      <c r="D1043">
        <v>0</v>
      </c>
      <c r="E1043">
        <f t="shared" si="33"/>
        <v>4.8300015424257686E-2</v>
      </c>
    </row>
    <row r="1044" spans="1:5" x14ac:dyDescent="0.25">
      <c r="A1044">
        <v>0</v>
      </c>
      <c r="B1044">
        <v>-0.123123123123123</v>
      </c>
      <c r="C1044">
        <f t="shared" si="32"/>
        <v>1.3577142057726672</v>
      </c>
      <c r="D1044">
        <v>0</v>
      </c>
      <c r="E1044">
        <f t="shared" si="33"/>
        <v>4.8300015424257686E-2</v>
      </c>
    </row>
    <row r="1045" spans="1:5" x14ac:dyDescent="0.25">
      <c r="A1045">
        <v>0</v>
      </c>
      <c r="B1045">
        <v>-0.122754491017964</v>
      </c>
      <c r="C1045">
        <f t="shared" si="32"/>
        <v>1.3589774983420793</v>
      </c>
      <c r="D1045">
        <v>0</v>
      </c>
      <c r="E1045">
        <f t="shared" si="33"/>
        <v>4.8300015424257686E-2</v>
      </c>
    </row>
    <row r="1046" spans="1:5" x14ac:dyDescent="0.25">
      <c r="A1046">
        <v>0</v>
      </c>
      <c r="B1046">
        <v>-0.12266666666666701</v>
      </c>
      <c r="C1046">
        <f t="shared" si="32"/>
        <v>1.3592781830762113</v>
      </c>
      <c r="D1046">
        <v>0</v>
      </c>
      <c r="E1046">
        <f t="shared" si="33"/>
        <v>4.8300015424257686E-2</v>
      </c>
    </row>
    <row r="1047" spans="1:5" x14ac:dyDescent="0.25">
      <c r="A1047">
        <v>0</v>
      </c>
      <c r="B1047">
        <v>-0.12266666666666701</v>
      </c>
      <c r="C1047">
        <f t="shared" si="32"/>
        <v>1.3592781830762113</v>
      </c>
      <c r="D1047">
        <v>0</v>
      </c>
      <c r="E1047">
        <f t="shared" si="33"/>
        <v>4.8300015424257686E-2</v>
      </c>
    </row>
    <row r="1048" spans="1:5" x14ac:dyDescent="0.25">
      <c r="A1048">
        <v>0</v>
      </c>
      <c r="B1048">
        <v>-0.12266666666666701</v>
      </c>
      <c r="C1048">
        <f t="shared" si="32"/>
        <v>1.3592781830762113</v>
      </c>
      <c r="D1048">
        <v>0</v>
      </c>
      <c r="E1048">
        <f t="shared" si="33"/>
        <v>4.8300015424257686E-2</v>
      </c>
    </row>
    <row r="1049" spans="1:5" x14ac:dyDescent="0.25">
      <c r="A1049">
        <v>0</v>
      </c>
      <c r="B1049">
        <v>-0.12266666666666701</v>
      </c>
      <c r="C1049">
        <f t="shared" si="32"/>
        <v>1.3592781830762113</v>
      </c>
      <c r="D1049">
        <v>0</v>
      </c>
      <c r="E1049">
        <f t="shared" si="33"/>
        <v>4.8300015424257686E-2</v>
      </c>
    </row>
    <row r="1050" spans="1:5" x14ac:dyDescent="0.25">
      <c r="A1050">
        <v>0</v>
      </c>
      <c r="B1050">
        <v>-0.12266666666666701</v>
      </c>
      <c r="C1050">
        <f t="shared" si="32"/>
        <v>1.3592781830762113</v>
      </c>
      <c r="D1050">
        <v>0</v>
      </c>
      <c r="E1050">
        <f t="shared" si="33"/>
        <v>4.8300015424257686E-2</v>
      </c>
    </row>
    <row r="1051" spans="1:5" x14ac:dyDescent="0.25">
      <c r="A1051">
        <v>0</v>
      </c>
      <c r="B1051">
        <v>-0.122</v>
      </c>
      <c r="C1051">
        <f t="shared" si="32"/>
        <v>1.3615570379855009</v>
      </c>
      <c r="D1051">
        <v>0</v>
      </c>
      <c r="E1051">
        <f t="shared" si="33"/>
        <v>4.8300015424257686E-2</v>
      </c>
    </row>
    <row r="1052" spans="1:5" x14ac:dyDescent="0.25">
      <c r="A1052">
        <v>0</v>
      </c>
      <c r="B1052">
        <v>-0.122</v>
      </c>
      <c r="C1052">
        <f t="shared" si="32"/>
        <v>1.3615570379855009</v>
      </c>
      <c r="D1052">
        <v>0</v>
      </c>
      <c r="E1052">
        <f t="shared" si="33"/>
        <v>4.8300015424257686E-2</v>
      </c>
    </row>
    <row r="1053" spans="1:5" x14ac:dyDescent="0.25">
      <c r="A1053">
        <v>0</v>
      </c>
      <c r="B1053">
        <v>-0.122</v>
      </c>
      <c r="C1053">
        <f t="shared" si="32"/>
        <v>1.3615570379855009</v>
      </c>
      <c r="D1053">
        <v>0</v>
      </c>
      <c r="E1053">
        <f t="shared" si="33"/>
        <v>4.8300015424257686E-2</v>
      </c>
    </row>
    <row r="1054" spans="1:5" x14ac:dyDescent="0.25">
      <c r="A1054">
        <v>0</v>
      </c>
      <c r="B1054">
        <v>-0.122</v>
      </c>
      <c r="C1054">
        <f t="shared" si="32"/>
        <v>1.3615570379855009</v>
      </c>
      <c r="D1054">
        <v>0</v>
      </c>
      <c r="E1054">
        <f t="shared" si="33"/>
        <v>4.8300015424257686E-2</v>
      </c>
    </row>
    <row r="1055" spans="1:5" x14ac:dyDescent="0.25">
      <c r="A1055">
        <v>0</v>
      </c>
      <c r="B1055">
        <v>-0.121739130434783</v>
      </c>
      <c r="C1055">
        <f t="shared" si="32"/>
        <v>1.3624470183326345</v>
      </c>
      <c r="D1055">
        <v>0</v>
      </c>
      <c r="E1055">
        <f t="shared" si="33"/>
        <v>4.8300015424257686E-2</v>
      </c>
    </row>
    <row r="1056" spans="1:5" x14ac:dyDescent="0.25">
      <c r="A1056">
        <v>0</v>
      </c>
      <c r="B1056">
        <v>-0.12166666666666701</v>
      </c>
      <c r="C1056">
        <f t="shared" si="32"/>
        <v>1.3626940602398412</v>
      </c>
      <c r="D1056">
        <v>0</v>
      </c>
      <c r="E1056">
        <f t="shared" si="33"/>
        <v>4.8300015424257686E-2</v>
      </c>
    </row>
    <row r="1057" spans="1:5" x14ac:dyDescent="0.25">
      <c r="A1057">
        <v>0</v>
      </c>
      <c r="B1057">
        <v>-0.12166666666666701</v>
      </c>
      <c r="C1057">
        <f t="shared" si="32"/>
        <v>1.3626940602398412</v>
      </c>
      <c r="D1057">
        <v>0</v>
      </c>
      <c r="E1057">
        <f t="shared" si="33"/>
        <v>4.8300015424257686E-2</v>
      </c>
    </row>
    <row r="1058" spans="1:5" x14ac:dyDescent="0.25">
      <c r="A1058">
        <v>0</v>
      </c>
      <c r="B1058">
        <v>-0.12166666666666701</v>
      </c>
      <c r="C1058">
        <f t="shared" si="32"/>
        <v>1.3626940602398412</v>
      </c>
      <c r="D1058">
        <v>0</v>
      </c>
      <c r="E1058">
        <f t="shared" si="33"/>
        <v>4.8300015424257686E-2</v>
      </c>
    </row>
    <row r="1059" spans="1:5" x14ac:dyDescent="0.25">
      <c r="A1059">
        <v>0</v>
      </c>
      <c r="B1059">
        <v>-0.121495327102804</v>
      </c>
      <c r="C1059">
        <f t="shared" si="32"/>
        <v>1.3632778844367037</v>
      </c>
      <c r="D1059">
        <v>0</v>
      </c>
      <c r="E1059">
        <f t="shared" si="33"/>
        <v>4.8300015424257686E-2</v>
      </c>
    </row>
    <row r="1060" spans="1:5" x14ac:dyDescent="0.25">
      <c r="A1060">
        <v>0</v>
      </c>
      <c r="B1060">
        <v>-0.121495327102804</v>
      </c>
      <c r="C1060">
        <f t="shared" si="32"/>
        <v>1.3632778844367037</v>
      </c>
      <c r="D1060">
        <v>0</v>
      </c>
      <c r="E1060">
        <f t="shared" si="33"/>
        <v>4.8300015424257686E-2</v>
      </c>
    </row>
    <row r="1061" spans="1:5" x14ac:dyDescent="0.25">
      <c r="A1061">
        <v>0</v>
      </c>
      <c r="B1061">
        <v>-0.121333333333333</v>
      </c>
      <c r="C1061">
        <f t="shared" si="32"/>
        <v>1.3638294715436146</v>
      </c>
      <c r="D1061">
        <v>0</v>
      </c>
      <c r="E1061">
        <f t="shared" si="33"/>
        <v>4.8300015424257686E-2</v>
      </c>
    </row>
    <row r="1062" spans="1:5" x14ac:dyDescent="0.25">
      <c r="A1062">
        <v>0</v>
      </c>
      <c r="B1062">
        <v>-0.12121212121212099</v>
      </c>
      <c r="C1062">
        <f t="shared" si="32"/>
        <v>1.3642419478766401</v>
      </c>
      <c r="D1062">
        <v>0</v>
      </c>
      <c r="E1062">
        <f t="shared" si="33"/>
        <v>4.8300015424257686E-2</v>
      </c>
    </row>
    <row r="1063" spans="1:5" x14ac:dyDescent="0.25">
      <c r="A1063">
        <v>0</v>
      </c>
      <c r="B1063">
        <v>-0.12121212121212099</v>
      </c>
      <c r="C1063">
        <f t="shared" si="32"/>
        <v>1.3642419478766401</v>
      </c>
      <c r="D1063">
        <v>0</v>
      </c>
      <c r="E1063">
        <f t="shared" si="33"/>
        <v>4.8300015424257686E-2</v>
      </c>
    </row>
    <row r="1064" spans="1:5" x14ac:dyDescent="0.25">
      <c r="A1064">
        <v>0</v>
      </c>
      <c r="B1064">
        <v>-0.12121212121212099</v>
      </c>
      <c r="C1064">
        <f t="shared" si="32"/>
        <v>1.3642419478766401</v>
      </c>
      <c r="D1064">
        <v>0</v>
      </c>
      <c r="E1064">
        <f t="shared" si="33"/>
        <v>4.8300015424257686E-2</v>
      </c>
    </row>
    <row r="1065" spans="1:5" x14ac:dyDescent="0.25">
      <c r="A1065">
        <v>0</v>
      </c>
      <c r="B1065">
        <v>-0.12121212121212099</v>
      </c>
      <c r="C1065">
        <f t="shared" si="32"/>
        <v>1.3642419478766401</v>
      </c>
      <c r="D1065">
        <v>0</v>
      </c>
      <c r="E1065">
        <f t="shared" si="33"/>
        <v>4.8300015424257686E-2</v>
      </c>
    </row>
    <row r="1066" spans="1:5" x14ac:dyDescent="0.25">
      <c r="A1066">
        <v>0</v>
      </c>
      <c r="B1066">
        <v>-0.121</v>
      </c>
      <c r="C1066">
        <f t="shared" si="32"/>
        <v>1.3649632662895208</v>
      </c>
      <c r="D1066">
        <v>0</v>
      </c>
      <c r="E1066">
        <f t="shared" si="33"/>
        <v>4.8300015424257686E-2</v>
      </c>
    </row>
    <row r="1067" spans="1:5" x14ac:dyDescent="0.25">
      <c r="A1067">
        <v>0</v>
      </c>
      <c r="B1067">
        <v>-0.12068965517241401</v>
      </c>
      <c r="C1067">
        <f t="shared" si="32"/>
        <v>1.3660174102013658</v>
      </c>
      <c r="D1067">
        <v>0</v>
      </c>
      <c r="E1067">
        <f t="shared" si="33"/>
        <v>4.8300015424257686E-2</v>
      </c>
    </row>
    <row r="1068" spans="1:5" x14ac:dyDescent="0.25">
      <c r="A1068">
        <v>0</v>
      </c>
      <c r="B1068">
        <v>-0.120253164556962</v>
      </c>
      <c r="C1068">
        <f t="shared" si="32"/>
        <v>1.3674976434429036</v>
      </c>
      <c r="D1068">
        <v>0</v>
      </c>
      <c r="E1068">
        <f t="shared" si="33"/>
        <v>4.8300015424257686E-2</v>
      </c>
    </row>
    <row r="1069" spans="1:5" x14ac:dyDescent="0.25">
      <c r="A1069">
        <v>0</v>
      </c>
      <c r="B1069">
        <v>-0.12012012012011999</v>
      </c>
      <c r="C1069">
        <f t="shared" si="32"/>
        <v>1.3679482688254532</v>
      </c>
      <c r="D1069">
        <v>0</v>
      </c>
      <c r="E1069">
        <f t="shared" si="33"/>
        <v>4.8300015424257686E-2</v>
      </c>
    </row>
    <row r="1070" spans="1:5" x14ac:dyDescent="0.25">
      <c r="A1070">
        <v>0</v>
      </c>
      <c r="B1070">
        <v>-0.12012012012011999</v>
      </c>
      <c r="C1070">
        <f t="shared" si="32"/>
        <v>1.3679482688254532</v>
      </c>
      <c r="D1070">
        <v>0</v>
      </c>
      <c r="E1070">
        <f t="shared" si="33"/>
        <v>4.8300015424257686E-2</v>
      </c>
    </row>
    <row r="1071" spans="1:5" x14ac:dyDescent="0.25">
      <c r="A1071">
        <v>0</v>
      </c>
      <c r="B1071">
        <v>-0.12012012012011999</v>
      </c>
      <c r="C1071">
        <f t="shared" si="32"/>
        <v>1.3679482688254532</v>
      </c>
      <c r="D1071">
        <v>0</v>
      </c>
      <c r="E1071">
        <f t="shared" si="33"/>
        <v>4.8300015424257686E-2</v>
      </c>
    </row>
    <row r="1072" spans="1:5" x14ac:dyDescent="0.25">
      <c r="A1072">
        <v>0</v>
      </c>
      <c r="B1072">
        <v>-0.12</v>
      </c>
      <c r="C1072">
        <f t="shared" si="32"/>
        <v>1.3683548951740367</v>
      </c>
      <c r="D1072">
        <v>0</v>
      </c>
      <c r="E1072">
        <f t="shared" si="33"/>
        <v>4.8300015424257686E-2</v>
      </c>
    </row>
    <row r="1073" spans="1:5" x14ac:dyDescent="0.25">
      <c r="A1073">
        <v>0</v>
      </c>
      <c r="B1073">
        <v>-0.12</v>
      </c>
      <c r="C1073">
        <f t="shared" si="32"/>
        <v>1.3683548951740367</v>
      </c>
      <c r="D1073">
        <v>0</v>
      </c>
      <c r="E1073">
        <f t="shared" si="33"/>
        <v>4.8300015424257686E-2</v>
      </c>
    </row>
    <row r="1074" spans="1:5" x14ac:dyDescent="0.25">
      <c r="A1074">
        <v>0</v>
      </c>
      <c r="B1074">
        <v>-0.12</v>
      </c>
      <c r="C1074">
        <f t="shared" si="32"/>
        <v>1.3683548951740367</v>
      </c>
      <c r="D1074">
        <v>0</v>
      </c>
      <c r="E1074">
        <f t="shared" si="33"/>
        <v>4.8300015424257686E-2</v>
      </c>
    </row>
    <row r="1075" spans="1:5" x14ac:dyDescent="0.25">
      <c r="A1075">
        <v>0</v>
      </c>
      <c r="B1075">
        <v>-0.12</v>
      </c>
      <c r="C1075">
        <f t="shared" si="32"/>
        <v>1.3683548951740367</v>
      </c>
      <c r="D1075">
        <v>0</v>
      </c>
      <c r="E1075">
        <f t="shared" si="33"/>
        <v>4.8300015424257686E-2</v>
      </c>
    </row>
    <row r="1076" spans="1:5" x14ac:dyDescent="0.25">
      <c r="A1076">
        <v>0</v>
      </c>
      <c r="B1076">
        <v>-0.12</v>
      </c>
      <c r="C1076">
        <f t="shared" si="32"/>
        <v>1.3683548951740367</v>
      </c>
      <c r="D1076">
        <v>0</v>
      </c>
      <c r="E1076">
        <f t="shared" si="33"/>
        <v>4.8300015424257686E-2</v>
      </c>
    </row>
    <row r="1077" spans="1:5" x14ac:dyDescent="0.25">
      <c r="A1077">
        <v>0</v>
      </c>
      <c r="B1077">
        <v>-0.12</v>
      </c>
      <c r="C1077">
        <f t="shared" si="32"/>
        <v>1.3683548951740367</v>
      </c>
      <c r="D1077">
        <v>0</v>
      </c>
      <c r="E1077">
        <f t="shared" si="33"/>
        <v>4.8300015424257686E-2</v>
      </c>
    </row>
    <row r="1078" spans="1:5" x14ac:dyDescent="0.25">
      <c r="A1078">
        <v>0</v>
      </c>
      <c r="B1078">
        <v>-0.12</v>
      </c>
      <c r="C1078">
        <f t="shared" si="32"/>
        <v>1.3683548951740367</v>
      </c>
      <c r="D1078">
        <v>0</v>
      </c>
      <c r="E1078">
        <f t="shared" si="33"/>
        <v>4.8300015424257686E-2</v>
      </c>
    </row>
    <row r="1079" spans="1:5" x14ac:dyDescent="0.25">
      <c r="A1079">
        <v>0</v>
      </c>
      <c r="B1079">
        <v>-0.12</v>
      </c>
      <c r="C1079">
        <f t="shared" si="32"/>
        <v>1.3683548951740367</v>
      </c>
      <c r="D1079">
        <v>0</v>
      </c>
      <c r="E1079">
        <f t="shared" si="33"/>
        <v>4.8300015424257686E-2</v>
      </c>
    </row>
    <row r="1080" spans="1:5" x14ac:dyDescent="0.25">
      <c r="A1080">
        <v>0</v>
      </c>
      <c r="B1080">
        <v>-0.119760479041916</v>
      </c>
      <c r="C1080">
        <f t="shared" si="32"/>
        <v>1.3691650774094413</v>
      </c>
      <c r="D1080">
        <v>0</v>
      </c>
      <c r="E1080">
        <f t="shared" si="33"/>
        <v>4.8300015424257686E-2</v>
      </c>
    </row>
    <row r="1081" spans="1:5" x14ac:dyDescent="0.25">
      <c r="A1081">
        <v>0</v>
      </c>
      <c r="B1081">
        <v>-0.119760479041916</v>
      </c>
      <c r="C1081">
        <f t="shared" si="32"/>
        <v>1.3691650774094413</v>
      </c>
      <c r="D1081">
        <v>0</v>
      </c>
      <c r="E1081">
        <f t="shared" si="33"/>
        <v>4.8300015424257686E-2</v>
      </c>
    </row>
    <row r="1082" spans="1:5" x14ac:dyDescent="0.25">
      <c r="A1082">
        <v>0</v>
      </c>
      <c r="B1082">
        <v>-0.119333333333333</v>
      </c>
      <c r="C1082">
        <f t="shared" si="32"/>
        <v>1.3706077957093492</v>
      </c>
      <c r="D1082">
        <v>0</v>
      </c>
      <c r="E1082">
        <f t="shared" si="33"/>
        <v>4.8300015424257686E-2</v>
      </c>
    </row>
    <row r="1083" spans="1:5" x14ac:dyDescent="0.25">
      <c r="A1083">
        <v>0</v>
      </c>
      <c r="B1083">
        <v>-0.11915887850467299</v>
      </c>
      <c r="C1083">
        <f t="shared" si="32"/>
        <v>1.3711962519901038</v>
      </c>
      <c r="D1083">
        <v>0</v>
      </c>
      <c r="E1083">
        <f t="shared" si="33"/>
        <v>4.8300015424257686E-2</v>
      </c>
    </row>
    <row r="1084" spans="1:5" x14ac:dyDescent="0.25">
      <c r="A1084">
        <v>0</v>
      </c>
      <c r="B1084">
        <v>-0.11915887850467299</v>
      </c>
      <c r="C1084">
        <f t="shared" si="32"/>
        <v>1.3711962519901038</v>
      </c>
      <c r="D1084">
        <v>0</v>
      </c>
      <c r="E1084">
        <f t="shared" si="33"/>
        <v>4.8300015424257686E-2</v>
      </c>
    </row>
    <row r="1085" spans="1:5" x14ac:dyDescent="0.25">
      <c r="A1085">
        <v>0</v>
      </c>
      <c r="B1085">
        <v>-0.11915887850467299</v>
      </c>
      <c r="C1085">
        <f t="shared" si="32"/>
        <v>1.3711962519901038</v>
      </c>
      <c r="D1085">
        <v>0</v>
      </c>
      <c r="E1085">
        <f t="shared" si="33"/>
        <v>4.8300015424257686E-2</v>
      </c>
    </row>
    <row r="1086" spans="1:5" x14ac:dyDescent="0.25">
      <c r="A1086">
        <v>0</v>
      </c>
      <c r="B1086">
        <v>-0.11915887850467299</v>
      </c>
      <c r="C1086">
        <f t="shared" si="32"/>
        <v>1.3711962519901038</v>
      </c>
      <c r="D1086">
        <v>0</v>
      </c>
      <c r="E1086">
        <f t="shared" si="33"/>
        <v>4.8300015424257686E-2</v>
      </c>
    </row>
    <row r="1087" spans="1:5" x14ac:dyDescent="0.25">
      <c r="A1087">
        <v>0</v>
      </c>
      <c r="B1087">
        <v>-0.11888111888111901</v>
      </c>
      <c r="C1087">
        <f t="shared" si="32"/>
        <v>1.3721322326053382</v>
      </c>
      <c r="D1087">
        <v>0</v>
      </c>
      <c r="E1087">
        <f t="shared" si="33"/>
        <v>4.8300015424257686E-2</v>
      </c>
    </row>
    <row r="1088" spans="1:5" x14ac:dyDescent="0.25">
      <c r="A1088">
        <v>0</v>
      </c>
      <c r="B1088">
        <v>-0.11888111888111901</v>
      </c>
      <c r="C1088">
        <f t="shared" si="32"/>
        <v>1.3721322326053382</v>
      </c>
      <c r="D1088">
        <v>0</v>
      </c>
      <c r="E1088">
        <f t="shared" si="33"/>
        <v>4.8300015424257686E-2</v>
      </c>
    </row>
    <row r="1089" spans="1:5" x14ac:dyDescent="0.25">
      <c r="A1089">
        <v>0</v>
      </c>
      <c r="B1089">
        <v>-0.118666666666667</v>
      </c>
      <c r="C1089">
        <f t="shared" si="32"/>
        <v>1.3728540958224136</v>
      </c>
      <c r="D1089">
        <v>0</v>
      </c>
      <c r="E1089">
        <f t="shared" si="33"/>
        <v>4.8300015424257686E-2</v>
      </c>
    </row>
    <row r="1090" spans="1:5" x14ac:dyDescent="0.25">
      <c r="A1090">
        <v>0</v>
      </c>
      <c r="B1090">
        <v>-0.118666666666667</v>
      </c>
      <c r="C1090">
        <f t="shared" ref="C1090:C1153" si="34">_xlfn.NORM.DIST(B1090,I$10,I$13,FALSE)</f>
        <v>1.3728540958224136</v>
      </c>
      <c r="D1090">
        <v>0</v>
      </c>
      <c r="E1090">
        <f t="shared" si="33"/>
        <v>4.8300015424257686E-2</v>
      </c>
    </row>
    <row r="1091" spans="1:5" x14ac:dyDescent="0.25">
      <c r="A1091">
        <v>0</v>
      </c>
      <c r="B1091">
        <v>-0.118333333333333</v>
      </c>
      <c r="C1091">
        <f t="shared" si="34"/>
        <v>1.3739747567855036</v>
      </c>
      <c r="D1091">
        <v>0</v>
      </c>
      <c r="E1091">
        <f t="shared" ref="E1091:E1154" si="35">_xlfn.NORM.DIST(D1091,I$4,I$7,FALSE)</f>
        <v>4.8300015424257686E-2</v>
      </c>
    </row>
    <row r="1092" spans="1:5" x14ac:dyDescent="0.25">
      <c r="A1092">
        <v>0</v>
      </c>
      <c r="B1092">
        <v>-0.117333333333333</v>
      </c>
      <c r="C1092">
        <f t="shared" si="34"/>
        <v>1.3773267165276573</v>
      </c>
      <c r="D1092">
        <v>0</v>
      </c>
      <c r="E1092">
        <f t="shared" si="35"/>
        <v>4.8300015424257686E-2</v>
      </c>
    </row>
    <row r="1093" spans="1:5" x14ac:dyDescent="0.25">
      <c r="A1093">
        <v>0</v>
      </c>
      <c r="B1093">
        <v>-0.117333333333333</v>
      </c>
      <c r="C1093">
        <f t="shared" si="34"/>
        <v>1.3773267165276573</v>
      </c>
      <c r="D1093">
        <v>0</v>
      </c>
      <c r="E1093">
        <f t="shared" si="35"/>
        <v>4.8300015424257686E-2</v>
      </c>
    </row>
    <row r="1094" spans="1:5" x14ac:dyDescent="0.25">
      <c r="A1094">
        <v>0</v>
      </c>
      <c r="B1094">
        <v>-0.117333333333333</v>
      </c>
      <c r="C1094">
        <f t="shared" si="34"/>
        <v>1.3773267165276573</v>
      </c>
      <c r="D1094">
        <v>0</v>
      </c>
      <c r="E1094">
        <f t="shared" si="35"/>
        <v>4.8300015424257686E-2</v>
      </c>
    </row>
    <row r="1095" spans="1:5" x14ac:dyDescent="0.25">
      <c r="A1095">
        <v>0</v>
      </c>
      <c r="B1095">
        <v>-0.117333333333333</v>
      </c>
      <c r="C1095">
        <f t="shared" si="34"/>
        <v>1.3773267165276573</v>
      </c>
      <c r="D1095">
        <v>0</v>
      </c>
      <c r="E1095">
        <f t="shared" si="35"/>
        <v>4.8300015424257686E-2</v>
      </c>
    </row>
    <row r="1096" spans="1:5" x14ac:dyDescent="0.25">
      <c r="A1096">
        <v>0</v>
      </c>
      <c r="B1096">
        <v>-0.117333333333333</v>
      </c>
      <c r="C1096">
        <f t="shared" si="34"/>
        <v>1.3773267165276573</v>
      </c>
      <c r="D1096">
        <v>0</v>
      </c>
      <c r="E1096">
        <f t="shared" si="35"/>
        <v>4.8300015424257686E-2</v>
      </c>
    </row>
    <row r="1097" spans="1:5" x14ac:dyDescent="0.25">
      <c r="A1097">
        <v>0</v>
      </c>
      <c r="B1097">
        <v>-0.117333333333333</v>
      </c>
      <c r="C1097">
        <f t="shared" si="34"/>
        <v>1.3773267165276573</v>
      </c>
      <c r="D1097">
        <v>0</v>
      </c>
      <c r="E1097">
        <f t="shared" si="35"/>
        <v>4.8300015424257686E-2</v>
      </c>
    </row>
    <row r="1098" spans="1:5" x14ac:dyDescent="0.25">
      <c r="A1098">
        <v>0</v>
      </c>
      <c r="B1098">
        <v>-0.117333333333333</v>
      </c>
      <c r="C1098">
        <f t="shared" si="34"/>
        <v>1.3773267165276573</v>
      </c>
      <c r="D1098">
        <v>0</v>
      </c>
      <c r="E1098">
        <f t="shared" si="35"/>
        <v>4.8300015424257686E-2</v>
      </c>
    </row>
    <row r="1099" spans="1:5" x14ac:dyDescent="0.25">
      <c r="A1099">
        <v>0</v>
      </c>
      <c r="B1099">
        <v>-0.117333333333333</v>
      </c>
      <c r="C1099">
        <f t="shared" si="34"/>
        <v>1.3773267165276573</v>
      </c>
      <c r="D1099">
        <v>0</v>
      </c>
      <c r="E1099">
        <f t="shared" si="35"/>
        <v>4.8300015424257686E-2</v>
      </c>
    </row>
    <row r="1100" spans="1:5" x14ac:dyDescent="0.25">
      <c r="A1100">
        <v>0</v>
      </c>
      <c r="B1100">
        <v>-0.117333333333333</v>
      </c>
      <c r="C1100">
        <f t="shared" si="34"/>
        <v>1.3773267165276573</v>
      </c>
      <c r="D1100">
        <v>0</v>
      </c>
      <c r="E1100">
        <f t="shared" si="35"/>
        <v>4.8300015424257686E-2</v>
      </c>
    </row>
    <row r="1101" spans="1:5" x14ac:dyDescent="0.25">
      <c r="A1101">
        <v>0</v>
      </c>
      <c r="B1101">
        <v>-0.117333333333333</v>
      </c>
      <c r="C1101">
        <f t="shared" si="34"/>
        <v>1.3773267165276573</v>
      </c>
      <c r="D1101">
        <v>0</v>
      </c>
      <c r="E1101">
        <f t="shared" si="35"/>
        <v>4.8300015424257686E-2</v>
      </c>
    </row>
    <row r="1102" spans="1:5" x14ac:dyDescent="0.25">
      <c r="A1102">
        <v>0</v>
      </c>
      <c r="B1102">
        <v>-0.117333333333333</v>
      </c>
      <c r="C1102">
        <f t="shared" si="34"/>
        <v>1.3773267165276573</v>
      </c>
      <c r="D1102">
        <v>0</v>
      </c>
      <c r="E1102">
        <f t="shared" si="35"/>
        <v>4.8300015424257686E-2</v>
      </c>
    </row>
    <row r="1103" spans="1:5" x14ac:dyDescent="0.25">
      <c r="A1103">
        <v>0</v>
      </c>
      <c r="B1103">
        <v>-0.117117117117117</v>
      </c>
      <c r="C1103">
        <f t="shared" si="34"/>
        <v>1.3780494775839405</v>
      </c>
      <c r="D1103">
        <v>0</v>
      </c>
      <c r="E1103">
        <f t="shared" si="35"/>
        <v>4.8300015424257686E-2</v>
      </c>
    </row>
    <row r="1104" spans="1:5" x14ac:dyDescent="0.25">
      <c r="A1104">
        <v>0</v>
      </c>
      <c r="B1104">
        <v>-0.116822429906542</v>
      </c>
      <c r="C1104">
        <f t="shared" si="34"/>
        <v>1.3790334058141234</v>
      </c>
      <c r="D1104">
        <v>0</v>
      </c>
      <c r="E1104">
        <f t="shared" si="35"/>
        <v>4.8300015424257686E-2</v>
      </c>
    </row>
    <row r="1105" spans="1:5" x14ac:dyDescent="0.25">
      <c r="A1105">
        <v>0</v>
      </c>
      <c r="B1105">
        <v>-0.116766467065868</v>
      </c>
      <c r="C1105">
        <f t="shared" si="34"/>
        <v>1.3792201102984813</v>
      </c>
      <c r="D1105">
        <v>0</v>
      </c>
      <c r="E1105">
        <f t="shared" si="35"/>
        <v>4.8300015424257686E-2</v>
      </c>
    </row>
    <row r="1106" spans="1:5" x14ac:dyDescent="0.25">
      <c r="A1106">
        <v>0</v>
      </c>
      <c r="B1106">
        <v>-0.116666666666667</v>
      </c>
      <c r="C1106">
        <f t="shared" si="34"/>
        <v>1.3795529481865327</v>
      </c>
      <c r="D1106">
        <v>0</v>
      </c>
      <c r="E1106">
        <f t="shared" si="35"/>
        <v>4.8300015424257686E-2</v>
      </c>
    </row>
    <row r="1107" spans="1:5" x14ac:dyDescent="0.25">
      <c r="A1107">
        <v>0</v>
      </c>
      <c r="B1107">
        <v>-0.116666666666667</v>
      </c>
      <c r="C1107">
        <f t="shared" si="34"/>
        <v>1.3795529481865327</v>
      </c>
      <c r="D1107">
        <v>0</v>
      </c>
      <c r="E1107">
        <f t="shared" si="35"/>
        <v>4.8300015424257686E-2</v>
      </c>
    </row>
    <row r="1108" spans="1:5" x14ac:dyDescent="0.25">
      <c r="A1108">
        <v>0</v>
      </c>
      <c r="B1108">
        <v>-0.116666666666667</v>
      </c>
      <c r="C1108">
        <f t="shared" si="34"/>
        <v>1.3795529481865327</v>
      </c>
      <c r="D1108">
        <v>0</v>
      </c>
      <c r="E1108">
        <f t="shared" si="35"/>
        <v>4.8300015424257686E-2</v>
      </c>
    </row>
    <row r="1109" spans="1:5" x14ac:dyDescent="0.25">
      <c r="A1109">
        <v>0</v>
      </c>
      <c r="B1109">
        <v>-0.116550116550117</v>
      </c>
      <c r="C1109">
        <f t="shared" si="34"/>
        <v>1.3799414546842028</v>
      </c>
      <c r="D1109">
        <v>0</v>
      </c>
      <c r="E1109">
        <f t="shared" si="35"/>
        <v>4.8300015424257686E-2</v>
      </c>
    </row>
    <row r="1110" spans="1:5" x14ac:dyDescent="0.25">
      <c r="A1110">
        <v>0</v>
      </c>
      <c r="B1110">
        <v>-0.116550116550117</v>
      </c>
      <c r="C1110">
        <f t="shared" si="34"/>
        <v>1.3799414546842028</v>
      </c>
      <c r="D1110">
        <v>0</v>
      </c>
      <c r="E1110">
        <f t="shared" si="35"/>
        <v>4.8300015424257686E-2</v>
      </c>
    </row>
    <row r="1111" spans="1:5" x14ac:dyDescent="0.25">
      <c r="A1111">
        <v>0</v>
      </c>
      <c r="B1111">
        <v>-0.11600000000000001</v>
      </c>
      <c r="C1111">
        <f t="shared" si="34"/>
        <v>1.3817724015594983</v>
      </c>
      <c r="D1111">
        <v>0</v>
      </c>
      <c r="E1111">
        <f t="shared" si="35"/>
        <v>4.8300015424257686E-2</v>
      </c>
    </row>
    <row r="1112" spans="1:5" x14ac:dyDescent="0.25">
      <c r="A1112">
        <v>0</v>
      </c>
      <c r="B1112">
        <v>-0.11600000000000001</v>
      </c>
      <c r="C1112">
        <f t="shared" si="34"/>
        <v>1.3817724015594983</v>
      </c>
      <c r="D1112">
        <v>0</v>
      </c>
      <c r="E1112">
        <f t="shared" si="35"/>
        <v>4.8300015424257686E-2</v>
      </c>
    </row>
    <row r="1113" spans="1:5" x14ac:dyDescent="0.25">
      <c r="A1113">
        <v>0</v>
      </c>
      <c r="B1113">
        <v>-0.11600000000000001</v>
      </c>
      <c r="C1113">
        <f t="shared" si="34"/>
        <v>1.3817724015594983</v>
      </c>
      <c r="D1113">
        <v>0</v>
      </c>
      <c r="E1113">
        <f t="shared" si="35"/>
        <v>4.8300015424257686E-2</v>
      </c>
    </row>
    <row r="1114" spans="1:5" x14ac:dyDescent="0.25">
      <c r="A1114">
        <v>0</v>
      </c>
      <c r="B1114">
        <v>-0.11600000000000001</v>
      </c>
      <c r="C1114">
        <f t="shared" si="34"/>
        <v>1.3817724015594983</v>
      </c>
      <c r="D1114">
        <v>0</v>
      </c>
      <c r="E1114">
        <f t="shared" si="35"/>
        <v>4.8300015424257686E-2</v>
      </c>
    </row>
    <row r="1115" spans="1:5" x14ac:dyDescent="0.25">
      <c r="A1115">
        <v>0</v>
      </c>
      <c r="B1115">
        <v>-0.11600000000000001</v>
      </c>
      <c r="C1115">
        <f t="shared" si="34"/>
        <v>1.3817724015594983</v>
      </c>
      <c r="D1115">
        <v>0</v>
      </c>
      <c r="E1115">
        <f t="shared" si="35"/>
        <v>4.8300015424257686E-2</v>
      </c>
    </row>
    <row r="1116" spans="1:5" x14ac:dyDescent="0.25">
      <c r="A1116">
        <v>0</v>
      </c>
      <c r="B1116">
        <v>-0.11600000000000001</v>
      </c>
      <c r="C1116">
        <f t="shared" si="34"/>
        <v>1.3817724015594983</v>
      </c>
      <c r="D1116">
        <v>0</v>
      </c>
      <c r="E1116">
        <f t="shared" si="35"/>
        <v>4.8300015424257686E-2</v>
      </c>
    </row>
    <row r="1117" spans="1:5" x14ac:dyDescent="0.25">
      <c r="A1117">
        <v>0</v>
      </c>
      <c r="B1117">
        <v>-0.11600000000000001</v>
      </c>
      <c r="C1117">
        <f t="shared" si="34"/>
        <v>1.3817724015594983</v>
      </c>
      <c r="D1117">
        <v>0</v>
      </c>
      <c r="E1117">
        <f t="shared" si="35"/>
        <v>4.8300015424257686E-2</v>
      </c>
    </row>
    <row r="1118" spans="1:5" x14ac:dyDescent="0.25">
      <c r="A1118">
        <v>0</v>
      </c>
      <c r="B1118">
        <v>-0.115384615384615</v>
      </c>
      <c r="C1118">
        <f t="shared" si="34"/>
        <v>1.3838150732362804</v>
      </c>
      <c r="D1118">
        <v>0</v>
      </c>
      <c r="E1118">
        <f t="shared" si="35"/>
        <v>4.8300015424257686E-2</v>
      </c>
    </row>
    <row r="1119" spans="1:5" x14ac:dyDescent="0.25">
      <c r="A1119">
        <v>0</v>
      </c>
      <c r="B1119">
        <v>-0.115</v>
      </c>
      <c r="C1119">
        <f t="shared" si="34"/>
        <v>1.3850887755229553</v>
      </c>
      <c r="D1119">
        <v>0</v>
      </c>
      <c r="E1119">
        <f t="shared" si="35"/>
        <v>4.8300015424257686E-2</v>
      </c>
    </row>
    <row r="1120" spans="1:5" x14ac:dyDescent="0.25">
      <c r="A1120">
        <v>0</v>
      </c>
      <c r="B1120">
        <v>-0.115</v>
      </c>
      <c r="C1120">
        <f t="shared" si="34"/>
        <v>1.3850887755229553</v>
      </c>
      <c r="D1120">
        <v>0</v>
      </c>
      <c r="E1120">
        <f t="shared" si="35"/>
        <v>4.8300015424257686E-2</v>
      </c>
    </row>
    <row r="1121" spans="1:5" x14ac:dyDescent="0.25">
      <c r="A1121">
        <v>0</v>
      </c>
      <c r="B1121">
        <v>-0.11448598130841101</v>
      </c>
      <c r="C1121">
        <f t="shared" si="34"/>
        <v>1.386787431883058</v>
      </c>
      <c r="D1121">
        <v>0</v>
      </c>
      <c r="E1121">
        <f t="shared" si="35"/>
        <v>4.8300015424257686E-2</v>
      </c>
    </row>
    <row r="1122" spans="1:5" x14ac:dyDescent="0.25">
      <c r="A1122">
        <v>0</v>
      </c>
      <c r="B1122">
        <v>-0.114114114114114</v>
      </c>
      <c r="C1122">
        <f t="shared" si="34"/>
        <v>1.3880137615593588</v>
      </c>
      <c r="D1122">
        <v>0</v>
      </c>
      <c r="E1122">
        <f t="shared" si="35"/>
        <v>4.8300015424257686E-2</v>
      </c>
    </row>
    <row r="1123" spans="1:5" x14ac:dyDescent="0.25">
      <c r="A1123">
        <v>0</v>
      </c>
      <c r="B1123">
        <v>-0.114114114114114</v>
      </c>
      <c r="C1123">
        <f t="shared" si="34"/>
        <v>1.3880137615593588</v>
      </c>
      <c r="D1123">
        <v>0</v>
      </c>
      <c r="E1123">
        <f t="shared" si="35"/>
        <v>4.8300015424257686E-2</v>
      </c>
    </row>
    <row r="1124" spans="1:5" x14ac:dyDescent="0.25">
      <c r="A1124">
        <v>0</v>
      </c>
      <c r="B1124">
        <v>-0.114</v>
      </c>
      <c r="C1124">
        <f t="shared" si="34"/>
        <v>1.3883896497154169</v>
      </c>
      <c r="D1124">
        <v>0</v>
      </c>
      <c r="E1124">
        <f t="shared" si="35"/>
        <v>4.8300015424257686E-2</v>
      </c>
    </row>
    <row r="1125" spans="1:5" x14ac:dyDescent="0.25">
      <c r="A1125">
        <v>0</v>
      </c>
      <c r="B1125">
        <v>-0.11377245508981999</v>
      </c>
      <c r="C1125">
        <f t="shared" si="34"/>
        <v>1.3891385667062095</v>
      </c>
      <c r="D1125">
        <v>0</v>
      </c>
      <c r="E1125">
        <f t="shared" si="35"/>
        <v>4.8300015424257686E-2</v>
      </c>
    </row>
    <row r="1126" spans="1:5" x14ac:dyDescent="0.25">
      <c r="A1126">
        <v>0</v>
      </c>
      <c r="B1126">
        <v>-0.11377245508981999</v>
      </c>
      <c r="C1126">
        <f t="shared" si="34"/>
        <v>1.3891385667062095</v>
      </c>
      <c r="D1126">
        <v>0</v>
      </c>
      <c r="E1126">
        <f t="shared" si="35"/>
        <v>4.8300015424257686E-2</v>
      </c>
    </row>
    <row r="1127" spans="1:5" x14ac:dyDescent="0.25">
      <c r="A1127">
        <v>0</v>
      </c>
      <c r="B1127">
        <v>-0.11377245508981999</v>
      </c>
      <c r="C1127">
        <f t="shared" si="34"/>
        <v>1.3891385667062095</v>
      </c>
      <c r="D1127">
        <v>0</v>
      </c>
      <c r="E1127">
        <f t="shared" si="35"/>
        <v>4.8300015424257686E-2</v>
      </c>
    </row>
    <row r="1128" spans="1:5" x14ac:dyDescent="0.25">
      <c r="A1128">
        <v>0</v>
      </c>
      <c r="B1128">
        <v>-0.11363636363636399</v>
      </c>
      <c r="C1128">
        <f t="shared" si="34"/>
        <v>1.3895860956402797</v>
      </c>
      <c r="D1128">
        <v>0</v>
      </c>
      <c r="E1128">
        <f t="shared" si="35"/>
        <v>4.8300015424257686E-2</v>
      </c>
    </row>
    <row r="1129" spans="1:5" x14ac:dyDescent="0.25">
      <c r="A1129">
        <v>0</v>
      </c>
      <c r="B1129">
        <v>-0.11333333333333299</v>
      </c>
      <c r="C1129">
        <f t="shared" si="34"/>
        <v>1.3905815481169632</v>
      </c>
      <c r="D1129">
        <v>0</v>
      </c>
      <c r="E1129">
        <f t="shared" si="35"/>
        <v>4.8300015424257686E-2</v>
      </c>
    </row>
    <row r="1130" spans="1:5" x14ac:dyDescent="0.25">
      <c r="A1130">
        <v>0</v>
      </c>
      <c r="B1130">
        <v>-0.11333333333333299</v>
      </c>
      <c r="C1130">
        <f t="shared" si="34"/>
        <v>1.3905815481169632</v>
      </c>
      <c r="D1130">
        <v>0</v>
      </c>
      <c r="E1130">
        <f t="shared" si="35"/>
        <v>4.8300015424257686E-2</v>
      </c>
    </row>
    <row r="1131" spans="1:5" x14ac:dyDescent="0.25">
      <c r="A1131">
        <v>0</v>
      </c>
      <c r="B1131">
        <v>-0.11267605633802801</v>
      </c>
      <c r="C1131">
        <f t="shared" si="34"/>
        <v>1.3927357233039228</v>
      </c>
      <c r="D1131">
        <v>0</v>
      </c>
      <c r="E1131">
        <f t="shared" si="35"/>
        <v>4.8300015424257686E-2</v>
      </c>
    </row>
    <row r="1132" spans="1:5" x14ac:dyDescent="0.25">
      <c r="A1132">
        <v>0</v>
      </c>
      <c r="B1132">
        <v>-0.11229946524064199</v>
      </c>
      <c r="C1132">
        <f t="shared" si="34"/>
        <v>1.393966890083647</v>
      </c>
      <c r="D1132">
        <v>0</v>
      </c>
      <c r="E1132">
        <f t="shared" si="35"/>
        <v>4.8300015424257686E-2</v>
      </c>
    </row>
    <row r="1133" spans="1:5" x14ac:dyDescent="0.25">
      <c r="A1133">
        <v>0</v>
      </c>
      <c r="B1133">
        <v>-0.11214953271028</v>
      </c>
      <c r="C1133">
        <f t="shared" si="34"/>
        <v>1.3944564283872096</v>
      </c>
      <c r="D1133">
        <v>0</v>
      </c>
      <c r="E1133">
        <f t="shared" si="35"/>
        <v>4.8300015424257686E-2</v>
      </c>
    </row>
    <row r="1134" spans="1:5" x14ac:dyDescent="0.25">
      <c r="A1134">
        <v>0</v>
      </c>
      <c r="B1134">
        <v>-0.11214953271028</v>
      </c>
      <c r="C1134">
        <f t="shared" si="34"/>
        <v>1.3944564283872096</v>
      </c>
      <c r="D1134">
        <v>0</v>
      </c>
      <c r="E1134">
        <f t="shared" si="35"/>
        <v>4.8300015424257686E-2</v>
      </c>
    </row>
    <row r="1135" spans="1:5" x14ac:dyDescent="0.25">
      <c r="A1135">
        <v>0</v>
      </c>
      <c r="B1135">
        <v>-0.11214953271028</v>
      </c>
      <c r="C1135">
        <f t="shared" si="34"/>
        <v>1.3944564283872096</v>
      </c>
      <c r="D1135">
        <v>0</v>
      </c>
      <c r="E1135">
        <f t="shared" si="35"/>
        <v>4.8300015424257686E-2</v>
      </c>
    </row>
    <row r="1136" spans="1:5" x14ac:dyDescent="0.25">
      <c r="A1136">
        <v>0</v>
      </c>
      <c r="B1136">
        <v>-0.11214953271028</v>
      </c>
      <c r="C1136">
        <f t="shared" si="34"/>
        <v>1.3944564283872096</v>
      </c>
      <c r="D1136">
        <v>0</v>
      </c>
      <c r="E1136">
        <f t="shared" si="35"/>
        <v>4.8300015424257686E-2</v>
      </c>
    </row>
    <row r="1137" spans="1:5" x14ac:dyDescent="0.25">
      <c r="A1137">
        <v>0</v>
      </c>
      <c r="B1137">
        <v>-0.112</v>
      </c>
      <c r="C1137">
        <f t="shared" si="34"/>
        <v>1.3949443047573802</v>
      </c>
      <c r="D1137">
        <v>0</v>
      </c>
      <c r="E1137">
        <f t="shared" si="35"/>
        <v>4.8300015424257686E-2</v>
      </c>
    </row>
    <row r="1138" spans="1:5" x14ac:dyDescent="0.25">
      <c r="A1138">
        <v>0</v>
      </c>
      <c r="B1138">
        <v>-0.112</v>
      </c>
      <c r="C1138">
        <f t="shared" si="34"/>
        <v>1.3949443047573802</v>
      </c>
      <c r="D1138">
        <v>0</v>
      </c>
      <c r="E1138">
        <f t="shared" si="35"/>
        <v>4.8300015424257686E-2</v>
      </c>
    </row>
    <row r="1139" spans="1:5" x14ac:dyDescent="0.25">
      <c r="A1139">
        <v>0</v>
      </c>
      <c r="B1139">
        <v>-0.112</v>
      </c>
      <c r="C1139">
        <f t="shared" si="34"/>
        <v>1.3949443047573802</v>
      </c>
      <c r="D1139">
        <v>0</v>
      </c>
      <c r="E1139">
        <f t="shared" si="35"/>
        <v>4.8300015424257686E-2</v>
      </c>
    </row>
    <row r="1140" spans="1:5" x14ac:dyDescent="0.25">
      <c r="A1140">
        <v>0</v>
      </c>
      <c r="B1140">
        <v>-0.112</v>
      </c>
      <c r="C1140">
        <f t="shared" si="34"/>
        <v>1.3949443047573802</v>
      </c>
      <c r="D1140">
        <v>0</v>
      </c>
      <c r="E1140">
        <f t="shared" si="35"/>
        <v>4.8300015424257686E-2</v>
      </c>
    </row>
    <row r="1141" spans="1:5" x14ac:dyDescent="0.25">
      <c r="A1141">
        <v>0</v>
      </c>
      <c r="B1141">
        <v>-0.112</v>
      </c>
      <c r="C1141">
        <f t="shared" si="34"/>
        <v>1.3949443047573802</v>
      </c>
      <c r="D1141">
        <v>0</v>
      </c>
      <c r="E1141">
        <f t="shared" si="35"/>
        <v>4.8300015424257686E-2</v>
      </c>
    </row>
    <row r="1142" spans="1:5" x14ac:dyDescent="0.25">
      <c r="A1142">
        <v>0</v>
      </c>
      <c r="B1142">
        <v>-0.112</v>
      </c>
      <c r="C1142">
        <f t="shared" si="34"/>
        <v>1.3949443047573802</v>
      </c>
      <c r="D1142">
        <v>0</v>
      </c>
      <c r="E1142">
        <f t="shared" si="35"/>
        <v>4.8300015424257686E-2</v>
      </c>
    </row>
    <row r="1143" spans="1:5" x14ac:dyDescent="0.25">
      <c r="A1143">
        <v>0</v>
      </c>
      <c r="B1143">
        <v>-0.112</v>
      </c>
      <c r="C1143">
        <f t="shared" si="34"/>
        <v>1.3949443047573802</v>
      </c>
      <c r="D1143">
        <v>0</v>
      </c>
      <c r="E1143">
        <f t="shared" si="35"/>
        <v>4.8300015424257686E-2</v>
      </c>
    </row>
    <row r="1144" spans="1:5" x14ac:dyDescent="0.25">
      <c r="A1144">
        <v>0</v>
      </c>
      <c r="B1144">
        <v>-0.112</v>
      </c>
      <c r="C1144">
        <f t="shared" si="34"/>
        <v>1.3949443047573802</v>
      </c>
      <c r="D1144">
        <v>0</v>
      </c>
      <c r="E1144">
        <f t="shared" si="35"/>
        <v>4.8300015424257686E-2</v>
      </c>
    </row>
    <row r="1145" spans="1:5" x14ac:dyDescent="0.25">
      <c r="A1145">
        <v>0</v>
      </c>
      <c r="B1145">
        <v>-0.112</v>
      </c>
      <c r="C1145">
        <f t="shared" si="34"/>
        <v>1.3949443047573802</v>
      </c>
      <c r="D1145">
        <v>0</v>
      </c>
      <c r="E1145">
        <f t="shared" si="35"/>
        <v>4.8300015424257686E-2</v>
      </c>
    </row>
    <row r="1146" spans="1:5" x14ac:dyDescent="0.25">
      <c r="A1146">
        <v>0</v>
      </c>
      <c r="B1146">
        <v>-0.112</v>
      </c>
      <c r="C1146">
        <f t="shared" si="34"/>
        <v>1.3949443047573802</v>
      </c>
      <c r="D1146">
        <v>0</v>
      </c>
      <c r="E1146">
        <f t="shared" si="35"/>
        <v>4.8300015424257686E-2</v>
      </c>
    </row>
    <row r="1147" spans="1:5" x14ac:dyDescent="0.25">
      <c r="A1147">
        <v>0</v>
      </c>
      <c r="B1147">
        <v>-0.112</v>
      </c>
      <c r="C1147">
        <f t="shared" si="34"/>
        <v>1.3949443047573802</v>
      </c>
      <c r="D1147">
        <v>0</v>
      </c>
      <c r="E1147">
        <f t="shared" si="35"/>
        <v>4.8300015424257686E-2</v>
      </c>
    </row>
    <row r="1148" spans="1:5" x14ac:dyDescent="0.25">
      <c r="A1148">
        <v>0</v>
      </c>
      <c r="B1148">
        <v>-0.112</v>
      </c>
      <c r="C1148">
        <f t="shared" si="34"/>
        <v>1.3949443047573802</v>
      </c>
      <c r="D1148">
        <v>0</v>
      </c>
      <c r="E1148">
        <f t="shared" si="35"/>
        <v>4.8300015424257686E-2</v>
      </c>
    </row>
    <row r="1149" spans="1:5" x14ac:dyDescent="0.25">
      <c r="A1149">
        <v>0</v>
      </c>
      <c r="B1149">
        <v>-0.112</v>
      </c>
      <c r="C1149">
        <f t="shared" si="34"/>
        <v>1.3949443047573802</v>
      </c>
      <c r="D1149">
        <v>0</v>
      </c>
      <c r="E1149">
        <f t="shared" si="35"/>
        <v>4.8300015424257686E-2</v>
      </c>
    </row>
    <row r="1150" spans="1:5" x14ac:dyDescent="0.25">
      <c r="A1150">
        <v>0</v>
      </c>
      <c r="B1150">
        <v>-0.111888111888112</v>
      </c>
      <c r="C1150">
        <f t="shared" si="34"/>
        <v>1.3953091259465085</v>
      </c>
      <c r="D1150">
        <v>0</v>
      </c>
      <c r="E1150">
        <f t="shared" si="35"/>
        <v>4.8300015424257686E-2</v>
      </c>
    </row>
    <row r="1151" spans="1:5" x14ac:dyDescent="0.25">
      <c r="A1151">
        <v>0</v>
      </c>
      <c r="B1151">
        <v>-0.111888111888112</v>
      </c>
      <c r="C1151">
        <f t="shared" si="34"/>
        <v>1.3953091259465085</v>
      </c>
      <c r="D1151">
        <v>0</v>
      </c>
      <c r="E1151">
        <f t="shared" si="35"/>
        <v>4.8300015424257686E-2</v>
      </c>
    </row>
    <row r="1152" spans="1:5" x14ac:dyDescent="0.25">
      <c r="A1152">
        <v>0</v>
      </c>
      <c r="B1152">
        <v>-0.111666666666667</v>
      </c>
      <c r="C1152">
        <f t="shared" si="34"/>
        <v>1.3960305786097882</v>
      </c>
      <c r="D1152">
        <v>0</v>
      </c>
      <c r="E1152">
        <f t="shared" si="35"/>
        <v>4.8300015424257686E-2</v>
      </c>
    </row>
    <row r="1153" spans="1:5" x14ac:dyDescent="0.25">
      <c r="A1153">
        <v>0</v>
      </c>
      <c r="B1153">
        <v>-0.11111111111111099</v>
      </c>
      <c r="C1153">
        <f t="shared" si="34"/>
        <v>1.3978370833335581</v>
      </c>
      <c r="D1153">
        <v>0</v>
      </c>
      <c r="E1153">
        <f t="shared" si="35"/>
        <v>4.8300015424257686E-2</v>
      </c>
    </row>
    <row r="1154" spans="1:5" x14ac:dyDescent="0.25">
      <c r="A1154">
        <v>0</v>
      </c>
      <c r="B1154">
        <v>-0.11111111111111099</v>
      </c>
      <c r="C1154">
        <f t="shared" ref="C1154:C1217" si="36">_xlfn.NORM.DIST(B1154,I$10,I$13,FALSE)</f>
        <v>1.3978370833335581</v>
      </c>
      <c r="D1154">
        <v>0</v>
      </c>
      <c r="E1154">
        <f t="shared" si="35"/>
        <v>4.8300015424257686E-2</v>
      </c>
    </row>
    <row r="1155" spans="1:5" x14ac:dyDescent="0.25">
      <c r="A1155">
        <v>0</v>
      </c>
      <c r="B1155">
        <v>-0.11111111111111099</v>
      </c>
      <c r="C1155">
        <f t="shared" si="36"/>
        <v>1.3978370833335581</v>
      </c>
      <c r="D1155">
        <v>0</v>
      </c>
      <c r="E1155">
        <f t="shared" ref="E1155:E1218" si="37">_xlfn.NORM.DIST(D1155,I$4,I$7,FALSE)</f>
        <v>4.8300015424257686E-2</v>
      </c>
    </row>
    <row r="1156" spans="1:5" x14ac:dyDescent="0.25">
      <c r="A1156">
        <v>0</v>
      </c>
      <c r="B1156">
        <v>-0.11111111111111099</v>
      </c>
      <c r="C1156">
        <f t="shared" si="36"/>
        <v>1.3978370833335581</v>
      </c>
      <c r="D1156">
        <v>0</v>
      </c>
      <c r="E1156">
        <f t="shared" si="37"/>
        <v>4.8300015424257686E-2</v>
      </c>
    </row>
    <row r="1157" spans="1:5" x14ac:dyDescent="0.25">
      <c r="A1157">
        <v>0</v>
      </c>
      <c r="B1157">
        <v>-0.11111111111111099</v>
      </c>
      <c r="C1157">
        <f t="shared" si="36"/>
        <v>1.3978370833335581</v>
      </c>
      <c r="D1157">
        <v>0</v>
      </c>
      <c r="E1157">
        <f t="shared" si="37"/>
        <v>4.8300015424257686E-2</v>
      </c>
    </row>
    <row r="1158" spans="1:5" x14ac:dyDescent="0.25">
      <c r="A1158">
        <v>0</v>
      </c>
      <c r="B1158">
        <v>-0.111</v>
      </c>
      <c r="C1158">
        <f t="shared" si="36"/>
        <v>1.3981977897060454</v>
      </c>
      <c r="D1158">
        <v>0</v>
      </c>
      <c r="E1158">
        <f t="shared" si="37"/>
        <v>4.8300015424257686E-2</v>
      </c>
    </row>
    <row r="1159" spans="1:5" x14ac:dyDescent="0.25">
      <c r="A1159">
        <v>0</v>
      </c>
      <c r="B1159">
        <v>-0.110778443113772</v>
      </c>
      <c r="C1159">
        <f t="shared" si="36"/>
        <v>1.3989164493187993</v>
      </c>
      <c r="D1159">
        <v>0</v>
      </c>
      <c r="E1159">
        <f t="shared" si="37"/>
        <v>4.8300015424257686E-2</v>
      </c>
    </row>
    <row r="1160" spans="1:5" x14ac:dyDescent="0.25">
      <c r="A1160">
        <v>0</v>
      </c>
      <c r="B1160">
        <v>-0.110666666666667</v>
      </c>
      <c r="C1160">
        <f t="shared" si="36"/>
        <v>1.3992787160473961</v>
      </c>
      <c r="D1160">
        <v>0</v>
      </c>
      <c r="E1160">
        <f t="shared" si="37"/>
        <v>4.8300015424257686E-2</v>
      </c>
    </row>
    <row r="1161" spans="1:5" x14ac:dyDescent="0.25">
      <c r="A1161">
        <v>0</v>
      </c>
      <c r="B1161">
        <v>-0.110666666666667</v>
      </c>
      <c r="C1161">
        <f t="shared" si="36"/>
        <v>1.3992787160473961</v>
      </c>
      <c r="D1161">
        <v>0</v>
      </c>
      <c r="E1161">
        <f t="shared" si="37"/>
        <v>4.8300015424257686E-2</v>
      </c>
    </row>
    <row r="1162" spans="1:5" x14ac:dyDescent="0.25">
      <c r="A1162">
        <v>0</v>
      </c>
      <c r="B1162">
        <v>-0.11</v>
      </c>
      <c r="C1162">
        <f t="shared" si="36"/>
        <v>1.4014351831041709</v>
      </c>
      <c r="D1162">
        <v>0</v>
      </c>
      <c r="E1162">
        <f t="shared" si="37"/>
        <v>4.8300015424257686E-2</v>
      </c>
    </row>
    <row r="1163" spans="1:5" x14ac:dyDescent="0.25">
      <c r="A1163">
        <v>0</v>
      </c>
      <c r="B1163">
        <v>-0.11</v>
      </c>
      <c r="C1163">
        <f t="shared" si="36"/>
        <v>1.4014351831041709</v>
      </c>
      <c r="D1163">
        <v>0</v>
      </c>
      <c r="E1163">
        <f t="shared" si="37"/>
        <v>4.8300015424257686E-2</v>
      </c>
    </row>
    <row r="1164" spans="1:5" x14ac:dyDescent="0.25">
      <c r="A1164">
        <v>0</v>
      </c>
      <c r="B1164">
        <v>-0.11</v>
      </c>
      <c r="C1164">
        <f t="shared" si="36"/>
        <v>1.4014351831041709</v>
      </c>
      <c r="D1164">
        <v>0</v>
      </c>
      <c r="E1164">
        <f t="shared" si="37"/>
        <v>4.8300015424257686E-2</v>
      </c>
    </row>
    <row r="1165" spans="1:5" x14ac:dyDescent="0.25">
      <c r="A1165">
        <v>0</v>
      </c>
      <c r="B1165">
        <v>-0.11</v>
      </c>
      <c r="C1165">
        <f t="shared" si="36"/>
        <v>1.4014351831041709</v>
      </c>
      <c r="D1165">
        <v>0</v>
      </c>
      <c r="E1165">
        <f t="shared" si="37"/>
        <v>4.8300015424257686E-2</v>
      </c>
    </row>
    <row r="1166" spans="1:5" x14ac:dyDescent="0.25">
      <c r="A1166">
        <v>0</v>
      </c>
      <c r="B1166">
        <v>-0.11</v>
      </c>
      <c r="C1166">
        <f t="shared" si="36"/>
        <v>1.4014351831041709</v>
      </c>
      <c r="D1166">
        <v>0</v>
      </c>
      <c r="E1166">
        <f t="shared" si="37"/>
        <v>4.8300015424257686E-2</v>
      </c>
    </row>
    <row r="1167" spans="1:5" x14ac:dyDescent="0.25">
      <c r="A1167">
        <v>0</v>
      </c>
      <c r="B1167">
        <v>-0.10981308411215</v>
      </c>
      <c r="C1167">
        <f t="shared" si="36"/>
        <v>1.4020385065051726</v>
      </c>
      <c r="D1167">
        <v>0</v>
      </c>
      <c r="E1167">
        <f t="shared" si="37"/>
        <v>4.8300015424257686E-2</v>
      </c>
    </row>
    <row r="1168" spans="1:5" x14ac:dyDescent="0.25">
      <c r="A1168">
        <v>0</v>
      </c>
      <c r="B1168">
        <v>-0.10958904109589</v>
      </c>
      <c r="C1168">
        <f t="shared" si="36"/>
        <v>1.4027609192181976</v>
      </c>
      <c r="D1168">
        <v>0</v>
      </c>
      <c r="E1168">
        <f t="shared" si="37"/>
        <v>4.8300015424257686E-2</v>
      </c>
    </row>
    <row r="1169" spans="1:5" x14ac:dyDescent="0.25">
      <c r="A1169">
        <v>0</v>
      </c>
      <c r="B1169">
        <v>-0.10955710955711</v>
      </c>
      <c r="C1169">
        <f t="shared" si="36"/>
        <v>1.4028638138995146</v>
      </c>
      <c r="D1169">
        <v>0</v>
      </c>
      <c r="E1169">
        <f t="shared" si="37"/>
        <v>4.8300015424257686E-2</v>
      </c>
    </row>
    <row r="1170" spans="1:5" x14ac:dyDescent="0.25">
      <c r="A1170">
        <v>0</v>
      </c>
      <c r="B1170">
        <v>-0.10955710955711</v>
      </c>
      <c r="C1170">
        <f t="shared" si="36"/>
        <v>1.4028638138995146</v>
      </c>
      <c r="D1170">
        <v>0</v>
      </c>
      <c r="E1170">
        <f t="shared" si="37"/>
        <v>4.8300015424257686E-2</v>
      </c>
    </row>
    <row r="1171" spans="1:5" x14ac:dyDescent="0.25">
      <c r="A1171">
        <v>0</v>
      </c>
      <c r="B1171">
        <v>-0.10955710955711</v>
      </c>
      <c r="C1171">
        <f t="shared" si="36"/>
        <v>1.4028638138995146</v>
      </c>
      <c r="D1171">
        <v>0</v>
      </c>
      <c r="E1171">
        <f t="shared" si="37"/>
        <v>4.8300015424257686E-2</v>
      </c>
    </row>
    <row r="1172" spans="1:5" x14ac:dyDescent="0.25">
      <c r="A1172">
        <v>0</v>
      </c>
      <c r="B1172">
        <v>-0.10955710955711</v>
      </c>
      <c r="C1172">
        <f t="shared" si="36"/>
        <v>1.4028638138995146</v>
      </c>
      <c r="D1172">
        <v>0</v>
      </c>
      <c r="E1172">
        <f t="shared" si="37"/>
        <v>4.8300015424257686E-2</v>
      </c>
    </row>
    <row r="1173" spans="1:5" x14ac:dyDescent="0.25">
      <c r="A1173">
        <v>0</v>
      </c>
      <c r="B1173">
        <v>-0.10955710955711</v>
      </c>
      <c r="C1173">
        <f t="shared" si="36"/>
        <v>1.4028638138995146</v>
      </c>
      <c r="D1173">
        <v>0</v>
      </c>
      <c r="E1173">
        <f t="shared" si="37"/>
        <v>4.8300015424257686E-2</v>
      </c>
    </row>
    <row r="1174" spans="1:5" x14ac:dyDescent="0.25">
      <c r="A1174">
        <v>0</v>
      </c>
      <c r="B1174">
        <v>-0.109333333333333</v>
      </c>
      <c r="C1174">
        <f t="shared" si="36"/>
        <v>1.4035844331122733</v>
      </c>
      <c r="D1174">
        <v>0</v>
      </c>
      <c r="E1174">
        <f t="shared" si="37"/>
        <v>4.8300015424257686E-2</v>
      </c>
    </row>
    <row r="1175" spans="1:5" x14ac:dyDescent="0.25">
      <c r="A1175">
        <v>0</v>
      </c>
      <c r="B1175">
        <v>-0.109333333333333</v>
      </c>
      <c r="C1175">
        <f t="shared" si="36"/>
        <v>1.4035844331122733</v>
      </c>
      <c r="D1175">
        <v>0</v>
      </c>
      <c r="E1175">
        <f t="shared" si="37"/>
        <v>4.8300015424257686E-2</v>
      </c>
    </row>
    <row r="1176" spans="1:5" x14ac:dyDescent="0.25">
      <c r="A1176">
        <v>0</v>
      </c>
      <c r="B1176">
        <v>-0.109333333333333</v>
      </c>
      <c r="C1176">
        <f t="shared" si="36"/>
        <v>1.4035844331122733</v>
      </c>
      <c r="D1176">
        <v>0</v>
      </c>
      <c r="E1176">
        <f t="shared" si="37"/>
        <v>4.8300015424257686E-2</v>
      </c>
    </row>
    <row r="1177" spans="1:5" x14ac:dyDescent="0.25">
      <c r="A1177">
        <v>0</v>
      </c>
      <c r="B1177">
        <v>-0.109333333333333</v>
      </c>
      <c r="C1177">
        <f t="shared" si="36"/>
        <v>1.4035844331122733</v>
      </c>
      <c r="D1177">
        <v>0</v>
      </c>
      <c r="E1177">
        <f t="shared" si="37"/>
        <v>4.8300015424257686E-2</v>
      </c>
    </row>
    <row r="1178" spans="1:5" x14ac:dyDescent="0.25">
      <c r="A1178">
        <v>0</v>
      </c>
      <c r="B1178">
        <v>-0.108333333333333</v>
      </c>
      <c r="C1178">
        <f t="shared" si="36"/>
        <v>1.4067946813065464</v>
      </c>
      <c r="D1178">
        <v>0</v>
      </c>
      <c r="E1178">
        <f t="shared" si="37"/>
        <v>4.8300015424257686E-2</v>
      </c>
    </row>
    <row r="1179" spans="1:5" x14ac:dyDescent="0.25">
      <c r="A1179">
        <v>0</v>
      </c>
      <c r="B1179">
        <v>-0.108333333333333</v>
      </c>
      <c r="C1179">
        <f t="shared" si="36"/>
        <v>1.4067946813065464</v>
      </c>
      <c r="D1179">
        <v>0</v>
      </c>
      <c r="E1179">
        <f t="shared" si="37"/>
        <v>4.8300015424257686E-2</v>
      </c>
    </row>
    <row r="1180" spans="1:5" x14ac:dyDescent="0.25">
      <c r="A1180">
        <v>0</v>
      </c>
      <c r="B1180">
        <v>-0.108333333333333</v>
      </c>
      <c r="C1180">
        <f t="shared" si="36"/>
        <v>1.4067946813065464</v>
      </c>
      <c r="D1180">
        <v>0</v>
      </c>
      <c r="E1180">
        <f t="shared" si="37"/>
        <v>4.8300015424257686E-2</v>
      </c>
    </row>
    <row r="1181" spans="1:5" x14ac:dyDescent="0.25">
      <c r="A1181">
        <v>0</v>
      </c>
      <c r="B1181">
        <v>-0.108108108108108</v>
      </c>
      <c r="C1181">
        <f t="shared" si="36"/>
        <v>1.4075154412675224</v>
      </c>
      <c r="D1181">
        <v>0</v>
      </c>
      <c r="E1181">
        <f t="shared" si="37"/>
        <v>4.8300015424257686E-2</v>
      </c>
    </row>
    <row r="1182" spans="1:5" x14ac:dyDescent="0.25">
      <c r="A1182">
        <v>0</v>
      </c>
      <c r="B1182">
        <v>-0.108108108108108</v>
      </c>
      <c r="C1182">
        <f t="shared" si="36"/>
        <v>1.4075154412675224</v>
      </c>
      <c r="D1182">
        <v>0</v>
      </c>
      <c r="E1182">
        <f t="shared" si="37"/>
        <v>4.8300015424257686E-2</v>
      </c>
    </row>
    <row r="1183" spans="1:5" x14ac:dyDescent="0.25">
      <c r="A1183">
        <v>0</v>
      </c>
      <c r="B1183">
        <v>-0.108108108108108</v>
      </c>
      <c r="C1183">
        <f t="shared" si="36"/>
        <v>1.4075154412675224</v>
      </c>
      <c r="D1183">
        <v>0</v>
      </c>
      <c r="E1183">
        <f t="shared" si="37"/>
        <v>4.8300015424257686E-2</v>
      </c>
    </row>
    <row r="1184" spans="1:5" x14ac:dyDescent="0.25">
      <c r="A1184">
        <v>0</v>
      </c>
      <c r="B1184">
        <v>-0.108108108108108</v>
      </c>
      <c r="C1184">
        <f t="shared" si="36"/>
        <v>1.4075154412675224</v>
      </c>
      <c r="D1184">
        <v>0</v>
      </c>
      <c r="E1184">
        <f t="shared" si="37"/>
        <v>4.8300015424257686E-2</v>
      </c>
    </row>
    <row r="1185" spans="1:5" x14ac:dyDescent="0.25">
      <c r="A1185">
        <v>0</v>
      </c>
      <c r="B1185">
        <v>-0.108108108108108</v>
      </c>
      <c r="C1185">
        <f t="shared" si="36"/>
        <v>1.4075154412675224</v>
      </c>
      <c r="D1185">
        <v>0</v>
      </c>
      <c r="E1185">
        <f t="shared" si="37"/>
        <v>4.8300015424257686E-2</v>
      </c>
    </row>
    <row r="1186" spans="1:5" x14ac:dyDescent="0.25">
      <c r="A1186">
        <v>0</v>
      </c>
      <c r="B1186">
        <v>-0.108108108108108</v>
      </c>
      <c r="C1186">
        <f t="shared" si="36"/>
        <v>1.4075154412675224</v>
      </c>
      <c r="D1186">
        <v>0</v>
      </c>
      <c r="E1186">
        <f t="shared" si="37"/>
        <v>4.8300015424257686E-2</v>
      </c>
    </row>
    <row r="1187" spans="1:5" x14ac:dyDescent="0.25">
      <c r="A1187">
        <v>0</v>
      </c>
      <c r="B1187">
        <v>-0.108</v>
      </c>
      <c r="C1187">
        <f t="shared" si="36"/>
        <v>1.4078611085882413</v>
      </c>
      <c r="D1187">
        <v>0</v>
      </c>
      <c r="E1187">
        <f t="shared" si="37"/>
        <v>4.8300015424257686E-2</v>
      </c>
    </row>
    <row r="1188" spans="1:5" x14ac:dyDescent="0.25">
      <c r="A1188">
        <v>0</v>
      </c>
      <c r="B1188">
        <v>-0.108</v>
      </c>
      <c r="C1188">
        <f t="shared" si="36"/>
        <v>1.4078611085882413</v>
      </c>
      <c r="D1188">
        <v>0</v>
      </c>
      <c r="E1188">
        <f t="shared" si="37"/>
        <v>4.8300015424257686E-2</v>
      </c>
    </row>
    <row r="1189" spans="1:5" x14ac:dyDescent="0.25">
      <c r="A1189">
        <v>0</v>
      </c>
      <c r="B1189">
        <v>-0.108</v>
      </c>
      <c r="C1189">
        <f t="shared" si="36"/>
        <v>1.4078611085882413</v>
      </c>
      <c r="D1189">
        <v>0</v>
      </c>
      <c r="E1189">
        <f t="shared" si="37"/>
        <v>4.8300015424257686E-2</v>
      </c>
    </row>
    <row r="1190" spans="1:5" x14ac:dyDescent="0.25">
      <c r="A1190">
        <v>0</v>
      </c>
      <c r="B1190">
        <v>-0.107784431137725</v>
      </c>
      <c r="C1190">
        <f t="shared" si="36"/>
        <v>1.4085497964790197</v>
      </c>
      <c r="D1190">
        <v>0</v>
      </c>
      <c r="E1190">
        <f t="shared" si="37"/>
        <v>4.8300015424257686E-2</v>
      </c>
    </row>
    <row r="1191" spans="1:5" x14ac:dyDescent="0.25">
      <c r="A1191">
        <v>0</v>
      </c>
      <c r="B1191">
        <v>-0.107784431137725</v>
      </c>
      <c r="C1191">
        <f t="shared" si="36"/>
        <v>1.4085497964790197</v>
      </c>
      <c r="D1191">
        <v>0</v>
      </c>
      <c r="E1191">
        <f t="shared" si="37"/>
        <v>4.8300015424257686E-2</v>
      </c>
    </row>
    <row r="1192" spans="1:5" x14ac:dyDescent="0.25">
      <c r="A1192">
        <v>0</v>
      </c>
      <c r="B1192">
        <v>-0.107784431137725</v>
      </c>
      <c r="C1192">
        <f t="shared" si="36"/>
        <v>1.4085497964790197</v>
      </c>
      <c r="D1192">
        <v>0</v>
      </c>
      <c r="E1192">
        <f t="shared" si="37"/>
        <v>4.8300015424257686E-2</v>
      </c>
    </row>
    <row r="1193" spans="1:5" x14ac:dyDescent="0.25">
      <c r="A1193">
        <v>0</v>
      </c>
      <c r="B1193">
        <v>-0.107784431137725</v>
      </c>
      <c r="C1193">
        <f t="shared" si="36"/>
        <v>1.4085497964790197</v>
      </c>
      <c r="D1193">
        <v>0</v>
      </c>
      <c r="E1193">
        <f t="shared" si="37"/>
        <v>4.8300015424257686E-2</v>
      </c>
    </row>
    <row r="1194" spans="1:5" x14ac:dyDescent="0.25">
      <c r="A1194">
        <v>0</v>
      </c>
      <c r="B1194">
        <v>-0.107784431137725</v>
      </c>
      <c r="C1194">
        <f t="shared" si="36"/>
        <v>1.4085497964790197</v>
      </c>
      <c r="D1194">
        <v>0</v>
      </c>
      <c r="E1194">
        <f t="shared" si="37"/>
        <v>4.8300015424257686E-2</v>
      </c>
    </row>
    <row r="1195" spans="1:5" x14ac:dyDescent="0.25">
      <c r="A1195">
        <v>0</v>
      </c>
      <c r="B1195">
        <v>-0.107784431137725</v>
      </c>
      <c r="C1195">
        <f t="shared" si="36"/>
        <v>1.4085497964790197</v>
      </c>
      <c r="D1195">
        <v>0</v>
      </c>
      <c r="E1195">
        <f t="shared" si="37"/>
        <v>4.8300015424257686E-2</v>
      </c>
    </row>
    <row r="1196" spans="1:5" x14ac:dyDescent="0.25">
      <c r="A1196">
        <v>0</v>
      </c>
      <c r="B1196">
        <v>-0.10734463276836199</v>
      </c>
      <c r="C1196">
        <f t="shared" si="36"/>
        <v>1.4099524524540352</v>
      </c>
      <c r="D1196">
        <v>0</v>
      </c>
      <c r="E1196">
        <f t="shared" si="37"/>
        <v>4.8300015424257686E-2</v>
      </c>
    </row>
    <row r="1197" spans="1:5" x14ac:dyDescent="0.25">
      <c r="A1197">
        <v>0</v>
      </c>
      <c r="B1197">
        <v>-0.107226107226107</v>
      </c>
      <c r="C1197">
        <f t="shared" si="36"/>
        <v>1.4103299182664233</v>
      </c>
      <c r="D1197">
        <v>1</v>
      </c>
      <c r="E1197">
        <f t="shared" si="37"/>
        <v>5.1821752370718156E-2</v>
      </c>
    </row>
    <row r="1198" spans="1:5" x14ac:dyDescent="0.25">
      <c r="A1198">
        <v>0</v>
      </c>
      <c r="B1198">
        <v>-0.107226107226107</v>
      </c>
      <c r="C1198">
        <f t="shared" si="36"/>
        <v>1.4103299182664233</v>
      </c>
      <c r="D1198">
        <v>1</v>
      </c>
      <c r="E1198">
        <f t="shared" si="37"/>
        <v>5.1821752370718156E-2</v>
      </c>
    </row>
    <row r="1199" spans="1:5" x14ac:dyDescent="0.25">
      <c r="A1199">
        <v>0</v>
      </c>
      <c r="B1199">
        <v>-0.107</v>
      </c>
      <c r="C1199">
        <f t="shared" si="36"/>
        <v>1.4110493485685105</v>
      </c>
      <c r="D1199">
        <v>1</v>
      </c>
      <c r="E1199">
        <f t="shared" si="37"/>
        <v>5.1821752370718156E-2</v>
      </c>
    </row>
    <row r="1200" spans="1:5" x14ac:dyDescent="0.25">
      <c r="A1200">
        <v>0</v>
      </c>
      <c r="B1200">
        <v>-0.10666666666666701</v>
      </c>
      <c r="C1200">
        <f t="shared" si="36"/>
        <v>1.4121083966689665</v>
      </c>
      <c r="D1200">
        <v>1</v>
      </c>
      <c r="E1200">
        <f t="shared" si="37"/>
        <v>5.1821752370718156E-2</v>
      </c>
    </row>
    <row r="1201" spans="1:5" x14ac:dyDescent="0.25">
      <c r="A1201">
        <v>0</v>
      </c>
      <c r="B1201">
        <v>-0.10666666666666701</v>
      </c>
      <c r="C1201">
        <f t="shared" si="36"/>
        <v>1.4121083966689665</v>
      </c>
      <c r="D1201">
        <v>1</v>
      </c>
      <c r="E1201">
        <f t="shared" si="37"/>
        <v>5.1821752370718156E-2</v>
      </c>
    </row>
    <row r="1202" spans="1:5" x14ac:dyDescent="0.25">
      <c r="A1202">
        <v>0</v>
      </c>
      <c r="B1202">
        <v>-0.10666666666666701</v>
      </c>
      <c r="C1202">
        <f t="shared" si="36"/>
        <v>1.4121083966689665</v>
      </c>
      <c r="D1202">
        <v>1</v>
      </c>
      <c r="E1202">
        <f t="shared" si="37"/>
        <v>5.1821752370718156E-2</v>
      </c>
    </row>
    <row r="1203" spans="1:5" x14ac:dyDescent="0.25">
      <c r="A1203">
        <v>0</v>
      </c>
      <c r="B1203">
        <v>-0.10666666666666701</v>
      </c>
      <c r="C1203">
        <f t="shared" si="36"/>
        <v>1.4121083966689665</v>
      </c>
      <c r="D1203">
        <v>1</v>
      </c>
      <c r="E1203">
        <f t="shared" si="37"/>
        <v>5.1821752370718156E-2</v>
      </c>
    </row>
    <row r="1204" spans="1:5" x14ac:dyDescent="0.25">
      <c r="A1204">
        <v>0</v>
      </c>
      <c r="B1204">
        <v>-0.10666666666666701</v>
      </c>
      <c r="C1204">
        <f t="shared" si="36"/>
        <v>1.4121083966689665</v>
      </c>
      <c r="D1204">
        <v>1</v>
      </c>
      <c r="E1204">
        <f t="shared" si="37"/>
        <v>5.1821752370718156E-2</v>
      </c>
    </row>
    <row r="1205" spans="1:5" x14ac:dyDescent="0.25">
      <c r="A1205">
        <v>0</v>
      </c>
      <c r="B1205">
        <v>-0.10666666666666701</v>
      </c>
      <c r="C1205">
        <f t="shared" si="36"/>
        <v>1.4121083966689665</v>
      </c>
      <c r="D1205">
        <v>1</v>
      </c>
      <c r="E1205">
        <f t="shared" si="37"/>
        <v>5.1821752370718156E-2</v>
      </c>
    </row>
    <row r="1206" spans="1:5" x14ac:dyDescent="0.25">
      <c r="A1206">
        <v>0</v>
      </c>
      <c r="B1206">
        <v>-0.10666666666666701</v>
      </c>
      <c r="C1206">
        <f t="shared" si="36"/>
        <v>1.4121083966689665</v>
      </c>
      <c r="D1206">
        <v>1</v>
      </c>
      <c r="E1206">
        <f t="shared" si="37"/>
        <v>5.1821752370718156E-2</v>
      </c>
    </row>
    <row r="1207" spans="1:5" x14ac:dyDescent="0.25">
      <c r="A1207">
        <v>0</v>
      </c>
      <c r="B1207">
        <v>-0.106</v>
      </c>
      <c r="C1207">
        <f t="shared" si="36"/>
        <v>1.4142209128089032</v>
      </c>
      <c r="D1207">
        <v>1</v>
      </c>
      <c r="E1207">
        <f t="shared" si="37"/>
        <v>5.1821752370718156E-2</v>
      </c>
    </row>
    <row r="1208" spans="1:5" x14ac:dyDescent="0.25">
      <c r="A1208">
        <v>0</v>
      </c>
      <c r="B1208">
        <v>-0.106</v>
      </c>
      <c r="C1208">
        <f t="shared" si="36"/>
        <v>1.4142209128089032</v>
      </c>
      <c r="D1208">
        <v>1</v>
      </c>
      <c r="E1208">
        <f t="shared" si="37"/>
        <v>5.1821752370718156E-2</v>
      </c>
    </row>
    <row r="1209" spans="1:5" x14ac:dyDescent="0.25">
      <c r="A1209">
        <v>0</v>
      </c>
      <c r="B1209">
        <v>-0.106</v>
      </c>
      <c r="C1209">
        <f t="shared" si="36"/>
        <v>1.4142209128089032</v>
      </c>
      <c r="D1209">
        <v>1</v>
      </c>
      <c r="E1209">
        <f t="shared" si="37"/>
        <v>5.1821752370718156E-2</v>
      </c>
    </row>
    <row r="1210" spans="1:5" x14ac:dyDescent="0.25">
      <c r="A1210">
        <v>0</v>
      </c>
      <c r="B1210">
        <v>-0.105333333333333</v>
      </c>
      <c r="C1210">
        <f t="shared" si="36"/>
        <v>1.4163259531518995</v>
      </c>
      <c r="D1210">
        <v>1</v>
      </c>
      <c r="E1210">
        <f t="shared" si="37"/>
        <v>5.1821752370718156E-2</v>
      </c>
    </row>
    <row r="1211" spans="1:5" x14ac:dyDescent="0.25">
      <c r="A1211">
        <v>0</v>
      </c>
      <c r="B1211">
        <v>-0.105140186915888</v>
      </c>
      <c r="C1211">
        <f t="shared" si="36"/>
        <v>1.4169344218598299</v>
      </c>
      <c r="D1211">
        <v>1</v>
      </c>
      <c r="E1211">
        <f t="shared" si="37"/>
        <v>5.1821752370718156E-2</v>
      </c>
    </row>
    <row r="1212" spans="1:5" x14ac:dyDescent="0.25">
      <c r="A1212">
        <v>0</v>
      </c>
      <c r="B1212">
        <v>-0.105140186915888</v>
      </c>
      <c r="C1212">
        <f t="shared" si="36"/>
        <v>1.4169344218598299</v>
      </c>
      <c r="D1212">
        <v>1</v>
      </c>
      <c r="E1212">
        <f t="shared" si="37"/>
        <v>5.1821752370718156E-2</v>
      </c>
    </row>
    <row r="1213" spans="1:5" x14ac:dyDescent="0.25">
      <c r="A1213">
        <v>0</v>
      </c>
      <c r="B1213">
        <v>-0.105105105105105</v>
      </c>
      <c r="C1213">
        <f t="shared" si="36"/>
        <v>1.4170448722019098</v>
      </c>
      <c r="D1213">
        <v>1</v>
      </c>
      <c r="E1213">
        <f t="shared" si="37"/>
        <v>5.1821752370718156E-2</v>
      </c>
    </row>
    <row r="1214" spans="1:5" x14ac:dyDescent="0.25">
      <c r="A1214">
        <v>0</v>
      </c>
      <c r="B1214">
        <v>-0.105105105105105</v>
      </c>
      <c r="C1214">
        <f t="shared" si="36"/>
        <v>1.4170448722019098</v>
      </c>
      <c r="D1214">
        <v>1</v>
      </c>
      <c r="E1214">
        <f t="shared" si="37"/>
        <v>5.1821752370718156E-2</v>
      </c>
    </row>
    <row r="1215" spans="1:5" x14ac:dyDescent="0.25">
      <c r="A1215">
        <v>0</v>
      </c>
      <c r="B1215">
        <v>-0.105105105105105</v>
      </c>
      <c r="C1215">
        <f t="shared" si="36"/>
        <v>1.4170448722019098</v>
      </c>
      <c r="D1215">
        <v>1</v>
      </c>
      <c r="E1215">
        <f t="shared" si="37"/>
        <v>5.1821752370718156E-2</v>
      </c>
    </row>
    <row r="1216" spans="1:5" x14ac:dyDescent="0.25">
      <c r="A1216">
        <v>0</v>
      </c>
      <c r="B1216">
        <v>-0.105105105105105</v>
      </c>
      <c r="C1216">
        <f t="shared" si="36"/>
        <v>1.4170448722019098</v>
      </c>
      <c r="D1216">
        <v>1</v>
      </c>
      <c r="E1216">
        <f t="shared" si="37"/>
        <v>5.1821752370718156E-2</v>
      </c>
    </row>
    <row r="1217" spans="1:5" x14ac:dyDescent="0.25">
      <c r="A1217">
        <v>0</v>
      </c>
      <c r="B1217">
        <v>-0.105105105105105</v>
      </c>
      <c r="C1217">
        <f t="shared" si="36"/>
        <v>1.4170448722019098</v>
      </c>
      <c r="D1217">
        <v>1</v>
      </c>
      <c r="E1217">
        <f t="shared" si="37"/>
        <v>5.1821752370718156E-2</v>
      </c>
    </row>
    <row r="1218" spans="1:5" x14ac:dyDescent="0.25">
      <c r="A1218">
        <v>0</v>
      </c>
      <c r="B1218">
        <v>-0.105</v>
      </c>
      <c r="C1218">
        <f t="shared" ref="C1218:C1281" si="38">_xlfn.NORM.DIST(B1218,I$10,I$13,FALSE)</f>
        <v>1.4173756565306879</v>
      </c>
      <c r="D1218">
        <v>1</v>
      </c>
      <c r="E1218">
        <f t="shared" si="37"/>
        <v>5.1821752370718156E-2</v>
      </c>
    </row>
    <row r="1219" spans="1:5" x14ac:dyDescent="0.25">
      <c r="A1219">
        <v>0</v>
      </c>
      <c r="B1219">
        <v>-0.105</v>
      </c>
      <c r="C1219">
        <f t="shared" si="38"/>
        <v>1.4173756565306879</v>
      </c>
      <c r="D1219">
        <v>1</v>
      </c>
      <c r="E1219">
        <f t="shared" ref="E1219:E1282" si="39">_xlfn.NORM.DIST(D1219,I$4,I$7,FALSE)</f>
        <v>5.1821752370718156E-2</v>
      </c>
    </row>
    <row r="1220" spans="1:5" x14ac:dyDescent="0.25">
      <c r="A1220">
        <v>0</v>
      </c>
      <c r="B1220">
        <v>-0.105</v>
      </c>
      <c r="C1220">
        <f t="shared" si="38"/>
        <v>1.4173756565306879</v>
      </c>
      <c r="D1220">
        <v>1</v>
      </c>
      <c r="E1220">
        <f t="shared" si="39"/>
        <v>5.1821752370718156E-2</v>
      </c>
    </row>
    <row r="1221" spans="1:5" x14ac:dyDescent="0.25">
      <c r="A1221">
        <v>0</v>
      </c>
      <c r="B1221">
        <v>-0.10489510489510501</v>
      </c>
      <c r="C1221">
        <f t="shared" si="38"/>
        <v>1.4177055931014331</v>
      </c>
      <c r="D1221">
        <v>1</v>
      </c>
      <c r="E1221">
        <f t="shared" si="39"/>
        <v>5.1821752370718156E-2</v>
      </c>
    </row>
    <row r="1222" spans="1:5" x14ac:dyDescent="0.25">
      <c r="A1222">
        <v>0</v>
      </c>
      <c r="B1222">
        <v>-0.10489510489510501</v>
      </c>
      <c r="C1222">
        <f t="shared" si="38"/>
        <v>1.4177055931014331</v>
      </c>
      <c r="D1222">
        <v>1</v>
      </c>
      <c r="E1222">
        <f t="shared" si="39"/>
        <v>5.1821752370718156E-2</v>
      </c>
    </row>
    <row r="1223" spans="1:5" x14ac:dyDescent="0.25">
      <c r="A1223">
        <v>0</v>
      </c>
      <c r="B1223">
        <v>-0.104790419161677</v>
      </c>
      <c r="C1223">
        <f t="shared" si="38"/>
        <v>1.4180346848455674</v>
      </c>
      <c r="D1223">
        <v>1</v>
      </c>
      <c r="E1223">
        <f t="shared" si="39"/>
        <v>5.1821752370718156E-2</v>
      </c>
    </row>
    <row r="1224" spans="1:5" x14ac:dyDescent="0.25">
      <c r="A1224">
        <v>0</v>
      </c>
      <c r="B1224">
        <v>-0.104790419161677</v>
      </c>
      <c r="C1224">
        <f t="shared" si="38"/>
        <v>1.4180346848455674</v>
      </c>
      <c r="D1224">
        <v>1</v>
      </c>
      <c r="E1224">
        <f t="shared" si="39"/>
        <v>5.1821752370718156E-2</v>
      </c>
    </row>
    <row r="1225" spans="1:5" x14ac:dyDescent="0.25">
      <c r="A1225">
        <v>0</v>
      </c>
      <c r="B1225">
        <v>-0.104651162790698</v>
      </c>
      <c r="C1225">
        <f t="shared" si="38"/>
        <v>1.4184721647062177</v>
      </c>
      <c r="D1225">
        <v>1</v>
      </c>
      <c r="E1225">
        <f t="shared" si="39"/>
        <v>5.1821752370718156E-2</v>
      </c>
    </row>
    <row r="1226" spans="1:5" x14ac:dyDescent="0.25">
      <c r="A1226">
        <v>0</v>
      </c>
      <c r="B1226">
        <v>-0.104</v>
      </c>
      <c r="C1226">
        <f t="shared" si="38"/>
        <v>1.4205134354845235</v>
      </c>
      <c r="D1226">
        <v>1</v>
      </c>
      <c r="E1226">
        <f t="shared" si="39"/>
        <v>5.1821752370718156E-2</v>
      </c>
    </row>
    <row r="1227" spans="1:5" x14ac:dyDescent="0.25">
      <c r="A1227">
        <v>0</v>
      </c>
      <c r="B1227">
        <v>-0.104</v>
      </c>
      <c r="C1227">
        <f t="shared" si="38"/>
        <v>1.4205134354845235</v>
      </c>
      <c r="D1227">
        <v>1</v>
      </c>
      <c r="E1227">
        <f t="shared" si="39"/>
        <v>5.1821752370718156E-2</v>
      </c>
    </row>
    <row r="1228" spans="1:5" x14ac:dyDescent="0.25">
      <c r="A1228">
        <v>0</v>
      </c>
      <c r="B1228">
        <v>-0.104</v>
      </c>
      <c r="C1228">
        <f t="shared" si="38"/>
        <v>1.4205134354845235</v>
      </c>
      <c r="D1228">
        <v>1</v>
      </c>
      <c r="E1228">
        <f t="shared" si="39"/>
        <v>5.1821752370718156E-2</v>
      </c>
    </row>
    <row r="1229" spans="1:5" x14ac:dyDescent="0.25">
      <c r="A1229">
        <v>0</v>
      </c>
      <c r="B1229">
        <v>-0.104</v>
      </c>
      <c r="C1229">
        <f t="shared" si="38"/>
        <v>1.4205134354845235</v>
      </c>
      <c r="D1229">
        <v>1</v>
      </c>
      <c r="E1229">
        <f t="shared" si="39"/>
        <v>5.1821752370718156E-2</v>
      </c>
    </row>
    <row r="1230" spans="1:5" x14ac:dyDescent="0.25">
      <c r="A1230">
        <v>0</v>
      </c>
      <c r="B1230">
        <v>-0.104</v>
      </c>
      <c r="C1230">
        <f t="shared" si="38"/>
        <v>1.4205134354845235</v>
      </c>
      <c r="D1230">
        <v>1</v>
      </c>
      <c r="E1230">
        <f t="shared" si="39"/>
        <v>5.1821752370718156E-2</v>
      </c>
    </row>
    <row r="1231" spans="1:5" x14ac:dyDescent="0.25">
      <c r="A1231">
        <v>0</v>
      </c>
      <c r="B1231">
        <v>-0.104</v>
      </c>
      <c r="C1231">
        <f t="shared" si="38"/>
        <v>1.4205134354845235</v>
      </c>
      <c r="D1231">
        <v>1</v>
      </c>
      <c r="E1231">
        <f t="shared" si="39"/>
        <v>5.1821752370718156E-2</v>
      </c>
    </row>
    <row r="1232" spans="1:5" x14ac:dyDescent="0.25">
      <c r="A1232">
        <v>0</v>
      </c>
      <c r="B1232">
        <v>-0.104</v>
      </c>
      <c r="C1232">
        <f t="shared" si="38"/>
        <v>1.4205134354845235</v>
      </c>
      <c r="D1232">
        <v>1</v>
      </c>
      <c r="E1232">
        <f t="shared" si="39"/>
        <v>5.1821752370718156E-2</v>
      </c>
    </row>
    <row r="1233" spans="1:5" x14ac:dyDescent="0.25">
      <c r="A1233">
        <v>0</v>
      </c>
      <c r="B1233">
        <v>-0.104</v>
      </c>
      <c r="C1233">
        <f t="shared" si="38"/>
        <v>1.4205134354845235</v>
      </c>
      <c r="D1233">
        <v>1</v>
      </c>
      <c r="E1233">
        <f t="shared" si="39"/>
        <v>5.1821752370718156E-2</v>
      </c>
    </row>
    <row r="1234" spans="1:5" x14ac:dyDescent="0.25">
      <c r="A1234">
        <v>0</v>
      </c>
      <c r="B1234">
        <v>-0.104</v>
      </c>
      <c r="C1234">
        <f t="shared" si="38"/>
        <v>1.4205134354845235</v>
      </c>
      <c r="D1234">
        <v>1</v>
      </c>
      <c r="E1234">
        <f t="shared" si="39"/>
        <v>5.1821752370718156E-2</v>
      </c>
    </row>
    <row r="1235" spans="1:5" x14ac:dyDescent="0.25">
      <c r="A1235">
        <v>0</v>
      </c>
      <c r="B1235">
        <v>-0.104</v>
      </c>
      <c r="C1235">
        <f t="shared" si="38"/>
        <v>1.4205134354845235</v>
      </c>
      <c r="D1235">
        <v>1</v>
      </c>
      <c r="E1235">
        <f t="shared" si="39"/>
        <v>5.1821752370718156E-2</v>
      </c>
    </row>
    <row r="1236" spans="1:5" x14ac:dyDescent="0.25">
      <c r="A1236">
        <v>0</v>
      </c>
      <c r="B1236">
        <v>-0.104</v>
      </c>
      <c r="C1236">
        <f t="shared" si="38"/>
        <v>1.4205134354845235</v>
      </c>
      <c r="D1236">
        <v>1</v>
      </c>
      <c r="E1236">
        <f t="shared" si="39"/>
        <v>5.1821752370718156E-2</v>
      </c>
    </row>
    <row r="1237" spans="1:5" x14ac:dyDescent="0.25">
      <c r="A1237">
        <v>0</v>
      </c>
      <c r="B1237">
        <v>-0.104</v>
      </c>
      <c r="C1237">
        <f t="shared" si="38"/>
        <v>1.4205134354845235</v>
      </c>
      <c r="D1237">
        <v>1</v>
      </c>
      <c r="E1237">
        <f t="shared" si="39"/>
        <v>5.1821752370718156E-2</v>
      </c>
    </row>
    <row r="1238" spans="1:5" x14ac:dyDescent="0.25">
      <c r="A1238">
        <v>0</v>
      </c>
      <c r="B1238">
        <v>-0.104</v>
      </c>
      <c r="C1238">
        <f t="shared" si="38"/>
        <v>1.4205134354845235</v>
      </c>
      <c r="D1238">
        <v>1</v>
      </c>
      <c r="E1238">
        <f t="shared" si="39"/>
        <v>5.1821752370718156E-2</v>
      </c>
    </row>
    <row r="1239" spans="1:5" x14ac:dyDescent="0.25">
      <c r="A1239">
        <v>0</v>
      </c>
      <c r="B1239">
        <v>-0.104</v>
      </c>
      <c r="C1239">
        <f t="shared" si="38"/>
        <v>1.4205134354845235</v>
      </c>
      <c r="D1239">
        <v>1</v>
      </c>
      <c r="E1239">
        <f t="shared" si="39"/>
        <v>5.1821752370718156E-2</v>
      </c>
    </row>
    <row r="1240" spans="1:5" x14ac:dyDescent="0.25">
      <c r="A1240">
        <v>0</v>
      </c>
      <c r="B1240">
        <v>-0.103333333333333</v>
      </c>
      <c r="C1240">
        <f t="shared" si="38"/>
        <v>1.4225957922593553</v>
      </c>
      <c r="D1240">
        <v>1</v>
      </c>
      <c r="E1240">
        <f t="shared" si="39"/>
        <v>5.1821752370718156E-2</v>
      </c>
    </row>
    <row r="1241" spans="1:5" x14ac:dyDescent="0.25">
      <c r="A1241">
        <v>0</v>
      </c>
      <c r="B1241">
        <v>-0.103333333333333</v>
      </c>
      <c r="C1241">
        <f t="shared" si="38"/>
        <v>1.4225957922593553</v>
      </c>
      <c r="D1241">
        <v>1</v>
      </c>
      <c r="E1241">
        <f t="shared" si="39"/>
        <v>5.1821752370718156E-2</v>
      </c>
    </row>
    <row r="1242" spans="1:5" x14ac:dyDescent="0.25">
      <c r="A1242">
        <v>0</v>
      </c>
      <c r="B1242">
        <v>-0.10280373831775701</v>
      </c>
      <c r="C1242">
        <f t="shared" si="38"/>
        <v>1.4242445533193919</v>
      </c>
      <c r="D1242">
        <v>1</v>
      </c>
      <c r="E1242">
        <f t="shared" si="39"/>
        <v>5.1821752370718156E-2</v>
      </c>
    </row>
    <row r="1243" spans="1:5" x14ac:dyDescent="0.25">
      <c r="A1243">
        <v>0</v>
      </c>
      <c r="B1243">
        <v>-0.102666666666667</v>
      </c>
      <c r="C1243">
        <f t="shared" si="38"/>
        <v>1.4246705028105209</v>
      </c>
      <c r="D1243">
        <v>1</v>
      </c>
      <c r="E1243">
        <f t="shared" si="39"/>
        <v>5.1821752370718156E-2</v>
      </c>
    </row>
    <row r="1244" spans="1:5" x14ac:dyDescent="0.25">
      <c r="A1244">
        <v>0</v>
      </c>
      <c r="B1244">
        <v>-0.102564102564103</v>
      </c>
      <c r="C1244">
        <f t="shared" si="38"/>
        <v>1.4249890076910676</v>
      </c>
      <c r="D1244">
        <v>1</v>
      </c>
      <c r="E1244">
        <f t="shared" si="39"/>
        <v>5.1821752370718156E-2</v>
      </c>
    </row>
    <row r="1245" spans="1:5" x14ac:dyDescent="0.25">
      <c r="A1245">
        <v>0</v>
      </c>
      <c r="B1245">
        <v>-0.10210210210210199</v>
      </c>
      <c r="C1245">
        <f t="shared" si="38"/>
        <v>1.4264214541470788</v>
      </c>
      <c r="D1245">
        <v>1</v>
      </c>
      <c r="E1245">
        <f t="shared" si="39"/>
        <v>5.1821752370718156E-2</v>
      </c>
    </row>
    <row r="1246" spans="1:5" x14ac:dyDescent="0.25">
      <c r="A1246">
        <v>0</v>
      </c>
      <c r="B1246">
        <v>-0.10210210210210199</v>
      </c>
      <c r="C1246">
        <f t="shared" si="38"/>
        <v>1.4264214541470788</v>
      </c>
      <c r="D1246">
        <v>1</v>
      </c>
      <c r="E1246">
        <f t="shared" si="39"/>
        <v>5.1821752370718156E-2</v>
      </c>
    </row>
    <row r="1247" spans="1:5" x14ac:dyDescent="0.25">
      <c r="A1247">
        <v>0</v>
      </c>
      <c r="B1247">
        <v>-0.10210210210210199</v>
      </c>
      <c r="C1247">
        <f t="shared" si="38"/>
        <v>1.4264214541470788</v>
      </c>
      <c r="D1247">
        <v>1</v>
      </c>
      <c r="E1247">
        <f t="shared" si="39"/>
        <v>5.1821752370718156E-2</v>
      </c>
    </row>
    <row r="1248" spans="1:5" x14ac:dyDescent="0.25">
      <c r="A1248">
        <v>0</v>
      </c>
      <c r="B1248">
        <v>-0.10210210210210199</v>
      </c>
      <c r="C1248">
        <f t="shared" si="38"/>
        <v>1.4264214541470788</v>
      </c>
      <c r="D1248">
        <v>1</v>
      </c>
      <c r="E1248">
        <f t="shared" si="39"/>
        <v>5.1821752370718156E-2</v>
      </c>
    </row>
    <row r="1249" spans="1:5" x14ac:dyDescent="0.25">
      <c r="A1249">
        <v>0</v>
      </c>
      <c r="B1249">
        <v>-0.10210210210210199</v>
      </c>
      <c r="C1249">
        <f t="shared" si="38"/>
        <v>1.4264214541470788</v>
      </c>
      <c r="D1249">
        <v>1</v>
      </c>
      <c r="E1249">
        <f t="shared" si="39"/>
        <v>5.1821752370718156E-2</v>
      </c>
    </row>
    <row r="1250" spans="1:5" x14ac:dyDescent="0.25">
      <c r="A1250">
        <v>0</v>
      </c>
      <c r="B1250">
        <v>-0.10210210210210199</v>
      </c>
      <c r="C1250">
        <f t="shared" si="38"/>
        <v>1.4264214541470788</v>
      </c>
      <c r="D1250">
        <v>1</v>
      </c>
      <c r="E1250">
        <f t="shared" si="39"/>
        <v>5.1821752370718156E-2</v>
      </c>
    </row>
    <row r="1251" spans="1:5" x14ac:dyDescent="0.25">
      <c r="A1251">
        <v>0</v>
      </c>
      <c r="B1251">
        <v>-0.10210210210210199</v>
      </c>
      <c r="C1251">
        <f t="shared" si="38"/>
        <v>1.4264214541470788</v>
      </c>
      <c r="D1251">
        <v>1</v>
      </c>
      <c r="E1251">
        <f t="shared" si="39"/>
        <v>5.1821752370718156E-2</v>
      </c>
    </row>
    <row r="1252" spans="1:5" x14ac:dyDescent="0.25">
      <c r="A1252">
        <v>0</v>
      </c>
      <c r="B1252">
        <v>-0.10210210210210199</v>
      </c>
      <c r="C1252">
        <f t="shared" si="38"/>
        <v>1.4264214541470788</v>
      </c>
      <c r="D1252">
        <v>1</v>
      </c>
      <c r="E1252">
        <f t="shared" si="39"/>
        <v>5.1821752370718156E-2</v>
      </c>
    </row>
    <row r="1253" spans="1:5" x14ac:dyDescent="0.25">
      <c r="A1253">
        <v>0</v>
      </c>
      <c r="B1253">
        <v>-0.10210210210210199</v>
      </c>
      <c r="C1253">
        <f t="shared" si="38"/>
        <v>1.4264214541470788</v>
      </c>
      <c r="D1253">
        <v>1</v>
      </c>
      <c r="E1253">
        <f t="shared" si="39"/>
        <v>5.1821752370718156E-2</v>
      </c>
    </row>
    <row r="1254" spans="1:5" x14ac:dyDescent="0.25">
      <c r="A1254">
        <v>0</v>
      </c>
      <c r="B1254">
        <v>-0.10199999999999999</v>
      </c>
      <c r="C1254">
        <f t="shared" si="38"/>
        <v>1.4267375248035679</v>
      </c>
      <c r="D1254">
        <v>1</v>
      </c>
      <c r="E1254">
        <f t="shared" si="39"/>
        <v>5.1821752370718156E-2</v>
      </c>
    </row>
    <row r="1255" spans="1:5" x14ac:dyDescent="0.25">
      <c r="A1255">
        <v>0</v>
      </c>
      <c r="B1255">
        <v>-0.10199999999999999</v>
      </c>
      <c r="C1255">
        <f t="shared" si="38"/>
        <v>1.4267375248035679</v>
      </c>
      <c r="D1255">
        <v>1</v>
      </c>
      <c r="E1255">
        <f t="shared" si="39"/>
        <v>5.1821752370718156E-2</v>
      </c>
    </row>
    <row r="1256" spans="1:5" x14ac:dyDescent="0.25">
      <c r="A1256">
        <v>0</v>
      </c>
      <c r="B1256">
        <v>-0.10199999999999999</v>
      </c>
      <c r="C1256">
        <f t="shared" si="38"/>
        <v>1.4267375248035679</v>
      </c>
      <c r="D1256">
        <v>1</v>
      </c>
      <c r="E1256">
        <f t="shared" si="39"/>
        <v>5.1821752370718156E-2</v>
      </c>
    </row>
    <row r="1257" spans="1:5" x14ac:dyDescent="0.25">
      <c r="A1257">
        <v>0</v>
      </c>
      <c r="B1257">
        <v>-0.101796407185629</v>
      </c>
      <c r="C1257">
        <f t="shared" si="38"/>
        <v>1.427367232041761</v>
      </c>
      <c r="D1257">
        <v>1</v>
      </c>
      <c r="E1257">
        <f t="shared" si="39"/>
        <v>5.1821752370718156E-2</v>
      </c>
    </row>
    <row r="1258" spans="1:5" x14ac:dyDescent="0.25">
      <c r="A1258">
        <v>0</v>
      </c>
      <c r="B1258">
        <v>-0.101796407185629</v>
      </c>
      <c r="C1258">
        <f t="shared" si="38"/>
        <v>1.427367232041761</v>
      </c>
      <c r="D1258">
        <v>1</v>
      </c>
      <c r="E1258">
        <f t="shared" si="39"/>
        <v>5.1821752370718156E-2</v>
      </c>
    </row>
    <row r="1259" spans="1:5" x14ac:dyDescent="0.25">
      <c r="A1259">
        <v>0</v>
      </c>
      <c r="B1259">
        <v>-0.101796407185629</v>
      </c>
      <c r="C1259">
        <f t="shared" si="38"/>
        <v>1.427367232041761</v>
      </c>
      <c r="D1259">
        <v>1</v>
      </c>
      <c r="E1259">
        <f t="shared" si="39"/>
        <v>5.1821752370718156E-2</v>
      </c>
    </row>
    <row r="1260" spans="1:5" x14ac:dyDescent="0.25">
      <c r="A1260">
        <v>0</v>
      </c>
      <c r="B1260">
        <v>-0.101796407185629</v>
      </c>
      <c r="C1260">
        <f t="shared" si="38"/>
        <v>1.427367232041761</v>
      </c>
      <c r="D1260">
        <v>1</v>
      </c>
      <c r="E1260">
        <f t="shared" si="39"/>
        <v>5.1821752370718156E-2</v>
      </c>
    </row>
    <row r="1261" spans="1:5" x14ac:dyDescent="0.25">
      <c r="A1261">
        <v>0</v>
      </c>
      <c r="B1261">
        <v>-0.101333333333333</v>
      </c>
      <c r="C1261">
        <f t="shared" si="38"/>
        <v>1.4287968160157927</v>
      </c>
      <c r="D1261">
        <v>1</v>
      </c>
      <c r="E1261">
        <f t="shared" si="39"/>
        <v>5.1821752370718156E-2</v>
      </c>
    </row>
    <row r="1262" spans="1:5" x14ac:dyDescent="0.25">
      <c r="A1262">
        <v>0</v>
      </c>
      <c r="B1262">
        <v>-0.101333333333333</v>
      </c>
      <c r="C1262">
        <f t="shared" si="38"/>
        <v>1.4287968160157927</v>
      </c>
      <c r="D1262">
        <v>1</v>
      </c>
      <c r="E1262">
        <f t="shared" si="39"/>
        <v>5.1821752370718156E-2</v>
      </c>
    </row>
    <row r="1263" spans="1:5" x14ac:dyDescent="0.25">
      <c r="A1263">
        <v>0</v>
      </c>
      <c r="B1263">
        <v>-0.101333333333333</v>
      </c>
      <c r="C1263">
        <f t="shared" si="38"/>
        <v>1.4287968160157927</v>
      </c>
      <c r="D1263">
        <v>1</v>
      </c>
      <c r="E1263">
        <f t="shared" si="39"/>
        <v>5.1821752370718156E-2</v>
      </c>
    </row>
    <row r="1264" spans="1:5" x14ac:dyDescent="0.25">
      <c r="A1264">
        <v>0</v>
      </c>
      <c r="B1264">
        <v>-0.101333333333333</v>
      </c>
      <c r="C1264">
        <f t="shared" si="38"/>
        <v>1.4287968160157927</v>
      </c>
      <c r="D1264">
        <v>1</v>
      </c>
      <c r="E1264">
        <f t="shared" si="39"/>
        <v>5.1821752370718156E-2</v>
      </c>
    </row>
    <row r="1265" spans="1:5" x14ac:dyDescent="0.25">
      <c r="A1265">
        <v>0</v>
      </c>
      <c r="B1265">
        <v>-0.101333333333333</v>
      </c>
      <c r="C1265">
        <f t="shared" si="38"/>
        <v>1.4287968160157927</v>
      </c>
      <c r="D1265">
        <v>1</v>
      </c>
      <c r="E1265">
        <f t="shared" si="39"/>
        <v>5.1821752370718156E-2</v>
      </c>
    </row>
    <row r="1266" spans="1:5" x14ac:dyDescent="0.25">
      <c r="A1266">
        <v>0</v>
      </c>
      <c r="B1266">
        <v>-0.101333333333333</v>
      </c>
      <c r="C1266">
        <f t="shared" si="38"/>
        <v>1.4287968160157927</v>
      </c>
      <c r="D1266">
        <v>1</v>
      </c>
      <c r="E1266">
        <f t="shared" si="39"/>
        <v>5.1821752370718156E-2</v>
      </c>
    </row>
    <row r="1267" spans="1:5" x14ac:dyDescent="0.25">
      <c r="A1267">
        <v>0</v>
      </c>
      <c r="B1267">
        <v>-0.101123595505618</v>
      </c>
      <c r="C1267">
        <f t="shared" si="38"/>
        <v>1.4294430775282527</v>
      </c>
      <c r="D1267">
        <v>1</v>
      </c>
      <c r="E1267">
        <f t="shared" si="39"/>
        <v>5.1821752370718156E-2</v>
      </c>
    </row>
    <row r="1268" spans="1:5" x14ac:dyDescent="0.25">
      <c r="A1268">
        <v>0</v>
      </c>
      <c r="B1268">
        <v>-0.10100000000000001</v>
      </c>
      <c r="C1268">
        <f t="shared" si="38"/>
        <v>1.4298235494154128</v>
      </c>
      <c r="D1268">
        <v>1</v>
      </c>
      <c r="E1268">
        <f t="shared" si="39"/>
        <v>5.1821752370718156E-2</v>
      </c>
    </row>
    <row r="1269" spans="1:5" x14ac:dyDescent="0.25">
      <c r="A1269">
        <v>0</v>
      </c>
      <c r="B1269">
        <v>-0.100467289719626</v>
      </c>
      <c r="C1269">
        <f t="shared" si="38"/>
        <v>1.4314603563672548</v>
      </c>
      <c r="D1269">
        <v>1</v>
      </c>
      <c r="E1269">
        <f t="shared" si="39"/>
        <v>5.1821752370718156E-2</v>
      </c>
    </row>
    <row r="1270" spans="1:5" x14ac:dyDescent="0.25">
      <c r="A1270">
        <v>0</v>
      </c>
      <c r="B1270">
        <v>-0.100467289719626</v>
      </c>
      <c r="C1270">
        <f t="shared" si="38"/>
        <v>1.4314603563672548</v>
      </c>
      <c r="D1270">
        <v>1</v>
      </c>
      <c r="E1270">
        <f t="shared" si="39"/>
        <v>5.1821752370718156E-2</v>
      </c>
    </row>
    <row r="1271" spans="1:5" x14ac:dyDescent="0.25">
      <c r="A1271">
        <v>0</v>
      </c>
      <c r="B1271">
        <v>-0.100467289719626</v>
      </c>
      <c r="C1271">
        <f t="shared" si="38"/>
        <v>1.4314603563672548</v>
      </c>
      <c r="D1271">
        <v>1</v>
      </c>
      <c r="E1271">
        <f t="shared" si="39"/>
        <v>5.1821752370718156E-2</v>
      </c>
    </row>
    <row r="1272" spans="1:5" x14ac:dyDescent="0.25">
      <c r="A1272">
        <v>0</v>
      </c>
      <c r="B1272">
        <v>-0.100467289719626</v>
      </c>
      <c r="C1272">
        <f t="shared" si="38"/>
        <v>1.4314603563672548</v>
      </c>
      <c r="D1272">
        <v>1</v>
      </c>
      <c r="E1272">
        <f t="shared" si="39"/>
        <v>5.1821752370718156E-2</v>
      </c>
    </row>
    <row r="1273" spans="1:5" x14ac:dyDescent="0.25">
      <c r="A1273">
        <v>0</v>
      </c>
      <c r="B1273">
        <v>-0.1002331002331</v>
      </c>
      <c r="C1273">
        <f t="shared" si="38"/>
        <v>1.4321783473078413</v>
      </c>
      <c r="D1273">
        <v>1</v>
      </c>
      <c r="E1273">
        <f t="shared" si="39"/>
        <v>5.1821752370718156E-2</v>
      </c>
    </row>
    <row r="1274" spans="1:5" x14ac:dyDescent="0.25">
      <c r="A1274">
        <v>0</v>
      </c>
      <c r="B1274">
        <v>-0.1002331002331</v>
      </c>
      <c r="C1274">
        <f t="shared" si="38"/>
        <v>1.4321783473078413</v>
      </c>
      <c r="D1274">
        <v>1</v>
      </c>
      <c r="E1274">
        <f t="shared" si="39"/>
        <v>5.1821752370718156E-2</v>
      </c>
    </row>
    <row r="1275" spans="1:5" x14ac:dyDescent="0.25">
      <c r="A1275">
        <v>0</v>
      </c>
      <c r="B1275">
        <v>-0.1002331002331</v>
      </c>
      <c r="C1275">
        <f t="shared" si="38"/>
        <v>1.4321783473078413</v>
      </c>
      <c r="D1275">
        <v>1</v>
      </c>
      <c r="E1275">
        <f t="shared" si="39"/>
        <v>5.1821752370718156E-2</v>
      </c>
    </row>
    <row r="1276" spans="1:5" x14ac:dyDescent="0.25">
      <c r="A1276">
        <v>0</v>
      </c>
      <c r="B1276">
        <v>-0.1</v>
      </c>
      <c r="C1276">
        <f t="shared" si="38"/>
        <v>1.4328920377743533</v>
      </c>
      <c r="D1276">
        <v>1</v>
      </c>
      <c r="E1276">
        <f t="shared" si="39"/>
        <v>5.1821752370718156E-2</v>
      </c>
    </row>
    <row r="1277" spans="1:5" x14ac:dyDescent="0.25">
      <c r="A1277">
        <v>0</v>
      </c>
      <c r="B1277">
        <v>-0.1</v>
      </c>
      <c r="C1277">
        <f t="shared" si="38"/>
        <v>1.4328920377743533</v>
      </c>
      <c r="D1277">
        <v>1</v>
      </c>
      <c r="E1277">
        <f t="shared" si="39"/>
        <v>5.1821752370718156E-2</v>
      </c>
    </row>
    <row r="1278" spans="1:5" x14ac:dyDescent="0.25">
      <c r="A1278">
        <v>0</v>
      </c>
      <c r="B1278">
        <v>-0.1</v>
      </c>
      <c r="C1278">
        <f t="shared" si="38"/>
        <v>1.4328920377743533</v>
      </c>
      <c r="D1278">
        <v>1</v>
      </c>
      <c r="E1278">
        <f t="shared" si="39"/>
        <v>5.1821752370718156E-2</v>
      </c>
    </row>
    <row r="1279" spans="1:5" x14ac:dyDescent="0.25">
      <c r="A1279">
        <v>0</v>
      </c>
      <c r="B1279">
        <v>-0.1</v>
      </c>
      <c r="C1279">
        <f t="shared" si="38"/>
        <v>1.4328920377743533</v>
      </c>
      <c r="D1279">
        <v>1</v>
      </c>
      <c r="E1279">
        <f t="shared" si="39"/>
        <v>5.1821752370718156E-2</v>
      </c>
    </row>
    <row r="1280" spans="1:5" x14ac:dyDescent="0.25">
      <c r="A1280">
        <v>0</v>
      </c>
      <c r="B1280">
        <v>-0.1</v>
      </c>
      <c r="C1280">
        <f t="shared" si="38"/>
        <v>1.4328920377743533</v>
      </c>
      <c r="D1280">
        <v>1</v>
      </c>
      <c r="E1280">
        <f t="shared" si="39"/>
        <v>5.1821752370718156E-2</v>
      </c>
    </row>
    <row r="1281" spans="1:5" x14ac:dyDescent="0.25">
      <c r="A1281">
        <v>0</v>
      </c>
      <c r="B1281">
        <v>-0.1</v>
      </c>
      <c r="C1281">
        <f t="shared" si="38"/>
        <v>1.4328920377743533</v>
      </c>
      <c r="D1281">
        <v>1</v>
      </c>
      <c r="E1281">
        <f t="shared" si="39"/>
        <v>5.1821752370718156E-2</v>
      </c>
    </row>
    <row r="1282" spans="1:5" x14ac:dyDescent="0.25">
      <c r="A1282">
        <v>0</v>
      </c>
      <c r="B1282">
        <v>-0.1</v>
      </c>
      <c r="C1282">
        <f t="shared" ref="C1282:C1345" si="40">_xlfn.NORM.DIST(B1282,I$10,I$13,FALSE)</f>
        <v>1.4328920377743533</v>
      </c>
      <c r="D1282">
        <v>1</v>
      </c>
      <c r="E1282">
        <f t="shared" si="39"/>
        <v>5.1821752370718156E-2</v>
      </c>
    </row>
    <row r="1283" spans="1:5" x14ac:dyDescent="0.25">
      <c r="A1283">
        <v>0</v>
      </c>
      <c r="B1283">
        <v>-0.1</v>
      </c>
      <c r="C1283">
        <f t="shared" si="40"/>
        <v>1.4328920377743533</v>
      </c>
      <c r="D1283">
        <v>1</v>
      </c>
      <c r="E1283">
        <f t="shared" ref="E1283:E1346" si="41">_xlfn.NORM.DIST(D1283,I$4,I$7,FALSE)</f>
        <v>5.1821752370718156E-2</v>
      </c>
    </row>
    <row r="1284" spans="1:5" x14ac:dyDescent="0.25">
      <c r="A1284">
        <v>0</v>
      </c>
      <c r="B1284">
        <v>-9.90990990990991E-2</v>
      </c>
      <c r="C1284">
        <f t="shared" si="40"/>
        <v>1.4356413089600635</v>
      </c>
      <c r="D1284">
        <v>1</v>
      </c>
      <c r="E1284">
        <f t="shared" si="41"/>
        <v>5.1821752370718156E-2</v>
      </c>
    </row>
    <row r="1285" spans="1:5" x14ac:dyDescent="0.25">
      <c r="A1285">
        <v>0</v>
      </c>
      <c r="B1285">
        <v>-9.90990990990991E-2</v>
      </c>
      <c r="C1285">
        <f t="shared" si="40"/>
        <v>1.4356413089600635</v>
      </c>
      <c r="D1285">
        <v>1</v>
      </c>
      <c r="E1285">
        <f t="shared" si="41"/>
        <v>5.1821752370718156E-2</v>
      </c>
    </row>
    <row r="1286" spans="1:5" x14ac:dyDescent="0.25">
      <c r="A1286">
        <v>0</v>
      </c>
      <c r="B1286">
        <v>-9.8802395209580798E-2</v>
      </c>
      <c r="C1286">
        <f t="shared" si="40"/>
        <v>1.4365435992911888</v>
      </c>
      <c r="D1286">
        <v>1</v>
      </c>
      <c r="E1286">
        <f t="shared" si="41"/>
        <v>5.1821752370718156E-2</v>
      </c>
    </row>
    <row r="1287" spans="1:5" x14ac:dyDescent="0.25">
      <c r="A1287">
        <v>0</v>
      </c>
      <c r="B1287">
        <v>-9.8666666666666694E-2</v>
      </c>
      <c r="C1287">
        <f t="shared" si="40"/>
        <v>1.436955832594117</v>
      </c>
      <c r="D1287">
        <v>1</v>
      </c>
      <c r="E1287">
        <f t="shared" si="41"/>
        <v>5.1821752370718156E-2</v>
      </c>
    </row>
    <row r="1288" spans="1:5" x14ac:dyDescent="0.25">
      <c r="A1288">
        <v>0</v>
      </c>
      <c r="B1288">
        <v>-9.8666666666666694E-2</v>
      </c>
      <c r="C1288">
        <f t="shared" si="40"/>
        <v>1.436955832594117</v>
      </c>
      <c r="D1288">
        <v>1</v>
      </c>
      <c r="E1288">
        <f t="shared" si="41"/>
        <v>5.1821752370718156E-2</v>
      </c>
    </row>
    <row r="1289" spans="1:5" x14ac:dyDescent="0.25">
      <c r="A1289">
        <v>0</v>
      </c>
      <c r="B1289">
        <v>-9.8666666666666694E-2</v>
      </c>
      <c r="C1289">
        <f t="shared" si="40"/>
        <v>1.436955832594117</v>
      </c>
      <c r="D1289">
        <v>1</v>
      </c>
      <c r="E1289">
        <f t="shared" si="41"/>
        <v>5.1821752370718156E-2</v>
      </c>
    </row>
    <row r="1290" spans="1:5" x14ac:dyDescent="0.25">
      <c r="A1290">
        <v>0</v>
      </c>
      <c r="B1290">
        <v>-9.8666666666666694E-2</v>
      </c>
      <c r="C1290">
        <f t="shared" si="40"/>
        <v>1.436955832594117</v>
      </c>
      <c r="D1290">
        <v>1</v>
      </c>
      <c r="E1290">
        <f t="shared" si="41"/>
        <v>5.1821752370718156E-2</v>
      </c>
    </row>
    <row r="1291" spans="1:5" x14ac:dyDescent="0.25">
      <c r="A1291">
        <v>0</v>
      </c>
      <c r="B1291">
        <v>-9.8666666666666694E-2</v>
      </c>
      <c r="C1291">
        <f t="shared" si="40"/>
        <v>1.436955832594117</v>
      </c>
      <c r="D1291">
        <v>1</v>
      </c>
      <c r="E1291">
        <f t="shared" si="41"/>
        <v>5.1821752370718156E-2</v>
      </c>
    </row>
    <row r="1292" spans="1:5" x14ac:dyDescent="0.25">
      <c r="A1292">
        <v>0</v>
      </c>
      <c r="B1292">
        <v>-9.8666666666666694E-2</v>
      </c>
      <c r="C1292">
        <f t="shared" si="40"/>
        <v>1.436955832594117</v>
      </c>
      <c r="D1292">
        <v>1</v>
      </c>
      <c r="E1292">
        <f t="shared" si="41"/>
        <v>5.1821752370718156E-2</v>
      </c>
    </row>
    <row r="1293" spans="1:5" x14ac:dyDescent="0.25">
      <c r="A1293">
        <v>0</v>
      </c>
      <c r="B1293">
        <v>-9.83333333333333E-2</v>
      </c>
      <c r="C1293">
        <f t="shared" si="40"/>
        <v>1.4379668317026992</v>
      </c>
      <c r="D1293">
        <v>1</v>
      </c>
      <c r="E1293">
        <f t="shared" si="41"/>
        <v>5.1821752370718156E-2</v>
      </c>
    </row>
    <row r="1294" spans="1:5" x14ac:dyDescent="0.25">
      <c r="A1294">
        <v>0</v>
      </c>
      <c r="B1294">
        <v>-9.8130841121495296E-2</v>
      </c>
      <c r="C1294">
        <f t="shared" si="40"/>
        <v>1.438580018633046</v>
      </c>
      <c r="D1294">
        <v>1</v>
      </c>
      <c r="E1294">
        <f t="shared" si="41"/>
        <v>5.1821752370718156E-2</v>
      </c>
    </row>
    <row r="1295" spans="1:5" x14ac:dyDescent="0.25">
      <c r="A1295">
        <v>0</v>
      </c>
      <c r="B1295">
        <v>-9.8130841121495296E-2</v>
      </c>
      <c r="C1295">
        <f t="shared" si="40"/>
        <v>1.438580018633046</v>
      </c>
      <c r="D1295">
        <v>1</v>
      </c>
      <c r="E1295">
        <f t="shared" si="41"/>
        <v>5.1821752370718156E-2</v>
      </c>
    </row>
    <row r="1296" spans="1:5" x14ac:dyDescent="0.25">
      <c r="A1296">
        <v>0</v>
      </c>
      <c r="B1296">
        <v>-9.8000000000000004E-2</v>
      </c>
      <c r="C1296">
        <f t="shared" si="40"/>
        <v>1.438975840573357</v>
      </c>
      <c r="D1296">
        <v>1</v>
      </c>
      <c r="E1296">
        <f t="shared" si="41"/>
        <v>5.1821752370718156E-2</v>
      </c>
    </row>
    <row r="1297" spans="1:5" x14ac:dyDescent="0.25">
      <c r="A1297">
        <v>0</v>
      </c>
      <c r="B1297">
        <v>-9.8000000000000004E-2</v>
      </c>
      <c r="C1297">
        <f t="shared" si="40"/>
        <v>1.438975840573357</v>
      </c>
      <c r="D1297">
        <v>1</v>
      </c>
      <c r="E1297">
        <f t="shared" si="41"/>
        <v>5.1821752370718156E-2</v>
      </c>
    </row>
    <row r="1298" spans="1:5" x14ac:dyDescent="0.25">
      <c r="A1298">
        <v>0</v>
      </c>
      <c r="B1298">
        <v>-9.8000000000000004E-2</v>
      </c>
      <c r="C1298">
        <f t="shared" si="40"/>
        <v>1.438975840573357</v>
      </c>
      <c r="D1298">
        <v>1</v>
      </c>
      <c r="E1298">
        <f t="shared" si="41"/>
        <v>5.1821752370718156E-2</v>
      </c>
    </row>
    <row r="1299" spans="1:5" x14ac:dyDescent="0.25">
      <c r="A1299">
        <v>0</v>
      </c>
      <c r="B1299">
        <v>-9.8000000000000004E-2</v>
      </c>
      <c r="C1299">
        <f t="shared" si="40"/>
        <v>1.438975840573357</v>
      </c>
      <c r="D1299">
        <v>1</v>
      </c>
      <c r="E1299">
        <f t="shared" si="41"/>
        <v>5.1821752370718156E-2</v>
      </c>
    </row>
    <row r="1300" spans="1:5" x14ac:dyDescent="0.25">
      <c r="A1300">
        <v>0</v>
      </c>
      <c r="B1300">
        <v>-9.8000000000000004E-2</v>
      </c>
      <c r="C1300">
        <f t="shared" si="40"/>
        <v>1.438975840573357</v>
      </c>
      <c r="D1300">
        <v>1</v>
      </c>
      <c r="E1300">
        <f t="shared" si="41"/>
        <v>5.1821752370718156E-2</v>
      </c>
    </row>
    <row r="1301" spans="1:5" x14ac:dyDescent="0.25">
      <c r="A1301">
        <v>0</v>
      </c>
      <c r="B1301">
        <v>-9.8000000000000004E-2</v>
      </c>
      <c r="C1301">
        <f t="shared" si="40"/>
        <v>1.438975840573357</v>
      </c>
      <c r="D1301">
        <v>1</v>
      </c>
      <c r="E1301">
        <f t="shared" si="41"/>
        <v>5.1821752370718156E-2</v>
      </c>
    </row>
    <row r="1302" spans="1:5" x14ac:dyDescent="0.25">
      <c r="A1302">
        <v>0</v>
      </c>
      <c r="B1302">
        <v>-9.8000000000000004E-2</v>
      </c>
      <c r="C1302">
        <f t="shared" si="40"/>
        <v>1.438975840573357</v>
      </c>
      <c r="D1302">
        <v>1</v>
      </c>
      <c r="E1302">
        <f t="shared" si="41"/>
        <v>5.1821752370718156E-2</v>
      </c>
    </row>
    <row r="1303" spans="1:5" x14ac:dyDescent="0.25">
      <c r="A1303">
        <v>0</v>
      </c>
      <c r="B1303">
        <v>-9.7902097902097904E-2</v>
      </c>
      <c r="C1303">
        <f t="shared" si="40"/>
        <v>1.439271813960473</v>
      </c>
      <c r="D1303">
        <v>1</v>
      </c>
      <c r="E1303">
        <f t="shared" si="41"/>
        <v>5.1821752370718156E-2</v>
      </c>
    </row>
    <row r="1304" spans="1:5" x14ac:dyDescent="0.25">
      <c r="A1304">
        <v>0</v>
      </c>
      <c r="B1304">
        <v>-9.7902097902097904E-2</v>
      </c>
      <c r="C1304">
        <f t="shared" si="40"/>
        <v>1.439271813960473</v>
      </c>
      <c r="D1304">
        <v>1</v>
      </c>
      <c r="E1304">
        <f t="shared" si="41"/>
        <v>5.1821752370718156E-2</v>
      </c>
    </row>
    <row r="1305" spans="1:5" x14ac:dyDescent="0.25">
      <c r="A1305">
        <v>0</v>
      </c>
      <c r="B1305">
        <v>-9.6666666666666706E-2</v>
      </c>
      <c r="C1305">
        <f t="shared" si="40"/>
        <v>1.4429918700611311</v>
      </c>
      <c r="D1305">
        <v>1</v>
      </c>
      <c r="E1305">
        <f t="shared" si="41"/>
        <v>5.1821752370718156E-2</v>
      </c>
    </row>
    <row r="1306" spans="1:5" x14ac:dyDescent="0.25">
      <c r="A1306">
        <v>0</v>
      </c>
      <c r="B1306">
        <v>-9.6666666666666706E-2</v>
      </c>
      <c r="C1306">
        <f t="shared" si="40"/>
        <v>1.4429918700611311</v>
      </c>
      <c r="D1306">
        <v>1</v>
      </c>
      <c r="E1306">
        <f t="shared" si="41"/>
        <v>5.1821752370718156E-2</v>
      </c>
    </row>
    <row r="1307" spans="1:5" x14ac:dyDescent="0.25">
      <c r="A1307">
        <v>0</v>
      </c>
      <c r="B1307">
        <v>-9.6666666666666706E-2</v>
      </c>
      <c r="C1307">
        <f t="shared" si="40"/>
        <v>1.4429918700611311</v>
      </c>
      <c r="D1307">
        <v>1</v>
      </c>
      <c r="E1307">
        <f t="shared" si="41"/>
        <v>5.1821752370718156E-2</v>
      </c>
    </row>
    <row r="1308" spans="1:5" x14ac:dyDescent="0.25">
      <c r="A1308">
        <v>0</v>
      </c>
      <c r="B1308">
        <v>-9.6666666666666706E-2</v>
      </c>
      <c r="C1308">
        <f t="shared" si="40"/>
        <v>1.4429918700611311</v>
      </c>
      <c r="D1308">
        <v>1</v>
      </c>
      <c r="E1308">
        <f t="shared" si="41"/>
        <v>5.1821752370718156E-2</v>
      </c>
    </row>
    <row r="1309" spans="1:5" x14ac:dyDescent="0.25">
      <c r="A1309">
        <v>0</v>
      </c>
      <c r="B1309">
        <v>-9.6666666666666706E-2</v>
      </c>
      <c r="C1309">
        <f t="shared" si="40"/>
        <v>1.4429918700611311</v>
      </c>
      <c r="D1309">
        <v>1</v>
      </c>
      <c r="E1309">
        <f t="shared" si="41"/>
        <v>5.1821752370718156E-2</v>
      </c>
    </row>
    <row r="1310" spans="1:5" x14ac:dyDescent="0.25">
      <c r="A1310">
        <v>0</v>
      </c>
      <c r="B1310">
        <v>-9.6256684491978606E-2</v>
      </c>
      <c r="C1310">
        <f t="shared" si="40"/>
        <v>1.4442202764453993</v>
      </c>
      <c r="D1310">
        <v>1</v>
      </c>
      <c r="E1310">
        <f t="shared" si="41"/>
        <v>5.1821752370718156E-2</v>
      </c>
    </row>
    <row r="1311" spans="1:5" x14ac:dyDescent="0.25">
      <c r="A1311">
        <v>0</v>
      </c>
      <c r="B1311">
        <v>-9.6096096096096095E-2</v>
      </c>
      <c r="C1311">
        <f t="shared" si="40"/>
        <v>1.4447006050059561</v>
      </c>
      <c r="D1311">
        <v>1</v>
      </c>
      <c r="E1311">
        <f t="shared" si="41"/>
        <v>5.1821752370718156E-2</v>
      </c>
    </row>
    <row r="1312" spans="1:5" x14ac:dyDescent="0.25">
      <c r="A1312">
        <v>0</v>
      </c>
      <c r="B1312">
        <v>-9.6096096096096095E-2</v>
      </c>
      <c r="C1312">
        <f t="shared" si="40"/>
        <v>1.4447006050059561</v>
      </c>
      <c r="D1312">
        <v>1</v>
      </c>
      <c r="E1312">
        <f t="shared" si="41"/>
        <v>5.1821752370718156E-2</v>
      </c>
    </row>
    <row r="1313" spans="1:5" x14ac:dyDescent="0.25">
      <c r="A1313">
        <v>0</v>
      </c>
      <c r="B1313">
        <v>-9.6096096096096095E-2</v>
      </c>
      <c r="C1313">
        <f t="shared" si="40"/>
        <v>1.4447006050059561</v>
      </c>
      <c r="D1313">
        <v>1</v>
      </c>
      <c r="E1313">
        <f t="shared" si="41"/>
        <v>5.1821752370718156E-2</v>
      </c>
    </row>
    <row r="1314" spans="1:5" x14ac:dyDescent="0.25">
      <c r="A1314">
        <v>0</v>
      </c>
      <c r="B1314">
        <v>-9.6096096096096095E-2</v>
      </c>
      <c r="C1314">
        <f t="shared" si="40"/>
        <v>1.4447006050059561</v>
      </c>
      <c r="D1314">
        <v>1</v>
      </c>
      <c r="E1314">
        <f t="shared" si="41"/>
        <v>5.1821752370718156E-2</v>
      </c>
    </row>
    <row r="1315" spans="1:5" x14ac:dyDescent="0.25">
      <c r="A1315">
        <v>0</v>
      </c>
      <c r="B1315">
        <v>-9.6000000000000002E-2</v>
      </c>
      <c r="C1315">
        <f t="shared" si="40"/>
        <v>1.4449878088919346</v>
      </c>
      <c r="D1315">
        <v>1</v>
      </c>
      <c r="E1315">
        <f t="shared" si="41"/>
        <v>5.1821752370718156E-2</v>
      </c>
    </row>
    <row r="1316" spans="1:5" x14ac:dyDescent="0.25">
      <c r="A1316">
        <v>0</v>
      </c>
      <c r="B1316">
        <v>-9.6000000000000002E-2</v>
      </c>
      <c r="C1316">
        <f t="shared" si="40"/>
        <v>1.4449878088919346</v>
      </c>
      <c r="D1316">
        <v>1</v>
      </c>
      <c r="E1316">
        <f t="shared" si="41"/>
        <v>5.1821752370718156E-2</v>
      </c>
    </row>
    <row r="1317" spans="1:5" x14ac:dyDescent="0.25">
      <c r="A1317">
        <v>0</v>
      </c>
      <c r="B1317">
        <v>-9.6000000000000002E-2</v>
      </c>
      <c r="C1317">
        <f t="shared" si="40"/>
        <v>1.4449878088919346</v>
      </c>
      <c r="D1317">
        <v>1</v>
      </c>
      <c r="E1317">
        <f t="shared" si="41"/>
        <v>5.1821752370718156E-2</v>
      </c>
    </row>
    <row r="1318" spans="1:5" x14ac:dyDescent="0.25">
      <c r="A1318">
        <v>0</v>
      </c>
      <c r="B1318">
        <v>-9.6000000000000002E-2</v>
      </c>
      <c r="C1318">
        <f t="shared" si="40"/>
        <v>1.4449878088919346</v>
      </c>
      <c r="D1318">
        <v>1</v>
      </c>
      <c r="E1318">
        <f t="shared" si="41"/>
        <v>5.1821752370718156E-2</v>
      </c>
    </row>
    <row r="1319" spans="1:5" x14ac:dyDescent="0.25">
      <c r="A1319">
        <v>0</v>
      </c>
      <c r="B1319">
        <v>-9.6000000000000002E-2</v>
      </c>
      <c r="C1319">
        <f t="shared" si="40"/>
        <v>1.4449878088919346</v>
      </c>
      <c r="D1319">
        <v>1</v>
      </c>
      <c r="E1319">
        <f t="shared" si="41"/>
        <v>5.1821752370718156E-2</v>
      </c>
    </row>
    <row r="1320" spans="1:5" x14ac:dyDescent="0.25">
      <c r="A1320">
        <v>0</v>
      </c>
      <c r="B1320">
        <v>-9.6000000000000002E-2</v>
      </c>
      <c r="C1320">
        <f t="shared" si="40"/>
        <v>1.4449878088919346</v>
      </c>
      <c r="D1320">
        <v>1</v>
      </c>
      <c r="E1320">
        <f t="shared" si="41"/>
        <v>5.1821752370718156E-2</v>
      </c>
    </row>
    <row r="1321" spans="1:5" x14ac:dyDescent="0.25">
      <c r="A1321">
        <v>0</v>
      </c>
      <c r="B1321">
        <v>-9.6000000000000002E-2</v>
      </c>
      <c r="C1321">
        <f t="shared" si="40"/>
        <v>1.4449878088919346</v>
      </c>
      <c r="D1321">
        <v>1</v>
      </c>
      <c r="E1321">
        <f t="shared" si="41"/>
        <v>5.1821752370718156E-2</v>
      </c>
    </row>
    <row r="1322" spans="1:5" x14ac:dyDescent="0.25">
      <c r="A1322">
        <v>0</v>
      </c>
      <c r="B1322">
        <v>-9.6000000000000002E-2</v>
      </c>
      <c r="C1322">
        <f t="shared" si="40"/>
        <v>1.4449878088919346</v>
      </c>
      <c r="D1322">
        <v>1</v>
      </c>
      <c r="E1322">
        <f t="shared" si="41"/>
        <v>5.1821752370718156E-2</v>
      </c>
    </row>
    <row r="1323" spans="1:5" x14ac:dyDescent="0.25">
      <c r="A1323">
        <v>0</v>
      </c>
      <c r="B1323">
        <v>-9.5808383233532898E-2</v>
      </c>
      <c r="C1323">
        <f t="shared" si="40"/>
        <v>1.445559994037751</v>
      </c>
      <c r="D1323">
        <v>1</v>
      </c>
      <c r="E1323">
        <f t="shared" si="41"/>
        <v>5.1821752370718156E-2</v>
      </c>
    </row>
    <row r="1324" spans="1:5" x14ac:dyDescent="0.25">
      <c r="A1324">
        <v>0</v>
      </c>
      <c r="B1324">
        <v>-9.5808383233532898E-2</v>
      </c>
      <c r="C1324">
        <f t="shared" si="40"/>
        <v>1.445559994037751</v>
      </c>
      <c r="D1324">
        <v>1</v>
      </c>
      <c r="E1324">
        <f t="shared" si="41"/>
        <v>5.1821752370718156E-2</v>
      </c>
    </row>
    <row r="1325" spans="1:5" x14ac:dyDescent="0.25">
      <c r="A1325">
        <v>0</v>
      </c>
      <c r="B1325">
        <v>-9.5808383233532898E-2</v>
      </c>
      <c r="C1325">
        <f t="shared" si="40"/>
        <v>1.445559994037751</v>
      </c>
      <c r="D1325">
        <v>1</v>
      </c>
      <c r="E1325">
        <f t="shared" si="41"/>
        <v>5.1821752370718156E-2</v>
      </c>
    </row>
    <row r="1326" spans="1:5" x14ac:dyDescent="0.25">
      <c r="A1326">
        <v>0</v>
      </c>
      <c r="B1326">
        <v>-9.5808383233532898E-2</v>
      </c>
      <c r="C1326">
        <f t="shared" si="40"/>
        <v>1.445559994037751</v>
      </c>
      <c r="D1326">
        <v>1</v>
      </c>
      <c r="E1326">
        <f t="shared" si="41"/>
        <v>5.1821752370718156E-2</v>
      </c>
    </row>
    <row r="1327" spans="1:5" x14ac:dyDescent="0.25">
      <c r="A1327">
        <v>0</v>
      </c>
      <c r="B1327">
        <v>-9.5571095571095596E-2</v>
      </c>
      <c r="C1327">
        <f t="shared" si="40"/>
        <v>1.4462676271402479</v>
      </c>
      <c r="D1327">
        <v>1</v>
      </c>
      <c r="E1327">
        <f t="shared" si="41"/>
        <v>5.1821752370718156E-2</v>
      </c>
    </row>
    <row r="1328" spans="1:5" x14ac:dyDescent="0.25">
      <c r="A1328">
        <v>0</v>
      </c>
      <c r="B1328">
        <v>-9.5571095571095596E-2</v>
      </c>
      <c r="C1328">
        <f t="shared" si="40"/>
        <v>1.4462676271402479</v>
      </c>
      <c r="D1328">
        <v>1</v>
      </c>
      <c r="E1328">
        <f t="shared" si="41"/>
        <v>5.1821752370718156E-2</v>
      </c>
    </row>
    <row r="1329" spans="1:5" x14ac:dyDescent="0.25">
      <c r="A1329">
        <v>0</v>
      </c>
      <c r="B1329">
        <v>-9.5571095571095596E-2</v>
      </c>
      <c r="C1329">
        <f t="shared" si="40"/>
        <v>1.4462676271402479</v>
      </c>
      <c r="D1329">
        <v>1</v>
      </c>
      <c r="E1329">
        <f t="shared" si="41"/>
        <v>5.1821752370718156E-2</v>
      </c>
    </row>
    <row r="1330" spans="1:5" x14ac:dyDescent="0.25">
      <c r="A1330">
        <v>0</v>
      </c>
      <c r="B1330">
        <v>-9.5571095571095596E-2</v>
      </c>
      <c r="C1330">
        <f t="shared" si="40"/>
        <v>1.4462676271402479</v>
      </c>
      <c r="D1330">
        <v>1</v>
      </c>
      <c r="E1330">
        <f t="shared" si="41"/>
        <v>5.1821752370718156E-2</v>
      </c>
    </row>
    <row r="1331" spans="1:5" x14ac:dyDescent="0.25">
      <c r="A1331">
        <v>0</v>
      </c>
      <c r="B1331">
        <v>-9.5000000000000001E-2</v>
      </c>
      <c r="C1331">
        <f t="shared" si="40"/>
        <v>1.4479665064612717</v>
      </c>
      <c r="D1331">
        <v>1</v>
      </c>
      <c r="E1331">
        <f t="shared" si="41"/>
        <v>5.1821752370718156E-2</v>
      </c>
    </row>
    <row r="1332" spans="1:5" x14ac:dyDescent="0.25">
      <c r="A1332">
        <v>0</v>
      </c>
      <c r="B1332">
        <v>-9.5000000000000001E-2</v>
      </c>
      <c r="C1332">
        <f t="shared" si="40"/>
        <v>1.4479665064612717</v>
      </c>
      <c r="D1332">
        <v>1</v>
      </c>
      <c r="E1332">
        <f t="shared" si="41"/>
        <v>5.1821752370718156E-2</v>
      </c>
    </row>
    <row r="1333" spans="1:5" x14ac:dyDescent="0.25">
      <c r="A1333">
        <v>0</v>
      </c>
      <c r="B1333">
        <v>-9.5000000000000001E-2</v>
      </c>
      <c r="C1333">
        <f t="shared" si="40"/>
        <v>1.4479665064612717</v>
      </c>
      <c r="D1333">
        <v>1</v>
      </c>
      <c r="E1333">
        <f t="shared" si="41"/>
        <v>5.1821752370718156E-2</v>
      </c>
    </row>
    <row r="1334" spans="1:5" x14ac:dyDescent="0.25">
      <c r="A1334">
        <v>0</v>
      </c>
      <c r="B1334">
        <v>-9.5000000000000001E-2</v>
      </c>
      <c r="C1334">
        <f t="shared" si="40"/>
        <v>1.4479665064612717</v>
      </c>
      <c r="D1334">
        <v>1</v>
      </c>
      <c r="E1334">
        <f t="shared" si="41"/>
        <v>5.1821752370718156E-2</v>
      </c>
    </row>
    <row r="1335" spans="1:5" x14ac:dyDescent="0.25">
      <c r="A1335">
        <v>0</v>
      </c>
      <c r="B1335">
        <v>-9.4666666666666704E-2</v>
      </c>
      <c r="C1335">
        <f t="shared" si="40"/>
        <v>1.448955328965102</v>
      </c>
      <c r="D1335">
        <v>1</v>
      </c>
      <c r="E1335">
        <f t="shared" si="41"/>
        <v>5.1821752370718156E-2</v>
      </c>
    </row>
    <row r="1336" spans="1:5" x14ac:dyDescent="0.25">
      <c r="A1336">
        <v>0</v>
      </c>
      <c r="B1336">
        <v>-9.4666666666666704E-2</v>
      </c>
      <c r="C1336">
        <f t="shared" si="40"/>
        <v>1.448955328965102</v>
      </c>
      <c r="D1336">
        <v>1</v>
      </c>
      <c r="E1336">
        <f t="shared" si="41"/>
        <v>5.1821752370718156E-2</v>
      </c>
    </row>
    <row r="1337" spans="1:5" x14ac:dyDescent="0.25">
      <c r="A1337">
        <v>0</v>
      </c>
      <c r="B1337">
        <v>-9.4E-2</v>
      </c>
      <c r="C1337">
        <f t="shared" si="40"/>
        <v>1.450926828281299</v>
      </c>
      <c r="D1337">
        <v>1</v>
      </c>
      <c r="E1337">
        <f t="shared" si="41"/>
        <v>5.1821752370718156E-2</v>
      </c>
    </row>
    <row r="1338" spans="1:5" x14ac:dyDescent="0.25">
      <c r="A1338">
        <v>0</v>
      </c>
      <c r="B1338">
        <v>-9.4E-2</v>
      </c>
      <c r="C1338">
        <f t="shared" si="40"/>
        <v>1.450926828281299</v>
      </c>
      <c r="D1338">
        <v>1</v>
      </c>
      <c r="E1338">
        <f t="shared" si="41"/>
        <v>5.1821752370718156E-2</v>
      </c>
    </row>
    <row r="1339" spans="1:5" x14ac:dyDescent="0.25">
      <c r="A1339">
        <v>0</v>
      </c>
      <c r="B1339">
        <v>-9.4E-2</v>
      </c>
      <c r="C1339">
        <f t="shared" si="40"/>
        <v>1.450926828281299</v>
      </c>
      <c r="D1339">
        <v>1</v>
      </c>
      <c r="E1339">
        <f t="shared" si="41"/>
        <v>5.1821752370718156E-2</v>
      </c>
    </row>
    <row r="1340" spans="1:5" x14ac:dyDescent="0.25">
      <c r="A1340">
        <v>0</v>
      </c>
      <c r="B1340">
        <v>-9.4E-2</v>
      </c>
      <c r="C1340">
        <f t="shared" si="40"/>
        <v>1.450926828281299</v>
      </c>
      <c r="D1340">
        <v>1</v>
      </c>
      <c r="E1340">
        <f t="shared" si="41"/>
        <v>5.1821752370718156E-2</v>
      </c>
    </row>
    <row r="1341" spans="1:5" x14ac:dyDescent="0.25">
      <c r="A1341">
        <v>0</v>
      </c>
      <c r="B1341">
        <v>-9.4E-2</v>
      </c>
      <c r="C1341">
        <f t="shared" si="40"/>
        <v>1.450926828281299</v>
      </c>
      <c r="D1341">
        <v>1</v>
      </c>
      <c r="E1341">
        <f t="shared" si="41"/>
        <v>5.1821752370718156E-2</v>
      </c>
    </row>
    <row r="1342" spans="1:5" x14ac:dyDescent="0.25">
      <c r="A1342">
        <v>0</v>
      </c>
      <c r="B1342">
        <v>-9.4E-2</v>
      </c>
      <c r="C1342">
        <f t="shared" si="40"/>
        <v>1.450926828281299</v>
      </c>
      <c r="D1342">
        <v>1</v>
      </c>
      <c r="E1342">
        <f t="shared" si="41"/>
        <v>5.1821752370718156E-2</v>
      </c>
    </row>
    <row r="1343" spans="1:5" x14ac:dyDescent="0.25">
      <c r="A1343">
        <v>0</v>
      </c>
      <c r="B1343">
        <v>-9.34579439252336E-2</v>
      </c>
      <c r="C1343">
        <f t="shared" si="40"/>
        <v>1.4525237599432128</v>
      </c>
      <c r="D1343">
        <v>1</v>
      </c>
      <c r="E1343">
        <f t="shared" si="41"/>
        <v>5.1821752370718156E-2</v>
      </c>
    </row>
    <row r="1344" spans="1:5" x14ac:dyDescent="0.25">
      <c r="A1344">
        <v>0</v>
      </c>
      <c r="B1344">
        <v>-9.3333333333333296E-2</v>
      </c>
      <c r="C1344">
        <f t="shared" si="40"/>
        <v>1.4528900993801508</v>
      </c>
      <c r="D1344">
        <v>1</v>
      </c>
      <c r="E1344">
        <f t="shared" si="41"/>
        <v>5.1821752370718156E-2</v>
      </c>
    </row>
    <row r="1345" spans="1:5" x14ac:dyDescent="0.25">
      <c r="A1345">
        <v>0</v>
      </c>
      <c r="B1345">
        <v>-9.3333333333333296E-2</v>
      </c>
      <c r="C1345">
        <f t="shared" si="40"/>
        <v>1.4528900993801508</v>
      </c>
      <c r="D1345">
        <v>1</v>
      </c>
      <c r="E1345">
        <f t="shared" si="41"/>
        <v>5.1821752370718156E-2</v>
      </c>
    </row>
    <row r="1346" spans="1:5" x14ac:dyDescent="0.25">
      <c r="A1346">
        <v>0</v>
      </c>
      <c r="B1346">
        <v>-9.3333333333333296E-2</v>
      </c>
      <c r="C1346">
        <f t="shared" ref="C1346:C1409" si="42">_xlfn.NORM.DIST(B1346,I$10,I$13,FALSE)</f>
        <v>1.4528900993801508</v>
      </c>
      <c r="D1346">
        <v>1</v>
      </c>
      <c r="E1346">
        <f t="shared" si="41"/>
        <v>5.1821752370718156E-2</v>
      </c>
    </row>
    <row r="1347" spans="1:5" x14ac:dyDescent="0.25">
      <c r="A1347">
        <v>0</v>
      </c>
      <c r="B1347">
        <v>-9.3333333333333296E-2</v>
      </c>
      <c r="C1347">
        <f t="shared" si="42"/>
        <v>1.4528900993801508</v>
      </c>
      <c r="D1347">
        <v>1</v>
      </c>
      <c r="E1347">
        <f t="shared" ref="E1347:E1410" si="43">_xlfn.NORM.DIST(D1347,I$4,I$7,FALSE)</f>
        <v>5.1821752370718156E-2</v>
      </c>
    </row>
    <row r="1348" spans="1:5" x14ac:dyDescent="0.25">
      <c r="A1348">
        <v>0</v>
      </c>
      <c r="B1348">
        <v>-9.3333333333333296E-2</v>
      </c>
      <c r="C1348">
        <f t="shared" si="42"/>
        <v>1.4528900993801508</v>
      </c>
      <c r="D1348">
        <v>1</v>
      </c>
      <c r="E1348">
        <f t="shared" si="43"/>
        <v>5.1821752370718156E-2</v>
      </c>
    </row>
    <row r="1349" spans="1:5" x14ac:dyDescent="0.25">
      <c r="A1349">
        <v>0</v>
      </c>
      <c r="B1349">
        <v>-9.3333333333333296E-2</v>
      </c>
      <c r="C1349">
        <f t="shared" si="42"/>
        <v>1.4528900993801508</v>
      </c>
      <c r="D1349">
        <v>1</v>
      </c>
      <c r="E1349">
        <f t="shared" si="43"/>
        <v>5.1821752370718156E-2</v>
      </c>
    </row>
    <row r="1350" spans="1:5" x14ac:dyDescent="0.25">
      <c r="A1350">
        <v>0</v>
      </c>
      <c r="B1350">
        <v>-9.3333333333333296E-2</v>
      </c>
      <c r="C1350">
        <f t="shared" si="42"/>
        <v>1.4528900993801508</v>
      </c>
      <c r="D1350">
        <v>1</v>
      </c>
      <c r="E1350">
        <f t="shared" si="43"/>
        <v>5.1821752370718156E-2</v>
      </c>
    </row>
    <row r="1351" spans="1:5" x14ac:dyDescent="0.25">
      <c r="A1351">
        <v>0</v>
      </c>
      <c r="B1351">
        <v>-9.3333333333333296E-2</v>
      </c>
      <c r="C1351">
        <f t="shared" si="42"/>
        <v>1.4528900993801508</v>
      </c>
      <c r="D1351">
        <v>1</v>
      </c>
      <c r="E1351">
        <f t="shared" si="43"/>
        <v>5.1821752370718156E-2</v>
      </c>
    </row>
    <row r="1352" spans="1:5" x14ac:dyDescent="0.25">
      <c r="A1352">
        <v>0</v>
      </c>
      <c r="B1352">
        <v>-9.3240093240093205E-2</v>
      </c>
      <c r="C1352">
        <f t="shared" si="42"/>
        <v>1.4531640245630333</v>
      </c>
      <c r="D1352">
        <v>1</v>
      </c>
      <c r="E1352">
        <f t="shared" si="43"/>
        <v>5.1821752370718156E-2</v>
      </c>
    </row>
    <row r="1353" spans="1:5" x14ac:dyDescent="0.25">
      <c r="A1353">
        <v>0</v>
      </c>
      <c r="B1353">
        <v>-9.3240093240093205E-2</v>
      </c>
      <c r="C1353">
        <f t="shared" si="42"/>
        <v>1.4531640245630333</v>
      </c>
      <c r="D1353">
        <v>1</v>
      </c>
      <c r="E1353">
        <f t="shared" si="43"/>
        <v>5.1821752370718156E-2</v>
      </c>
    </row>
    <row r="1354" spans="1:5" x14ac:dyDescent="0.25">
      <c r="A1354">
        <v>0</v>
      </c>
      <c r="B1354">
        <v>-9.3093093093093104E-2</v>
      </c>
      <c r="C1354">
        <f t="shared" si="42"/>
        <v>1.4535955598011474</v>
      </c>
      <c r="D1354">
        <v>1</v>
      </c>
      <c r="E1354">
        <f t="shared" si="43"/>
        <v>5.1821752370718156E-2</v>
      </c>
    </row>
    <row r="1355" spans="1:5" x14ac:dyDescent="0.25">
      <c r="A1355">
        <v>0</v>
      </c>
      <c r="B1355">
        <v>-9.3093093093093104E-2</v>
      </c>
      <c r="C1355">
        <f t="shared" si="42"/>
        <v>1.4535955598011474</v>
      </c>
      <c r="D1355">
        <v>1</v>
      </c>
      <c r="E1355">
        <f t="shared" si="43"/>
        <v>5.1821752370718156E-2</v>
      </c>
    </row>
    <row r="1356" spans="1:5" x14ac:dyDescent="0.25">
      <c r="A1356">
        <v>0</v>
      </c>
      <c r="B1356">
        <v>-9.3093093093093104E-2</v>
      </c>
      <c r="C1356">
        <f t="shared" si="42"/>
        <v>1.4535955598011474</v>
      </c>
      <c r="D1356">
        <v>1</v>
      </c>
      <c r="E1356">
        <f t="shared" si="43"/>
        <v>5.1821752370718156E-2</v>
      </c>
    </row>
    <row r="1357" spans="1:5" x14ac:dyDescent="0.25">
      <c r="A1357">
        <v>0</v>
      </c>
      <c r="B1357">
        <v>-9.2999999999999999E-2</v>
      </c>
      <c r="C1357">
        <f t="shared" si="42"/>
        <v>1.4538686366428102</v>
      </c>
      <c r="D1357">
        <v>1</v>
      </c>
      <c r="E1357">
        <f t="shared" si="43"/>
        <v>5.1821752370718156E-2</v>
      </c>
    </row>
    <row r="1358" spans="1:5" x14ac:dyDescent="0.25">
      <c r="A1358">
        <v>0</v>
      </c>
      <c r="B1358">
        <v>-9.1999999999999998E-2</v>
      </c>
      <c r="C1358">
        <f t="shared" si="42"/>
        <v>1.4567917944956166</v>
      </c>
      <c r="D1358">
        <v>1</v>
      </c>
      <c r="E1358">
        <f t="shared" si="43"/>
        <v>5.1821752370718156E-2</v>
      </c>
    </row>
    <row r="1359" spans="1:5" x14ac:dyDescent="0.25">
      <c r="A1359">
        <v>0</v>
      </c>
      <c r="B1359">
        <v>-9.1999999999999998E-2</v>
      </c>
      <c r="C1359">
        <f t="shared" si="42"/>
        <v>1.4567917944956166</v>
      </c>
      <c r="D1359">
        <v>1</v>
      </c>
      <c r="E1359">
        <f t="shared" si="43"/>
        <v>5.1821752370718156E-2</v>
      </c>
    </row>
    <row r="1360" spans="1:5" x14ac:dyDescent="0.25">
      <c r="A1360">
        <v>0</v>
      </c>
      <c r="B1360">
        <v>-9.1999999999999998E-2</v>
      </c>
      <c r="C1360">
        <f t="shared" si="42"/>
        <v>1.4567917944956166</v>
      </c>
      <c r="D1360">
        <v>1</v>
      </c>
      <c r="E1360">
        <f t="shared" si="43"/>
        <v>5.1821752370718156E-2</v>
      </c>
    </row>
    <row r="1361" spans="1:5" x14ac:dyDescent="0.25">
      <c r="A1361">
        <v>0</v>
      </c>
      <c r="B1361">
        <v>-9.1999999999999998E-2</v>
      </c>
      <c r="C1361">
        <f t="shared" si="42"/>
        <v>1.4567917944956166</v>
      </c>
      <c r="D1361">
        <v>1</v>
      </c>
      <c r="E1361">
        <f t="shared" si="43"/>
        <v>5.1821752370718156E-2</v>
      </c>
    </row>
    <row r="1362" spans="1:5" x14ac:dyDescent="0.25">
      <c r="A1362">
        <v>0</v>
      </c>
      <c r="B1362">
        <v>-9.1999999999999998E-2</v>
      </c>
      <c r="C1362">
        <f t="shared" si="42"/>
        <v>1.4567917944956166</v>
      </c>
      <c r="D1362">
        <v>1</v>
      </c>
      <c r="E1362">
        <f t="shared" si="43"/>
        <v>5.1821752370718156E-2</v>
      </c>
    </row>
    <row r="1363" spans="1:5" x14ac:dyDescent="0.25">
      <c r="A1363">
        <v>0</v>
      </c>
      <c r="B1363">
        <v>-9.1999999999999998E-2</v>
      </c>
      <c r="C1363">
        <f t="shared" si="42"/>
        <v>1.4567917944956166</v>
      </c>
      <c r="D1363">
        <v>1</v>
      </c>
      <c r="E1363">
        <f t="shared" si="43"/>
        <v>5.1821752370718156E-2</v>
      </c>
    </row>
    <row r="1364" spans="1:5" x14ac:dyDescent="0.25">
      <c r="A1364">
        <v>0</v>
      </c>
      <c r="B1364">
        <v>-9.1666666666666702E-2</v>
      </c>
      <c r="C1364">
        <f t="shared" si="42"/>
        <v>1.4577620122976203</v>
      </c>
      <c r="D1364">
        <v>1</v>
      </c>
      <c r="E1364">
        <f t="shared" si="43"/>
        <v>5.1821752370718156E-2</v>
      </c>
    </row>
    <row r="1365" spans="1:5" x14ac:dyDescent="0.25">
      <c r="A1365">
        <v>0</v>
      </c>
      <c r="B1365">
        <v>-9.1666666666666702E-2</v>
      </c>
      <c r="C1365">
        <f t="shared" si="42"/>
        <v>1.4577620122976203</v>
      </c>
      <c r="D1365">
        <v>1</v>
      </c>
      <c r="E1365">
        <f t="shared" si="43"/>
        <v>5.1821752370718156E-2</v>
      </c>
    </row>
    <row r="1366" spans="1:5" x14ac:dyDescent="0.25">
      <c r="A1366">
        <v>0</v>
      </c>
      <c r="B1366">
        <v>-9.1666666666666702E-2</v>
      </c>
      <c r="C1366">
        <f t="shared" si="42"/>
        <v>1.4577620122976203</v>
      </c>
      <c r="D1366">
        <v>1</v>
      </c>
      <c r="E1366">
        <f t="shared" si="43"/>
        <v>5.1821752370718156E-2</v>
      </c>
    </row>
    <row r="1367" spans="1:5" x14ac:dyDescent="0.25">
      <c r="A1367">
        <v>0</v>
      </c>
      <c r="B1367">
        <v>-9.11214953271028E-2</v>
      </c>
      <c r="C1367">
        <f t="shared" si="42"/>
        <v>1.4593443051019299</v>
      </c>
      <c r="D1367">
        <v>1</v>
      </c>
      <c r="E1367">
        <f t="shared" si="43"/>
        <v>5.1821752370718156E-2</v>
      </c>
    </row>
    <row r="1368" spans="1:5" x14ac:dyDescent="0.25">
      <c r="A1368">
        <v>0</v>
      </c>
      <c r="B1368">
        <v>-9.11214953271028E-2</v>
      </c>
      <c r="C1368">
        <f t="shared" si="42"/>
        <v>1.4593443051019299</v>
      </c>
      <c r="D1368">
        <v>1</v>
      </c>
      <c r="E1368">
        <f t="shared" si="43"/>
        <v>5.1821752370718156E-2</v>
      </c>
    </row>
    <row r="1369" spans="1:5" x14ac:dyDescent="0.25">
      <c r="A1369">
        <v>0</v>
      </c>
      <c r="B1369">
        <v>-9.0999999999999998E-2</v>
      </c>
      <c r="C1369">
        <f t="shared" si="42"/>
        <v>1.4596961654591567</v>
      </c>
      <c r="D1369">
        <v>1</v>
      </c>
      <c r="E1369">
        <f t="shared" si="43"/>
        <v>5.1821752370718156E-2</v>
      </c>
    </row>
    <row r="1370" spans="1:5" x14ac:dyDescent="0.25">
      <c r="A1370">
        <v>0</v>
      </c>
      <c r="B1370">
        <v>-9.0909090909090898E-2</v>
      </c>
      <c r="C1370">
        <f t="shared" si="42"/>
        <v>1.4599592629065652</v>
      </c>
      <c r="D1370">
        <v>1</v>
      </c>
      <c r="E1370">
        <f t="shared" si="43"/>
        <v>5.1821752370718156E-2</v>
      </c>
    </row>
    <row r="1371" spans="1:5" x14ac:dyDescent="0.25">
      <c r="A1371">
        <v>0</v>
      </c>
      <c r="B1371">
        <v>-9.0909090909090898E-2</v>
      </c>
      <c r="C1371">
        <f t="shared" si="42"/>
        <v>1.4599592629065652</v>
      </c>
      <c r="D1371">
        <v>1</v>
      </c>
      <c r="E1371">
        <f t="shared" si="43"/>
        <v>5.1821752370718156E-2</v>
      </c>
    </row>
    <row r="1372" spans="1:5" x14ac:dyDescent="0.25">
      <c r="A1372">
        <v>0</v>
      </c>
      <c r="B1372">
        <v>-9.0909090909090898E-2</v>
      </c>
      <c r="C1372">
        <f t="shared" si="42"/>
        <v>1.4599592629065652</v>
      </c>
      <c r="D1372">
        <v>1</v>
      </c>
      <c r="E1372">
        <f t="shared" si="43"/>
        <v>5.1821752370718156E-2</v>
      </c>
    </row>
    <row r="1373" spans="1:5" x14ac:dyDescent="0.25">
      <c r="A1373">
        <v>0</v>
      </c>
      <c r="B1373">
        <v>-9.0909090909090898E-2</v>
      </c>
      <c r="C1373">
        <f t="shared" si="42"/>
        <v>1.4599592629065652</v>
      </c>
      <c r="D1373">
        <v>1</v>
      </c>
      <c r="E1373">
        <f t="shared" si="43"/>
        <v>5.1821752370718156E-2</v>
      </c>
    </row>
    <row r="1374" spans="1:5" x14ac:dyDescent="0.25">
      <c r="A1374">
        <v>0</v>
      </c>
      <c r="B1374">
        <v>-9.0909090909090898E-2</v>
      </c>
      <c r="C1374">
        <f t="shared" si="42"/>
        <v>1.4599592629065652</v>
      </c>
      <c r="D1374">
        <v>1</v>
      </c>
      <c r="E1374">
        <f t="shared" si="43"/>
        <v>5.1821752370718156E-2</v>
      </c>
    </row>
    <row r="1375" spans="1:5" x14ac:dyDescent="0.25">
      <c r="A1375">
        <v>0</v>
      </c>
      <c r="B1375">
        <v>-9.0909090909090898E-2</v>
      </c>
      <c r="C1375">
        <f t="shared" si="42"/>
        <v>1.4599592629065652</v>
      </c>
      <c r="D1375">
        <v>1</v>
      </c>
      <c r="E1375">
        <f t="shared" si="43"/>
        <v>5.1821752370718156E-2</v>
      </c>
    </row>
    <row r="1376" spans="1:5" x14ac:dyDescent="0.25">
      <c r="A1376">
        <v>0</v>
      </c>
      <c r="B1376">
        <v>-9.0909090909090898E-2</v>
      </c>
      <c r="C1376">
        <f t="shared" si="42"/>
        <v>1.4599592629065652</v>
      </c>
      <c r="D1376">
        <v>1</v>
      </c>
      <c r="E1376">
        <f t="shared" si="43"/>
        <v>5.1821752370718156E-2</v>
      </c>
    </row>
    <row r="1377" spans="1:5" x14ac:dyDescent="0.25">
      <c r="A1377">
        <v>0</v>
      </c>
      <c r="B1377">
        <v>-9.0666666666666701E-2</v>
      </c>
      <c r="C1377">
        <f t="shared" si="42"/>
        <v>1.4606600907752081</v>
      </c>
      <c r="D1377">
        <v>1</v>
      </c>
      <c r="E1377">
        <f t="shared" si="43"/>
        <v>5.1821752370718156E-2</v>
      </c>
    </row>
    <row r="1378" spans="1:5" x14ac:dyDescent="0.25">
      <c r="A1378">
        <v>0</v>
      </c>
      <c r="B1378">
        <v>-9.0666666666666701E-2</v>
      </c>
      <c r="C1378">
        <f t="shared" si="42"/>
        <v>1.4606600907752081</v>
      </c>
      <c r="D1378">
        <v>1</v>
      </c>
      <c r="E1378">
        <f t="shared" si="43"/>
        <v>5.1821752370718156E-2</v>
      </c>
    </row>
    <row r="1379" spans="1:5" x14ac:dyDescent="0.25">
      <c r="A1379">
        <v>0</v>
      </c>
      <c r="B1379">
        <v>-9.0666666666666701E-2</v>
      </c>
      <c r="C1379">
        <f t="shared" si="42"/>
        <v>1.4606600907752081</v>
      </c>
      <c r="D1379">
        <v>1</v>
      </c>
      <c r="E1379">
        <f t="shared" si="43"/>
        <v>5.1821752370718156E-2</v>
      </c>
    </row>
    <row r="1380" spans="1:5" x14ac:dyDescent="0.25">
      <c r="A1380">
        <v>0</v>
      </c>
      <c r="B1380">
        <v>-9.0666666666666701E-2</v>
      </c>
      <c r="C1380">
        <f t="shared" si="42"/>
        <v>1.4606600907752081</v>
      </c>
      <c r="D1380">
        <v>1</v>
      </c>
      <c r="E1380">
        <f t="shared" si="43"/>
        <v>5.1821752370718156E-2</v>
      </c>
    </row>
    <row r="1381" spans="1:5" x14ac:dyDescent="0.25">
      <c r="A1381">
        <v>0</v>
      </c>
      <c r="B1381">
        <v>-9.0666666666666701E-2</v>
      </c>
      <c r="C1381">
        <f t="shared" si="42"/>
        <v>1.4606600907752081</v>
      </c>
      <c r="D1381">
        <v>1</v>
      </c>
      <c r="E1381">
        <f t="shared" si="43"/>
        <v>5.1821752370718156E-2</v>
      </c>
    </row>
    <row r="1382" spans="1:5" x14ac:dyDescent="0.25">
      <c r="A1382">
        <v>0</v>
      </c>
      <c r="B1382">
        <v>-9.0666666666666701E-2</v>
      </c>
      <c r="C1382">
        <f t="shared" si="42"/>
        <v>1.4606600907752081</v>
      </c>
      <c r="D1382">
        <v>1</v>
      </c>
      <c r="E1382">
        <f t="shared" si="43"/>
        <v>5.1821752370718156E-2</v>
      </c>
    </row>
    <row r="1383" spans="1:5" x14ac:dyDescent="0.25">
      <c r="A1383">
        <v>0</v>
      </c>
      <c r="B1383">
        <v>-9.0666666666666701E-2</v>
      </c>
      <c r="C1383">
        <f t="shared" si="42"/>
        <v>1.4606600907752081</v>
      </c>
      <c r="D1383">
        <v>1</v>
      </c>
      <c r="E1383">
        <f t="shared" si="43"/>
        <v>5.1821752370718156E-2</v>
      </c>
    </row>
    <row r="1384" spans="1:5" x14ac:dyDescent="0.25">
      <c r="A1384">
        <v>0</v>
      </c>
      <c r="B1384">
        <v>-9.0666666666666701E-2</v>
      </c>
      <c r="C1384">
        <f t="shared" si="42"/>
        <v>1.4606600907752081</v>
      </c>
      <c r="D1384">
        <v>1</v>
      </c>
      <c r="E1384">
        <f t="shared" si="43"/>
        <v>5.1821752370718156E-2</v>
      </c>
    </row>
    <row r="1385" spans="1:5" x14ac:dyDescent="0.25">
      <c r="A1385">
        <v>0</v>
      </c>
      <c r="B1385">
        <v>-9.0666666666666701E-2</v>
      </c>
      <c r="C1385">
        <f t="shared" si="42"/>
        <v>1.4606600907752081</v>
      </c>
      <c r="D1385">
        <v>1</v>
      </c>
      <c r="E1385">
        <f t="shared" si="43"/>
        <v>5.1821752370718156E-2</v>
      </c>
    </row>
    <row r="1386" spans="1:5" x14ac:dyDescent="0.25">
      <c r="A1386">
        <v>0</v>
      </c>
      <c r="B1386">
        <v>-9.00900900900901E-2</v>
      </c>
      <c r="C1386">
        <f t="shared" si="42"/>
        <v>1.4623224426358896</v>
      </c>
      <c r="D1386">
        <v>1</v>
      </c>
      <c r="E1386">
        <f t="shared" si="43"/>
        <v>5.1821752370718156E-2</v>
      </c>
    </row>
    <row r="1387" spans="1:5" x14ac:dyDescent="0.25">
      <c r="A1387">
        <v>0</v>
      </c>
      <c r="B1387">
        <v>-9.00900900900901E-2</v>
      </c>
      <c r="C1387">
        <f t="shared" si="42"/>
        <v>1.4623224426358896</v>
      </c>
      <c r="D1387">
        <v>1</v>
      </c>
      <c r="E1387">
        <f t="shared" si="43"/>
        <v>5.1821752370718156E-2</v>
      </c>
    </row>
    <row r="1388" spans="1:5" x14ac:dyDescent="0.25">
      <c r="A1388">
        <v>0</v>
      </c>
      <c r="B1388">
        <v>-9.00900900900901E-2</v>
      </c>
      <c r="C1388">
        <f t="shared" si="42"/>
        <v>1.4623224426358896</v>
      </c>
      <c r="D1388">
        <v>1</v>
      </c>
      <c r="E1388">
        <f t="shared" si="43"/>
        <v>5.1821752370718156E-2</v>
      </c>
    </row>
    <row r="1389" spans="1:5" x14ac:dyDescent="0.25">
      <c r="A1389">
        <v>0</v>
      </c>
      <c r="B1389">
        <v>-9.00900900900901E-2</v>
      </c>
      <c r="C1389">
        <f t="shared" si="42"/>
        <v>1.4623224426358896</v>
      </c>
      <c r="D1389">
        <v>1</v>
      </c>
      <c r="E1389">
        <f t="shared" si="43"/>
        <v>5.1821752370718156E-2</v>
      </c>
    </row>
    <row r="1390" spans="1:5" x14ac:dyDescent="0.25">
      <c r="A1390">
        <v>0</v>
      </c>
      <c r="B1390">
        <v>-9.00900900900901E-2</v>
      </c>
      <c r="C1390">
        <f t="shared" si="42"/>
        <v>1.4623224426358896</v>
      </c>
      <c r="D1390">
        <v>1</v>
      </c>
      <c r="E1390">
        <f t="shared" si="43"/>
        <v>5.1821752370718156E-2</v>
      </c>
    </row>
    <row r="1391" spans="1:5" x14ac:dyDescent="0.25">
      <c r="A1391">
        <v>0</v>
      </c>
      <c r="B1391">
        <v>-0.09</v>
      </c>
      <c r="C1391">
        <f t="shared" si="42"/>
        <v>1.4625816138330672</v>
      </c>
      <c r="D1391">
        <v>1</v>
      </c>
      <c r="E1391">
        <f t="shared" si="43"/>
        <v>5.1821752370718156E-2</v>
      </c>
    </row>
    <row r="1392" spans="1:5" x14ac:dyDescent="0.25">
      <c r="A1392">
        <v>0</v>
      </c>
      <c r="B1392">
        <v>-0.09</v>
      </c>
      <c r="C1392">
        <f t="shared" si="42"/>
        <v>1.4625816138330672</v>
      </c>
      <c r="D1392">
        <v>1</v>
      </c>
      <c r="E1392">
        <f t="shared" si="43"/>
        <v>5.1821752370718156E-2</v>
      </c>
    </row>
    <row r="1393" spans="1:5" x14ac:dyDescent="0.25">
      <c r="A1393">
        <v>0</v>
      </c>
      <c r="B1393">
        <v>-0.09</v>
      </c>
      <c r="C1393">
        <f t="shared" si="42"/>
        <v>1.4625816138330672</v>
      </c>
      <c r="D1393">
        <v>1</v>
      </c>
      <c r="E1393">
        <f t="shared" si="43"/>
        <v>5.1821752370718156E-2</v>
      </c>
    </row>
    <row r="1394" spans="1:5" x14ac:dyDescent="0.25">
      <c r="A1394">
        <v>0</v>
      </c>
      <c r="B1394">
        <v>-0.09</v>
      </c>
      <c r="C1394">
        <f t="shared" si="42"/>
        <v>1.4625816138330672</v>
      </c>
      <c r="D1394">
        <v>1</v>
      </c>
      <c r="E1394">
        <f t="shared" si="43"/>
        <v>5.1821752370718156E-2</v>
      </c>
    </row>
    <row r="1395" spans="1:5" x14ac:dyDescent="0.25">
      <c r="A1395">
        <v>0</v>
      </c>
      <c r="B1395">
        <v>-0.09</v>
      </c>
      <c r="C1395">
        <f t="shared" si="42"/>
        <v>1.4625816138330672</v>
      </c>
      <c r="D1395">
        <v>1</v>
      </c>
      <c r="E1395">
        <f t="shared" si="43"/>
        <v>5.1821752370718156E-2</v>
      </c>
    </row>
    <row r="1396" spans="1:5" x14ac:dyDescent="0.25">
      <c r="A1396">
        <v>0</v>
      </c>
      <c r="B1396">
        <v>-0.09</v>
      </c>
      <c r="C1396">
        <f t="shared" si="42"/>
        <v>1.4625816138330672</v>
      </c>
      <c r="D1396">
        <v>1</v>
      </c>
      <c r="E1396">
        <f t="shared" si="43"/>
        <v>5.1821752370718156E-2</v>
      </c>
    </row>
    <row r="1397" spans="1:5" x14ac:dyDescent="0.25">
      <c r="A1397">
        <v>0</v>
      </c>
      <c r="B1397">
        <v>-0.09</v>
      </c>
      <c r="C1397">
        <f t="shared" si="42"/>
        <v>1.4625816138330672</v>
      </c>
      <c r="D1397">
        <v>1</v>
      </c>
      <c r="E1397">
        <f t="shared" si="43"/>
        <v>5.1821752370718156E-2</v>
      </c>
    </row>
    <row r="1398" spans="1:5" x14ac:dyDescent="0.25">
      <c r="A1398">
        <v>0</v>
      </c>
      <c r="B1398">
        <v>-0.09</v>
      </c>
      <c r="C1398">
        <f t="shared" si="42"/>
        <v>1.4625816138330672</v>
      </c>
      <c r="D1398">
        <v>1</v>
      </c>
      <c r="E1398">
        <f t="shared" si="43"/>
        <v>5.1821752370718156E-2</v>
      </c>
    </row>
    <row r="1399" spans="1:5" x14ac:dyDescent="0.25">
      <c r="A1399">
        <v>0</v>
      </c>
      <c r="B1399">
        <v>-0.09</v>
      </c>
      <c r="C1399">
        <f t="shared" si="42"/>
        <v>1.4625816138330672</v>
      </c>
      <c r="D1399">
        <v>1</v>
      </c>
      <c r="E1399">
        <f t="shared" si="43"/>
        <v>5.1821752370718156E-2</v>
      </c>
    </row>
    <row r="1400" spans="1:5" x14ac:dyDescent="0.25">
      <c r="A1400">
        <v>0</v>
      </c>
      <c r="B1400">
        <v>-0.09</v>
      </c>
      <c r="C1400">
        <f t="shared" si="42"/>
        <v>1.4625816138330672</v>
      </c>
      <c r="D1400">
        <v>1</v>
      </c>
      <c r="E1400">
        <f t="shared" si="43"/>
        <v>5.1821752370718156E-2</v>
      </c>
    </row>
    <row r="1401" spans="1:5" x14ac:dyDescent="0.25">
      <c r="A1401">
        <v>0</v>
      </c>
      <c r="B1401">
        <v>-0.09</v>
      </c>
      <c r="C1401">
        <f t="shared" si="42"/>
        <v>1.4625816138330672</v>
      </c>
      <c r="D1401">
        <v>1</v>
      </c>
      <c r="E1401">
        <f t="shared" si="43"/>
        <v>5.1821752370718156E-2</v>
      </c>
    </row>
    <row r="1402" spans="1:5" x14ac:dyDescent="0.25">
      <c r="A1402">
        <v>0</v>
      </c>
      <c r="B1402">
        <v>-0.09</v>
      </c>
      <c r="C1402">
        <f t="shared" si="42"/>
        <v>1.4625816138330672</v>
      </c>
      <c r="D1402">
        <v>1</v>
      </c>
      <c r="E1402">
        <f t="shared" si="43"/>
        <v>5.1821752370718156E-2</v>
      </c>
    </row>
    <row r="1403" spans="1:5" x14ac:dyDescent="0.25">
      <c r="A1403">
        <v>0</v>
      </c>
      <c r="B1403">
        <v>-8.9820359281437098E-2</v>
      </c>
      <c r="C1403">
        <f t="shared" si="42"/>
        <v>1.4630979424907979</v>
      </c>
      <c r="D1403">
        <v>1</v>
      </c>
      <c r="E1403">
        <f t="shared" si="43"/>
        <v>5.1821752370718156E-2</v>
      </c>
    </row>
    <row r="1404" spans="1:5" x14ac:dyDescent="0.25">
      <c r="A1404">
        <v>0</v>
      </c>
      <c r="B1404">
        <v>-8.9333333333333306E-2</v>
      </c>
      <c r="C1404">
        <f t="shared" si="42"/>
        <v>1.4644946668323831</v>
      </c>
      <c r="D1404">
        <v>1</v>
      </c>
      <c r="E1404">
        <f t="shared" si="43"/>
        <v>5.1821752370718156E-2</v>
      </c>
    </row>
    <row r="1405" spans="1:5" x14ac:dyDescent="0.25">
      <c r="A1405">
        <v>0</v>
      </c>
      <c r="B1405">
        <v>-8.9333333333333306E-2</v>
      </c>
      <c r="C1405">
        <f t="shared" si="42"/>
        <v>1.4644946668323831</v>
      </c>
      <c r="D1405">
        <v>1</v>
      </c>
      <c r="E1405">
        <f t="shared" si="43"/>
        <v>5.1821752370718156E-2</v>
      </c>
    </row>
    <row r="1406" spans="1:5" x14ac:dyDescent="0.25">
      <c r="A1406">
        <v>0</v>
      </c>
      <c r="B1406">
        <v>-8.8785046728972E-2</v>
      </c>
      <c r="C1406">
        <f t="shared" si="42"/>
        <v>1.4660616431948954</v>
      </c>
      <c r="D1406">
        <v>1</v>
      </c>
      <c r="E1406">
        <f t="shared" si="43"/>
        <v>5.1821752370718156E-2</v>
      </c>
    </row>
    <row r="1407" spans="1:5" x14ac:dyDescent="0.25">
      <c r="A1407">
        <v>0</v>
      </c>
      <c r="B1407">
        <v>-8.8785046728972E-2</v>
      </c>
      <c r="C1407">
        <f t="shared" si="42"/>
        <v>1.4660616431948954</v>
      </c>
      <c r="D1407">
        <v>1</v>
      </c>
      <c r="E1407">
        <f t="shared" si="43"/>
        <v>5.1821752370718156E-2</v>
      </c>
    </row>
    <row r="1408" spans="1:5" x14ac:dyDescent="0.25">
      <c r="A1408">
        <v>0</v>
      </c>
      <c r="B1408">
        <v>-8.8607594936708903E-2</v>
      </c>
      <c r="C1408">
        <f t="shared" si="42"/>
        <v>1.4665675551664745</v>
      </c>
      <c r="D1408">
        <v>1</v>
      </c>
      <c r="E1408">
        <f t="shared" si="43"/>
        <v>5.1821752370718156E-2</v>
      </c>
    </row>
    <row r="1409" spans="1:5" x14ac:dyDescent="0.25">
      <c r="A1409">
        <v>0</v>
      </c>
      <c r="B1409">
        <v>-8.8578088578088604E-2</v>
      </c>
      <c r="C1409">
        <f t="shared" si="42"/>
        <v>1.466651618542558</v>
      </c>
      <c r="D1409">
        <v>1</v>
      </c>
      <c r="E1409">
        <f t="shared" si="43"/>
        <v>5.1821752370718156E-2</v>
      </c>
    </row>
    <row r="1410" spans="1:5" x14ac:dyDescent="0.25">
      <c r="A1410">
        <v>0</v>
      </c>
      <c r="B1410">
        <v>-8.8578088578088604E-2</v>
      </c>
      <c r="C1410">
        <f t="shared" ref="C1410:C1473" si="44">_xlfn.NORM.DIST(B1410,I$10,I$13,FALSE)</f>
        <v>1.466651618542558</v>
      </c>
      <c r="D1410">
        <v>1</v>
      </c>
      <c r="E1410">
        <f t="shared" si="43"/>
        <v>5.1821752370718156E-2</v>
      </c>
    </row>
    <row r="1411" spans="1:5" x14ac:dyDescent="0.25">
      <c r="A1411">
        <v>0</v>
      </c>
      <c r="B1411">
        <v>-8.8578088578088604E-2</v>
      </c>
      <c r="C1411">
        <f t="shared" si="44"/>
        <v>1.466651618542558</v>
      </c>
      <c r="D1411">
        <v>1</v>
      </c>
      <c r="E1411">
        <f t="shared" ref="E1411:E1474" si="45">_xlfn.NORM.DIST(D1411,I$4,I$7,FALSE)</f>
        <v>5.1821752370718156E-2</v>
      </c>
    </row>
    <row r="1412" spans="1:5" x14ac:dyDescent="0.25">
      <c r="A1412">
        <v>0</v>
      </c>
      <c r="B1412">
        <v>-8.8578088578088604E-2</v>
      </c>
      <c r="C1412">
        <f t="shared" si="44"/>
        <v>1.466651618542558</v>
      </c>
      <c r="D1412">
        <v>1</v>
      </c>
      <c r="E1412">
        <f t="shared" si="45"/>
        <v>5.1821752370718156E-2</v>
      </c>
    </row>
    <row r="1413" spans="1:5" x14ac:dyDescent="0.25">
      <c r="A1413">
        <v>0</v>
      </c>
      <c r="B1413">
        <v>-8.8333333333333305E-2</v>
      </c>
      <c r="C1413">
        <f t="shared" si="44"/>
        <v>1.4673482778813745</v>
      </c>
      <c r="D1413">
        <v>1</v>
      </c>
      <c r="E1413">
        <f t="shared" si="45"/>
        <v>5.1821752370718156E-2</v>
      </c>
    </row>
    <row r="1414" spans="1:5" x14ac:dyDescent="0.25">
      <c r="A1414">
        <v>0</v>
      </c>
      <c r="B1414">
        <v>-8.8333333333333305E-2</v>
      </c>
      <c r="C1414">
        <f t="shared" si="44"/>
        <v>1.4673482778813745</v>
      </c>
      <c r="D1414">
        <v>1</v>
      </c>
      <c r="E1414">
        <f t="shared" si="45"/>
        <v>5.1821752370718156E-2</v>
      </c>
    </row>
    <row r="1415" spans="1:5" x14ac:dyDescent="0.25">
      <c r="A1415">
        <v>0</v>
      </c>
      <c r="B1415">
        <v>-8.8333333333333305E-2</v>
      </c>
      <c r="C1415">
        <f t="shared" si="44"/>
        <v>1.4673482778813745</v>
      </c>
      <c r="D1415">
        <v>1</v>
      </c>
      <c r="E1415">
        <f t="shared" si="45"/>
        <v>5.1821752370718156E-2</v>
      </c>
    </row>
    <row r="1416" spans="1:5" x14ac:dyDescent="0.25">
      <c r="A1416">
        <v>0</v>
      </c>
      <c r="B1416">
        <v>-8.8333333333333305E-2</v>
      </c>
      <c r="C1416">
        <f t="shared" si="44"/>
        <v>1.4673482778813745</v>
      </c>
      <c r="D1416">
        <v>1</v>
      </c>
      <c r="E1416">
        <f t="shared" si="45"/>
        <v>5.1821752370718156E-2</v>
      </c>
    </row>
    <row r="1417" spans="1:5" x14ac:dyDescent="0.25">
      <c r="A1417">
        <v>0</v>
      </c>
      <c r="B1417">
        <v>-8.8333333333333305E-2</v>
      </c>
      <c r="C1417">
        <f t="shared" si="44"/>
        <v>1.4673482778813745</v>
      </c>
      <c r="D1417">
        <v>1</v>
      </c>
      <c r="E1417">
        <f t="shared" si="45"/>
        <v>5.1821752370718156E-2</v>
      </c>
    </row>
    <row r="1418" spans="1:5" x14ac:dyDescent="0.25">
      <c r="A1418">
        <v>0</v>
      </c>
      <c r="B1418">
        <v>-8.8333333333333305E-2</v>
      </c>
      <c r="C1418">
        <f t="shared" si="44"/>
        <v>1.4673482778813745</v>
      </c>
      <c r="D1418">
        <v>1</v>
      </c>
      <c r="E1418">
        <f t="shared" si="45"/>
        <v>5.1821752370718156E-2</v>
      </c>
    </row>
    <row r="1419" spans="1:5" x14ac:dyDescent="0.25">
      <c r="A1419">
        <v>0</v>
      </c>
      <c r="B1419">
        <v>-8.8235294117647106E-2</v>
      </c>
      <c r="C1419">
        <f t="shared" si="44"/>
        <v>1.4676270080189282</v>
      </c>
      <c r="D1419">
        <v>1</v>
      </c>
      <c r="E1419">
        <f t="shared" si="45"/>
        <v>5.1821752370718156E-2</v>
      </c>
    </row>
    <row r="1420" spans="1:5" x14ac:dyDescent="0.25">
      <c r="A1420">
        <v>0</v>
      </c>
      <c r="B1420">
        <v>-8.7999999999999995E-2</v>
      </c>
      <c r="C1420">
        <f t="shared" si="44"/>
        <v>1.4682952034747243</v>
      </c>
      <c r="D1420">
        <v>1</v>
      </c>
      <c r="E1420">
        <f t="shared" si="45"/>
        <v>5.1821752370718156E-2</v>
      </c>
    </row>
    <row r="1421" spans="1:5" x14ac:dyDescent="0.25">
      <c r="A1421">
        <v>0</v>
      </c>
      <c r="B1421">
        <v>-8.7999999999999995E-2</v>
      </c>
      <c r="C1421">
        <f t="shared" si="44"/>
        <v>1.4682952034747243</v>
      </c>
      <c r="D1421">
        <v>1</v>
      </c>
      <c r="E1421">
        <f t="shared" si="45"/>
        <v>5.1821752370718156E-2</v>
      </c>
    </row>
    <row r="1422" spans="1:5" x14ac:dyDescent="0.25">
      <c r="A1422">
        <v>0</v>
      </c>
      <c r="B1422">
        <v>-8.7999999999999995E-2</v>
      </c>
      <c r="C1422">
        <f t="shared" si="44"/>
        <v>1.4682952034747243</v>
      </c>
      <c r="D1422">
        <v>1</v>
      </c>
      <c r="E1422">
        <f t="shared" si="45"/>
        <v>5.1821752370718156E-2</v>
      </c>
    </row>
    <row r="1423" spans="1:5" x14ac:dyDescent="0.25">
      <c r="A1423">
        <v>0</v>
      </c>
      <c r="B1423">
        <v>-8.7999999999999995E-2</v>
      </c>
      <c r="C1423">
        <f t="shared" si="44"/>
        <v>1.4682952034747243</v>
      </c>
      <c r="D1423">
        <v>1</v>
      </c>
      <c r="E1423">
        <f t="shared" si="45"/>
        <v>5.1821752370718156E-2</v>
      </c>
    </row>
    <row r="1424" spans="1:5" x14ac:dyDescent="0.25">
      <c r="A1424">
        <v>0</v>
      </c>
      <c r="B1424">
        <v>-8.7999999999999995E-2</v>
      </c>
      <c r="C1424">
        <f t="shared" si="44"/>
        <v>1.4682952034747243</v>
      </c>
      <c r="D1424">
        <v>1</v>
      </c>
      <c r="E1424">
        <f t="shared" si="45"/>
        <v>5.1821752370718156E-2</v>
      </c>
    </row>
    <row r="1425" spans="1:5" x14ac:dyDescent="0.25">
      <c r="A1425">
        <v>0</v>
      </c>
      <c r="B1425">
        <v>-8.7999999999999995E-2</v>
      </c>
      <c r="C1425">
        <f t="shared" si="44"/>
        <v>1.4682952034747243</v>
      </c>
      <c r="D1425">
        <v>1</v>
      </c>
      <c r="E1425">
        <f t="shared" si="45"/>
        <v>5.1821752370718156E-2</v>
      </c>
    </row>
    <row r="1426" spans="1:5" x14ac:dyDescent="0.25">
      <c r="A1426">
        <v>0</v>
      </c>
      <c r="B1426">
        <v>-8.7999999999999995E-2</v>
      </c>
      <c r="C1426">
        <f t="shared" si="44"/>
        <v>1.4682952034747243</v>
      </c>
      <c r="D1426">
        <v>1</v>
      </c>
      <c r="E1426">
        <f t="shared" si="45"/>
        <v>5.1821752370718156E-2</v>
      </c>
    </row>
    <row r="1427" spans="1:5" x14ac:dyDescent="0.25">
      <c r="A1427">
        <v>0</v>
      </c>
      <c r="B1427">
        <v>-8.7999999999999995E-2</v>
      </c>
      <c r="C1427">
        <f t="shared" si="44"/>
        <v>1.4682952034747243</v>
      </c>
      <c r="D1427">
        <v>1</v>
      </c>
      <c r="E1427">
        <f t="shared" si="45"/>
        <v>5.1821752370718156E-2</v>
      </c>
    </row>
    <row r="1428" spans="1:5" x14ac:dyDescent="0.25">
      <c r="A1428">
        <v>0</v>
      </c>
      <c r="B1428">
        <v>-8.7999999999999995E-2</v>
      </c>
      <c r="C1428">
        <f t="shared" si="44"/>
        <v>1.4682952034747243</v>
      </c>
      <c r="D1428">
        <v>1</v>
      </c>
      <c r="E1428">
        <f t="shared" si="45"/>
        <v>5.1821752370718156E-2</v>
      </c>
    </row>
    <row r="1429" spans="1:5" x14ac:dyDescent="0.25">
      <c r="A1429">
        <v>0</v>
      </c>
      <c r="B1429">
        <v>-8.7999999999999995E-2</v>
      </c>
      <c r="C1429">
        <f t="shared" si="44"/>
        <v>1.4682952034747243</v>
      </c>
      <c r="D1429">
        <v>1</v>
      </c>
      <c r="E1429">
        <f t="shared" si="45"/>
        <v>5.1821752370718156E-2</v>
      </c>
    </row>
    <row r="1430" spans="1:5" x14ac:dyDescent="0.25">
      <c r="A1430">
        <v>0</v>
      </c>
      <c r="B1430">
        <v>-8.7999999999999995E-2</v>
      </c>
      <c r="C1430">
        <f t="shared" si="44"/>
        <v>1.4682952034747243</v>
      </c>
      <c r="D1430">
        <v>1</v>
      </c>
      <c r="E1430">
        <f t="shared" si="45"/>
        <v>5.1821752370718156E-2</v>
      </c>
    </row>
    <row r="1431" spans="1:5" x14ac:dyDescent="0.25">
      <c r="A1431">
        <v>0</v>
      </c>
      <c r="B1431">
        <v>-8.7999999999999995E-2</v>
      </c>
      <c r="C1431">
        <f t="shared" si="44"/>
        <v>1.4682952034747243</v>
      </c>
      <c r="D1431">
        <v>1</v>
      </c>
      <c r="E1431">
        <f t="shared" si="45"/>
        <v>5.1821752370718156E-2</v>
      </c>
    </row>
    <row r="1432" spans="1:5" x14ac:dyDescent="0.25">
      <c r="A1432">
        <v>0</v>
      </c>
      <c r="B1432">
        <v>-8.7999999999999995E-2</v>
      </c>
      <c r="C1432">
        <f t="shared" si="44"/>
        <v>1.4682952034747243</v>
      </c>
      <c r="D1432">
        <v>1</v>
      </c>
      <c r="E1432">
        <f t="shared" si="45"/>
        <v>5.1821752370718156E-2</v>
      </c>
    </row>
    <row r="1433" spans="1:5" x14ac:dyDescent="0.25">
      <c r="A1433">
        <v>0</v>
      </c>
      <c r="B1433">
        <v>-8.7999999999999995E-2</v>
      </c>
      <c r="C1433">
        <f t="shared" si="44"/>
        <v>1.4682952034747243</v>
      </c>
      <c r="D1433">
        <v>1</v>
      </c>
      <c r="E1433">
        <f t="shared" si="45"/>
        <v>5.1821752370718156E-2</v>
      </c>
    </row>
    <row r="1434" spans="1:5" x14ac:dyDescent="0.25">
      <c r="A1434">
        <v>0</v>
      </c>
      <c r="B1434">
        <v>-8.7999999999999995E-2</v>
      </c>
      <c r="C1434">
        <f t="shared" si="44"/>
        <v>1.4682952034747243</v>
      </c>
      <c r="D1434">
        <v>1</v>
      </c>
      <c r="E1434">
        <f t="shared" si="45"/>
        <v>5.1821752370718156E-2</v>
      </c>
    </row>
    <row r="1435" spans="1:5" x14ac:dyDescent="0.25">
      <c r="A1435">
        <v>0</v>
      </c>
      <c r="B1435">
        <v>-8.7999999999999995E-2</v>
      </c>
      <c r="C1435">
        <f t="shared" si="44"/>
        <v>1.4682952034747243</v>
      </c>
      <c r="D1435">
        <v>1</v>
      </c>
      <c r="E1435">
        <f t="shared" si="45"/>
        <v>5.1821752370718156E-2</v>
      </c>
    </row>
    <row r="1436" spans="1:5" x14ac:dyDescent="0.25">
      <c r="A1436">
        <v>0</v>
      </c>
      <c r="B1436">
        <v>-8.7999999999999995E-2</v>
      </c>
      <c r="C1436">
        <f t="shared" si="44"/>
        <v>1.4682952034747243</v>
      </c>
      <c r="D1436">
        <v>1</v>
      </c>
      <c r="E1436">
        <f t="shared" si="45"/>
        <v>5.1821752370718156E-2</v>
      </c>
    </row>
    <row r="1437" spans="1:5" x14ac:dyDescent="0.25">
      <c r="A1437">
        <v>0</v>
      </c>
      <c r="B1437">
        <v>-8.7912087912087905E-2</v>
      </c>
      <c r="C1437">
        <f t="shared" si="44"/>
        <v>1.4685445844570675</v>
      </c>
      <c r="D1437">
        <v>1</v>
      </c>
      <c r="E1437">
        <f t="shared" si="45"/>
        <v>5.1821752370718156E-2</v>
      </c>
    </row>
    <row r="1438" spans="1:5" x14ac:dyDescent="0.25">
      <c r="A1438">
        <v>0</v>
      </c>
      <c r="B1438">
        <v>-8.7087087087087095E-2</v>
      </c>
      <c r="C1438">
        <f t="shared" si="44"/>
        <v>1.4708775771736431</v>
      </c>
      <c r="D1438">
        <v>1</v>
      </c>
      <c r="E1438">
        <f t="shared" si="45"/>
        <v>5.1821752370718156E-2</v>
      </c>
    </row>
    <row r="1439" spans="1:5" x14ac:dyDescent="0.25">
      <c r="A1439">
        <v>0</v>
      </c>
      <c r="B1439">
        <v>-8.7087087087087095E-2</v>
      </c>
      <c r="C1439">
        <f t="shared" si="44"/>
        <v>1.4708775771736431</v>
      </c>
      <c r="D1439">
        <v>1</v>
      </c>
      <c r="E1439">
        <f t="shared" si="45"/>
        <v>5.1821752370718156E-2</v>
      </c>
    </row>
    <row r="1440" spans="1:5" x14ac:dyDescent="0.25">
      <c r="A1440">
        <v>0</v>
      </c>
      <c r="B1440">
        <v>-8.7087087087087095E-2</v>
      </c>
      <c r="C1440">
        <f t="shared" si="44"/>
        <v>1.4708775771736431</v>
      </c>
      <c r="D1440">
        <v>1</v>
      </c>
      <c r="E1440">
        <f t="shared" si="45"/>
        <v>5.1821752370718156E-2</v>
      </c>
    </row>
    <row r="1441" spans="1:5" x14ac:dyDescent="0.25">
      <c r="A1441">
        <v>0</v>
      </c>
      <c r="B1441">
        <v>-8.6826347305389198E-2</v>
      </c>
      <c r="C1441">
        <f t="shared" si="44"/>
        <v>1.471612165499226</v>
      </c>
      <c r="D1441">
        <v>1</v>
      </c>
      <c r="E1441">
        <f t="shared" si="45"/>
        <v>5.1821752370718156E-2</v>
      </c>
    </row>
    <row r="1442" spans="1:5" x14ac:dyDescent="0.25">
      <c r="A1442">
        <v>0</v>
      </c>
      <c r="B1442">
        <v>-8.6826347305389198E-2</v>
      </c>
      <c r="C1442">
        <f t="shared" si="44"/>
        <v>1.471612165499226</v>
      </c>
      <c r="D1442">
        <v>1</v>
      </c>
      <c r="E1442">
        <f t="shared" si="45"/>
        <v>5.1821752370718156E-2</v>
      </c>
    </row>
    <row r="1443" spans="1:5" x14ac:dyDescent="0.25">
      <c r="A1443">
        <v>0</v>
      </c>
      <c r="B1443">
        <v>-8.6826347305389198E-2</v>
      </c>
      <c r="C1443">
        <f t="shared" si="44"/>
        <v>1.471612165499226</v>
      </c>
      <c r="D1443">
        <v>1</v>
      </c>
      <c r="E1443">
        <f t="shared" si="45"/>
        <v>5.1821752370718156E-2</v>
      </c>
    </row>
    <row r="1444" spans="1:5" x14ac:dyDescent="0.25">
      <c r="A1444">
        <v>0</v>
      </c>
      <c r="B1444">
        <v>-8.6826347305389198E-2</v>
      </c>
      <c r="C1444">
        <f t="shared" si="44"/>
        <v>1.471612165499226</v>
      </c>
      <c r="D1444">
        <v>1</v>
      </c>
      <c r="E1444">
        <f t="shared" si="45"/>
        <v>5.1821752370718156E-2</v>
      </c>
    </row>
    <row r="1445" spans="1:5" x14ac:dyDescent="0.25">
      <c r="A1445">
        <v>0</v>
      </c>
      <c r="B1445">
        <v>-8.6826347305389198E-2</v>
      </c>
      <c r="C1445">
        <f t="shared" si="44"/>
        <v>1.471612165499226</v>
      </c>
      <c r="D1445">
        <v>1</v>
      </c>
      <c r="E1445">
        <f t="shared" si="45"/>
        <v>5.1821752370718156E-2</v>
      </c>
    </row>
    <row r="1446" spans="1:5" x14ac:dyDescent="0.25">
      <c r="A1446">
        <v>0</v>
      </c>
      <c r="B1446">
        <v>-8.6666666666666697E-2</v>
      </c>
      <c r="C1446">
        <f t="shared" si="44"/>
        <v>1.4720613837481014</v>
      </c>
      <c r="D1446">
        <v>1</v>
      </c>
      <c r="E1446">
        <f t="shared" si="45"/>
        <v>5.1821752370718156E-2</v>
      </c>
    </row>
    <row r="1447" spans="1:5" x14ac:dyDescent="0.25">
      <c r="A1447">
        <v>0</v>
      </c>
      <c r="B1447">
        <v>-8.6666666666666697E-2</v>
      </c>
      <c r="C1447">
        <f t="shared" si="44"/>
        <v>1.4720613837481014</v>
      </c>
      <c r="D1447">
        <v>1</v>
      </c>
      <c r="E1447">
        <f t="shared" si="45"/>
        <v>5.1821752370718156E-2</v>
      </c>
    </row>
    <row r="1448" spans="1:5" x14ac:dyDescent="0.25">
      <c r="A1448">
        <v>0</v>
      </c>
      <c r="B1448">
        <v>-8.6666666666666697E-2</v>
      </c>
      <c r="C1448">
        <f t="shared" si="44"/>
        <v>1.4720613837481014</v>
      </c>
      <c r="D1448">
        <v>1</v>
      </c>
      <c r="E1448">
        <f t="shared" si="45"/>
        <v>5.1821752370718156E-2</v>
      </c>
    </row>
    <row r="1449" spans="1:5" x14ac:dyDescent="0.25">
      <c r="A1449">
        <v>0</v>
      </c>
      <c r="B1449">
        <v>-8.6666666666666697E-2</v>
      </c>
      <c r="C1449">
        <f t="shared" si="44"/>
        <v>1.4720613837481014</v>
      </c>
      <c r="D1449">
        <v>1</v>
      </c>
      <c r="E1449">
        <f t="shared" si="45"/>
        <v>5.1821752370718156E-2</v>
      </c>
    </row>
    <row r="1450" spans="1:5" x14ac:dyDescent="0.25">
      <c r="A1450">
        <v>0</v>
      </c>
      <c r="B1450">
        <v>-8.6666666666666697E-2</v>
      </c>
      <c r="C1450">
        <f t="shared" si="44"/>
        <v>1.4720613837481014</v>
      </c>
      <c r="D1450">
        <v>1</v>
      </c>
      <c r="E1450">
        <f t="shared" si="45"/>
        <v>5.1821752370718156E-2</v>
      </c>
    </row>
    <row r="1451" spans="1:5" x14ac:dyDescent="0.25">
      <c r="A1451">
        <v>0</v>
      </c>
      <c r="B1451">
        <v>-8.6666666666666697E-2</v>
      </c>
      <c r="C1451">
        <f t="shared" si="44"/>
        <v>1.4720613837481014</v>
      </c>
      <c r="D1451">
        <v>1</v>
      </c>
      <c r="E1451">
        <f t="shared" si="45"/>
        <v>5.1821752370718156E-2</v>
      </c>
    </row>
    <row r="1452" spans="1:5" x14ac:dyDescent="0.25">
      <c r="A1452">
        <v>0</v>
      </c>
      <c r="B1452">
        <v>-8.6666666666666697E-2</v>
      </c>
      <c r="C1452">
        <f t="shared" si="44"/>
        <v>1.4720613837481014</v>
      </c>
      <c r="D1452">
        <v>1</v>
      </c>
      <c r="E1452">
        <f t="shared" si="45"/>
        <v>5.1821752370718156E-2</v>
      </c>
    </row>
    <row r="1453" spans="1:5" x14ac:dyDescent="0.25">
      <c r="A1453">
        <v>0</v>
      </c>
      <c r="B1453">
        <v>-8.6419753086419707E-2</v>
      </c>
      <c r="C1453">
        <f t="shared" si="44"/>
        <v>1.4727550291027387</v>
      </c>
      <c r="D1453">
        <v>1</v>
      </c>
      <c r="E1453">
        <f t="shared" si="45"/>
        <v>5.1821752370718156E-2</v>
      </c>
    </row>
    <row r="1454" spans="1:5" x14ac:dyDescent="0.25">
      <c r="A1454">
        <v>0</v>
      </c>
      <c r="B1454">
        <v>-8.6247086247086199E-2</v>
      </c>
      <c r="C1454">
        <f t="shared" si="44"/>
        <v>1.4732393882632082</v>
      </c>
      <c r="D1454">
        <v>1</v>
      </c>
      <c r="E1454">
        <f t="shared" si="45"/>
        <v>5.1821752370718156E-2</v>
      </c>
    </row>
    <row r="1455" spans="1:5" x14ac:dyDescent="0.25">
      <c r="A1455">
        <v>0</v>
      </c>
      <c r="B1455">
        <v>-8.6247086247086199E-2</v>
      </c>
      <c r="C1455">
        <f t="shared" si="44"/>
        <v>1.4732393882632082</v>
      </c>
      <c r="D1455">
        <v>1</v>
      </c>
      <c r="E1455">
        <f t="shared" si="45"/>
        <v>5.1821752370718156E-2</v>
      </c>
    </row>
    <row r="1456" spans="1:5" x14ac:dyDescent="0.25">
      <c r="A1456">
        <v>0</v>
      </c>
      <c r="B1456">
        <v>-8.6206896551724102E-2</v>
      </c>
      <c r="C1456">
        <f t="shared" si="44"/>
        <v>1.4733520434024268</v>
      </c>
      <c r="D1456">
        <v>1</v>
      </c>
      <c r="E1456">
        <f t="shared" si="45"/>
        <v>5.1821752370718156E-2</v>
      </c>
    </row>
    <row r="1457" spans="1:5" x14ac:dyDescent="0.25">
      <c r="A1457">
        <v>0</v>
      </c>
      <c r="B1457">
        <v>-8.5999999999999993E-2</v>
      </c>
      <c r="C1457">
        <f t="shared" si="44"/>
        <v>1.4739314918211119</v>
      </c>
      <c r="D1457">
        <v>1</v>
      </c>
      <c r="E1457">
        <f t="shared" si="45"/>
        <v>5.1821752370718156E-2</v>
      </c>
    </row>
    <row r="1458" spans="1:5" x14ac:dyDescent="0.25">
      <c r="A1458">
        <v>0</v>
      </c>
      <c r="B1458">
        <v>-8.5999999999999993E-2</v>
      </c>
      <c r="C1458">
        <f t="shared" si="44"/>
        <v>1.4739314918211119</v>
      </c>
      <c r="D1458">
        <v>1</v>
      </c>
      <c r="E1458">
        <f t="shared" si="45"/>
        <v>5.1821752370718156E-2</v>
      </c>
    </row>
    <row r="1459" spans="1:5" x14ac:dyDescent="0.25">
      <c r="A1459">
        <v>0</v>
      </c>
      <c r="B1459">
        <v>-8.5999999999999993E-2</v>
      </c>
      <c r="C1459">
        <f t="shared" si="44"/>
        <v>1.4739314918211119</v>
      </c>
      <c r="D1459">
        <v>1</v>
      </c>
      <c r="E1459">
        <f t="shared" si="45"/>
        <v>5.1821752370718156E-2</v>
      </c>
    </row>
    <row r="1460" spans="1:5" x14ac:dyDescent="0.25">
      <c r="A1460">
        <v>0</v>
      </c>
      <c r="B1460">
        <v>-8.5999999999999993E-2</v>
      </c>
      <c r="C1460">
        <f t="shared" si="44"/>
        <v>1.4739314918211119</v>
      </c>
      <c r="D1460">
        <v>1</v>
      </c>
      <c r="E1460">
        <f t="shared" si="45"/>
        <v>5.1821752370718156E-2</v>
      </c>
    </row>
    <row r="1461" spans="1:5" x14ac:dyDescent="0.25">
      <c r="A1461">
        <v>0</v>
      </c>
      <c r="B1461">
        <v>-8.5999999999999993E-2</v>
      </c>
      <c r="C1461">
        <f t="shared" si="44"/>
        <v>1.4739314918211119</v>
      </c>
      <c r="D1461">
        <v>1</v>
      </c>
      <c r="E1461">
        <f t="shared" si="45"/>
        <v>5.1821752370718156E-2</v>
      </c>
    </row>
    <row r="1462" spans="1:5" x14ac:dyDescent="0.25">
      <c r="A1462">
        <v>0</v>
      </c>
      <c r="B1462">
        <v>-8.5999999999999993E-2</v>
      </c>
      <c r="C1462">
        <f t="shared" si="44"/>
        <v>1.4739314918211119</v>
      </c>
      <c r="D1462">
        <v>1</v>
      </c>
      <c r="E1462">
        <f t="shared" si="45"/>
        <v>5.1821752370718156E-2</v>
      </c>
    </row>
    <row r="1463" spans="1:5" x14ac:dyDescent="0.25">
      <c r="A1463">
        <v>0</v>
      </c>
      <c r="B1463">
        <v>-8.5999999999999993E-2</v>
      </c>
      <c r="C1463">
        <f t="shared" si="44"/>
        <v>1.4739314918211119</v>
      </c>
      <c r="D1463">
        <v>1</v>
      </c>
      <c r="E1463">
        <f t="shared" si="45"/>
        <v>5.1821752370718156E-2</v>
      </c>
    </row>
    <row r="1464" spans="1:5" x14ac:dyDescent="0.25">
      <c r="A1464">
        <v>0</v>
      </c>
      <c r="B1464">
        <v>-8.5999999999999993E-2</v>
      </c>
      <c r="C1464">
        <f t="shared" si="44"/>
        <v>1.4739314918211119</v>
      </c>
      <c r="D1464">
        <v>1</v>
      </c>
      <c r="E1464">
        <f t="shared" si="45"/>
        <v>5.1821752370718156E-2</v>
      </c>
    </row>
    <row r="1465" spans="1:5" x14ac:dyDescent="0.25">
      <c r="A1465">
        <v>0</v>
      </c>
      <c r="B1465">
        <v>-8.5333333333333303E-2</v>
      </c>
      <c r="C1465">
        <f t="shared" si="44"/>
        <v>1.4757928929806103</v>
      </c>
      <c r="D1465">
        <v>1</v>
      </c>
      <c r="E1465">
        <f t="shared" si="45"/>
        <v>5.1821752370718156E-2</v>
      </c>
    </row>
    <row r="1466" spans="1:5" x14ac:dyDescent="0.25">
      <c r="A1466">
        <v>0</v>
      </c>
      <c r="B1466">
        <v>-8.5333333333333303E-2</v>
      </c>
      <c r="C1466">
        <f t="shared" si="44"/>
        <v>1.4757928929806103</v>
      </c>
      <c r="D1466">
        <v>1</v>
      </c>
      <c r="E1466">
        <f t="shared" si="45"/>
        <v>5.1821752370718156E-2</v>
      </c>
    </row>
    <row r="1467" spans="1:5" x14ac:dyDescent="0.25">
      <c r="A1467">
        <v>0</v>
      </c>
      <c r="B1467">
        <v>-8.5333333333333303E-2</v>
      </c>
      <c r="C1467">
        <f t="shared" si="44"/>
        <v>1.4757928929806103</v>
      </c>
      <c r="D1467">
        <v>1</v>
      </c>
      <c r="E1467">
        <f t="shared" si="45"/>
        <v>5.1821752370718156E-2</v>
      </c>
    </row>
    <row r="1468" spans="1:5" x14ac:dyDescent="0.25">
      <c r="A1468">
        <v>0</v>
      </c>
      <c r="B1468">
        <v>-8.5333333333333303E-2</v>
      </c>
      <c r="C1468">
        <f t="shared" si="44"/>
        <v>1.4757928929806103</v>
      </c>
      <c r="D1468">
        <v>1</v>
      </c>
      <c r="E1468">
        <f t="shared" si="45"/>
        <v>5.1821752370718156E-2</v>
      </c>
    </row>
    <row r="1469" spans="1:5" x14ac:dyDescent="0.25">
      <c r="A1469">
        <v>0</v>
      </c>
      <c r="B1469">
        <v>-8.5333333333333303E-2</v>
      </c>
      <c r="C1469">
        <f t="shared" si="44"/>
        <v>1.4757928929806103</v>
      </c>
      <c r="D1469">
        <v>1</v>
      </c>
      <c r="E1469">
        <f t="shared" si="45"/>
        <v>5.1821752370718156E-2</v>
      </c>
    </row>
    <row r="1470" spans="1:5" x14ac:dyDescent="0.25">
      <c r="A1470">
        <v>0</v>
      </c>
      <c r="B1470">
        <v>-8.5333333333333303E-2</v>
      </c>
      <c r="C1470">
        <f t="shared" si="44"/>
        <v>1.4757928929806103</v>
      </c>
      <c r="D1470">
        <v>1</v>
      </c>
      <c r="E1470">
        <f t="shared" si="45"/>
        <v>5.1821752370718156E-2</v>
      </c>
    </row>
    <row r="1471" spans="1:5" x14ac:dyDescent="0.25">
      <c r="A1471">
        <v>0</v>
      </c>
      <c r="B1471">
        <v>-8.5333333333333303E-2</v>
      </c>
      <c r="C1471">
        <f t="shared" si="44"/>
        <v>1.4757928929806103</v>
      </c>
      <c r="D1471">
        <v>1</v>
      </c>
      <c r="E1471">
        <f t="shared" si="45"/>
        <v>5.1821752370718156E-2</v>
      </c>
    </row>
    <row r="1472" spans="1:5" x14ac:dyDescent="0.25">
      <c r="A1472">
        <v>0</v>
      </c>
      <c r="B1472">
        <v>-8.5106382978723402E-2</v>
      </c>
      <c r="C1472">
        <f t="shared" si="44"/>
        <v>1.4764245679716479</v>
      </c>
      <c r="D1472">
        <v>1</v>
      </c>
      <c r="E1472">
        <f t="shared" si="45"/>
        <v>5.1821752370718156E-2</v>
      </c>
    </row>
    <row r="1473" spans="1:5" x14ac:dyDescent="0.25">
      <c r="A1473">
        <v>0</v>
      </c>
      <c r="B1473">
        <v>-8.5000000000000006E-2</v>
      </c>
      <c r="C1473">
        <f t="shared" si="44"/>
        <v>1.47672031628383</v>
      </c>
      <c r="D1473">
        <v>1</v>
      </c>
      <c r="E1473">
        <f t="shared" si="45"/>
        <v>5.1821752370718156E-2</v>
      </c>
    </row>
    <row r="1474" spans="1:5" x14ac:dyDescent="0.25">
      <c r="A1474">
        <v>0</v>
      </c>
      <c r="B1474">
        <v>-8.5000000000000006E-2</v>
      </c>
      <c r="C1474">
        <f t="shared" ref="C1474:C1537" si="46">_xlfn.NORM.DIST(B1474,I$10,I$13,FALSE)</f>
        <v>1.47672031628383</v>
      </c>
      <c r="D1474">
        <v>1</v>
      </c>
      <c r="E1474">
        <f t="shared" si="45"/>
        <v>5.1821752370718156E-2</v>
      </c>
    </row>
    <row r="1475" spans="1:5" x14ac:dyDescent="0.25">
      <c r="A1475">
        <v>0</v>
      </c>
      <c r="B1475">
        <v>-8.5000000000000006E-2</v>
      </c>
      <c r="C1475">
        <f t="shared" si="46"/>
        <v>1.47672031628383</v>
      </c>
      <c r="D1475">
        <v>1</v>
      </c>
      <c r="E1475">
        <f t="shared" ref="E1475:E1538" si="47">_xlfn.NORM.DIST(D1475,I$4,I$7,FALSE)</f>
        <v>5.1821752370718156E-2</v>
      </c>
    </row>
    <row r="1476" spans="1:5" x14ac:dyDescent="0.25">
      <c r="A1476">
        <v>0</v>
      </c>
      <c r="B1476">
        <v>-8.4745762711864403E-2</v>
      </c>
      <c r="C1476">
        <f t="shared" si="46"/>
        <v>1.4774262002407743</v>
      </c>
      <c r="D1476">
        <v>1</v>
      </c>
      <c r="E1476">
        <f t="shared" si="47"/>
        <v>5.1821752370718156E-2</v>
      </c>
    </row>
    <row r="1477" spans="1:5" x14ac:dyDescent="0.25">
      <c r="A1477">
        <v>0</v>
      </c>
      <c r="B1477">
        <v>-8.4112149532710304E-2</v>
      </c>
      <c r="C1477">
        <f t="shared" si="46"/>
        <v>1.4791798512454832</v>
      </c>
      <c r="D1477">
        <v>1</v>
      </c>
      <c r="E1477">
        <f t="shared" si="47"/>
        <v>5.1821752370718156E-2</v>
      </c>
    </row>
    <row r="1478" spans="1:5" x14ac:dyDescent="0.25">
      <c r="A1478">
        <v>0</v>
      </c>
      <c r="B1478">
        <v>-8.4112149532710304E-2</v>
      </c>
      <c r="C1478">
        <f t="shared" si="46"/>
        <v>1.4791798512454832</v>
      </c>
      <c r="D1478">
        <v>1</v>
      </c>
      <c r="E1478">
        <f t="shared" si="47"/>
        <v>5.1821752370718156E-2</v>
      </c>
    </row>
    <row r="1479" spans="1:5" x14ac:dyDescent="0.25">
      <c r="A1479">
        <v>0</v>
      </c>
      <c r="B1479">
        <v>-8.4112149532710304E-2</v>
      </c>
      <c r="C1479">
        <f t="shared" si="46"/>
        <v>1.4791798512454832</v>
      </c>
      <c r="D1479">
        <v>1</v>
      </c>
      <c r="E1479">
        <f t="shared" si="47"/>
        <v>5.1821752370718156E-2</v>
      </c>
    </row>
    <row r="1480" spans="1:5" x14ac:dyDescent="0.25">
      <c r="A1480">
        <v>0</v>
      </c>
      <c r="B1480">
        <v>-8.4112149532710304E-2</v>
      </c>
      <c r="C1480">
        <f t="shared" si="46"/>
        <v>1.4791798512454832</v>
      </c>
      <c r="D1480">
        <v>1</v>
      </c>
      <c r="E1480">
        <f t="shared" si="47"/>
        <v>5.1821752370718156E-2</v>
      </c>
    </row>
    <row r="1481" spans="1:5" x14ac:dyDescent="0.25">
      <c r="A1481">
        <v>0</v>
      </c>
      <c r="B1481">
        <v>-8.4112149532710304E-2</v>
      </c>
      <c r="C1481">
        <f t="shared" si="46"/>
        <v>1.4791798512454832</v>
      </c>
      <c r="D1481">
        <v>1</v>
      </c>
      <c r="E1481">
        <f t="shared" si="47"/>
        <v>5.1821752370718156E-2</v>
      </c>
    </row>
    <row r="1482" spans="1:5" x14ac:dyDescent="0.25">
      <c r="A1482">
        <v>0</v>
      </c>
      <c r="B1482">
        <v>-8.4084084084084104E-2</v>
      </c>
      <c r="C1482">
        <f t="shared" si="46"/>
        <v>1.4792573440246812</v>
      </c>
      <c r="D1482">
        <v>1</v>
      </c>
      <c r="E1482">
        <f t="shared" si="47"/>
        <v>5.1821752370718156E-2</v>
      </c>
    </row>
    <row r="1483" spans="1:5" x14ac:dyDescent="0.25">
      <c r="A1483">
        <v>0</v>
      </c>
      <c r="B1483">
        <v>-8.4084084084084104E-2</v>
      </c>
      <c r="C1483">
        <f t="shared" si="46"/>
        <v>1.4792573440246812</v>
      </c>
      <c r="D1483">
        <v>1</v>
      </c>
      <c r="E1483">
        <f t="shared" si="47"/>
        <v>5.1821752370718156E-2</v>
      </c>
    </row>
    <row r="1484" spans="1:5" x14ac:dyDescent="0.25">
      <c r="A1484">
        <v>0</v>
      </c>
      <c r="B1484">
        <v>-8.4084084084084104E-2</v>
      </c>
      <c r="C1484">
        <f t="shared" si="46"/>
        <v>1.4792573440246812</v>
      </c>
      <c r="D1484">
        <v>1</v>
      </c>
      <c r="E1484">
        <f t="shared" si="47"/>
        <v>5.1821752370718156E-2</v>
      </c>
    </row>
    <row r="1485" spans="1:5" x14ac:dyDescent="0.25">
      <c r="A1485">
        <v>0</v>
      </c>
      <c r="B1485">
        <v>-8.4084084084084104E-2</v>
      </c>
      <c r="C1485">
        <f t="shared" si="46"/>
        <v>1.4792573440246812</v>
      </c>
      <c r="D1485">
        <v>1</v>
      </c>
      <c r="E1485">
        <f t="shared" si="47"/>
        <v>5.1821752370718156E-2</v>
      </c>
    </row>
    <row r="1486" spans="1:5" x14ac:dyDescent="0.25">
      <c r="A1486">
        <v>0</v>
      </c>
      <c r="B1486">
        <v>-8.4000000000000005E-2</v>
      </c>
      <c r="C1486">
        <f t="shared" si="46"/>
        <v>1.4794894188262846</v>
      </c>
      <c r="D1486">
        <v>1</v>
      </c>
      <c r="E1486">
        <f t="shared" si="47"/>
        <v>5.1821752370718156E-2</v>
      </c>
    </row>
    <row r="1487" spans="1:5" x14ac:dyDescent="0.25">
      <c r="A1487">
        <v>0</v>
      </c>
      <c r="B1487">
        <v>-8.4000000000000005E-2</v>
      </c>
      <c r="C1487">
        <f t="shared" si="46"/>
        <v>1.4794894188262846</v>
      </c>
      <c r="D1487">
        <v>1</v>
      </c>
      <c r="E1487">
        <f t="shared" si="47"/>
        <v>5.1821752370718156E-2</v>
      </c>
    </row>
    <row r="1488" spans="1:5" x14ac:dyDescent="0.25">
      <c r="A1488">
        <v>0</v>
      </c>
      <c r="B1488">
        <v>-8.4000000000000005E-2</v>
      </c>
      <c r="C1488">
        <f t="shared" si="46"/>
        <v>1.4794894188262846</v>
      </c>
      <c r="D1488">
        <v>1</v>
      </c>
      <c r="E1488">
        <f t="shared" si="47"/>
        <v>5.1821752370718156E-2</v>
      </c>
    </row>
    <row r="1489" spans="1:5" x14ac:dyDescent="0.25">
      <c r="A1489">
        <v>0</v>
      </c>
      <c r="B1489">
        <v>-8.3916083916083906E-2</v>
      </c>
      <c r="C1489">
        <f t="shared" si="46"/>
        <v>1.4797208900016685</v>
      </c>
      <c r="D1489">
        <v>1</v>
      </c>
      <c r="E1489">
        <f t="shared" si="47"/>
        <v>5.1821752370718156E-2</v>
      </c>
    </row>
    <row r="1490" spans="1:5" x14ac:dyDescent="0.25">
      <c r="A1490">
        <v>0</v>
      </c>
      <c r="B1490">
        <v>-8.3916083916083906E-2</v>
      </c>
      <c r="C1490">
        <f t="shared" si="46"/>
        <v>1.4797208900016685</v>
      </c>
      <c r="D1490">
        <v>1</v>
      </c>
      <c r="E1490">
        <f t="shared" si="47"/>
        <v>5.1821752370718156E-2</v>
      </c>
    </row>
    <row r="1491" spans="1:5" x14ac:dyDescent="0.25">
      <c r="A1491">
        <v>0</v>
      </c>
      <c r="B1491">
        <v>-8.3916083916083906E-2</v>
      </c>
      <c r="C1491">
        <f t="shared" si="46"/>
        <v>1.4797208900016685</v>
      </c>
      <c r="D1491">
        <v>1</v>
      </c>
      <c r="E1491">
        <f t="shared" si="47"/>
        <v>5.1821752370718156E-2</v>
      </c>
    </row>
    <row r="1492" spans="1:5" x14ac:dyDescent="0.25">
      <c r="A1492">
        <v>0</v>
      </c>
      <c r="B1492">
        <v>-8.3916083916083906E-2</v>
      </c>
      <c r="C1492">
        <f t="shared" si="46"/>
        <v>1.4797208900016685</v>
      </c>
      <c r="D1492">
        <v>1</v>
      </c>
      <c r="E1492">
        <f t="shared" si="47"/>
        <v>5.1821752370718156E-2</v>
      </c>
    </row>
    <row r="1493" spans="1:5" x14ac:dyDescent="0.25">
      <c r="A1493">
        <v>0</v>
      </c>
      <c r="B1493">
        <v>-8.3916083916083906E-2</v>
      </c>
      <c r="C1493">
        <f t="shared" si="46"/>
        <v>1.4797208900016685</v>
      </c>
      <c r="D1493">
        <v>1</v>
      </c>
      <c r="E1493">
        <f t="shared" si="47"/>
        <v>5.1821752370718156E-2</v>
      </c>
    </row>
    <row r="1494" spans="1:5" x14ac:dyDescent="0.25">
      <c r="A1494">
        <v>0</v>
      </c>
      <c r="B1494">
        <v>-8.3916083916083906E-2</v>
      </c>
      <c r="C1494">
        <f t="shared" si="46"/>
        <v>1.4797208900016685</v>
      </c>
      <c r="D1494">
        <v>1</v>
      </c>
      <c r="E1494">
        <f t="shared" si="47"/>
        <v>5.1821752370718156E-2</v>
      </c>
    </row>
    <row r="1495" spans="1:5" x14ac:dyDescent="0.25">
      <c r="A1495">
        <v>0</v>
      </c>
      <c r="B1495">
        <v>-8.3832335329341298E-2</v>
      </c>
      <c r="C1495">
        <f t="shared" si="46"/>
        <v>1.4799517596999321</v>
      </c>
      <c r="D1495">
        <v>1</v>
      </c>
      <c r="E1495">
        <f t="shared" si="47"/>
        <v>5.1821752370718156E-2</v>
      </c>
    </row>
    <row r="1496" spans="1:5" x14ac:dyDescent="0.25">
      <c r="A1496">
        <v>0</v>
      </c>
      <c r="B1496">
        <v>-8.3832335329341298E-2</v>
      </c>
      <c r="C1496">
        <f t="shared" si="46"/>
        <v>1.4799517596999321</v>
      </c>
      <c r="D1496">
        <v>1</v>
      </c>
      <c r="E1496">
        <f t="shared" si="47"/>
        <v>5.1821752370718156E-2</v>
      </c>
    </row>
    <row r="1497" spans="1:5" x14ac:dyDescent="0.25">
      <c r="A1497">
        <v>0</v>
      </c>
      <c r="B1497">
        <v>-8.3832335329341298E-2</v>
      </c>
      <c r="C1497">
        <f t="shared" si="46"/>
        <v>1.4799517596999321</v>
      </c>
      <c r="D1497">
        <v>1</v>
      </c>
      <c r="E1497">
        <f t="shared" si="47"/>
        <v>5.1821752370718156E-2</v>
      </c>
    </row>
    <row r="1498" spans="1:5" x14ac:dyDescent="0.25">
      <c r="A1498">
        <v>0</v>
      </c>
      <c r="B1498">
        <v>-8.2666666666666694E-2</v>
      </c>
      <c r="C1498">
        <f t="shared" si="46"/>
        <v>1.4831506513085682</v>
      </c>
      <c r="D1498">
        <v>1</v>
      </c>
      <c r="E1498">
        <f t="shared" si="47"/>
        <v>5.1821752370718156E-2</v>
      </c>
    </row>
    <row r="1499" spans="1:5" x14ac:dyDescent="0.25">
      <c r="A1499">
        <v>0</v>
      </c>
      <c r="B1499">
        <v>-8.2666666666666694E-2</v>
      </c>
      <c r="C1499">
        <f t="shared" si="46"/>
        <v>1.4831506513085682</v>
      </c>
      <c r="D1499">
        <v>1</v>
      </c>
      <c r="E1499">
        <f t="shared" si="47"/>
        <v>5.1821752370718156E-2</v>
      </c>
    </row>
    <row r="1500" spans="1:5" x14ac:dyDescent="0.25">
      <c r="A1500">
        <v>0</v>
      </c>
      <c r="B1500">
        <v>-8.2666666666666694E-2</v>
      </c>
      <c r="C1500">
        <f t="shared" si="46"/>
        <v>1.4831506513085682</v>
      </c>
      <c r="D1500">
        <v>1</v>
      </c>
      <c r="E1500">
        <f t="shared" si="47"/>
        <v>5.1821752370718156E-2</v>
      </c>
    </row>
    <row r="1501" spans="1:5" x14ac:dyDescent="0.25">
      <c r="A1501">
        <v>0</v>
      </c>
      <c r="B1501">
        <v>-8.2666666666666694E-2</v>
      </c>
      <c r="C1501">
        <f t="shared" si="46"/>
        <v>1.4831506513085682</v>
      </c>
      <c r="D1501">
        <v>1</v>
      </c>
      <c r="E1501">
        <f t="shared" si="47"/>
        <v>5.1821752370718156E-2</v>
      </c>
    </row>
    <row r="1502" spans="1:5" x14ac:dyDescent="0.25">
      <c r="A1502">
        <v>0</v>
      </c>
      <c r="B1502">
        <v>-8.2666666666666694E-2</v>
      </c>
      <c r="C1502">
        <f t="shared" si="46"/>
        <v>1.4831506513085682</v>
      </c>
      <c r="D1502">
        <v>1</v>
      </c>
      <c r="E1502">
        <f t="shared" si="47"/>
        <v>5.1821752370718156E-2</v>
      </c>
    </row>
    <row r="1503" spans="1:5" x14ac:dyDescent="0.25">
      <c r="A1503">
        <v>0</v>
      </c>
      <c r="B1503">
        <v>-8.2666666666666694E-2</v>
      </c>
      <c r="C1503">
        <f t="shared" si="46"/>
        <v>1.4831506513085682</v>
      </c>
      <c r="D1503">
        <v>1</v>
      </c>
      <c r="E1503">
        <f t="shared" si="47"/>
        <v>5.1821752370718156E-2</v>
      </c>
    </row>
    <row r="1504" spans="1:5" x14ac:dyDescent="0.25">
      <c r="A1504">
        <v>0</v>
      </c>
      <c r="B1504">
        <v>-8.2666666666666694E-2</v>
      </c>
      <c r="C1504">
        <f t="shared" si="46"/>
        <v>1.4831506513085682</v>
      </c>
      <c r="D1504">
        <v>1</v>
      </c>
      <c r="E1504">
        <f t="shared" si="47"/>
        <v>5.1821752370718156E-2</v>
      </c>
    </row>
    <row r="1505" spans="1:5" x14ac:dyDescent="0.25">
      <c r="A1505">
        <v>0</v>
      </c>
      <c r="B1505">
        <v>-8.2666666666666694E-2</v>
      </c>
      <c r="C1505">
        <f t="shared" si="46"/>
        <v>1.4831506513085682</v>
      </c>
      <c r="D1505">
        <v>1</v>
      </c>
      <c r="E1505">
        <f t="shared" si="47"/>
        <v>5.1821752370718156E-2</v>
      </c>
    </row>
    <row r="1506" spans="1:5" x14ac:dyDescent="0.25">
      <c r="A1506">
        <v>0</v>
      </c>
      <c r="B1506">
        <v>-8.2666666666666694E-2</v>
      </c>
      <c r="C1506">
        <f t="shared" si="46"/>
        <v>1.4831506513085682</v>
      </c>
      <c r="D1506">
        <v>1</v>
      </c>
      <c r="E1506">
        <f t="shared" si="47"/>
        <v>5.1821752370718156E-2</v>
      </c>
    </row>
    <row r="1507" spans="1:5" x14ac:dyDescent="0.25">
      <c r="A1507">
        <v>0</v>
      </c>
      <c r="B1507">
        <v>-8.2666666666666694E-2</v>
      </c>
      <c r="C1507">
        <f t="shared" si="46"/>
        <v>1.4831506513085682</v>
      </c>
      <c r="D1507">
        <v>1</v>
      </c>
      <c r="E1507">
        <f t="shared" si="47"/>
        <v>5.1821752370718156E-2</v>
      </c>
    </row>
    <row r="1508" spans="1:5" x14ac:dyDescent="0.25">
      <c r="A1508">
        <v>0</v>
      </c>
      <c r="B1508">
        <v>-8.2666666666666694E-2</v>
      </c>
      <c r="C1508">
        <f t="shared" si="46"/>
        <v>1.4831506513085682</v>
      </c>
      <c r="D1508">
        <v>1</v>
      </c>
      <c r="E1508">
        <f t="shared" si="47"/>
        <v>5.1821752370718156E-2</v>
      </c>
    </row>
    <row r="1509" spans="1:5" x14ac:dyDescent="0.25">
      <c r="A1509">
        <v>0</v>
      </c>
      <c r="B1509">
        <v>-8.2000000000000003E-2</v>
      </c>
      <c r="C1509">
        <f t="shared" si="46"/>
        <v>1.4849679363292929</v>
      </c>
      <c r="D1509">
        <v>1</v>
      </c>
      <c r="E1509">
        <f t="shared" si="47"/>
        <v>5.1821752370718156E-2</v>
      </c>
    </row>
    <row r="1510" spans="1:5" x14ac:dyDescent="0.25">
      <c r="A1510">
        <v>0</v>
      </c>
      <c r="B1510">
        <v>-8.2000000000000003E-2</v>
      </c>
      <c r="C1510">
        <f t="shared" si="46"/>
        <v>1.4849679363292929</v>
      </c>
      <c r="D1510">
        <v>1</v>
      </c>
      <c r="E1510">
        <f t="shared" si="47"/>
        <v>5.1821752370718156E-2</v>
      </c>
    </row>
    <row r="1511" spans="1:5" x14ac:dyDescent="0.25">
      <c r="A1511">
        <v>0</v>
      </c>
      <c r="B1511">
        <v>-8.2000000000000003E-2</v>
      </c>
      <c r="C1511">
        <f t="shared" si="46"/>
        <v>1.4849679363292929</v>
      </c>
      <c r="D1511">
        <v>1</v>
      </c>
      <c r="E1511">
        <f t="shared" si="47"/>
        <v>5.1821752370718156E-2</v>
      </c>
    </row>
    <row r="1512" spans="1:5" x14ac:dyDescent="0.25">
      <c r="A1512">
        <v>0</v>
      </c>
      <c r="B1512">
        <v>-8.2000000000000003E-2</v>
      </c>
      <c r="C1512">
        <f t="shared" si="46"/>
        <v>1.4849679363292929</v>
      </c>
      <c r="D1512">
        <v>1</v>
      </c>
      <c r="E1512">
        <f t="shared" si="47"/>
        <v>5.1821752370718156E-2</v>
      </c>
    </row>
    <row r="1513" spans="1:5" x14ac:dyDescent="0.25">
      <c r="A1513">
        <v>0</v>
      </c>
      <c r="B1513">
        <v>-8.2000000000000003E-2</v>
      </c>
      <c r="C1513">
        <f t="shared" si="46"/>
        <v>1.4849679363292929</v>
      </c>
      <c r="D1513">
        <v>1</v>
      </c>
      <c r="E1513">
        <f t="shared" si="47"/>
        <v>5.1821752370718156E-2</v>
      </c>
    </row>
    <row r="1514" spans="1:5" x14ac:dyDescent="0.25">
      <c r="A1514">
        <v>0</v>
      </c>
      <c r="B1514">
        <v>-8.2000000000000003E-2</v>
      </c>
      <c r="C1514">
        <f t="shared" si="46"/>
        <v>1.4849679363292929</v>
      </c>
      <c r="D1514">
        <v>1</v>
      </c>
      <c r="E1514">
        <f t="shared" si="47"/>
        <v>5.1821752370718156E-2</v>
      </c>
    </row>
    <row r="1515" spans="1:5" x14ac:dyDescent="0.25">
      <c r="A1515">
        <v>0</v>
      </c>
      <c r="B1515">
        <v>-8.1775700934579407E-2</v>
      </c>
      <c r="C1515">
        <f t="shared" si="46"/>
        <v>1.4855773516443305</v>
      </c>
      <c r="D1515">
        <v>1</v>
      </c>
      <c r="E1515">
        <f t="shared" si="47"/>
        <v>5.1821752370718156E-2</v>
      </c>
    </row>
    <row r="1516" spans="1:5" x14ac:dyDescent="0.25">
      <c r="A1516">
        <v>0</v>
      </c>
      <c r="B1516">
        <v>-8.1666666666666707E-2</v>
      </c>
      <c r="C1516">
        <f t="shared" si="46"/>
        <v>1.4858732292897117</v>
      </c>
      <c r="D1516">
        <v>1</v>
      </c>
      <c r="E1516">
        <f t="shared" si="47"/>
        <v>5.1821752370718156E-2</v>
      </c>
    </row>
    <row r="1517" spans="1:5" x14ac:dyDescent="0.25">
      <c r="A1517">
        <v>0</v>
      </c>
      <c r="B1517">
        <v>-8.1666666666666707E-2</v>
      </c>
      <c r="C1517">
        <f t="shared" si="46"/>
        <v>1.4858732292897117</v>
      </c>
      <c r="D1517">
        <v>1</v>
      </c>
      <c r="E1517">
        <f t="shared" si="47"/>
        <v>5.1821752370718156E-2</v>
      </c>
    </row>
    <row r="1518" spans="1:5" x14ac:dyDescent="0.25">
      <c r="A1518">
        <v>0</v>
      </c>
      <c r="B1518">
        <v>-8.1666666666666707E-2</v>
      </c>
      <c r="C1518">
        <f t="shared" si="46"/>
        <v>1.4858732292897117</v>
      </c>
      <c r="D1518">
        <v>1</v>
      </c>
      <c r="E1518">
        <f t="shared" si="47"/>
        <v>5.1821752370718156E-2</v>
      </c>
    </row>
    <row r="1519" spans="1:5" x14ac:dyDescent="0.25">
      <c r="A1519">
        <v>0</v>
      </c>
      <c r="B1519">
        <v>-8.1666666666666707E-2</v>
      </c>
      <c r="C1519">
        <f t="shared" si="46"/>
        <v>1.4858732292897117</v>
      </c>
      <c r="D1519">
        <v>1</v>
      </c>
      <c r="E1519">
        <f t="shared" si="47"/>
        <v>5.1821752370718156E-2</v>
      </c>
    </row>
    <row r="1520" spans="1:5" x14ac:dyDescent="0.25">
      <c r="A1520">
        <v>0</v>
      </c>
      <c r="B1520">
        <v>-8.1585081585081598E-2</v>
      </c>
      <c r="C1520">
        <f t="shared" si="46"/>
        <v>1.4860944635460649</v>
      </c>
      <c r="D1520">
        <v>1</v>
      </c>
      <c r="E1520">
        <f t="shared" si="47"/>
        <v>5.1821752370718156E-2</v>
      </c>
    </row>
    <row r="1521" spans="1:5" x14ac:dyDescent="0.25">
      <c r="A1521">
        <v>0</v>
      </c>
      <c r="B1521">
        <v>-8.1333333333333299E-2</v>
      </c>
      <c r="C1521">
        <f t="shared" si="46"/>
        <v>1.4867762828635398</v>
      </c>
      <c r="D1521">
        <v>1</v>
      </c>
      <c r="E1521">
        <f t="shared" si="47"/>
        <v>5.1821752370718156E-2</v>
      </c>
    </row>
    <row r="1522" spans="1:5" x14ac:dyDescent="0.25">
      <c r="A1522">
        <v>0</v>
      </c>
      <c r="B1522">
        <v>-8.1333333333333299E-2</v>
      </c>
      <c r="C1522">
        <f t="shared" si="46"/>
        <v>1.4867762828635398</v>
      </c>
      <c r="D1522">
        <v>1</v>
      </c>
      <c r="E1522">
        <f t="shared" si="47"/>
        <v>5.1821752370718156E-2</v>
      </c>
    </row>
    <row r="1523" spans="1:5" x14ac:dyDescent="0.25">
      <c r="A1523">
        <v>0</v>
      </c>
      <c r="B1523">
        <v>-8.1081081081081099E-2</v>
      </c>
      <c r="C1523">
        <f t="shared" si="46"/>
        <v>1.4874581832914393</v>
      </c>
      <c r="D1523">
        <v>1</v>
      </c>
      <c r="E1523">
        <f t="shared" si="47"/>
        <v>5.1821752370718156E-2</v>
      </c>
    </row>
    <row r="1524" spans="1:5" x14ac:dyDescent="0.25">
      <c r="A1524">
        <v>0</v>
      </c>
      <c r="B1524">
        <v>-8.1081081081081099E-2</v>
      </c>
      <c r="C1524">
        <f t="shared" si="46"/>
        <v>1.4874581832914393</v>
      </c>
      <c r="D1524">
        <v>1</v>
      </c>
      <c r="E1524">
        <f t="shared" si="47"/>
        <v>5.1821752370718156E-2</v>
      </c>
    </row>
    <row r="1525" spans="1:5" x14ac:dyDescent="0.25">
      <c r="A1525">
        <v>0</v>
      </c>
      <c r="B1525">
        <v>-8.1081081081081099E-2</v>
      </c>
      <c r="C1525">
        <f t="shared" si="46"/>
        <v>1.4874581832914393</v>
      </c>
      <c r="D1525">
        <v>1</v>
      </c>
      <c r="E1525">
        <f t="shared" si="47"/>
        <v>5.1821752370718156E-2</v>
      </c>
    </row>
    <row r="1526" spans="1:5" x14ac:dyDescent="0.25">
      <c r="A1526">
        <v>0</v>
      </c>
      <c r="B1526">
        <v>-8.1081081081081099E-2</v>
      </c>
      <c r="C1526">
        <f t="shared" si="46"/>
        <v>1.4874581832914393</v>
      </c>
      <c r="D1526">
        <v>1</v>
      </c>
      <c r="E1526">
        <f t="shared" si="47"/>
        <v>5.1821752370718156E-2</v>
      </c>
    </row>
    <row r="1527" spans="1:5" x14ac:dyDescent="0.25">
      <c r="A1527">
        <v>0</v>
      </c>
      <c r="B1527">
        <v>-8.1081081081081099E-2</v>
      </c>
      <c r="C1527">
        <f t="shared" si="46"/>
        <v>1.4874581832914393</v>
      </c>
      <c r="D1527">
        <v>1</v>
      </c>
      <c r="E1527">
        <f t="shared" si="47"/>
        <v>5.1821752370718156E-2</v>
      </c>
    </row>
    <row r="1528" spans="1:5" x14ac:dyDescent="0.25">
      <c r="A1528">
        <v>0</v>
      </c>
      <c r="B1528">
        <v>-8.1081081081081099E-2</v>
      </c>
      <c r="C1528">
        <f t="shared" si="46"/>
        <v>1.4874581832914393</v>
      </c>
      <c r="D1528">
        <v>1</v>
      </c>
      <c r="E1528">
        <f t="shared" si="47"/>
        <v>5.1821752370718156E-2</v>
      </c>
    </row>
    <row r="1529" spans="1:5" x14ac:dyDescent="0.25">
      <c r="A1529">
        <v>0</v>
      </c>
      <c r="B1529">
        <v>-8.1081081081081099E-2</v>
      </c>
      <c r="C1529">
        <f t="shared" si="46"/>
        <v>1.4874581832914393</v>
      </c>
      <c r="D1529">
        <v>1</v>
      </c>
      <c r="E1529">
        <f t="shared" si="47"/>
        <v>5.1821752370718156E-2</v>
      </c>
    </row>
    <row r="1530" spans="1:5" x14ac:dyDescent="0.25">
      <c r="A1530">
        <v>0</v>
      </c>
      <c r="B1530">
        <v>-8.1081081081081099E-2</v>
      </c>
      <c r="C1530">
        <f t="shared" si="46"/>
        <v>1.4874581832914393</v>
      </c>
      <c r="D1530">
        <v>1</v>
      </c>
      <c r="E1530">
        <f t="shared" si="47"/>
        <v>5.1821752370718156E-2</v>
      </c>
    </row>
    <row r="1531" spans="1:5" x14ac:dyDescent="0.25">
      <c r="A1531">
        <v>0</v>
      </c>
      <c r="B1531">
        <v>-8.1081081081081099E-2</v>
      </c>
      <c r="C1531">
        <f t="shared" si="46"/>
        <v>1.4874581832914393</v>
      </c>
      <c r="D1531">
        <v>1</v>
      </c>
      <c r="E1531">
        <f t="shared" si="47"/>
        <v>5.1821752370718156E-2</v>
      </c>
    </row>
    <row r="1532" spans="1:5" x14ac:dyDescent="0.25">
      <c r="A1532">
        <v>0</v>
      </c>
      <c r="B1532">
        <v>-8.0838323353293398E-2</v>
      </c>
      <c r="C1532">
        <f t="shared" si="46"/>
        <v>1.4881132022197916</v>
      </c>
      <c r="D1532">
        <v>1</v>
      </c>
      <c r="E1532">
        <f t="shared" si="47"/>
        <v>5.1821752370718156E-2</v>
      </c>
    </row>
    <row r="1533" spans="1:5" x14ac:dyDescent="0.25">
      <c r="A1533">
        <v>0</v>
      </c>
      <c r="B1533">
        <v>-8.0838323353293398E-2</v>
      </c>
      <c r="C1533">
        <f t="shared" si="46"/>
        <v>1.4881132022197916</v>
      </c>
      <c r="D1533">
        <v>1</v>
      </c>
      <c r="E1533">
        <f t="shared" si="47"/>
        <v>5.1821752370718156E-2</v>
      </c>
    </row>
    <row r="1534" spans="1:5" x14ac:dyDescent="0.25">
      <c r="A1534">
        <v>0</v>
      </c>
      <c r="B1534">
        <v>-8.0357142857142905E-2</v>
      </c>
      <c r="C1534">
        <f t="shared" si="46"/>
        <v>1.4894080126999725</v>
      </c>
      <c r="D1534">
        <v>1</v>
      </c>
      <c r="E1534">
        <f t="shared" si="47"/>
        <v>5.1821752370718156E-2</v>
      </c>
    </row>
    <row r="1535" spans="1:5" x14ac:dyDescent="0.25">
      <c r="A1535">
        <v>0</v>
      </c>
      <c r="B1535">
        <v>-0.08</v>
      </c>
      <c r="C1535">
        <f t="shared" si="46"/>
        <v>1.4903660083828831</v>
      </c>
      <c r="D1535">
        <v>1</v>
      </c>
      <c r="E1535">
        <f t="shared" si="47"/>
        <v>5.1821752370718156E-2</v>
      </c>
    </row>
    <row r="1536" spans="1:5" x14ac:dyDescent="0.25">
      <c r="A1536">
        <v>0</v>
      </c>
      <c r="B1536">
        <v>-0.08</v>
      </c>
      <c r="C1536">
        <f t="shared" si="46"/>
        <v>1.4903660083828831</v>
      </c>
      <c r="D1536">
        <v>1</v>
      </c>
      <c r="E1536">
        <f t="shared" si="47"/>
        <v>5.1821752370718156E-2</v>
      </c>
    </row>
    <row r="1537" spans="1:5" x14ac:dyDescent="0.25">
      <c r="A1537">
        <v>0</v>
      </c>
      <c r="B1537">
        <v>-0.08</v>
      </c>
      <c r="C1537">
        <f t="shared" si="46"/>
        <v>1.4903660083828831</v>
      </c>
      <c r="D1537">
        <v>1</v>
      </c>
      <c r="E1537">
        <f t="shared" si="47"/>
        <v>5.1821752370718156E-2</v>
      </c>
    </row>
    <row r="1538" spans="1:5" x14ac:dyDescent="0.25">
      <c r="A1538">
        <v>0</v>
      </c>
      <c r="B1538">
        <v>-0.08</v>
      </c>
      <c r="C1538">
        <f t="shared" ref="C1538:C1601" si="48">_xlfn.NORM.DIST(B1538,I$10,I$13,FALSE)</f>
        <v>1.4903660083828831</v>
      </c>
      <c r="D1538">
        <v>1</v>
      </c>
      <c r="E1538">
        <f t="shared" si="47"/>
        <v>5.1821752370718156E-2</v>
      </c>
    </row>
    <row r="1539" spans="1:5" x14ac:dyDescent="0.25">
      <c r="A1539">
        <v>0</v>
      </c>
      <c r="B1539">
        <v>-0.08</v>
      </c>
      <c r="C1539">
        <f t="shared" si="48"/>
        <v>1.4903660083828831</v>
      </c>
      <c r="D1539">
        <v>1</v>
      </c>
      <c r="E1539">
        <f t="shared" ref="E1539:E1602" si="49">_xlfn.NORM.DIST(D1539,I$4,I$7,FALSE)</f>
        <v>5.1821752370718156E-2</v>
      </c>
    </row>
    <row r="1540" spans="1:5" x14ac:dyDescent="0.25">
      <c r="A1540">
        <v>0</v>
      </c>
      <c r="B1540">
        <v>-0.08</v>
      </c>
      <c r="C1540">
        <f t="shared" si="48"/>
        <v>1.4903660083828831</v>
      </c>
      <c r="D1540">
        <v>1</v>
      </c>
      <c r="E1540">
        <f t="shared" si="49"/>
        <v>5.1821752370718156E-2</v>
      </c>
    </row>
    <row r="1541" spans="1:5" x14ac:dyDescent="0.25">
      <c r="A1541">
        <v>0</v>
      </c>
      <c r="B1541">
        <v>-0.08</v>
      </c>
      <c r="C1541">
        <f t="shared" si="48"/>
        <v>1.4903660083828831</v>
      </c>
      <c r="D1541">
        <v>1</v>
      </c>
      <c r="E1541">
        <f t="shared" si="49"/>
        <v>5.1821752370718156E-2</v>
      </c>
    </row>
    <row r="1542" spans="1:5" x14ac:dyDescent="0.25">
      <c r="A1542">
        <v>0</v>
      </c>
      <c r="B1542">
        <v>-0.08</v>
      </c>
      <c r="C1542">
        <f t="shared" si="48"/>
        <v>1.4903660083828831</v>
      </c>
      <c r="D1542">
        <v>1</v>
      </c>
      <c r="E1542">
        <f t="shared" si="49"/>
        <v>5.1821752370718156E-2</v>
      </c>
    </row>
    <row r="1543" spans="1:5" x14ac:dyDescent="0.25">
      <c r="A1543">
        <v>0</v>
      </c>
      <c r="B1543">
        <v>-0.08</v>
      </c>
      <c r="C1543">
        <f t="shared" si="48"/>
        <v>1.4903660083828831</v>
      </c>
      <c r="D1543">
        <v>1</v>
      </c>
      <c r="E1543">
        <f t="shared" si="49"/>
        <v>5.1821752370718156E-2</v>
      </c>
    </row>
    <row r="1544" spans="1:5" x14ac:dyDescent="0.25">
      <c r="A1544">
        <v>0</v>
      </c>
      <c r="B1544">
        <v>-0.08</v>
      </c>
      <c r="C1544">
        <f t="shared" si="48"/>
        <v>1.4903660083828831</v>
      </c>
      <c r="D1544">
        <v>1</v>
      </c>
      <c r="E1544">
        <f t="shared" si="49"/>
        <v>5.1821752370718156E-2</v>
      </c>
    </row>
    <row r="1545" spans="1:5" x14ac:dyDescent="0.25">
      <c r="A1545">
        <v>0</v>
      </c>
      <c r="B1545">
        <v>-0.08</v>
      </c>
      <c r="C1545">
        <f t="shared" si="48"/>
        <v>1.4903660083828831</v>
      </c>
      <c r="D1545">
        <v>1</v>
      </c>
      <c r="E1545">
        <f t="shared" si="49"/>
        <v>5.1821752370718156E-2</v>
      </c>
    </row>
    <row r="1546" spans="1:5" x14ac:dyDescent="0.25">
      <c r="A1546">
        <v>0</v>
      </c>
      <c r="B1546">
        <v>-0.08</v>
      </c>
      <c r="C1546">
        <f t="shared" si="48"/>
        <v>1.4903660083828831</v>
      </c>
      <c r="D1546">
        <v>1</v>
      </c>
      <c r="E1546">
        <f t="shared" si="49"/>
        <v>5.1821752370718156E-2</v>
      </c>
    </row>
    <row r="1547" spans="1:5" x14ac:dyDescent="0.25">
      <c r="A1547">
        <v>0</v>
      </c>
      <c r="B1547">
        <v>-0.08</v>
      </c>
      <c r="C1547">
        <f t="shared" si="48"/>
        <v>1.4903660083828831</v>
      </c>
      <c r="D1547">
        <v>1</v>
      </c>
      <c r="E1547">
        <f t="shared" si="49"/>
        <v>5.1821752370718156E-2</v>
      </c>
    </row>
    <row r="1548" spans="1:5" x14ac:dyDescent="0.25">
      <c r="A1548">
        <v>0</v>
      </c>
      <c r="B1548">
        <v>-0.08</v>
      </c>
      <c r="C1548">
        <f t="shared" si="48"/>
        <v>1.4903660083828831</v>
      </c>
      <c r="D1548">
        <v>1</v>
      </c>
      <c r="E1548">
        <f t="shared" si="49"/>
        <v>5.1821752370718156E-2</v>
      </c>
    </row>
    <row r="1549" spans="1:5" x14ac:dyDescent="0.25">
      <c r="A1549">
        <v>0</v>
      </c>
      <c r="B1549">
        <v>-0.08</v>
      </c>
      <c r="C1549">
        <f t="shared" si="48"/>
        <v>1.4903660083828831</v>
      </c>
      <c r="D1549">
        <v>1</v>
      </c>
      <c r="E1549">
        <f t="shared" si="49"/>
        <v>5.1821752370718156E-2</v>
      </c>
    </row>
    <row r="1550" spans="1:5" x14ac:dyDescent="0.25">
      <c r="A1550">
        <v>0</v>
      </c>
      <c r="B1550">
        <v>-0.08</v>
      </c>
      <c r="C1550">
        <f t="shared" si="48"/>
        <v>1.4903660083828831</v>
      </c>
      <c r="D1550">
        <v>1</v>
      </c>
      <c r="E1550">
        <f t="shared" si="49"/>
        <v>5.1821752370718156E-2</v>
      </c>
    </row>
    <row r="1551" spans="1:5" x14ac:dyDescent="0.25">
      <c r="A1551">
        <v>0</v>
      </c>
      <c r="B1551">
        <v>-7.9439252336448593E-2</v>
      </c>
      <c r="C1551">
        <f t="shared" si="48"/>
        <v>1.4918649072989099</v>
      </c>
      <c r="D1551">
        <v>1</v>
      </c>
      <c r="E1551">
        <f t="shared" si="49"/>
        <v>5.1821752370718156E-2</v>
      </c>
    </row>
    <row r="1552" spans="1:5" x14ac:dyDescent="0.25">
      <c r="A1552">
        <v>0</v>
      </c>
      <c r="B1552">
        <v>-7.9439252336448593E-2</v>
      </c>
      <c r="C1552">
        <f t="shared" si="48"/>
        <v>1.4918649072989099</v>
      </c>
      <c r="D1552">
        <v>1</v>
      </c>
      <c r="E1552">
        <f t="shared" si="49"/>
        <v>5.1821752370718156E-2</v>
      </c>
    </row>
    <row r="1553" spans="1:5" x14ac:dyDescent="0.25">
      <c r="A1553">
        <v>0</v>
      </c>
      <c r="B1553">
        <v>-7.9365079365079402E-2</v>
      </c>
      <c r="C1553">
        <f t="shared" si="48"/>
        <v>1.4920626935672863</v>
      </c>
      <c r="D1553">
        <v>1</v>
      </c>
      <c r="E1553">
        <f t="shared" si="49"/>
        <v>5.1821752370718156E-2</v>
      </c>
    </row>
    <row r="1554" spans="1:5" x14ac:dyDescent="0.25">
      <c r="A1554">
        <v>0</v>
      </c>
      <c r="B1554">
        <v>-7.9254079254079193E-2</v>
      </c>
      <c r="C1554">
        <f t="shared" si="48"/>
        <v>1.4923584712466333</v>
      </c>
      <c r="D1554">
        <v>1</v>
      </c>
      <c r="E1554">
        <f t="shared" si="49"/>
        <v>5.1821752370718156E-2</v>
      </c>
    </row>
    <row r="1555" spans="1:5" x14ac:dyDescent="0.25">
      <c r="A1555">
        <v>0</v>
      </c>
      <c r="B1555">
        <v>-7.9254079254079193E-2</v>
      </c>
      <c r="C1555">
        <f t="shared" si="48"/>
        <v>1.4923584712466333</v>
      </c>
      <c r="D1555">
        <v>1</v>
      </c>
      <c r="E1555">
        <f t="shared" si="49"/>
        <v>5.1821752370718156E-2</v>
      </c>
    </row>
    <row r="1556" spans="1:5" x14ac:dyDescent="0.25">
      <c r="A1556">
        <v>0</v>
      </c>
      <c r="B1556">
        <v>-7.9254079254079193E-2</v>
      </c>
      <c r="C1556">
        <f t="shared" si="48"/>
        <v>1.4923584712466333</v>
      </c>
      <c r="D1556">
        <v>1</v>
      </c>
      <c r="E1556">
        <f t="shared" si="49"/>
        <v>5.1821752370718156E-2</v>
      </c>
    </row>
    <row r="1557" spans="1:5" x14ac:dyDescent="0.25">
      <c r="A1557">
        <v>0</v>
      </c>
      <c r="B1557">
        <v>-7.9254079254079193E-2</v>
      </c>
      <c r="C1557">
        <f t="shared" si="48"/>
        <v>1.4923584712466333</v>
      </c>
      <c r="D1557">
        <v>1</v>
      </c>
      <c r="E1557">
        <f t="shared" si="49"/>
        <v>5.1821752370718156E-2</v>
      </c>
    </row>
    <row r="1558" spans="1:5" x14ac:dyDescent="0.25">
      <c r="A1558">
        <v>0</v>
      </c>
      <c r="B1558">
        <v>-7.9069767441860506E-2</v>
      </c>
      <c r="C1558">
        <f t="shared" si="48"/>
        <v>1.4928490428108885</v>
      </c>
      <c r="D1558">
        <v>1</v>
      </c>
      <c r="E1558">
        <f t="shared" si="49"/>
        <v>5.1821752370718156E-2</v>
      </c>
    </row>
    <row r="1559" spans="1:5" x14ac:dyDescent="0.25">
      <c r="A1559">
        <v>0</v>
      </c>
      <c r="B1559">
        <v>-7.9000000000000001E-2</v>
      </c>
      <c r="C1559">
        <f t="shared" si="48"/>
        <v>1.4930345570525509</v>
      </c>
      <c r="D1559">
        <v>1</v>
      </c>
      <c r="E1559">
        <f t="shared" si="49"/>
        <v>5.1821752370718156E-2</v>
      </c>
    </row>
    <row r="1560" spans="1:5" x14ac:dyDescent="0.25">
      <c r="A1560">
        <v>0</v>
      </c>
      <c r="B1560">
        <v>-7.8947368421052599E-2</v>
      </c>
      <c r="C1560">
        <f t="shared" si="48"/>
        <v>1.4931744403826737</v>
      </c>
      <c r="D1560">
        <v>1</v>
      </c>
      <c r="E1560">
        <f t="shared" si="49"/>
        <v>5.1821752370718156E-2</v>
      </c>
    </row>
    <row r="1561" spans="1:5" x14ac:dyDescent="0.25">
      <c r="A1561">
        <v>0</v>
      </c>
      <c r="B1561">
        <v>-7.8333333333333297E-2</v>
      </c>
      <c r="C1561">
        <f t="shared" si="48"/>
        <v>1.4948022116533475</v>
      </c>
      <c r="D1561">
        <v>1</v>
      </c>
      <c r="E1561">
        <f t="shared" si="49"/>
        <v>5.1821752370718156E-2</v>
      </c>
    </row>
    <row r="1562" spans="1:5" x14ac:dyDescent="0.25">
      <c r="A1562">
        <v>0</v>
      </c>
      <c r="B1562">
        <v>-7.8333333333333297E-2</v>
      </c>
      <c r="C1562">
        <f t="shared" si="48"/>
        <v>1.4948022116533475</v>
      </c>
      <c r="D1562">
        <v>1</v>
      </c>
      <c r="E1562">
        <f t="shared" si="49"/>
        <v>5.1821752370718156E-2</v>
      </c>
    </row>
    <row r="1563" spans="1:5" x14ac:dyDescent="0.25">
      <c r="A1563">
        <v>0</v>
      </c>
      <c r="B1563">
        <v>-7.8333333333333297E-2</v>
      </c>
      <c r="C1563">
        <f t="shared" si="48"/>
        <v>1.4948022116533475</v>
      </c>
      <c r="D1563">
        <v>1</v>
      </c>
      <c r="E1563">
        <f t="shared" si="49"/>
        <v>5.1821752370718156E-2</v>
      </c>
    </row>
    <row r="1564" spans="1:5" x14ac:dyDescent="0.25">
      <c r="A1564">
        <v>0</v>
      </c>
      <c r="B1564">
        <v>-7.8333333333333297E-2</v>
      </c>
      <c r="C1564">
        <f t="shared" si="48"/>
        <v>1.4948022116533475</v>
      </c>
      <c r="D1564">
        <v>1</v>
      </c>
      <c r="E1564">
        <f t="shared" si="49"/>
        <v>5.1821752370718156E-2</v>
      </c>
    </row>
    <row r="1565" spans="1:5" x14ac:dyDescent="0.25">
      <c r="A1565">
        <v>0</v>
      </c>
      <c r="B1565">
        <v>-7.8078078078078095E-2</v>
      </c>
      <c r="C1565">
        <f t="shared" si="48"/>
        <v>1.4954765970831096</v>
      </c>
      <c r="D1565">
        <v>1</v>
      </c>
      <c r="E1565">
        <f t="shared" si="49"/>
        <v>5.1821752370718156E-2</v>
      </c>
    </row>
    <row r="1566" spans="1:5" x14ac:dyDescent="0.25">
      <c r="A1566">
        <v>0</v>
      </c>
      <c r="B1566">
        <v>-7.8078078078078095E-2</v>
      </c>
      <c r="C1566">
        <f t="shared" si="48"/>
        <v>1.4954765970831096</v>
      </c>
      <c r="D1566">
        <v>1</v>
      </c>
      <c r="E1566">
        <f t="shared" si="49"/>
        <v>5.1821752370718156E-2</v>
      </c>
    </row>
    <row r="1567" spans="1:5" x14ac:dyDescent="0.25">
      <c r="A1567">
        <v>0</v>
      </c>
      <c r="B1567">
        <v>-7.8078078078078095E-2</v>
      </c>
      <c r="C1567">
        <f t="shared" si="48"/>
        <v>1.4954765970831096</v>
      </c>
      <c r="D1567">
        <v>1</v>
      </c>
      <c r="E1567">
        <f t="shared" si="49"/>
        <v>5.1821752370718156E-2</v>
      </c>
    </row>
    <row r="1568" spans="1:5" x14ac:dyDescent="0.25">
      <c r="A1568">
        <v>0</v>
      </c>
      <c r="B1568">
        <v>-7.8078078078078095E-2</v>
      </c>
      <c r="C1568">
        <f t="shared" si="48"/>
        <v>1.4954765970831096</v>
      </c>
      <c r="D1568">
        <v>1</v>
      </c>
      <c r="E1568">
        <f t="shared" si="49"/>
        <v>5.1821752370718156E-2</v>
      </c>
    </row>
    <row r="1569" spans="1:5" x14ac:dyDescent="0.25">
      <c r="A1569">
        <v>0</v>
      </c>
      <c r="B1569">
        <v>-7.8E-2</v>
      </c>
      <c r="C1569">
        <f t="shared" si="48"/>
        <v>1.4956826115792947</v>
      </c>
      <c r="D1569">
        <v>1</v>
      </c>
      <c r="E1569">
        <f t="shared" si="49"/>
        <v>5.1821752370718156E-2</v>
      </c>
    </row>
    <row r="1570" spans="1:5" x14ac:dyDescent="0.25">
      <c r="A1570">
        <v>0</v>
      </c>
      <c r="B1570">
        <v>-7.8E-2</v>
      </c>
      <c r="C1570">
        <f t="shared" si="48"/>
        <v>1.4956826115792947</v>
      </c>
      <c r="D1570">
        <v>1</v>
      </c>
      <c r="E1570">
        <f t="shared" si="49"/>
        <v>5.1821752370718156E-2</v>
      </c>
    </row>
    <row r="1571" spans="1:5" x14ac:dyDescent="0.25">
      <c r="A1571">
        <v>0</v>
      </c>
      <c r="B1571">
        <v>-7.8E-2</v>
      </c>
      <c r="C1571">
        <f t="shared" si="48"/>
        <v>1.4956826115792947</v>
      </c>
      <c r="D1571">
        <v>1</v>
      </c>
      <c r="E1571">
        <f t="shared" si="49"/>
        <v>5.1821752370718156E-2</v>
      </c>
    </row>
    <row r="1572" spans="1:5" x14ac:dyDescent="0.25">
      <c r="A1572">
        <v>0</v>
      </c>
      <c r="B1572">
        <v>-7.8E-2</v>
      </c>
      <c r="C1572">
        <f t="shared" si="48"/>
        <v>1.4956826115792947</v>
      </c>
      <c r="D1572">
        <v>1</v>
      </c>
      <c r="E1572">
        <f t="shared" si="49"/>
        <v>5.1821752370718156E-2</v>
      </c>
    </row>
    <row r="1573" spans="1:5" x14ac:dyDescent="0.25">
      <c r="A1573">
        <v>0</v>
      </c>
      <c r="B1573">
        <v>-7.8E-2</v>
      </c>
      <c r="C1573">
        <f t="shared" si="48"/>
        <v>1.4956826115792947</v>
      </c>
      <c r="D1573">
        <v>1</v>
      </c>
      <c r="E1573">
        <f t="shared" si="49"/>
        <v>5.1821752370718156E-2</v>
      </c>
    </row>
    <row r="1574" spans="1:5" x14ac:dyDescent="0.25">
      <c r="A1574">
        <v>0</v>
      </c>
      <c r="B1574">
        <v>-7.8E-2</v>
      </c>
      <c r="C1574">
        <f t="shared" si="48"/>
        <v>1.4956826115792947</v>
      </c>
      <c r="D1574">
        <v>1</v>
      </c>
      <c r="E1574">
        <f t="shared" si="49"/>
        <v>5.1821752370718156E-2</v>
      </c>
    </row>
    <row r="1575" spans="1:5" x14ac:dyDescent="0.25">
      <c r="A1575">
        <v>0</v>
      </c>
      <c r="B1575">
        <v>-7.8E-2</v>
      </c>
      <c r="C1575">
        <f t="shared" si="48"/>
        <v>1.4956826115792947</v>
      </c>
      <c r="D1575">
        <v>1</v>
      </c>
      <c r="E1575">
        <f t="shared" si="49"/>
        <v>5.1821752370718156E-2</v>
      </c>
    </row>
    <row r="1576" spans="1:5" x14ac:dyDescent="0.25">
      <c r="A1576">
        <v>0</v>
      </c>
      <c r="B1576">
        <v>-7.7844311377245498E-2</v>
      </c>
      <c r="C1576">
        <f t="shared" si="48"/>
        <v>1.4960930316600356</v>
      </c>
      <c r="D1576">
        <v>1</v>
      </c>
      <c r="E1576">
        <f t="shared" si="49"/>
        <v>5.1821752370718156E-2</v>
      </c>
    </row>
    <row r="1577" spans="1:5" x14ac:dyDescent="0.25">
      <c r="A1577">
        <v>0</v>
      </c>
      <c r="B1577">
        <v>-7.7844311377245498E-2</v>
      </c>
      <c r="C1577">
        <f t="shared" si="48"/>
        <v>1.4960930316600356</v>
      </c>
      <c r="D1577">
        <v>1</v>
      </c>
      <c r="E1577">
        <f t="shared" si="49"/>
        <v>5.1821752370718156E-2</v>
      </c>
    </row>
    <row r="1578" spans="1:5" x14ac:dyDescent="0.25">
      <c r="A1578">
        <v>0</v>
      </c>
      <c r="B1578">
        <v>-7.7844311377245498E-2</v>
      </c>
      <c r="C1578">
        <f t="shared" si="48"/>
        <v>1.4960930316600356</v>
      </c>
      <c r="D1578">
        <v>1</v>
      </c>
      <c r="E1578">
        <f t="shared" si="49"/>
        <v>5.1821752370718156E-2</v>
      </c>
    </row>
    <row r="1579" spans="1:5" x14ac:dyDescent="0.25">
      <c r="A1579">
        <v>0</v>
      </c>
      <c r="B1579">
        <v>-7.7844311377245498E-2</v>
      </c>
      <c r="C1579">
        <f t="shared" si="48"/>
        <v>1.4960930316600356</v>
      </c>
      <c r="D1579">
        <v>1</v>
      </c>
      <c r="E1579">
        <f t="shared" si="49"/>
        <v>5.1821752370718156E-2</v>
      </c>
    </row>
    <row r="1580" spans="1:5" x14ac:dyDescent="0.25">
      <c r="A1580">
        <v>0</v>
      </c>
      <c r="B1580">
        <v>-7.7669902912621394E-2</v>
      </c>
      <c r="C1580">
        <f t="shared" si="48"/>
        <v>1.4965522060816816</v>
      </c>
      <c r="D1580">
        <v>1</v>
      </c>
      <c r="E1580">
        <f t="shared" si="49"/>
        <v>5.1821752370718156E-2</v>
      </c>
    </row>
    <row r="1581" spans="1:5" x14ac:dyDescent="0.25">
      <c r="A1581">
        <v>0</v>
      </c>
      <c r="B1581">
        <v>-7.7333333333333296E-2</v>
      </c>
      <c r="C1581">
        <f t="shared" si="48"/>
        <v>1.4974365334154203</v>
      </c>
      <c r="D1581">
        <v>1</v>
      </c>
      <c r="E1581">
        <f t="shared" si="49"/>
        <v>5.1821752370718156E-2</v>
      </c>
    </row>
    <row r="1582" spans="1:5" x14ac:dyDescent="0.25">
      <c r="A1582">
        <v>0</v>
      </c>
      <c r="B1582">
        <v>-7.7333333333333296E-2</v>
      </c>
      <c r="C1582">
        <f t="shared" si="48"/>
        <v>1.4974365334154203</v>
      </c>
      <c r="D1582">
        <v>1</v>
      </c>
      <c r="E1582">
        <f t="shared" si="49"/>
        <v>5.1821752370718156E-2</v>
      </c>
    </row>
    <row r="1583" spans="1:5" x14ac:dyDescent="0.25">
      <c r="A1583">
        <v>0</v>
      </c>
      <c r="B1583">
        <v>-7.7333333333333296E-2</v>
      </c>
      <c r="C1583">
        <f t="shared" si="48"/>
        <v>1.4974365334154203</v>
      </c>
      <c r="D1583">
        <v>1</v>
      </c>
      <c r="E1583">
        <f t="shared" si="49"/>
        <v>5.1821752370718156E-2</v>
      </c>
    </row>
    <row r="1584" spans="1:5" x14ac:dyDescent="0.25">
      <c r="A1584">
        <v>0</v>
      </c>
      <c r="B1584">
        <v>-7.7333333333333296E-2</v>
      </c>
      <c r="C1584">
        <f t="shared" si="48"/>
        <v>1.4974365334154203</v>
      </c>
      <c r="D1584">
        <v>1</v>
      </c>
      <c r="E1584">
        <f t="shared" si="49"/>
        <v>5.1821752370718156E-2</v>
      </c>
    </row>
    <row r="1585" spans="1:5" x14ac:dyDescent="0.25">
      <c r="A1585">
        <v>0</v>
      </c>
      <c r="B1585">
        <v>-7.7333333333333296E-2</v>
      </c>
      <c r="C1585">
        <f t="shared" si="48"/>
        <v>1.4974365334154203</v>
      </c>
      <c r="D1585">
        <v>1</v>
      </c>
      <c r="E1585">
        <f t="shared" si="49"/>
        <v>5.1821752370718156E-2</v>
      </c>
    </row>
    <row r="1586" spans="1:5" x14ac:dyDescent="0.25">
      <c r="A1586">
        <v>0</v>
      </c>
      <c r="B1586">
        <v>-7.7102803738317793E-2</v>
      </c>
      <c r="C1586">
        <f t="shared" si="48"/>
        <v>1.4980408905653566</v>
      </c>
      <c r="D1586">
        <v>1</v>
      </c>
      <c r="E1586">
        <f t="shared" si="49"/>
        <v>5.1821752370718156E-2</v>
      </c>
    </row>
    <row r="1587" spans="1:5" x14ac:dyDescent="0.25">
      <c r="A1587">
        <v>0</v>
      </c>
      <c r="B1587">
        <v>-7.6999999999999999E-2</v>
      </c>
      <c r="C1587">
        <f t="shared" si="48"/>
        <v>1.4983100460493908</v>
      </c>
      <c r="D1587">
        <v>1</v>
      </c>
      <c r="E1587">
        <f t="shared" si="49"/>
        <v>5.1821752370718156E-2</v>
      </c>
    </row>
    <row r="1588" spans="1:5" x14ac:dyDescent="0.25">
      <c r="A1588">
        <v>0</v>
      </c>
      <c r="B1588">
        <v>-7.69230769230769E-2</v>
      </c>
      <c r="C1588">
        <f t="shared" si="48"/>
        <v>1.4985112987155558</v>
      </c>
      <c r="D1588">
        <v>1</v>
      </c>
      <c r="E1588">
        <f t="shared" si="49"/>
        <v>5.1821752370718156E-2</v>
      </c>
    </row>
    <row r="1589" spans="1:5" x14ac:dyDescent="0.25">
      <c r="A1589">
        <v>0</v>
      </c>
      <c r="B1589">
        <v>-7.69230769230769E-2</v>
      </c>
      <c r="C1589">
        <f t="shared" si="48"/>
        <v>1.4985112987155558</v>
      </c>
      <c r="D1589">
        <v>1</v>
      </c>
      <c r="E1589">
        <f t="shared" si="49"/>
        <v>5.1821752370718156E-2</v>
      </c>
    </row>
    <row r="1590" spans="1:5" x14ac:dyDescent="0.25">
      <c r="A1590">
        <v>0</v>
      </c>
      <c r="B1590">
        <v>-7.69230769230769E-2</v>
      </c>
      <c r="C1590">
        <f t="shared" si="48"/>
        <v>1.4985112987155558</v>
      </c>
      <c r="D1590">
        <v>1</v>
      </c>
      <c r="E1590">
        <f t="shared" si="49"/>
        <v>5.1821752370718156E-2</v>
      </c>
    </row>
    <row r="1591" spans="1:5" x14ac:dyDescent="0.25">
      <c r="A1591">
        <v>0</v>
      </c>
      <c r="B1591">
        <v>-7.69230769230769E-2</v>
      </c>
      <c r="C1591">
        <f t="shared" si="48"/>
        <v>1.4985112987155558</v>
      </c>
      <c r="D1591">
        <v>1</v>
      </c>
      <c r="E1591">
        <f t="shared" si="49"/>
        <v>5.1821752370718156E-2</v>
      </c>
    </row>
    <row r="1592" spans="1:5" x14ac:dyDescent="0.25">
      <c r="A1592">
        <v>0</v>
      </c>
      <c r="B1592">
        <v>-7.69230769230769E-2</v>
      </c>
      <c r="C1592">
        <f t="shared" si="48"/>
        <v>1.4985112987155558</v>
      </c>
      <c r="D1592">
        <v>1</v>
      </c>
      <c r="E1592">
        <f t="shared" si="49"/>
        <v>5.1821752370718156E-2</v>
      </c>
    </row>
    <row r="1593" spans="1:5" x14ac:dyDescent="0.25">
      <c r="A1593">
        <v>0</v>
      </c>
      <c r="B1593">
        <v>-7.6666666666666702E-2</v>
      </c>
      <c r="C1593">
        <f t="shared" si="48"/>
        <v>1.4991812536602227</v>
      </c>
      <c r="D1593">
        <v>1</v>
      </c>
      <c r="E1593">
        <f t="shared" si="49"/>
        <v>5.1821752370718156E-2</v>
      </c>
    </row>
    <row r="1594" spans="1:5" x14ac:dyDescent="0.25">
      <c r="A1594">
        <v>0</v>
      </c>
      <c r="B1594">
        <v>-7.6666666666666702E-2</v>
      </c>
      <c r="C1594">
        <f t="shared" si="48"/>
        <v>1.4991812536602227</v>
      </c>
      <c r="D1594">
        <v>1</v>
      </c>
      <c r="E1594">
        <f t="shared" si="49"/>
        <v>5.1821752370718156E-2</v>
      </c>
    </row>
    <row r="1595" spans="1:5" x14ac:dyDescent="0.25">
      <c r="A1595">
        <v>0</v>
      </c>
      <c r="B1595">
        <v>-7.5999999999999998E-2</v>
      </c>
      <c r="C1595">
        <f t="shared" si="48"/>
        <v>1.5009167353730031</v>
      </c>
      <c r="D1595">
        <v>1</v>
      </c>
      <c r="E1595">
        <f t="shared" si="49"/>
        <v>5.1821752370718156E-2</v>
      </c>
    </row>
    <row r="1596" spans="1:5" x14ac:dyDescent="0.25">
      <c r="A1596">
        <v>0</v>
      </c>
      <c r="B1596">
        <v>-7.5999999999999998E-2</v>
      </c>
      <c r="C1596">
        <f t="shared" si="48"/>
        <v>1.5009167353730031</v>
      </c>
      <c r="D1596">
        <v>1</v>
      </c>
      <c r="E1596">
        <f t="shared" si="49"/>
        <v>5.1821752370718156E-2</v>
      </c>
    </row>
    <row r="1597" spans="1:5" x14ac:dyDescent="0.25">
      <c r="A1597">
        <v>0</v>
      </c>
      <c r="B1597">
        <v>-7.5999999999999998E-2</v>
      </c>
      <c r="C1597">
        <f t="shared" si="48"/>
        <v>1.5009167353730031</v>
      </c>
      <c r="D1597">
        <v>1</v>
      </c>
      <c r="E1597">
        <f t="shared" si="49"/>
        <v>5.1821752370718156E-2</v>
      </c>
    </row>
    <row r="1598" spans="1:5" x14ac:dyDescent="0.25">
      <c r="A1598">
        <v>0</v>
      </c>
      <c r="B1598">
        <v>-7.5999999999999998E-2</v>
      </c>
      <c r="C1598">
        <f t="shared" si="48"/>
        <v>1.5009167353730031</v>
      </c>
      <c r="D1598">
        <v>1</v>
      </c>
      <c r="E1598">
        <f t="shared" si="49"/>
        <v>5.1821752370718156E-2</v>
      </c>
    </row>
    <row r="1599" spans="1:5" x14ac:dyDescent="0.25">
      <c r="A1599">
        <v>0</v>
      </c>
      <c r="B1599">
        <v>-7.5999999999999998E-2</v>
      </c>
      <c r="C1599">
        <f t="shared" si="48"/>
        <v>1.5009167353730031</v>
      </c>
      <c r="D1599">
        <v>1</v>
      </c>
      <c r="E1599">
        <f t="shared" si="49"/>
        <v>5.1821752370718156E-2</v>
      </c>
    </row>
    <row r="1600" spans="1:5" x14ac:dyDescent="0.25">
      <c r="A1600">
        <v>0</v>
      </c>
      <c r="B1600">
        <v>-7.5075075075075104E-2</v>
      </c>
      <c r="C1600">
        <f t="shared" si="48"/>
        <v>1.5033091519970008</v>
      </c>
      <c r="D1600">
        <v>1</v>
      </c>
      <c r="E1600">
        <f t="shared" si="49"/>
        <v>5.1821752370718156E-2</v>
      </c>
    </row>
    <row r="1601" spans="1:5" x14ac:dyDescent="0.25">
      <c r="A1601">
        <v>0</v>
      </c>
      <c r="B1601">
        <v>-7.5075075075075104E-2</v>
      </c>
      <c r="C1601">
        <f t="shared" si="48"/>
        <v>1.5033091519970008</v>
      </c>
      <c r="D1601">
        <v>1</v>
      </c>
      <c r="E1601">
        <f t="shared" si="49"/>
        <v>5.1821752370718156E-2</v>
      </c>
    </row>
    <row r="1602" spans="1:5" x14ac:dyDescent="0.25">
      <c r="A1602">
        <v>0</v>
      </c>
      <c r="B1602">
        <v>-7.5075075075075104E-2</v>
      </c>
      <c r="C1602">
        <f t="shared" ref="C1602:C1665" si="50">_xlfn.NORM.DIST(B1602,I$10,I$13,FALSE)</f>
        <v>1.5033091519970008</v>
      </c>
      <c r="D1602">
        <v>1</v>
      </c>
      <c r="E1602">
        <f t="shared" si="49"/>
        <v>5.1821752370718156E-2</v>
      </c>
    </row>
    <row r="1603" spans="1:5" x14ac:dyDescent="0.25">
      <c r="A1603">
        <v>0</v>
      </c>
      <c r="B1603">
        <v>-7.5075075075075104E-2</v>
      </c>
      <c r="C1603">
        <f t="shared" si="50"/>
        <v>1.5033091519970008</v>
      </c>
      <c r="D1603">
        <v>1</v>
      </c>
      <c r="E1603">
        <f t="shared" ref="E1603:E1666" si="51">_xlfn.NORM.DIST(D1603,I$4,I$7,FALSE)</f>
        <v>5.1821752370718156E-2</v>
      </c>
    </row>
    <row r="1604" spans="1:5" x14ac:dyDescent="0.25">
      <c r="A1604">
        <v>0</v>
      </c>
      <c r="B1604">
        <v>-7.4999999999999997E-2</v>
      </c>
      <c r="C1604">
        <f t="shared" si="50"/>
        <v>1.5035025552940935</v>
      </c>
      <c r="D1604">
        <v>1</v>
      </c>
      <c r="E1604">
        <f t="shared" si="51"/>
        <v>5.1821752370718156E-2</v>
      </c>
    </row>
    <row r="1605" spans="1:5" x14ac:dyDescent="0.25">
      <c r="A1605">
        <v>0</v>
      </c>
      <c r="B1605">
        <v>-7.4999999999999997E-2</v>
      </c>
      <c r="C1605">
        <f t="shared" si="50"/>
        <v>1.5035025552940935</v>
      </c>
      <c r="D1605">
        <v>1</v>
      </c>
      <c r="E1605">
        <f t="shared" si="51"/>
        <v>5.1821752370718156E-2</v>
      </c>
    </row>
    <row r="1606" spans="1:5" x14ac:dyDescent="0.25">
      <c r="A1606">
        <v>0</v>
      </c>
      <c r="B1606">
        <v>-7.4999999999999997E-2</v>
      </c>
      <c r="C1606">
        <f t="shared" si="50"/>
        <v>1.5035025552940935</v>
      </c>
      <c r="D1606">
        <v>1</v>
      </c>
      <c r="E1606">
        <f t="shared" si="51"/>
        <v>5.1821752370718156E-2</v>
      </c>
    </row>
    <row r="1607" spans="1:5" x14ac:dyDescent="0.25">
      <c r="A1607">
        <v>0</v>
      </c>
      <c r="B1607">
        <v>-7.4999999999999997E-2</v>
      </c>
      <c r="C1607">
        <f t="shared" si="50"/>
        <v>1.5035025552940935</v>
      </c>
      <c r="D1607">
        <v>1</v>
      </c>
      <c r="E1607">
        <f t="shared" si="51"/>
        <v>5.1821752370718156E-2</v>
      </c>
    </row>
    <row r="1608" spans="1:5" x14ac:dyDescent="0.25">
      <c r="A1608">
        <v>0</v>
      </c>
      <c r="B1608">
        <v>-7.4999999999999997E-2</v>
      </c>
      <c r="C1608">
        <f t="shared" si="50"/>
        <v>1.5035025552940935</v>
      </c>
      <c r="D1608">
        <v>1</v>
      </c>
      <c r="E1608">
        <f t="shared" si="51"/>
        <v>5.1821752370718156E-2</v>
      </c>
    </row>
    <row r="1609" spans="1:5" x14ac:dyDescent="0.25">
      <c r="A1609">
        <v>0</v>
      </c>
      <c r="B1609">
        <v>-7.4999999999999997E-2</v>
      </c>
      <c r="C1609">
        <f t="shared" si="50"/>
        <v>1.5035025552940935</v>
      </c>
      <c r="D1609">
        <v>1</v>
      </c>
      <c r="E1609">
        <f t="shared" si="51"/>
        <v>5.1821752370718156E-2</v>
      </c>
    </row>
    <row r="1610" spans="1:5" x14ac:dyDescent="0.25">
      <c r="A1610">
        <v>0</v>
      </c>
      <c r="B1610">
        <v>-7.4999999999999997E-2</v>
      </c>
      <c r="C1610">
        <f t="shared" si="50"/>
        <v>1.5035025552940935</v>
      </c>
      <c r="D1610">
        <v>1</v>
      </c>
      <c r="E1610">
        <f t="shared" si="51"/>
        <v>5.1821752370718156E-2</v>
      </c>
    </row>
    <row r="1611" spans="1:5" x14ac:dyDescent="0.25">
      <c r="A1611">
        <v>0</v>
      </c>
      <c r="B1611">
        <v>-7.4766355140186896E-2</v>
      </c>
      <c r="C1611">
        <f t="shared" si="50"/>
        <v>1.5041036979233187</v>
      </c>
      <c r="D1611">
        <v>1</v>
      </c>
      <c r="E1611">
        <f t="shared" si="51"/>
        <v>5.1821752370718156E-2</v>
      </c>
    </row>
    <row r="1612" spans="1:5" x14ac:dyDescent="0.25">
      <c r="A1612">
        <v>0</v>
      </c>
      <c r="B1612">
        <v>-7.4766355140186896E-2</v>
      </c>
      <c r="C1612">
        <f t="shared" si="50"/>
        <v>1.5041036979233187</v>
      </c>
      <c r="D1612">
        <v>1</v>
      </c>
      <c r="E1612">
        <f t="shared" si="51"/>
        <v>5.1821752370718156E-2</v>
      </c>
    </row>
    <row r="1613" spans="1:5" x14ac:dyDescent="0.25">
      <c r="A1613">
        <v>0</v>
      </c>
      <c r="B1613">
        <v>-7.4766355140186896E-2</v>
      </c>
      <c r="C1613">
        <f t="shared" si="50"/>
        <v>1.5041036979233187</v>
      </c>
      <c r="D1613">
        <v>1</v>
      </c>
      <c r="E1613">
        <f t="shared" si="51"/>
        <v>5.1821752370718156E-2</v>
      </c>
    </row>
    <row r="1614" spans="1:5" x14ac:dyDescent="0.25">
      <c r="A1614">
        <v>0</v>
      </c>
      <c r="B1614">
        <v>-7.4666666666666701E-2</v>
      </c>
      <c r="C1614">
        <f t="shared" si="50"/>
        <v>1.5043598362677582</v>
      </c>
      <c r="D1614">
        <v>1</v>
      </c>
      <c r="E1614">
        <f t="shared" si="51"/>
        <v>5.1821752370718156E-2</v>
      </c>
    </row>
    <row r="1615" spans="1:5" x14ac:dyDescent="0.25">
      <c r="A1615">
        <v>0</v>
      </c>
      <c r="B1615">
        <v>-7.4666666666666701E-2</v>
      </c>
      <c r="C1615">
        <f t="shared" si="50"/>
        <v>1.5043598362677582</v>
      </c>
      <c r="D1615">
        <v>1</v>
      </c>
      <c r="E1615">
        <f t="shared" si="51"/>
        <v>5.1821752370718156E-2</v>
      </c>
    </row>
    <row r="1616" spans="1:5" x14ac:dyDescent="0.25">
      <c r="A1616">
        <v>0</v>
      </c>
      <c r="B1616">
        <v>-7.4666666666666701E-2</v>
      </c>
      <c r="C1616">
        <f t="shared" si="50"/>
        <v>1.5043598362677582</v>
      </c>
      <c r="D1616">
        <v>1</v>
      </c>
      <c r="E1616">
        <f t="shared" si="51"/>
        <v>5.1821752370718156E-2</v>
      </c>
    </row>
    <row r="1617" spans="1:5" x14ac:dyDescent="0.25">
      <c r="A1617">
        <v>0</v>
      </c>
      <c r="B1617">
        <v>-7.4666666666666701E-2</v>
      </c>
      <c r="C1617">
        <f t="shared" si="50"/>
        <v>1.5043598362677582</v>
      </c>
      <c r="D1617">
        <v>1</v>
      </c>
      <c r="E1617">
        <f t="shared" si="51"/>
        <v>5.1821752370718156E-2</v>
      </c>
    </row>
    <row r="1618" spans="1:5" x14ac:dyDescent="0.25">
      <c r="A1618">
        <v>0</v>
      </c>
      <c r="B1618">
        <v>-7.4666666666666701E-2</v>
      </c>
      <c r="C1618">
        <f t="shared" si="50"/>
        <v>1.5043598362677582</v>
      </c>
      <c r="D1618">
        <v>1</v>
      </c>
      <c r="E1618">
        <f t="shared" si="51"/>
        <v>5.1821752370718156E-2</v>
      </c>
    </row>
    <row r="1619" spans="1:5" x14ac:dyDescent="0.25">
      <c r="A1619">
        <v>0</v>
      </c>
      <c r="B1619">
        <v>-7.4666666666666701E-2</v>
      </c>
      <c r="C1619">
        <f t="shared" si="50"/>
        <v>1.5043598362677582</v>
      </c>
      <c r="D1619">
        <v>1</v>
      </c>
      <c r="E1619">
        <f t="shared" si="51"/>
        <v>5.1821752370718156E-2</v>
      </c>
    </row>
    <row r="1620" spans="1:5" x14ac:dyDescent="0.25">
      <c r="A1620">
        <v>0</v>
      </c>
      <c r="B1620">
        <v>-7.4666666666666701E-2</v>
      </c>
      <c r="C1620">
        <f t="shared" si="50"/>
        <v>1.5043598362677582</v>
      </c>
      <c r="D1620">
        <v>1</v>
      </c>
      <c r="E1620">
        <f t="shared" si="51"/>
        <v>5.1821752370718156E-2</v>
      </c>
    </row>
    <row r="1621" spans="1:5" x14ac:dyDescent="0.25">
      <c r="A1621">
        <v>0</v>
      </c>
      <c r="B1621">
        <v>-7.4666666666666701E-2</v>
      </c>
      <c r="C1621">
        <f t="shared" si="50"/>
        <v>1.5043598362677582</v>
      </c>
      <c r="D1621">
        <v>1</v>
      </c>
      <c r="E1621">
        <f t="shared" si="51"/>
        <v>5.1821752370718156E-2</v>
      </c>
    </row>
    <row r="1622" spans="1:5" x14ac:dyDescent="0.25">
      <c r="A1622">
        <v>0</v>
      </c>
      <c r="B1622">
        <v>-7.4666666666666701E-2</v>
      </c>
      <c r="C1622">
        <f t="shared" si="50"/>
        <v>1.5043598362677582</v>
      </c>
      <c r="D1622">
        <v>1</v>
      </c>
      <c r="E1622">
        <f t="shared" si="51"/>
        <v>5.1821752370718156E-2</v>
      </c>
    </row>
    <row r="1623" spans="1:5" x14ac:dyDescent="0.25">
      <c r="A1623">
        <v>0</v>
      </c>
      <c r="B1623">
        <v>-7.4592074592074606E-2</v>
      </c>
      <c r="C1623">
        <f t="shared" si="50"/>
        <v>1.504551355519081</v>
      </c>
      <c r="D1623">
        <v>1</v>
      </c>
      <c r="E1623">
        <f t="shared" si="51"/>
        <v>5.1821752370718156E-2</v>
      </c>
    </row>
    <row r="1624" spans="1:5" x14ac:dyDescent="0.25">
      <c r="A1624">
        <v>0</v>
      </c>
      <c r="B1624">
        <v>-7.4592074592074606E-2</v>
      </c>
      <c r="C1624">
        <f t="shared" si="50"/>
        <v>1.504551355519081</v>
      </c>
      <c r="D1624">
        <v>1</v>
      </c>
      <c r="E1624">
        <f t="shared" si="51"/>
        <v>5.1821752370718156E-2</v>
      </c>
    </row>
    <row r="1625" spans="1:5" x14ac:dyDescent="0.25">
      <c r="A1625">
        <v>0</v>
      </c>
      <c r="B1625">
        <v>-7.4592074592074606E-2</v>
      </c>
      <c r="C1625">
        <f t="shared" si="50"/>
        <v>1.504551355519081</v>
      </c>
      <c r="D1625">
        <v>1</v>
      </c>
      <c r="E1625">
        <f t="shared" si="51"/>
        <v>5.1821752370718156E-2</v>
      </c>
    </row>
    <row r="1626" spans="1:5" x14ac:dyDescent="0.25">
      <c r="A1626">
        <v>0</v>
      </c>
      <c r="B1626">
        <v>-7.4592074592074606E-2</v>
      </c>
      <c r="C1626">
        <f t="shared" si="50"/>
        <v>1.504551355519081</v>
      </c>
      <c r="D1626">
        <v>1</v>
      </c>
      <c r="E1626">
        <f t="shared" si="51"/>
        <v>5.1821752370718156E-2</v>
      </c>
    </row>
    <row r="1627" spans="1:5" x14ac:dyDescent="0.25">
      <c r="A1627">
        <v>0</v>
      </c>
      <c r="B1627">
        <v>-7.4592074592074606E-2</v>
      </c>
      <c r="C1627">
        <f t="shared" si="50"/>
        <v>1.504551355519081</v>
      </c>
      <c r="D1627">
        <v>1</v>
      </c>
      <c r="E1627">
        <f t="shared" si="51"/>
        <v>5.1821752370718156E-2</v>
      </c>
    </row>
    <row r="1628" spans="1:5" x14ac:dyDescent="0.25">
      <c r="A1628">
        <v>0</v>
      </c>
      <c r="B1628">
        <v>-7.4592074592074606E-2</v>
      </c>
      <c r="C1628">
        <f t="shared" si="50"/>
        <v>1.504551355519081</v>
      </c>
      <c r="D1628">
        <v>1</v>
      </c>
      <c r="E1628">
        <f t="shared" si="51"/>
        <v>5.1821752370718156E-2</v>
      </c>
    </row>
    <row r="1629" spans="1:5" x14ac:dyDescent="0.25">
      <c r="A1629">
        <v>0</v>
      </c>
      <c r="B1629">
        <v>-7.4592074592074606E-2</v>
      </c>
      <c r="C1629">
        <f t="shared" si="50"/>
        <v>1.504551355519081</v>
      </c>
      <c r="D1629">
        <v>1</v>
      </c>
      <c r="E1629">
        <f t="shared" si="51"/>
        <v>5.1821752370718156E-2</v>
      </c>
    </row>
    <row r="1630" spans="1:5" x14ac:dyDescent="0.25">
      <c r="A1630">
        <v>0</v>
      </c>
      <c r="B1630">
        <v>-7.4592074592074606E-2</v>
      </c>
      <c r="C1630">
        <f t="shared" si="50"/>
        <v>1.504551355519081</v>
      </c>
      <c r="D1630">
        <v>1</v>
      </c>
      <c r="E1630">
        <f t="shared" si="51"/>
        <v>5.1821752370718156E-2</v>
      </c>
    </row>
    <row r="1631" spans="1:5" x14ac:dyDescent="0.25">
      <c r="A1631">
        <v>0</v>
      </c>
      <c r="B1631">
        <v>-7.3999999999999996E-2</v>
      </c>
      <c r="C1631">
        <f t="shared" si="50"/>
        <v>1.5060673824002753</v>
      </c>
      <c r="D1631">
        <v>1</v>
      </c>
      <c r="E1631">
        <f t="shared" si="51"/>
        <v>5.1821752370718156E-2</v>
      </c>
    </row>
    <row r="1632" spans="1:5" x14ac:dyDescent="0.25">
      <c r="A1632">
        <v>0</v>
      </c>
      <c r="B1632">
        <v>-7.3999999999999996E-2</v>
      </c>
      <c r="C1632">
        <f t="shared" si="50"/>
        <v>1.5060673824002753</v>
      </c>
      <c r="D1632">
        <v>1</v>
      </c>
      <c r="E1632">
        <f t="shared" si="51"/>
        <v>5.1821752370718156E-2</v>
      </c>
    </row>
    <row r="1633" spans="1:5" x14ac:dyDescent="0.25">
      <c r="A1633">
        <v>0</v>
      </c>
      <c r="B1633">
        <v>-7.3999999999999996E-2</v>
      </c>
      <c r="C1633">
        <f t="shared" si="50"/>
        <v>1.5060673824002753</v>
      </c>
      <c r="D1633">
        <v>1</v>
      </c>
      <c r="E1633">
        <f t="shared" si="51"/>
        <v>5.1821752370718156E-2</v>
      </c>
    </row>
    <row r="1634" spans="1:5" x14ac:dyDescent="0.25">
      <c r="A1634">
        <v>0</v>
      </c>
      <c r="B1634">
        <v>-7.3999999999999996E-2</v>
      </c>
      <c r="C1634">
        <f t="shared" si="50"/>
        <v>1.5060673824002753</v>
      </c>
      <c r="D1634">
        <v>1</v>
      </c>
      <c r="E1634">
        <f t="shared" si="51"/>
        <v>5.1821752370718156E-2</v>
      </c>
    </row>
    <row r="1635" spans="1:5" x14ac:dyDescent="0.25">
      <c r="A1635">
        <v>0</v>
      </c>
      <c r="B1635">
        <v>-7.3999999999999996E-2</v>
      </c>
      <c r="C1635">
        <f t="shared" si="50"/>
        <v>1.5060673824002753</v>
      </c>
      <c r="D1635">
        <v>1</v>
      </c>
      <c r="E1635">
        <f t="shared" si="51"/>
        <v>5.1821752370718156E-2</v>
      </c>
    </row>
    <row r="1636" spans="1:5" x14ac:dyDescent="0.25">
      <c r="A1636">
        <v>0</v>
      </c>
      <c r="B1636">
        <v>-7.3999999999999996E-2</v>
      </c>
      <c r="C1636">
        <f t="shared" si="50"/>
        <v>1.5060673824002753</v>
      </c>
      <c r="D1636">
        <v>1</v>
      </c>
      <c r="E1636">
        <f t="shared" si="51"/>
        <v>5.1821752370718156E-2</v>
      </c>
    </row>
    <row r="1637" spans="1:5" x14ac:dyDescent="0.25">
      <c r="A1637">
        <v>0</v>
      </c>
      <c r="B1637">
        <v>-7.3333333333333306E-2</v>
      </c>
      <c r="C1637">
        <f t="shared" si="50"/>
        <v>1.5077655439044355</v>
      </c>
      <c r="D1637">
        <v>1</v>
      </c>
      <c r="E1637">
        <f t="shared" si="51"/>
        <v>5.1821752370718156E-2</v>
      </c>
    </row>
    <row r="1638" spans="1:5" x14ac:dyDescent="0.25">
      <c r="A1638">
        <v>0</v>
      </c>
      <c r="B1638">
        <v>-7.3333333333333306E-2</v>
      </c>
      <c r="C1638">
        <f t="shared" si="50"/>
        <v>1.5077655439044355</v>
      </c>
      <c r="D1638">
        <v>1</v>
      </c>
      <c r="E1638">
        <f t="shared" si="51"/>
        <v>5.1821752370718156E-2</v>
      </c>
    </row>
    <row r="1639" spans="1:5" x14ac:dyDescent="0.25">
      <c r="A1639">
        <v>0</v>
      </c>
      <c r="B1639">
        <v>-7.3333333333333306E-2</v>
      </c>
      <c r="C1639">
        <f t="shared" si="50"/>
        <v>1.5077655439044355</v>
      </c>
      <c r="D1639">
        <v>1</v>
      </c>
      <c r="E1639">
        <f t="shared" si="51"/>
        <v>5.1821752370718156E-2</v>
      </c>
    </row>
    <row r="1640" spans="1:5" x14ac:dyDescent="0.25">
      <c r="A1640">
        <v>0</v>
      </c>
      <c r="B1640">
        <v>-7.3333333333333306E-2</v>
      </c>
      <c r="C1640">
        <f t="shared" si="50"/>
        <v>1.5077655439044355</v>
      </c>
      <c r="D1640">
        <v>1</v>
      </c>
      <c r="E1640">
        <f t="shared" si="51"/>
        <v>5.1821752370718156E-2</v>
      </c>
    </row>
    <row r="1641" spans="1:5" x14ac:dyDescent="0.25">
      <c r="A1641">
        <v>0</v>
      </c>
      <c r="B1641">
        <v>-7.3333333333333306E-2</v>
      </c>
      <c r="C1641">
        <f t="shared" si="50"/>
        <v>1.5077655439044355</v>
      </c>
      <c r="D1641">
        <v>1</v>
      </c>
      <c r="E1641">
        <f t="shared" si="51"/>
        <v>5.1821752370718156E-2</v>
      </c>
    </row>
    <row r="1642" spans="1:5" x14ac:dyDescent="0.25">
      <c r="A1642">
        <v>0</v>
      </c>
      <c r="B1642">
        <v>-7.3333333333333306E-2</v>
      </c>
      <c r="C1642">
        <f t="shared" si="50"/>
        <v>1.5077655439044355</v>
      </c>
      <c r="D1642">
        <v>1</v>
      </c>
      <c r="E1642">
        <f t="shared" si="51"/>
        <v>5.1821752370718156E-2</v>
      </c>
    </row>
    <row r="1643" spans="1:5" x14ac:dyDescent="0.25">
      <c r="A1643">
        <v>0</v>
      </c>
      <c r="B1643">
        <v>-7.2999999999999995E-2</v>
      </c>
      <c r="C1643">
        <f t="shared" si="50"/>
        <v>1.5086110941326172</v>
      </c>
      <c r="D1643">
        <v>1</v>
      </c>
      <c r="E1643">
        <f t="shared" si="51"/>
        <v>5.1821752370718156E-2</v>
      </c>
    </row>
    <row r="1644" spans="1:5" x14ac:dyDescent="0.25">
      <c r="A1644">
        <v>0</v>
      </c>
      <c r="B1644">
        <v>-7.2429906542056097E-2</v>
      </c>
      <c r="C1644">
        <f t="shared" si="50"/>
        <v>1.5100517506686273</v>
      </c>
      <c r="D1644">
        <v>1</v>
      </c>
      <c r="E1644">
        <f t="shared" si="51"/>
        <v>5.1821752370718156E-2</v>
      </c>
    </row>
    <row r="1645" spans="1:5" x14ac:dyDescent="0.25">
      <c r="A1645">
        <v>0</v>
      </c>
      <c r="B1645">
        <v>-7.2429906542056097E-2</v>
      </c>
      <c r="C1645">
        <f t="shared" si="50"/>
        <v>1.5100517506686273</v>
      </c>
      <c r="D1645">
        <v>1</v>
      </c>
      <c r="E1645">
        <f t="shared" si="51"/>
        <v>5.1821752370718156E-2</v>
      </c>
    </row>
    <row r="1646" spans="1:5" x14ac:dyDescent="0.25">
      <c r="A1646">
        <v>0</v>
      </c>
      <c r="B1646">
        <v>-7.2429906542056097E-2</v>
      </c>
      <c r="C1646">
        <f t="shared" si="50"/>
        <v>1.5100517506686273</v>
      </c>
      <c r="D1646">
        <v>1</v>
      </c>
      <c r="E1646">
        <f t="shared" si="51"/>
        <v>5.1821752370718156E-2</v>
      </c>
    </row>
    <row r="1647" spans="1:5" x14ac:dyDescent="0.25">
      <c r="A1647">
        <v>0</v>
      </c>
      <c r="B1647">
        <v>-7.2429906542056097E-2</v>
      </c>
      <c r="C1647">
        <f t="shared" si="50"/>
        <v>1.5100517506686273</v>
      </c>
      <c r="D1647">
        <v>1</v>
      </c>
      <c r="E1647">
        <f t="shared" si="51"/>
        <v>5.1821752370718156E-2</v>
      </c>
    </row>
    <row r="1648" spans="1:5" x14ac:dyDescent="0.25">
      <c r="A1648">
        <v>0</v>
      </c>
      <c r="B1648">
        <v>-7.2429906542056097E-2</v>
      </c>
      <c r="C1648">
        <f t="shared" si="50"/>
        <v>1.5100517506686273</v>
      </c>
      <c r="D1648">
        <v>1</v>
      </c>
      <c r="E1648">
        <f t="shared" si="51"/>
        <v>5.1821752370718156E-2</v>
      </c>
    </row>
    <row r="1649" spans="1:5" x14ac:dyDescent="0.25">
      <c r="A1649">
        <v>0</v>
      </c>
      <c r="B1649">
        <v>-7.2261072261072298E-2</v>
      </c>
      <c r="C1649">
        <f t="shared" si="50"/>
        <v>1.5104770758615078</v>
      </c>
      <c r="D1649">
        <v>1</v>
      </c>
      <c r="E1649">
        <f t="shared" si="51"/>
        <v>5.1821752370718156E-2</v>
      </c>
    </row>
    <row r="1650" spans="1:5" x14ac:dyDescent="0.25">
      <c r="A1650">
        <v>0</v>
      </c>
      <c r="B1650">
        <v>-7.2261072261072298E-2</v>
      </c>
      <c r="C1650">
        <f t="shared" si="50"/>
        <v>1.5104770758615078</v>
      </c>
      <c r="D1650">
        <v>1</v>
      </c>
      <c r="E1650">
        <f t="shared" si="51"/>
        <v>5.1821752370718156E-2</v>
      </c>
    </row>
    <row r="1651" spans="1:5" x14ac:dyDescent="0.25">
      <c r="A1651">
        <v>0</v>
      </c>
      <c r="B1651">
        <v>-7.2261072261072298E-2</v>
      </c>
      <c r="C1651">
        <f t="shared" si="50"/>
        <v>1.5104770758615078</v>
      </c>
      <c r="D1651">
        <v>1</v>
      </c>
      <c r="E1651">
        <f t="shared" si="51"/>
        <v>5.1821752370718156E-2</v>
      </c>
    </row>
    <row r="1652" spans="1:5" x14ac:dyDescent="0.25">
      <c r="A1652">
        <v>0</v>
      </c>
      <c r="B1652">
        <v>-7.2261072261072298E-2</v>
      </c>
      <c r="C1652">
        <f t="shared" si="50"/>
        <v>1.5104770758615078</v>
      </c>
      <c r="D1652">
        <v>1</v>
      </c>
      <c r="E1652">
        <f t="shared" si="51"/>
        <v>5.1821752370718156E-2</v>
      </c>
    </row>
    <row r="1653" spans="1:5" x14ac:dyDescent="0.25">
      <c r="A1653">
        <v>0</v>
      </c>
      <c r="B1653">
        <v>-7.2072072072072099E-2</v>
      </c>
      <c r="C1653">
        <f t="shared" si="50"/>
        <v>1.5109524815642039</v>
      </c>
      <c r="D1653">
        <v>1</v>
      </c>
      <c r="E1653">
        <f t="shared" si="51"/>
        <v>5.1821752370718156E-2</v>
      </c>
    </row>
    <row r="1654" spans="1:5" x14ac:dyDescent="0.25">
      <c r="A1654">
        <v>0</v>
      </c>
      <c r="B1654">
        <v>-7.2072072072072099E-2</v>
      </c>
      <c r="C1654">
        <f t="shared" si="50"/>
        <v>1.5109524815642039</v>
      </c>
      <c r="D1654">
        <v>1</v>
      </c>
      <c r="E1654">
        <f t="shared" si="51"/>
        <v>5.1821752370718156E-2</v>
      </c>
    </row>
    <row r="1655" spans="1:5" x14ac:dyDescent="0.25">
      <c r="A1655">
        <v>0</v>
      </c>
      <c r="B1655">
        <v>-7.2072072072072099E-2</v>
      </c>
      <c r="C1655">
        <f t="shared" si="50"/>
        <v>1.5109524815642039</v>
      </c>
      <c r="D1655">
        <v>1</v>
      </c>
      <c r="E1655">
        <f t="shared" si="51"/>
        <v>5.1821752370718156E-2</v>
      </c>
    </row>
    <row r="1656" spans="1:5" x14ac:dyDescent="0.25">
      <c r="A1656">
        <v>0</v>
      </c>
      <c r="B1656">
        <v>-7.1999999999999995E-2</v>
      </c>
      <c r="C1656">
        <f t="shared" si="50"/>
        <v>1.5111335687953882</v>
      </c>
      <c r="D1656">
        <v>1</v>
      </c>
      <c r="E1656">
        <f t="shared" si="51"/>
        <v>5.1821752370718156E-2</v>
      </c>
    </row>
    <row r="1657" spans="1:5" x14ac:dyDescent="0.25">
      <c r="A1657">
        <v>0</v>
      </c>
      <c r="B1657">
        <v>-7.1999999999999995E-2</v>
      </c>
      <c r="C1657">
        <f t="shared" si="50"/>
        <v>1.5111335687953882</v>
      </c>
      <c r="D1657">
        <v>1</v>
      </c>
      <c r="E1657">
        <f t="shared" si="51"/>
        <v>5.1821752370718156E-2</v>
      </c>
    </row>
    <row r="1658" spans="1:5" x14ac:dyDescent="0.25">
      <c r="A1658">
        <v>0</v>
      </c>
      <c r="B1658">
        <v>-7.1999999999999995E-2</v>
      </c>
      <c r="C1658">
        <f t="shared" si="50"/>
        <v>1.5111335687953882</v>
      </c>
      <c r="D1658">
        <v>1</v>
      </c>
      <c r="E1658">
        <f t="shared" si="51"/>
        <v>5.1821752370718156E-2</v>
      </c>
    </row>
    <row r="1659" spans="1:5" x14ac:dyDescent="0.25">
      <c r="A1659">
        <v>0</v>
      </c>
      <c r="B1659">
        <v>-7.1999999999999995E-2</v>
      </c>
      <c r="C1659">
        <f t="shared" si="50"/>
        <v>1.5111335687953882</v>
      </c>
      <c r="D1659">
        <v>1</v>
      </c>
      <c r="E1659">
        <f t="shared" si="51"/>
        <v>5.1821752370718156E-2</v>
      </c>
    </row>
    <row r="1660" spans="1:5" x14ac:dyDescent="0.25">
      <c r="A1660">
        <v>0</v>
      </c>
      <c r="B1660">
        <v>-7.1999999999999995E-2</v>
      </c>
      <c r="C1660">
        <f t="shared" si="50"/>
        <v>1.5111335687953882</v>
      </c>
      <c r="D1660">
        <v>1</v>
      </c>
      <c r="E1660">
        <f t="shared" si="51"/>
        <v>5.1821752370718156E-2</v>
      </c>
    </row>
    <row r="1661" spans="1:5" x14ac:dyDescent="0.25">
      <c r="A1661">
        <v>0</v>
      </c>
      <c r="B1661">
        <v>-7.1999999999999995E-2</v>
      </c>
      <c r="C1661">
        <f t="shared" si="50"/>
        <v>1.5111335687953882</v>
      </c>
      <c r="D1661">
        <v>1</v>
      </c>
      <c r="E1661">
        <f t="shared" si="51"/>
        <v>5.1821752370718156E-2</v>
      </c>
    </row>
    <row r="1662" spans="1:5" x14ac:dyDescent="0.25">
      <c r="A1662">
        <v>0</v>
      </c>
      <c r="B1662">
        <v>-7.1999999999999995E-2</v>
      </c>
      <c r="C1662">
        <f t="shared" si="50"/>
        <v>1.5111335687953882</v>
      </c>
      <c r="D1662">
        <v>1</v>
      </c>
      <c r="E1662">
        <f t="shared" si="51"/>
        <v>5.1821752370718156E-2</v>
      </c>
    </row>
    <row r="1663" spans="1:5" x14ac:dyDescent="0.25">
      <c r="A1663">
        <v>0</v>
      </c>
      <c r="B1663">
        <v>-7.1999999999999995E-2</v>
      </c>
      <c r="C1663">
        <f t="shared" si="50"/>
        <v>1.5111335687953882</v>
      </c>
      <c r="D1663">
        <v>1</v>
      </c>
      <c r="E1663">
        <f t="shared" si="51"/>
        <v>5.1821752370718156E-2</v>
      </c>
    </row>
    <row r="1664" spans="1:5" x14ac:dyDescent="0.25">
      <c r="A1664">
        <v>0</v>
      </c>
      <c r="B1664">
        <v>-7.1999999999999995E-2</v>
      </c>
      <c r="C1664">
        <f t="shared" si="50"/>
        <v>1.5111335687953882</v>
      </c>
      <c r="D1664">
        <v>1</v>
      </c>
      <c r="E1664">
        <f t="shared" si="51"/>
        <v>5.1821752370718156E-2</v>
      </c>
    </row>
    <row r="1665" spans="1:5" x14ac:dyDescent="0.25">
      <c r="A1665">
        <v>0</v>
      </c>
      <c r="B1665">
        <v>-7.1856287425149698E-2</v>
      </c>
      <c r="C1665">
        <f t="shared" si="50"/>
        <v>1.51149432769293</v>
      </c>
      <c r="D1665">
        <v>1</v>
      </c>
      <c r="E1665">
        <f t="shared" si="51"/>
        <v>5.1821752370718156E-2</v>
      </c>
    </row>
    <row r="1666" spans="1:5" x14ac:dyDescent="0.25">
      <c r="A1666">
        <v>0</v>
      </c>
      <c r="B1666">
        <v>-7.1856287425149698E-2</v>
      </c>
      <c r="C1666">
        <f t="shared" ref="C1666:C1729" si="52">_xlfn.NORM.DIST(B1666,I$10,I$13,FALSE)</f>
        <v>1.51149432769293</v>
      </c>
      <c r="D1666">
        <v>1</v>
      </c>
      <c r="E1666">
        <f t="shared" si="51"/>
        <v>5.1821752370718156E-2</v>
      </c>
    </row>
    <row r="1667" spans="1:5" x14ac:dyDescent="0.25">
      <c r="A1667">
        <v>0</v>
      </c>
      <c r="B1667">
        <v>-7.1856287425149698E-2</v>
      </c>
      <c r="C1667">
        <f t="shared" si="52"/>
        <v>1.51149432769293</v>
      </c>
      <c r="D1667">
        <v>1</v>
      </c>
      <c r="E1667">
        <f t="shared" ref="E1667:E1730" si="53">_xlfn.NORM.DIST(D1667,I$4,I$7,FALSE)</f>
        <v>5.1821752370718156E-2</v>
      </c>
    </row>
    <row r="1668" spans="1:5" x14ac:dyDescent="0.25">
      <c r="A1668">
        <v>0</v>
      </c>
      <c r="B1668">
        <v>-7.1856287425149698E-2</v>
      </c>
      <c r="C1668">
        <f t="shared" si="52"/>
        <v>1.51149432769293</v>
      </c>
      <c r="D1668">
        <v>1</v>
      </c>
      <c r="E1668">
        <f t="shared" si="53"/>
        <v>5.1821752370718156E-2</v>
      </c>
    </row>
    <row r="1669" spans="1:5" x14ac:dyDescent="0.25">
      <c r="A1669">
        <v>0</v>
      </c>
      <c r="B1669">
        <v>-7.1666666666666698E-2</v>
      </c>
      <c r="C1669">
        <f t="shared" si="52"/>
        <v>1.5119696534258942</v>
      </c>
      <c r="D1669">
        <v>1</v>
      </c>
      <c r="E1669">
        <f t="shared" si="53"/>
        <v>5.1821752370718156E-2</v>
      </c>
    </row>
    <row r="1670" spans="1:5" x14ac:dyDescent="0.25">
      <c r="A1670">
        <v>0</v>
      </c>
      <c r="B1670">
        <v>-7.1666666666666698E-2</v>
      </c>
      <c r="C1670">
        <f t="shared" si="52"/>
        <v>1.5119696534258942</v>
      </c>
      <c r="D1670">
        <v>1</v>
      </c>
      <c r="E1670">
        <f t="shared" si="53"/>
        <v>5.1821752370718156E-2</v>
      </c>
    </row>
    <row r="1671" spans="1:5" x14ac:dyDescent="0.25">
      <c r="A1671">
        <v>0</v>
      </c>
      <c r="B1671">
        <v>-7.1666666666666698E-2</v>
      </c>
      <c r="C1671">
        <f t="shared" si="52"/>
        <v>1.5119696534258942</v>
      </c>
      <c r="D1671">
        <v>1</v>
      </c>
      <c r="E1671">
        <f t="shared" si="53"/>
        <v>5.1821752370718156E-2</v>
      </c>
    </row>
    <row r="1672" spans="1:5" x14ac:dyDescent="0.25">
      <c r="A1672">
        <v>0</v>
      </c>
      <c r="B1672">
        <v>-7.1666666666666698E-2</v>
      </c>
      <c r="C1672">
        <f t="shared" si="52"/>
        <v>1.5119696534258942</v>
      </c>
      <c r="D1672">
        <v>1</v>
      </c>
      <c r="E1672">
        <f t="shared" si="53"/>
        <v>5.1821752370718156E-2</v>
      </c>
    </row>
    <row r="1673" spans="1:5" x14ac:dyDescent="0.25">
      <c r="A1673">
        <v>0</v>
      </c>
      <c r="B1673">
        <v>-7.1666666666666698E-2</v>
      </c>
      <c r="C1673">
        <f t="shared" si="52"/>
        <v>1.5119696534258942</v>
      </c>
      <c r="D1673">
        <v>1</v>
      </c>
      <c r="E1673">
        <f t="shared" si="53"/>
        <v>5.1821752370718156E-2</v>
      </c>
    </row>
    <row r="1674" spans="1:5" x14ac:dyDescent="0.25">
      <c r="A1674">
        <v>0</v>
      </c>
      <c r="B1674">
        <v>-7.1666666666666698E-2</v>
      </c>
      <c r="C1674">
        <f t="shared" si="52"/>
        <v>1.5119696534258942</v>
      </c>
      <c r="D1674">
        <v>1</v>
      </c>
      <c r="E1674">
        <f t="shared" si="53"/>
        <v>5.1821752370718156E-2</v>
      </c>
    </row>
    <row r="1675" spans="1:5" x14ac:dyDescent="0.25">
      <c r="A1675">
        <v>0</v>
      </c>
      <c r="B1675">
        <v>-7.0666666666666697E-2</v>
      </c>
      <c r="C1675">
        <f t="shared" si="52"/>
        <v>1.5144636242015208</v>
      </c>
      <c r="D1675">
        <v>1</v>
      </c>
      <c r="E1675">
        <f t="shared" si="53"/>
        <v>5.1821752370718156E-2</v>
      </c>
    </row>
    <row r="1676" spans="1:5" x14ac:dyDescent="0.25">
      <c r="A1676">
        <v>0</v>
      </c>
      <c r="B1676">
        <v>-7.0666666666666697E-2</v>
      </c>
      <c r="C1676">
        <f t="shared" si="52"/>
        <v>1.5144636242015208</v>
      </c>
      <c r="D1676">
        <v>1</v>
      </c>
      <c r="E1676">
        <f t="shared" si="53"/>
        <v>5.1821752370718156E-2</v>
      </c>
    </row>
    <row r="1677" spans="1:5" x14ac:dyDescent="0.25">
      <c r="A1677">
        <v>0</v>
      </c>
      <c r="B1677">
        <v>-7.00934579439252E-2</v>
      </c>
      <c r="C1677">
        <f t="shared" si="52"/>
        <v>1.5158834955973408</v>
      </c>
      <c r="D1677">
        <v>1</v>
      </c>
      <c r="E1677">
        <f t="shared" si="53"/>
        <v>5.1821752370718156E-2</v>
      </c>
    </row>
    <row r="1678" spans="1:5" x14ac:dyDescent="0.25">
      <c r="A1678">
        <v>0</v>
      </c>
      <c r="B1678">
        <v>-7.00934579439252E-2</v>
      </c>
      <c r="C1678">
        <f t="shared" si="52"/>
        <v>1.5158834955973408</v>
      </c>
      <c r="D1678">
        <v>1</v>
      </c>
      <c r="E1678">
        <f t="shared" si="53"/>
        <v>5.1821752370718156E-2</v>
      </c>
    </row>
    <row r="1679" spans="1:5" x14ac:dyDescent="0.25">
      <c r="A1679">
        <v>0</v>
      </c>
      <c r="B1679">
        <v>-7.0000000000000007E-2</v>
      </c>
      <c r="C1679">
        <f t="shared" si="52"/>
        <v>1.5161143245033761</v>
      </c>
      <c r="D1679">
        <v>1</v>
      </c>
      <c r="E1679">
        <f t="shared" si="53"/>
        <v>5.1821752370718156E-2</v>
      </c>
    </row>
    <row r="1680" spans="1:5" x14ac:dyDescent="0.25">
      <c r="A1680">
        <v>0</v>
      </c>
      <c r="B1680">
        <v>-7.0000000000000007E-2</v>
      </c>
      <c r="C1680">
        <f t="shared" si="52"/>
        <v>1.5161143245033761</v>
      </c>
      <c r="D1680">
        <v>1</v>
      </c>
      <c r="E1680">
        <f t="shared" si="53"/>
        <v>5.1821752370718156E-2</v>
      </c>
    </row>
    <row r="1681" spans="1:5" x14ac:dyDescent="0.25">
      <c r="A1681">
        <v>0</v>
      </c>
      <c r="B1681">
        <v>-7.0000000000000007E-2</v>
      </c>
      <c r="C1681">
        <f t="shared" si="52"/>
        <v>1.5161143245033761</v>
      </c>
      <c r="D1681">
        <v>1</v>
      </c>
      <c r="E1681">
        <f t="shared" si="53"/>
        <v>5.1821752370718156E-2</v>
      </c>
    </row>
    <row r="1682" spans="1:5" x14ac:dyDescent="0.25">
      <c r="A1682">
        <v>0</v>
      </c>
      <c r="B1682">
        <v>-7.0000000000000007E-2</v>
      </c>
      <c r="C1682">
        <f t="shared" si="52"/>
        <v>1.5161143245033761</v>
      </c>
      <c r="D1682">
        <v>1</v>
      </c>
      <c r="E1682">
        <f t="shared" si="53"/>
        <v>5.1821752370718156E-2</v>
      </c>
    </row>
    <row r="1683" spans="1:5" x14ac:dyDescent="0.25">
      <c r="A1683">
        <v>0</v>
      </c>
      <c r="B1683">
        <v>-7.0000000000000007E-2</v>
      </c>
      <c r="C1683">
        <f t="shared" si="52"/>
        <v>1.5161143245033761</v>
      </c>
      <c r="D1683">
        <v>1</v>
      </c>
      <c r="E1683">
        <f t="shared" si="53"/>
        <v>5.1821752370718156E-2</v>
      </c>
    </row>
    <row r="1684" spans="1:5" x14ac:dyDescent="0.25">
      <c r="A1684">
        <v>0</v>
      </c>
      <c r="B1684">
        <v>-7.0000000000000007E-2</v>
      </c>
      <c r="C1684">
        <f t="shared" si="52"/>
        <v>1.5161143245033761</v>
      </c>
      <c r="D1684">
        <v>1</v>
      </c>
      <c r="E1684">
        <f t="shared" si="53"/>
        <v>5.1821752370718156E-2</v>
      </c>
    </row>
    <row r="1685" spans="1:5" x14ac:dyDescent="0.25">
      <c r="A1685">
        <v>0</v>
      </c>
      <c r="B1685">
        <v>-7.0000000000000007E-2</v>
      </c>
      <c r="C1685">
        <f t="shared" si="52"/>
        <v>1.5161143245033761</v>
      </c>
      <c r="D1685">
        <v>1</v>
      </c>
      <c r="E1685">
        <f t="shared" si="53"/>
        <v>5.1821752370718156E-2</v>
      </c>
    </row>
    <row r="1686" spans="1:5" x14ac:dyDescent="0.25">
      <c r="A1686">
        <v>0</v>
      </c>
      <c r="B1686">
        <v>-7.0000000000000007E-2</v>
      </c>
      <c r="C1686">
        <f t="shared" si="52"/>
        <v>1.5161143245033761</v>
      </c>
      <c r="D1686">
        <v>1</v>
      </c>
      <c r="E1686">
        <f t="shared" si="53"/>
        <v>5.1821752370718156E-2</v>
      </c>
    </row>
    <row r="1687" spans="1:5" x14ac:dyDescent="0.25">
      <c r="A1687">
        <v>0</v>
      </c>
      <c r="B1687">
        <v>-7.0000000000000007E-2</v>
      </c>
      <c r="C1687">
        <f t="shared" si="52"/>
        <v>1.5161143245033761</v>
      </c>
      <c r="D1687">
        <v>1</v>
      </c>
      <c r="E1687">
        <f t="shared" si="53"/>
        <v>5.1821752370718156E-2</v>
      </c>
    </row>
    <row r="1688" spans="1:5" x14ac:dyDescent="0.25">
      <c r="A1688">
        <v>0</v>
      </c>
      <c r="B1688">
        <v>-7.0000000000000007E-2</v>
      </c>
      <c r="C1688">
        <f t="shared" si="52"/>
        <v>1.5161143245033761</v>
      </c>
      <c r="D1688">
        <v>1</v>
      </c>
      <c r="E1688">
        <f t="shared" si="53"/>
        <v>5.1821752370718156E-2</v>
      </c>
    </row>
    <row r="1689" spans="1:5" x14ac:dyDescent="0.25">
      <c r="A1689">
        <v>0</v>
      </c>
      <c r="B1689">
        <v>-7.0000000000000007E-2</v>
      </c>
      <c r="C1689">
        <f t="shared" si="52"/>
        <v>1.5161143245033761</v>
      </c>
      <c r="D1689">
        <v>1</v>
      </c>
      <c r="E1689">
        <f t="shared" si="53"/>
        <v>5.1821752370718156E-2</v>
      </c>
    </row>
    <row r="1690" spans="1:5" x14ac:dyDescent="0.25">
      <c r="A1690">
        <v>0</v>
      </c>
      <c r="B1690">
        <v>-6.9930069930069894E-2</v>
      </c>
      <c r="C1690">
        <f t="shared" si="52"/>
        <v>1.5162869192606301</v>
      </c>
      <c r="D1690">
        <v>1</v>
      </c>
      <c r="E1690">
        <f t="shared" si="53"/>
        <v>5.1821752370718156E-2</v>
      </c>
    </row>
    <row r="1691" spans="1:5" x14ac:dyDescent="0.25">
      <c r="A1691">
        <v>0</v>
      </c>
      <c r="B1691">
        <v>-6.9930069930069894E-2</v>
      </c>
      <c r="C1691">
        <f t="shared" si="52"/>
        <v>1.5162869192606301</v>
      </c>
      <c r="D1691">
        <v>1</v>
      </c>
      <c r="E1691">
        <f t="shared" si="53"/>
        <v>5.1821752370718156E-2</v>
      </c>
    </row>
    <row r="1692" spans="1:5" x14ac:dyDescent="0.25">
      <c r="A1692">
        <v>0</v>
      </c>
      <c r="B1692">
        <v>-6.9930069930069894E-2</v>
      </c>
      <c r="C1692">
        <f t="shared" si="52"/>
        <v>1.5162869192606301</v>
      </c>
      <c r="D1692">
        <v>1</v>
      </c>
      <c r="E1692">
        <f t="shared" si="53"/>
        <v>5.1821752370718156E-2</v>
      </c>
    </row>
    <row r="1693" spans="1:5" x14ac:dyDescent="0.25">
      <c r="A1693">
        <v>0</v>
      </c>
      <c r="B1693">
        <v>-6.9930069930069894E-2</v>
      </c>
      <c r="C1693">
        <f t="shared" si="52"/>
        <v>1.5162869192606301</v>
      </c>
      <c r="D1693">
        <v>1</v>
      </c>
      <c r="E1693">
        <f t="shared" si="53"/>
        <v>5.1821752370718156E-2</v>
      </c>
    </row>
    <row r="1694" spans="1:5" x14ac:dyDescent="0.25">
      <c r="A1694">
        <v>0</v>
      </c>
      <c r="B1694">
        <v>-6.95970695970696E-2</v>
      </c>
      <c r="C1694">
        <f t="shared" si="52"/>
        <v>1.5171073489077991</v>
      </c>
      <c r="D1694">
        <v>1</v>
      </c>
      <c r="E1694">
        <f t="shared" si="53"/>
        <v>5.1821752370718156E-2</v>
      </c>
    </row>
    <row r="1695" spans="1:5" x14ac:dyDescent="0.25">
      <c r="A1695">
        <v>0</v>
      </c>
      <c r="B1695">
        <v>-6.9333333333333302E-2</v>
      </c>
      <c r="C1695">
        <f t="shared" si="52"/>
        <v>1.5177554261729231</v>
      </c>
      <c r="D1695">
        <v>1</v>
      </c>
      <c r="E1695">
        <f t="shared" si="53"/>
        <v>5.1821752370718156E-2</v>
      </c>
    </row>
    <row r="1696" spans="1:5" x14ac:dyDescent="0.25">
      <c r="A1696">
        <v>0</v>
      </c>
      <c r="B1696">
        <v>-6.9333333333333302E-2</v>
      </c>
      <c r="C1696">
        <f t="shared" si="52"/>
        <v>1.5177554261729231</v>
      </c>
      <c r="D1696">
        <v>1</v>
      </c>
      <c r="E1696">
        <f t="shared" si="53"/>
        <v>5.1821752370718156E-2</v>
      </c>
    </row>
    <row r="1697" spans="1:5" x14ac:dyDescent="0.25">
      <c r="A1697">
        <v>0</v>
      </c>
      <c r="B1697">
        <v>-6.9333333333333302E-2</v>
      </c>
      <c r="C1697">
        <f t="shared" si="52"/>
        <v>1.5177554261729231</v>
      </c>
      <c r="D1697">
        <v>1</v>
      </c>
      <c r="E1697">
        <f t="shared" si="53"/>
        <v>5.1821752370718156E-2</v>
      </c>
    </row>
    <row r="1698" spans="1:5" x14ac:dyDescent="0.25">
      <c r="A1698">
        <v>0</v>
      </c>
      <c r="B1698">
        <v>-6.9333333333333302E-2</v>
      </c>
      <c r="C1698">
        <f t="shared" si="52"/>
        <v>1.5177554261729231</v>
      </c>
      <c r="D1698">
        <v>1</v>
      </c>
      <c r="E1698">
        <f t="shared" si="53"/>
        <v>5.1821752370718156E-2</v>
      </c>
    </row>
    <row r="1699" spans="1:5" x14ac:dyDescent="0.25">
      <c r="A1699">
        <v>0</v>
      </c>
      <c r="B1699">
        <v>-6.9333333333333302E-2</v>
      </c>
      <c r="C1699">
        <f t="shared" si="52"/>
        <v>1.5177554261729231</v>
      </c>
      <c r="D1699">
        <v>1</v>
      </c>
      <c r="E1699">
        <f t="shared" si="53"/>
        <v>5.1821752370718156E-2</v>
      </c>
    </row>
    <row r="1700" spans="1:5" x14ac:dyDescent="0.25">
      <c r="A1700">
        <v>0</v>
      </c>
      <c r="B1700">
        <v>-6.9333333333333302E-2</v>
      </c>
      <c r="C1700">
        <f t="shared" si="52"/>
        <v>1.5177554261729231</v>
      </c>
      <c r="D1700">
        <v>1</v>
      </c>
      <c r="E1700">
        <f t="shared" si="53"/>
        <v>5.1821752370718156E-2</v>
      </c>
    </row>
    <row r="1701" spans="1:5" x14ac:dyDescent="0.25">
      <c r="A1701">
        <v>0</v>
      </c>
      <c r="B1701">
        <v>-6.9333333333333302E-2</v>
      </c>
      <c r="C1701">
        <f t="shared" si="52"/>
        <v>1.5177554261729231</v>
      </c>
      <c r="D1701">
        <v>1</v>
      </c>
      <c r="E1701">
        <f t="shared" si="53"/>
        <v>5.1821752370718156E-2</v>
      </c>
    </row>
    <row r="1702" spans="1:5" x14ac:dyDescent="0.25">
      <c r="A1702">
        <v>0</v>
      </c>
      <c r="B1702">
        <v>-6.9333333333333302E-2</v>
      </c>
      <c r="C1702">
        <f t="shared" si="52"/>
        <v>1.5177554261729231</v>
      </c>
      <c r="D1702">
        <v>1</v>
      </c>
      <c r="E1702">
        <f t="shared" si="53"/>
        <v>5.1821752370718156E-2</v>
      </c>
    </row>
    <row r="1703" spans="1:5" x14ac:dyDescent="0.25">
      <c r="A1703">
        <v>0</v>
      </c>
      <c r="B1703">
        <v>-6.9333333333333302E-2</v>
      </c>
      <c r="C1703">
        <f t="shared" si="52"/>
        <v>1.5177554261729231</v>
      </c>
      <c r="D1703">
        <v>1</v>
      </c>
      <c r="E1703">
        <f t="shared" si="53"/>
        <v>5.1821752370718156E-2</v>
      </c>
    </row>
    <row r="1704" spans="1:5" x14ac:dyDescent="0.25">
      <c r="A1704">
        <v>0</v>
      </c>
      <c r="B1704">
        <v>-6.9333333333333302E-2</v>
      </c>
      <c r="C1704">
        <f t="shared" si="52"/>
        <v>1.5177554261729231</v>
      </c>
      <c r="D1704">
        <v>1</v>
      </c>
      <c r="E1704">
        <f t="shared" si="53"/>
        <v>5.1821752370718156E-2</v>
      </c>
    </row>
    <row r="1705" spans="1:5" x14ac:dyDescent="0.25">
      <c r="A1705">
        <v>0</v>
      </c>
      <c r="B1705">
        <v>-6.9333333333333302E-2</v>
      </c>
      <c r="C1705">
        <f t="shared" si="52"/>
        <v>1.5177554261729231</v>
      </c>
      <c r="D1705">
        <v>1</v>
      </c>
      <c r="E1705">
        <f t="shared" si="53"/>
        <v>5.1821752370718156E-2</v>
      </c>
    </row>
    <row r="1706" spans="1:5" x14ac:dyDescent="0.25">
      <c r="A1706">
        <v>0</v>
      </c>
      <c r="B1706">
        <v>-6.9333333333333302E-2</v>
      </c>
      <c r="C1706">
        <f t="shared" si="52"/>
        <v>1.5177554261729231</v>
      </c>
      <c r="D1706">
        <v>1</v>
      </c>
      <c r="E1706">
        <f t="shared" si="53"/>
        <v>5.1821752370718156E-2</v>
      </c>
    </row>
    <row r="1707" spans="1:5" x14ac:dyDescent="0.25">
      <c r="A1707">
        <v>0</v>
      </c>
      <c r="B1707">
        <v>-6.9333333333333302E-2</v>
      </c>
      <c r="C1707">
        <f t="shared" si="52"/>
        <v>1.5177554261729231</v>
      </c>
      <c r="D1707">
        <v>1</v>
      </c>
      <c r="E1707">
        <f t="shared" si="53"/>
        <v>5.1821752370718156E-2</v>
      </c>
    </row>
    <row r="1708" spans="1:5" x14ac:dyDescent="0.25">
      <c r="A1708">
        <v>0</v>
      </c>
      <c r="B1708">
        <v>-6.9333333333333302E-2</v>
      </c>
      <c r="C1708">
        <f t="shared" si="52"/>
        <v>1.5177554261729231</v>
      </c>
      <c r="D1708">
        <v>1</v>
      </c>
      <c r="E1708">
        <f t="shared" si="53"/>
        <v>5.1821752370718156E-2</v>
      </c>
    </row>
    <row r="1709" spans="1:5" x14ac:dyDescent="0.25">
      <c r="A1709">
        <v>0</v>
      </c>
      <c r="B1709">
        <v>-6.9333333333333302E-2</v>
      </c>
      <c r="C1709">
        <f t="shared" si="52"/>
        <v>1.5177554261729231</v>
      </c>
      <c r="D1709">
        <v>1</v>
      </c>
      <c r="E1709">
        <f t="shared" si="53"/>
        <v>5.1821752370718156E-2</v>
      </c>
    </row>
    <row r="1710" spans="1:5" x14ac:dyDescent="0.25">
      <c r="A1710">
        <v>0</v>
      </c>
      <c r="B1710">
        <v>-6.9069069069069094E-2</v>
      </c>
      <c r="C1710">
        <f t="shared" si="52"/>
        <v>1.5184032886571308</v>
      </c>
      <c r="D1710">
        <v>1</v>
      </c>
      <c r="E1710">
        <f t="shared" si="53"/>
        <v>5.1821752370718156E-2</v>
      </c>
    </row>
    <row r="1711" spans="1:5" x14ac:dyDescent="0.25">
      <c r="A1711">
        <v>0</v>
      </c>
      <c r="B1711">
        <v>-6.9069069069069094E-2</v>
      </c>
      <c r="C1711">
        <f t="shared" si="52"/>
        <v>1.5184032886571308</v>
      </c>
      <c r="D1711">
        <v>1</v>
      </c>
      <c r="E1711">
        <f t="shared" si="53"/>
        <v>5.1821752370718156E-2</v>
      </c>
    </row>
    <row r="1712" spans="1:5" x14ac:dyDescent="0.25">
      <c r="A1712">
        <v>0</v>
      </c>
      <c r="B1712">
        <v>-6.9069069069069094E-2</v>
      </c>
      <c r="C1712">
        <f t="shared" si="52"/>
        <v>1.5184032886571308</v>
      </c>
      <c r="D1712">
        <v>1</v>
      </c>
      <c r="E1712">
        <f t="shared" si="53"/>
        <v>5.1821752370718156E-2</v>
      </c>
    </row>
    <row r="1713" spans="1:5" x14ac:dyDescent="0.25">
      <c r="A1713">
        <v>0</v>
      </c>
      <c r="B1713">
        <v>-6.9069069069069094E-2</v>
      </c>
      <c r="C1713">
        <f t="shared" si="52"/>
        <v>1.5184032886571308</v>
      </c>
      <c r="D1713">
        <v>1</v>
      </c>
      <c r="E1713">
        <f t="shared" si="53"/>
        <v>5.1821752370718156E-2</v>
      </c>
    </row>
    <row r="1714" spans="1:5" x14ac:dyDescent="0.25">
      <c r="A1714">
        <v>0</v>
      </c>
      <c r="B1714">
        <v>-6.9069069069069094E-2</v>
      </c>
      <c r="C1714">
        <f t="shared" si="52"/>
        <v>1.5184032886571308</v>
      </c>
      <c r="D1714">
        <v>1</v>
      </c>
      <c r="E1714">
        <f t="shared" si="53"/>
        <v>5.1821752370718156E-2</v>
      </c>
    </row>
    <row r="1715" spans="1:5" x14ac:dyDescent="0.25">
      <c r="A1715">
        <v>0</v>
      </c>
      <c r="B1715">
        <v>-6.9000000000000006E-2</v>
      </c>
      <c r="C1715">
        <f t="shared" si="52"/>
        <v>1.5185723665600535</v>
      </c>
      <c r="D1715">
        <v>1</v>
      </c>
      <c r="E1715">
        <f t="shared" si="53"/>
        <v>5.1821752370718156E-2</v>
      </c>
    </row>
    <row r="1716" spans="1:5" x14ac:dyDescent="0.25">
      <c r="A1716">
        <v>0</v>
      </c>
      <c r="B1716">
        <v>-6.8862275449101798E-2</v>
      </c>
      <c r="C1716">
        <f t="shared" si="52"/>
        <v>1.5189092006558893</v>
      </c>
      <c r="D1716">
        <v>1</v>
      </c>
      <c r="E1716">
        <f t="shared" si="53"/>
        <v>5.1821752370718156E-2</v>
      </c>
    </row>
    <row r="1717" spans="1:5" x14ac:dyDescent="0.25">
      <c r="A1717">
        <v>0</v>
      </c>
      <c r="B1717">
        <v>-6.8862275449101798E-2</v>
      </c>
      <c r="C1717">
        <f t="shared" si="52"/>
        <v>1.5189092006558893</v>
      </c>
      <c r="D1717">
        <v>1</v>
      </c>
      <c r="E1717">
        <f t="shared" si="53"/>
        <v>5.1821752370718156E-2</v>
      </c>
    </row>
    <row r="1718" spans="1:5" x14ac:dyDescent="0.25">
      <c r="A1718">
        <v>0</v>
      </c>
      <c r="B1718">
        <v>-6.8333333333333302E-2</v>
      </c>
      <c r="C1718">
        <f t="shared" si="52"/>
        <v>1.5201990046159146</v>
      </c>
      <c r="D1718">
        <v>1</v>
      </c>
      <c r="E1718">
        <f t="shared" si="53"/>
        <v>5.1821752370718156E-2</v>
      </c>
    </row>
    <row r="1719" spans="1:5" x14ac:dyDescent="0.25">
      <c r="A1719">
        <v>0</v>
      </c>
      <c r="B1719">
        <v>-6.8333333333333302E-2</v>
      </c>
      <c r="C1719">
        <f t="shared" si="52"/>
        <v>1.5201990046159146</v>
      </c>
      <c r="D1719">
        <v>1</v>
      </c>
      <c r="E1719">
        <f t="shared" si="53"/>
        <v>5.1821752370718156E-2</v>
      </c>
    </row>
    <row r="1720" spans="1:5" x14ac:dyDescent="0.25">
      <c r="A1720">
        <v>0</v>
      </c>
      <c r="B1720">
        <v>-6.8000000000000005E-2</v>
      </c>
      <c r="C1720">
        <f t="shared" si="52"/>
        <v>1.5210086935891671</v>
      </c>
      <c r="D1720">
        <v>1</v>
      </c>
      <c r="E1720">
        <f t="shared" si="53"/>
        <v>5.1821752370718156E-2</v>
      </c>
    </row>
    <row r="1721" spans="1:5" x14ac:dyDescent="0.25">
      <c r="A1721">
        <v>0</v>
      </c>
      <c r="B1721">
        <v>-6.8000000000000005E-2</v>
      </c>
      <c r="C1721">
        <f t="shared" si="52"/>
        <v>1.5210086935891671</v>
      </c>
      <c r="D1721">
        <v>1</v>
      </c>
      <c r="E1721">
        <f t="shared" si="53"/>
        <v>5.1821752370718156E-2</v>
      </c>
    </row>
    <row r="1722" spans="1:5" x14ac:dyDescent="0.25">
      <c r="A1722">
        <v>0</v>
      </c>
      <c r="B1722">
        <v>-6.8000000000000005E-2</v>
      </c>
      <c r="C1722">
        <f t="shared" si="52"/>
        <v>1.5210086935891671</v>
      </c>
      <c r="D1722">
        <v>1</v>
      </c>
      <c r="E1722">
        <f t="shared" si="53"/>
        <v>5.1821752370718156E-2</v>
      </c>
    </row>
    <row r="1723" spans="1:5" x14ac:dyDescent="0.25">
      <c r="A1723">
        <v>0</v>
      </c>
      <c r="B1723">
        <v>-6.8000000000000005E-2</v>
      </c>
      <c r="C1723">
        <f t="shared" si="52"/>
        <v>1.5210086935891671</v>
      </c>
      <c r="D1723">
        <v>1</v>
      </c>
      <c r="E1723">
        <f t="shared" si="53"/>
        <v>5.1821752370718156E-2</v>
      </c>
    </row>
    <row r="1724" spans="1:5" x14ac:dyDescent="0.25">
      <c r="A1724">
        <v>0</v>
      </c>
      <c r="B1724">
        <v>-6.8000000000000005E-2</v>
      </c>
      <c r="C1724">
        <f t="shared" si="52"/>
        <v>1.5210086935891671</v>
      </c>
      <c r="D1724">
        <v>1</v>
      </c>
      <c r="E1724">
        <f t="shared" si="53"/>
        <v>5.1821752370718156E-2</v>
      </c>
    </row>
    <row r="1725" spans="1:5" x14ac:dyDescent="0.25">
      <c r="A1725">
        <v>0</v>
      </c>
      <c r="B1725">
        <v>-6.8000000000000005E-2</v>
      </c>
      <c r="C1725">
        <f t="shared" si="52"/>
        <v>1.5210086935891671</v>
      </c>
      <c r="D1725">
        <v>1</v>
      </c>
      <c r="E1725">
        <f t="shared" si="53"/>
        <v>5.1821752370718156E-2</v>
      </c>
    </row>
    <row r="1726" spans="1:5" x14ac:dyDescent="0.25">
      <c r="A1726">
        <v>0</v>
      </c>
      <c r="B1726">
        <v>-6.8000000000000005E-2</v>
      </c>
      <c r="C1726">
        <f t="shared" si="52"/>
        <v>1.5210086935891671</v>
      </c>
      <c r="D1726">
        <v>1</v>
      </c>
      <c r="E1726">
        <f t="shared" si="53"/>
        <v>5.1821752370718156E-2</v>
      </c>
    </row>
    <row r="1727" spans="1:5" x14ac:dyDescent="0.25">
      <c r="A1727">
        <v>0</v>
      </c>
      <c r="B1727">
        <v>-6.8000000000000005E-2</v>
      </c>
      <c r="C1727">
        <f t="shared" si="52"/>
        <v>1.5210086935891671</v>
      </c>
      <c r="D1727">
        <v>1</v>
      </c>
      <c r="E1727">
        <f t="shared" si="53"/>
        <v>5.1821752370718156E-2</v>
      </c>
    </row>
    <row r="1728" spans="1:5" x14ac:dyDescent="0.25">
      <c r="A1728">
        <v>0</v>
      </c>
      <c r="B1728">
        <v>-6.7961165048543701E-2</v>
      </c>
      <c r="C1728">
        <f t="shared" si="52"/>
        <v>1.5211028685950756</v>
      </c>
      <c r="D1728">
        <v>1</v>
      </c>
      <c r="E1728">
        <f t="shared" si="53"/>
        <v>5.1821752370718156E-2</v>
      </c>
    </row>
    <row r="1729" spans="1:5" x14ac:dyDescent="0.25">
      <c r="A1729">
        <v>0</v>
      </c>
      <c r="B1729">
        <v>-6.77570093457944E-2</v>
      </c>
      <c r="C1729">
        <f t="shared" si="52"/>
        <v>1.5215974056807346</v>
      </c>
      <c r="D1729">
        <v>1</v>
      </c>
      <c r="E1729">
        <f t="shared" si="53"/>
        <v>5.1821752370718156E-2</v>
      </c>
    </row>
    <row r="1730" spans="1:5" x14ac:dyDescent="0.25">
      <c r="A1730">
        <v>0</v>
      </c>
      <c r="B1730">
        <v>-6.75990675990676E-2</v>
      </c>
      <c r="C1730">
        <f t="shared" ref="C1730:C1793" si="54">_xlfn.NORM.DIST(B1730,I$10,I$13,FALSE)</f>
        <v>1.5219793712142253</v>
      </c>
      <c r="D1730">
        <v>1</v>
      </c>
      <c r="E1730">
        <f t="shared" si="53"/>
        <v>5.1821752370718156E-2</v>
      </c>
    </row>
    <row r="1731" spans="1:5" x14ac:dyDescent="0.25">
      <c r="A1731">
        <v>0</v>
      </c>
      <c r="B1731">
        <v>-6.7000000000000004E-2</v>
      </c>
      <c r="C1731">
        <f t="shared" si="54"/>
        <v>1.5234231883551694</v>
      </c>
      <c r="D1731">
        <v>1</v>
      </c>
      <c r="E1731">
        <f t="shared" ref="E1731:E1794" si="55">_xlfn.NORM.DIST(D1731,I$4,I$7,FALSE)</f>
        <v>5.1821752370718156E-2</v>
      </c>
    </row>
    <row r="1732" spans="1:5" x14ac:dyDescent="0.25">
      <c r="A1732">
        <v>0</v>
      </c>
      <c r="B1732">
        <v>-6.7000000000000004E-2</v>
      </c>
      <c r="C1732">
        <f t="shared" si="54"/>
        <v>1.5234231883551694</v>
      </c>
      <c r="D1732">
        <v>1</v>
      </c>
      <c r="E1732">
        <f t="shared" si="55"/>
        <v>5.1821752370718156E-2</v>
      </c>
    </row>
    <row r="1733" spans="1:5" x14ac:dyDescent="0.25">
      <c r="A1733">
        <v>0</v>
      </c>
      <c r="B1733">
        <v>-6.6666666666666693E-2</v>
      </c>
      <c r="C1733">
        <f t="shared" si="54"/>
        <v>1.5242231481992738</v>
      </c>
      <c r="D1733">
        <v>1</v>
      </c>
      <c r="E1733">
        <f t="shared" si="55"/>
        <v>5.1821752370718156E-2</v>
      </c>
    </row>
    <row r="1734" spans="1:5" x14ac:dyDescent="0.25">
      <c r="A1734">
        <v>0</v>
      </c>
      <c r="B1734">
        <v>-6.6666666666666693E-2</v>
      </c>
      <c r="C1734">
        <f t="shared" si="54"/>
        <v>1.5242231481992738</v>
      </c>
      <c r="D1734">
        <v>1</v>
      </c>
      <c r="E1734">
        <f t="shared" si="55"/>
        <v>5.1821752370718156E-2</v>
      </c>
    </row>
    <row r="1735" spans="1:5" x14ac:dyDescent="0.25">
      <c r="A1735">
        <v>0</v>
      </c>
      <c r="B1735">
        <v>-6.6666666666666693E-2</v>
      </c>
      <c r="C1735">
        <f t="shared" si="54"/>
        <v>1.5242231481992738</v>
      </c>
      <c r="D1735">
        <v>1</v>
      </c>
      <c r="E1735">
        <f t="shared" si="55"/>
        <v>5.1821752370718156E-2</v>
      </c>
    </row>
    <row r="1736" spans="1:5" x14ac:dyDescent="0.25">
      <c r="A1736">
        <v>0</v>
      </c>
      <c r="B1736">
        <v>-6.6666666666666693E-2</v>
      </c>
      <c r="C1736">
        <f t="shared" si="54"/>
        <v>1.5242231481992738</v>
      </c>
      <c r="D1736">
        <v>1</v>
      </c>
      <c r="E1736">
        <f t="shared" si="55"/>
        <v>5.1821752370718156E-2</v>
      </c>
    </row>
    <row r="1737" spans="1:5" x14ac:dyDescent="0.25">
      <c r="A1737">
        <v>0</v>
      </c>
      <c r="B1737">
        <v>-6.6666666666666693E-2</v>
      </c>
      <c r="C1737">
        <f t="shared" si="54"/>
        <v>1.5242231481992738</v>
      </c>
      <c r="D1737">
        <v>1</v>
      </c>
      <c r="E1737">
        <f t="shared" si="55"/>
        <v>5.1821752370718156E-2</v>
      </c>
    </row>
    <row r="1738" spans="1:5" x14ac:dyDescent="0.25">
      <c r="A1738">
        <v>0</v>
      </c>
      <c r="B1738">
        <v>-6.6666666666666693E-2</v>
      </c>
      <c r="C1738">
        <f t="shared" si="54"/>
        <v>1.5242231481992738</v>
      </c>
      <c r="D1738">
        <v>1</v>
      </c>
      <c r="E1738">
        <f t="shared" si="55"/>
        <v>5.1821752370718156E-2</v>
      </c>
    </row>
    <row r="1739" spans="1:5" x14ac:dyDescent="0.25">
      <c r="A1739">
        <v>0</v>
      </c>
      <c r="B1739">
        <v>-6.6666666666666693E-2</v>
      </c>
      <c r="C1739">
        <f t="shared" si="54"/>
        <v>1.5242231481992738</v>
      </c>
      <c r="D1739">
        <v>1</v>
      </c>
      <c r="E1739">
        <f t="shared" si="55"/>
        <v>5.1821752370718156E-2</v>
      </c>
    </row>
    <row r="1740" spans="1:5" x14ac:dyDescent="0.25">
      <c r="A1740">
        <v>0</v>
      </c>
      <c r="B1740">
        <v>-6.6666666666666693E-2</v>
      </c>
      <c r="C1740">
        <f t="shared" si="54"/>
        <v>1.5242231481992738</v>
      </c>
      <c r="D1740">
        <v>1</v>
      </c>
      <c r="E1740">
        <f t="shared" si="55"/>
        <v>5.1821752370718156E-2</v>
      </c>
    </row>
    <row r="1741" spans="1:5" x14ac:dyDescent="0.25">
      <c r="A1741">
        <v>0</v>
      </c>
      <c r="B1741">
        <v>-6.6666666666666693E-2</v>
      </c>
      <c r="C1741">
        <f t="shared" si="54"/>
        <v>1.5242231481992738</v>
      </c>
      <c r="D1741">
        <v>1</v>
      </c>
      <c r="E1741">
        <f t="shared" si="55"/>
        <v>5.1821752370718156E-2</v>
      </c>
    </row>
    <row r="1742" spans="1:5" x14ac:dyDescent="0.25">
      <c r="A1742">
        <v>0</v>
      </c>
      <c r="B1742">
        <v>-6.6666666666666693E-2</v>
      </c>
      <c r="C1742">
        <f t="shared" si="54"/>
        <v>1.5242231481992738</v>
      </c>
      <c r="D1742">
        <v>1</v>
      </c>
      <c r="E1742">
        <f t="shared" si="55"/>
        <v>5.1821752370718156E-2</v>
      </c>
    </row>
    <row r="1743" spans="1:5" x14ac:dyDescent="0.25">
      <c r="A1743">
        <v>0</v>
      </c>
      <c r="B1743">
        <v>-6.6666666666666693E-2</v>
      </c>
      <c r="C1743">
        <f t="shared" si="54"/>
        <v>1.5242231481992738</v>
      </c>
      <c r="D1743">
        <v>1</v>
      </c>
      <c r="E1743">
        <f t="shared" si="55"/>
        <v>5.1821752370718156E-2</v>
      </c>
    </row>
    <row r="1744" spans="1:5" x14ac:dyDescent="0.25">
      <c r="A1744">
        <v>0</v>
      </c>
      <c r="B1744">
        <v>-6.6666666666666693E-2</v>
      </c>
      <c r="C1744">
        <f t="shared" si="54"/>
        <v>1.5242231481992738</v>
      </c>
      <c r="D1744">
        <v>1</v>
      </c>
      <c r="E1744">
        <f t="shared" si="55"/>
        <v>5.1821752370718156E-2</v>
      </c>
    </row>
    <row r="1745" spans="1:5" x14ac:dyDescent="0.25">
      <c r="A1745">
        <v>0</v>
      </c>
      <c r="B1745">
        <v>-6.6666666666666693E-2</v>
      </c>
      <c r="C1745">
        <f t="shared" si="54"/>
        <v>1.5242231481992738</v>
      </c>
      <c r="D1745">
        <v>1</v>
      </c>
      <c r="E1745">
        <f t="shared" si="55"/>
        <v>5.1821752370718156E-2</v>
      </c>
    </row>
    <row r="1746" spans="1:5" x14ac:dyDescent="0.25">
      <c r="A1746">
        <v>0</v>
      </c>
      <c r="B1746">
        <v>-6.6666666666666693E-2</v>
      </c>
      <c r="C1746">
        <f t="shared" si="54"/>
        <v>1.5242231481992738</v>
      </c>
      <c r="D1746">
        <v>1</v>
      </c>
      <c r="E1746">
        <f t="shared" si="55"/>
        <v>5.1821752370718156E-2</v>
      </c>
    </row>
    <row r="1747" spans="1:5" x14ac:dyDescent="0.25">
      <c r="A1747">
        <v>0</v>
      </c>
      <c r="B1747">
        <v>-6.6666666666666693E-2</v>
      </c>
      <c r="C1747">
        <f t="shared" si="54"/>
        <v>1.5242231481992738</v>
      </c>
      <c r="D1747">
        <v>1</v>
      </c>
      <c r="E1747">
        <f t="shared" si="55"/>
        <v>5.1821752370718156E-2</v>
      </c>
    </row>
    <row r="1748" spans="1:5" x14ac:dyDescent="0.25">
      <c r="A1748">
        <v>0</v>
      </c>
      <c r="B1748">
        <v>-6.6666666666666693E-2</v>
      </c>
      <c r="C1748">
        <f t="shared" si="54"/>
        <v>1.5242231481992738</v>
      </c>
      <c r="D1748">
        <v>1</v>
      </c>
      <c r="E1748">
        <f t="shared" si="55"/>
        <v>5.1821752370718156E-2</v>
      </c>
    </row>
    <row r="1749" spans="1:5" x14ac:dyDescent="0.25">
      <c r="A1749">
        <v>0</v>
      </c>
      <c r="B1749">
        <v>-6.6666666666666693E-2</v>
      </c>
      <c r="C1749">
        <f t="shared" si="54"/>
        <v>1.5242231481992738</v>
      </c>
      <c r="D1749">
        <v>1</v>
      </c>
      <c r="E1749">
        <f t="shared" si="55"/>
        <v>5.1821752370718156E-2</v>
      </c>
    </row>
    <row r="1750" spans="1:5" x14ac:dyDescent="0.25">
      <c r="A1750">
        <v>0</v>
      </c>
      <c r="B1750">
        <v>-6.6666666666666693E-2</v>
      </c>
      <c r="C1750">
        <f t="shared" si="54"/>
        <v>1.5242231481992738</v>
      </c>
      <c r="D1750">
        <v>1</v>
      </c>
      <c r="E1750">
        <f t="shared" si="55"/>
        <v>5.1821752370718156E-2</v>
      </c>
    </row>
    <row r="1751" spans="1:5" x14ac:dyDescent="0.25">
      <c r="A1751">
        <v>0</v>
      </c>
      <c r="B1751">
        <v>-6.6666666666666693E-2</v>
      </c>
      <c r="C1751">
        <f t="shared" si="54"/>
        <v>1.5242231481992738</v>
      </c>
      <c r="D1751">
        <v>1</v>
      </c>
      <c r="E1751">
        <f t="shared" si="55"/>
        <v>5.1821752370718156E-2</v>
      </c>
    </row>
    <row r="1752" spans="1:5" x14ac:dyDescent="0.25">
      <c r="A1752">
        <v>0</v>
      </c>
      <c r="B1752">
        <v>-6.6066066066066104E-2</v>
      </c>
      <c r="C1752">
        <f t="shared" si="54"/>
        <v>1.5256583478565189</v>
      </c>
      <c r="D1752">
        <v>1</v>
      </c>
      <c r="E1752">
        <f t="shared" si="55"/>
        <v>5.1821752370718156E-2</v>
      </c>
    </row>
    <row r="1753" spans="1:5" x14ac:dyDescent="0.25">
      <c r="A1753">
        <v>0</v>
      </c>
      <c r="B1753">
        <v>-6.6066066066066104E-2</v>
      </c>
      <c r="C1753">
        <f t="shared" si="54"/>
        <v>1.5256583478565189</v>
      </c>
      <c r="D1753">
        <v>1</v>
      </c>
      <c r="E1753">
        <f t="shared" si="55"/>
        <v>5.1821752370718156E-2</v>
      </c>
    </row>
    <row r="1754" spans="1:5" x14ac:dyDescent="0.25">
      <c r="A1754">
        <v>0</v>
      </c>
      <c r="B1754">
        <v>-6.6066066066066104E-2</v>
      </c>
      <c r="C1754">
        <f t="shared" si="54"/>
        <v>1.5256583478565189</v>
      </c>
      <c r="D1754">
        <v>1</v>
      </c>
      <c r="E1754">
        <f t="shared" si="55"/>
        <v>5.1821752370718156E-2</v>
      </c>
    </row>
    <row r="1755" spans="1:5" x14ac:dyDescent="0.25">
      <c r="A1755">
        <v>0</v>
      </c>
      <c r="B1755">
        <v>-6.6066066066066104E-2</v>
      </c>
      <c r="C1755">
        <f t="shared" si="54"/>
        <v>1.5256583478565189</v>
      </c>
      <c r="D1755">
        <v>1</v>
      </c>
      <c r="E1755">
        <f t="shared" si="55"/>
        <v>5.1821752370718156E-2</v>
      </c>
    </row>
    <row r="1756" spans="1:5" x14ac:dyDescent="0.25">
      <c r="A1756">
        <v>0</v>
      </c>
      <c r="B1756">
        <v>-6.6066066066066104E-2</v>
      </c>
      <c r="C1756">
        <f t="shared" si="54"/>
        <v>1.5256583478565189</v>
      </c>
      <c r="D1756">
        <v>1</v>
      </c>
      <c r="E1756">
        <f t="shared" si="55"/>
        <v>5.1821752370718156E-2</v>
      </c>
    </row>
    <row r="1757" spans="1:5" x14ac:dyDescent="0.25">
      <c r="A1757">
        <v>0</v>
      </c>
      <c r="B1757">
        <v>-6.6000000000000003E-2</v>
      </c>
      <c r="C1757">
        <f t="shared" si="54"/>
        <v>1.5258157345429666</v>
      </c>
      <c r="D1757">
        <v>1</v>
      </c>
      <c r="E1757">
        <f t="shared" si="55"/>
        <v>5.1821752370718156E-2</v>
      </c>
    </row>
    <row r="1758" spans="1:5" x14ac:dyDescent="0.25">
      <c r="A1758">
        <v>0</v>
      </c>
      <c r="B1758">
        <v>-6.6000000000000003E-2</v>
      </c>
      <c r="C1758">
        <f t="shared" si="54"/>
        <v>1.5258157345429666</v>
      </c>
      <c r="D1758">
        <v>1</v>
      </c>
      <c r="E1758">
        <f t="shared" si="55"/>
        <v>5.1821752370718156E-2</v>
      </c>
    </row>
    <row r="1759" spans="1:5" x14ac:dyDescent="0.25">
      <c r="A1759">
        <v>0</v>
      </c>
      <c r="B1759">
        <v>-6.6000000000000003E-2</v>
      </c>
      <c r="C1759">
        <f t="shared" si="54"/>
        <v>1.5258157345429666</v>
      </c>
      <c r="D1759">
        <v>1</v>
      </c>
      <c r="E1759">
        <f t="shared" si="55"/>
        <v>5.1821752370718156E-2</v>
      </c>
    </row>
    <row r="1760" spans="1:5" x14ac:dyDescent="0.25">
      <c r="A1760">
        <v>0</v>
      </c>
      <c r="B1760">
        <v>-6.6000000000000003E-2</v>
      </c>
      <c r="C1760">
        <f t="shared" si="54"/>
        <v>1.5258157345429666</v>
      </c>
      <c r="D1760">
        <v>1</v>
      </c>
      <c r="E1760">
        <f t="shared" si="55"/>
        <v>5.1821752370718156E-2</v>
      </c>
    </row>
    <row r="1761" spans="1:5" x14ac:dyDescent="0.25">
      <c r="A1761">
        <v>0</v>
      </c>
      <c r="B1761">
        <v>-6.6000000000000003E-2</v>
      </c>
      <c r="C1761">
        <f t="shared" si="54"/>
        <v>1.5258157345429666</v>
      </c>
      <c r="D1761">
        <v>1</v>
      </c>
      <c r="E1761">
        <f t="shared" si="55"/>
        <v>5.1821752370718156E-2</v>
      </c>
    </row>
    <row r="1762" spans="1:5" x14ac:dyDescent="0.25">
      <c r="A1762">
        <v>0</v>
      </c>
      <c r="B1762">
        <v>-6.6000000000000003E-2</v>
      </c>
      <c r="C1762">
        <f t="shared" si="54"/>
        <v>1.5258157345429666</v>
      </c>
      <c r="D1762">
        <v>1</v>
      </c>
      <c r="E1762">
        <f t="shared" si="55"/>
        <v>5.1821752370718156E-2</v>
      </c>
    </row>
    <row r="1763" spans="1:5" x14ac:dyDescent="0.25">
      <c r="A1763">
        <v>0</v>
      </c>
      <c r="B1763">
        <v>-6.6000000000000003E-2</v>
      </c>
      <c r="C1763">
        <f t="shared" si="54"/>
        <v>1.5258157345429666</v>
      </c>
      <c r="D1763">
        <v>1</v>
      </c>
      <c r="E1763">
        <f t="shared" si="55"/>
        <v>5.1821752370718156E-2</v>
      </c>
    </row>
    <row r="1764" spans="1:5" x14ac:dyDescent="0.25">
      <c r="A1764">
        <v>0</v>
      </c>
      <c r="B1764">
        <v>-6.6000000000000003E-2</v>
      </c>
      <c r="C1764">
        <f t="shared" si="54"/>
        <v>1.5258157345429666</v>
      </c>
      <c r="D1764">
        <v>1</v>
      </c>
      <c r="E1764">
        <f t="shared" si="55"/>
        <v>5.1821752370718156E-2</v>
      </c>
    </row>
    <row r="1765" spans="1:5" x14ac:dyDescent="0.25">
      <c r="A1765">
        <v>0</v>
      </c>
      <c r="B1765">
        <v>-6.6000000000000003E-2</v>
      </c>
      <c r="C1765">
        <f t="shared" si="54"/>
        <v>1.5258157345429666</v>
      </c>
      <c r="D1765">
        <v>1</v>
      </c>
      <c r="E1765">
        <f t="shared" si="55"/>
        <v>5.1821752370718156E-2</v>
      </c>
    </row>
    <row r="1766" spans="1:5" x14ac:dyDescent="0.25">
      <c r="A1766">
        <v>0</v>
      </c>
      <c r="B1766">
        <v>-6.5868263473053898E-2</v>
      </c>
      <c r="C1766">
        <f t="shared" si="54"/>
        <v>1.5261292779773636</v>
      </c>
      <c r="D1766">
        <v>1</v>
      </c>
      <c r="E1766">
        <f t="shared" si="55"/>
        <v>5.1821752370718156E-2</v>
      </c>
    </row>
    <row r="1767" spans="1:5" x14ac:dyDescent="0.25">
      <c r="A1767">
        <v>0</v>
      </c>
      <c r="B1767">
        <v>-6.5868263473053898E-2</v>
      </c>
      <c r="C1767">
        <f t="shared" si="54"/>
        <v>1.5261292779773636</v>
      </c>
      <c r="D1767">
        <v>1</v>
      </c>
      <c r="E1767">
        <f t="shared" si="55"/>
        <v>5.1821752370718156E-2</v>
      </c>
    </row>
    <row r="1768" spans="1:5" x14ac:dyDescent="0.25">
      <c r="A1768">
        <v>0</v>
      </c>
      <c r="B1768">
        <v>-6.5868263473053898E-2</v>
      </c>
      <c r="C1768">
        <f t="shared" si="54"/>
        <v>1.5261292779773636</v>
      </c>
      <c r="D1768">
        <v>1</v>
      </c>
      <c r="E1768">
        <f t="shared" si="55"/>
        <v>5.1821752370718156E-2</v>
      </c>
    </row>
    <row r="1769" spans="1:5" x14ac:dyDescent="0.25">
      <c r="A1769">
        <v>0</v>
      </c>
      <c r="B1769">
        <v>-6.5868263473053898E-2</v>
      </c>
      <c r="C1769">
        <f t="shared" si="54"/>
        <v>1.5261292779773636</v>
      </c>
      <c r="D1769">
        <v>1</v>
      </c>
      <c r="E1769">
        <f t="shared" si="55"/>
        <v>5.1821752370718156E-2</v>
      </c>
    </row>
    <row r="1770" spans="1:5" x14ac:dyDescent="0.25">
      <c r="A1770">
        <v>0</v>
      </c>
      <c r="B1770">
        <v>-6.5868263473053898E-2</v>
      </c>
      <c r="C1770">
        <f t="shared" si="54"/>
        <v>1.5261292779773636</v>
      </c>
      <c r="D1770">
        <v>1</v>
      </c>
      <c r="E1770">
        <f t="shared" si="55"/>
        <v>5.1821752370718156E-2</v>
      </c>
    </row>
    <row r="1771" spans="1:5" x14ac:dyDescent="0.25">
      <c r="A1771">
        <v>0</v>
      </c>
      <c r="B1771">
        <v>-6.5420560747663503E-2</v>
      </c>
      <c r="C1771">
        <f t="shared" si="54"/>
        <v>1.5271919807308427</v>
      </c>
      <c r="D1771">
        <v>1</v>
      </c>
      <c r="E1771">
        <f t="shared" si="55"/>
        <v>5.1821752370718156E-2</v>
      </c>
    </row>
    <row r="1772" spans="1:5" x14ac:dyDescent="0.25">
      <c r="A1772">
        <v>0</v>
      </c>
      <c r="B1772">
        <v>-6.5420560747663503E-2</v>
      </c>
      <c r="C1772">
        <f t="shared" si="54"/>
        <v>1.5271919807308427</v>
      </c>
      <c r="D1772">
        <v>1</v>
      </c>
      <c r="E1772">
        <f t="shared" si="55"/>
        <v>5.1821752370718156E-2</v>
      </c>
    </row>
    <row r="1773" spans="1:5" x14ac:dyDescent="0.25">
      <c r="A1773">
        <v>0</v>
      </c>
      <c r="B1773">
        <v>-6.5420560747663503E-2</v>
      </c>
      <c r="C1773">
        <f t="shared" si="54"/>
        <v>1.5271919807308427</v>
      </c>
      <c r="D1773">
        <v>1</v>
      </c>
      <c r="E1773">
        <f t="shared" si="55"/>
        <v>5.1821752370718156E-2</v>
      </c>
    </row>
    <row r="1774" spans="1:5" x14ac:dyDescent="0.25">
      <c r="A1774">
        <v>0</v>
      </c>
      <c r="B1774">
        <v>-6.5420560747663503E-2</v>
      </c>
      <c r="C1774">
        <f t="shared" si="54"/>
        <v>1.5271919807308427</v>
      </c>
      <c r="D1774">
        <v>1</v>
      </c>
      <c r="E1774">
        <f t="shared" si="55"/>
        <v>5.1821752370718156E-2</v>
      </c>
    </row>
    <row r="1775" spans="1:5" x14ac:dyDescent="0.25">
      <c r="A1775">
        <v>0</v>
      </c>
      <c r="B1775">
        <v>-6.5333333333333299E-2</v>
      </c>
      <c r="C1775">
        <f t="shared" si="54"/>
        <v>1.5273985146613305</v>
      </c>
      <c r="D1775">
        <v>1</v>
      </c>
      <c r="E1775">
        <f t="shared" si="55"/>
        <v>5.1821752370718156E-2</v>
      </c>
    </row>
    <row r="1776" spans="1:5" x14ac:dyDescent="0.25">
      <c r="A1776">
        <v>0</v>
      </c>
      <c r="B1776">
        <v>-6.5268065268065306E-2</v>
      </c>
      <c r="C1776">
        <f t="shared" si="54"/>
        <v>1.527552943857194</v>
      </c>
      <c r="D1776">
        <v>1</v>
      </c>
      <c r="E1776">
        <f t="shared" si="55"/>
        <v>5.1821752370718156E-2</v>
      </c>
    </row>
    <row r="1777" spans="1:5" x14ac:dyDescent="0.25">
      <c r="A1777">
        <v>0</v>
      </c>
      <c r="B1777">
        <v>-6.5268065268065306E-2</v>
      </c>
      <c r="C1777">
        <f t="shared" si="54"/>
        <v>1.527552943857194</v>
      </c>
      <c r="D1777">
        <v>1</v>
      </c>
      <c r="E1777">
        <f t="shared" si="55"/>
        <v>5.1821752370718156E-2</v>
      </c>
    </row>
    <row r="1778" spans="1:5" x14ac:dyDescent="0.25">
      <c r="A1778">
        <v>0</v>
      </c>
      <c r="B1778">
        <v>-6.5268065268065306E-2</v>
      </c>
      <c r="C1778">
        <f t="shared" si="54"/>
        <v>1.527552943857194</v>
      </c>
      <c r="D1778">
        <v>1</v>
      </c>
      <c r="E1778">
        <f t="shared" si="55"/>
        <v>5.1821752370718156E-2</v>
      </c>
    </row>
    <row r="1779" spans="1:5" x14ac:dyDescent="0.25">
      <c r="A1779">
        <v>0</v>
      </c>
      <c r="B1779">
        <v>-6.5268065268065306E-2</v>
      </c>
      <c r="C1779">
        <f t="shared" si="54"/>
        <v>1.527552943857194</v>
      </c>
      <c r="D1779">
        <v>1</v>
      </c>
      <c r="E1779">
        <f t="shared" si="55"/>
        <v>5.1821752370718156E-2</v>
      </c>
    </row>
    <row r="1780" spans="1:5" x14ac:dyDescent="0.25">
      <c r="A1780">
        <v>0</v>
      </c>
      <c r="B1780">
        <v>-6.5000000000000002E-2</v>
      </c>
      <c r="C1780">
        <f t="shared" si="54"/>
        <v>1.5281862167672493</v>
      </c>
      <c r="D1780">
        <v>1</v>
      </c>
      <c r="E1780">
        <f t="shared" si="55"/>
        <v>5.1821752370718156E-2</v>
      </c>
    </row>
    <row r="1781" spans="1:5" x14ac:dyDescent="0.25">
      <c r="A1781">
        <v>0</v>
      </c>
      <c r="B1781">
        <v>-6.5000000000000002E-2</v>
      </c>
      <c r="C1781">
        <f t="shared" si="54"/>
        <v>1.5281862167672493</v>
      </c>
      <c r="D1781">
        <v>1</v>
      </c>
      <c r="E1781">
        <f t="shared" si="55"/>
        <v>5.1821752370718156E-2</v>
      </c>
    </row>
    <row r="1782" spans="1:5" x14ac:dyDescent="0.25">
      <c r="A1782">
        <v>0</v>
      </c>
      <c r="B1782">
        <v>-6.4000000000000001E-2</v>
      </c>
      <c r="C1782">
        <f t="shared" si="54"/>
        <v>1.5305345205817562</v>
      </c>
      <c r="D1782">
        <v>1</v>
      </c>
      <c r="E1782">
        <f t="shared" si="55"/>
        <v>5.1821752370718156E-2</v>
      </c>
    </row>
    <row r="1783" spans="1:5" x14ac:dyDescent="0.25">
      <c r="A1783">
        <v>0</v>
      </c>
      <c r="B1783">
        <v>-6.4000000000000001E-2</v>
      </c>
      <c r="C1783">
        <f t="shared" si="54"/>
        <v>1.5305345205817562</v>
      </c>
      <c r="D1783">
        <v>1</v>
      </c>
      <c r="E1783">
        <f t="shared" si="55"/>
        <v>5.1821752370718156E-2</v>
      </c>
    </row>
    <row r="1784" spans="1:5" x14ac:dyDescent="0.25">
      <c r="A1784">
        <v>0</v>
      </c>
      <c r="B1784">
        <v>-6.4000000000000001E-2</v>
      </c>
      <c r="C1784">
        <f t="shared" si="54"/>
        <v>1.5305345205817562</v>
      </c>
      <c r="D1784">
        <v>1</v>
      </c>
      <c r="E1784">
        <f t="shared" si="55"/>
        <v>5.1821752370718156E-2</v>
      </c>
    </row>
    <row r="1785" spans="1:5" x14ac:dyDescent="0.25">
      <c r="A1785">
        <v>0</v>
      </c>
      <c r="B1785">
        <v>-6.4000000000000001E-2</v>
      </c>
      <c r="C1785">
        <f t="shared" si="54"/>
        <v>1.5305345205817562</v>
      </c>
      <c r="D1785">
        <v>1</v>
      </c>
      <c r="E1785">
        <f t="shared" si="55"/>
        <v>5.1821752370718156E-2</v>
      </c>
    </row>
    <row r="1786" spans="1:5" x14ac:dyDescent="0.25">
      <c r="A1786">
        <v>0</v>
      </c>
      <c r="B1786">
        <v>-6.4000000000000001E-2</v>
      </c>
      <c r="C1786">
        <f t="shared" si="54"/>
        <v>1.5305345205817562</v>
      </c>
      <c r="D1786">
        <v>1</v>
      </c>
      <c r="E1786">
        <f t="shared" si="55"/>
        <v>5.1821752370718156E-2</v>
      </c>
    </row>
    <row r="1787" spans="1:5" x14ac:dyDescent="0.25">
      <c r="A1787">
        <v>0</v>
      </c>
      <c r="B1787">
        <v>-6.4000000000000001E-2</v>
      </c>
      <c r="C1787">
        <f t="shared" si="54"/>
        <v>1.5305345205817562</v>
      </c>
      <c r="D1787">
        <v>1</v>
      </c>
      <c r="E1787">
        <f t="shared" si="55"/>
        <v>5.1821752370718156E-2</v>
      </c>
    </row>
    <row r="1788" spans="1:5" x14ac:dyDescent="0.25">
      <c r="A1788">
        <v>0</v>
      </c>
      <c r="B1788">
        <v>-6.4000000000000001E-2</v>
      </c>
      <c r="C1788">
        <f t="shared" si="54"/>
        <v>1.5305345205817562</v>
      </c>
      <c r="D1788">
        <v>1</v>
      </c>
      <c r="E1788">
        <f t="shared" si="55"/>
        <v>5.1821752370718156E-2</v>
      </c>
    </row>
    <row r="1789" spans="1:5" x14ac:dyDescent="0.25">
      <c r="A1789">
        <v>0</v>
      </c>
      <c r="B1789">
        <v>-6.4000000000000001E-2</v>
      </c>
      <c r="C1789">
        <f t="shared" si="54"/>
        <v>1.5305345205817562</v>
      </c>
      <c r="D1789">
        <v>1</v>
      </c>
      <c r="E1789">
        <f t="shared" si="55"/>
        <v>5.1821752370718156E-2</v>
      </c>
    </row>
    <row r="1790" spans="1:5" x14ac:dyDescent="0.25">
      <c r="A1790">
        <v>0</v>
      </c>
      <c r="B1790">
        <v>-6.3333333333333297E-2</v>
      </c>
      <c r="C1790">
        <f t="shared" si="54"/>
        <v>1.5320876790316298</v>
      </c>
      <c r="D1790">
        <v>1</v>
      </c>
      <c r="E1790">
        <f t="shared" si="55"/>
        <v>5.1821752370718156E-2</v>
      </c>
    </row>
    <row r="1791" spans="1:5" x14ac:dyDescent="0.25">
      <c r="A1791">
        <v>0</v>
      </c>
      <c r="B1791">
        <v>-6.3333333333333297E-2</v>
      </c>
      <c r="C1791">
        <f t="shared" si="54"/>
        <v>1.5320876790316298</v>
      </c>
      <c r="D1791">
        <v>1</v>
      </c>
      <c r="E1791">
        <f t="shared" si="55"/>
        <v>5.1821752370718156E-2</v>
      </c>
    </row>
    <row r="1792" spans="1:5" x14ac:dyDescent="0.25">
      <c r="A1792">
        <v>0</v>
      </c>
      <c r="B1792">
        <v>-6.3084112149532703E-2</v>
      </c>
      <c r="C1792">
        <f t="shared" si="54"/>
        <v>1.5326657480561299</v>
      </c>
      <c r="D1792">
        <v>1</v>
      </c>
      <c r="E1792">
        <f t="shared" si="55"/>
        <v>5.1821752370718156E-2</v>
      </c>
    </row>
    <row r="1793" spans="1:5" x14ac:dyDescent="0.25">
      <c r="A1793">
        <v>0</v>
      </c>
      <c r="B1793">
        <v>-6.3084112149532703E-2</v>
      </c>
      <c r="C1793">
        <f t="shared" si="54"/>
        <v>1.5326657480561299</v>
      </c>
      <c r="D1793">
        <v>1</v>
      </c>
      <c r="E1793">
        <f t="shared" si="55"/>
        <v>5.1821752370718156E-2</v>
      </c>
    </row>
    <row r="1794" spans="1:5" x14ac:dyDescent="0.25">
      <c r="A1794">
        <v>0</v>
      </c>
      <c r="B1794">
        <v>-6.3063063063063099E-2</v>
      </c>
      <c r="C1794">
        <f t="shared" ref="C1794:C1857" si="56">_xlfn.NORM.DIST(B1794,I$10,I$13,FALSE)</f>
        <v>1.5327145077755275</v>
      </c>
      <c r="D1794">
        <v>1</v>
      </c>
      <c r="E1794">
        <f t="shared" si="55"/>
        <v>5.1821752370718156E-2</v>
      </c>
    </row>
    <row r="1795" spans="1:5" x14ac:dyDescent="0.25">
      <c r="A1795">
        <v>0</v>
      </c>
      <c r="B1795">
        <v>-6.3E-2</v>
      </c>
      <c r="C1795">
        <f t="shared" si="56"/>
        <v>1.5328605324884743</v>
      </c>
      <c r="D1795">
        <v>1</v>
      </c>
      <c r="E1795">
        <f t="shared" ref="E1795:E1858" si="57">_xlfn.NORM.DIST(D1795,I$4,I$7,FALSE)</f>
        <v>5.1821752370718156E-2</v>
      </c>
    </row>
    <row r="1796" spans="1:5" x14ac:dyDescent="0.25">
      <c r="A1796">
        <v>0</v>
      </c>
      <c r="B1796">
        <v>-6.3E-2</v>
      </c>
      <c r="C1796">
        <f t="shared" si="56"/>
        <v>1.5328605324884743</v>
      </c>
      <c r="D1796">
        <v>1</v>
      </c>
      <c r="E1796">
        <f t="shared" si="57"/>
        <v>5.1821752370718156E-2</v>
      </c>
    </row>
    <row r="1797" spans="1:5" x14ac:dyDescent="0.25">
      <c r="A1797">
        <v>0</v>
      </c>
      <c r="B1797">
        <v>-6.2937062937062901E-2</v>
      </c>
      <c r="C1797">
        <f t="shared" si="56"/>
        <v>1.5330061766089433</v>
      </c>
      <c r="D1797">
        <v>1</v>
      </c>
      <c r="E1797">
        <f t="shared" si="57"/>
        <v>5.1821752370718156E-2</v>
      </c>
    </row>
    <row r="1798" spans="1:5" x14ac:dyDescent="0.25">
      <c r="A1798">
        <v>0</v>
      </c>
      <c r="B1798">
        <v>-6.2937062937062901E-2</v>
      </c>
      <c r="C1798">
        <f t="shared" si="56"/>
        <v>1.5330061766089433</v>
      </c>
      <c r="D1798">
        <v>1</v>
      </c>
      <c r="E1798">
        <f t="shared" si="57"/>
        <v>5.1821752370718156E-2</v>
      </c>
    </row>
    <row r="1799" spans="1:5" x14ac:dyDescent="0.25">
      <c r="A1799">
        <v>0</v>
      </c>
      <c r="B1799">
        <v>-6.2937062937062901E-2</v>
      </c>
      <c r="C1799">
        <f t="shared" si="56"/>
        <v>1.5330061766089433</v>
      </c>
      <c r="D1799">
        <v>1</v>
      </c>
      <c r="E1799">
        <f t="shared" si="57"/>
        <v>5.1821752370718156E-2</v>
      </c>
    </row>
    <row r="1800" spans="1:5" x14ac:dyDescent="0.25">
      <c r="A1800">
        <v>0</v>
      </c>
      <c r="B1800">
        <v>-6.2937062937062901E-2</v>
      </c>
      <c r="C1800">
        <f t="shared" si="56"/>
        <v>1.5330061766089433</v>
      </c>
      <c r="D1800">
        <v>1</v>
      </c>
      <c r="E1800">
        <f t="shared" si="57"/>
        <v>5.1821752370718156E-2</v>
      </c>
    </row>
    <row r="1801" spans="1:5" x14ac:dyDescent="0.25">
      <c r="A1801">
        <v>0</v>
      </c>
      <c r="B1801">
        <v>-6.2874251497005998E-2</v>
      </c>
      <c r="C1801">
        <f t="shared" si="56"/>
        <v>1.5331514415142946</v>
      </c>
      <c r="D1801">
        <v>1</v>
      </c>
      <c r="E1801">
        <f t="shared" si="57"/>
        <v>5.1821752370718156E-2</v>
      </c>
    </row>
    <row r="1802" spans="1:5" x14ac:dyDescent="0.25">
      <c r="A1802">
        <v>0</v>
      </c>
      <c r="B1802">
        <v>-6.2874251497005998E-2</v>
      </c>
      <c r="C1802">
        <f t="shared" si="56"/>
        <v>1.5331514415142946</v>
      </c>
      <c r="D1802">
        <v>1</v>
      </c>
      <c r="E1802">
        <f t="shared" si="57"/>
        <v>5.1821752370718156E-2</v>
      </c>
    </row>
    <row r="1803" spans="1:5" x14ac:dyDescent="0.25">
      <c r="A1803">
        <v>0</v>
      </c>
      <c r="B1803">
        <v>-6.2666666666666704E-2</v>
      </c>
      <c r="C1803">
        <f t="shared" si="56"/>
        <v>1.5336308965542067</v>
      </c>
      <c r="D1803">
        <v>1</v>
      </c>
      <c r="E1803">
        <f t="shared" si="57"/>
        <v>5.1821752370718156E-2</v>
      </c>
    </row>
    <row r="1804" spans="1:5" x14ac:dyDescent="0.25">
      <c r="A1804">
        <v>0</v>
      </c>
      <c r="B1804">
        <v>-6.2666666666666704E-2</v>
      </c>
      <c r="C1804">
        <f t="shared" si="56"/>
        <v>1.5336308965542067</v>
      </c>
      <c r="D1804">
        <v>1</v>
      </c>
      <c r="E1804">
        <f t="shared" si="57"/>
        <v>5.1821752370718156E-2</v>
      </c>
    </row>
    <row r="1805" spans="1:5" x14ac:dyDescent="0.25">
      <c r="A1805">
        <v>0</v>
      </c>
      <c r="B1805">
        <v>-6.2666666666666704E-2</v>
      </c>
      <c r="C1805">
        <f t="shared" si="56"/>
        <v>1.5336308965542067</v>
      </c>
      <c r="D1805">
        <v>1</v>
      </c>
      <c r="E1805">
        <f t="shared" si="57"/>
        <v>5.1821752370718156E-2</v>
      </c>
    </row>
    <row r="1806" spans="1:5" x14ac:dyDescent="0.25">
      <c r="A1806">
        <v>0</v>
      </c>
      <c r="B1806">
        <v>-6.2666666666666704E-2</v>
      </c>
      <c r="C1806">
        <f t="shared" si="56"/>
        <v>1.5336308965542067</v>
      </c>
      <c r="D1806">
        <v>1</v>
      </c>
      <c r="E1806">
        <f t="shared" si="57"/>
        <v>5.1821752370718156E-2</v>
      </c>
    </row>
    <row r="1807" spans="1:5" x14ac:dyDescent="0.25">
      <c r="A1807">
        <v>0</v>
      </c>
      <c r="B1807">
        <v>-6.2E-2</v>
      </c>
      <c r="C1807">
        <f t="shared" si="56"/>
        <v>1.5351641399467728</v>
      </c>
      <c r="D1807">
        <v>1</v>
      </c>
      <c r="E1807">
        <f t="shared" si="57"/>
        <v>5.1821752370718156E-2</v>
      </c>
    </row>
    <row r="1808" spans="1:5" x14ac:dyDescent="0.25">
      <c r="A1808">
        <v>0</v>
      </c>
      <c r="B1808">
        <v>-6.2E-2</v>
      </c>
      <c r="C1808">
        <f t="shared" si="56"/>
        <v>1.5351641399467728</v>
      </c>
      <c r="D1808">
        <v>1</v>
      </c>
      <c r="E1808">
        <f t="shared" si="57"/>
        <v>5.1821752370718156E-2</v>
      </c>
    </row>
    <row r="1809" spans="1:5" x14ac:dyDescent="0.25">
      <c r="A1809">
        <v>0</v>
      </c>
      <c r="B1809">
        <v>-6.2E-2</v>
      </c>
      <c r="C1809">
        <f t="shared" si="56"/>
        <v>1.5351641399467728</v>
      </c>
      <c r="D1809">
        <v>1</v>
      </c>
      <c r="E1809">
        <f t="shared" si="57"/>
        <v>5.1821752370718156E-2</v>
      </c>
    </row>
    <row r="1810" spans="1:5" x14ac:dyDescent="0.25">
      <c r="A1810">
        <v>0</v>
      </c>
      <c r="B1810">
        <v>-6.2E-2</v>
      </c>
      <c r="C1810">
        <f t="shared" si="56"/>
        <v>1.5351641399467728</v>
      </c>
      <c r="D1810">
        <v>1</v>
      </c>
      <c r="E1810">
        <f t="shared" si="57"/>
        <v>5.1821752370718156E-2</v>
      </c>
    </row>
    <row r="1811" spans="1:5" x14ac:dyDescent="0.25">
      <c r="A1811">
        <v>0</v>
      </c>
      <c r="B1811">
        <v>-6.2E-2</v>
      </c>
      <c r="C1811">
        <f t="shared" si="56"/>
        <v>1.5351641399467728</v>
      </c>
      <c r="D1811">
        <v>1</v>
      </c>
      <c r="E1811">
        <f t="shared" si="57"/>
        <v>5.1821752370718156E-2</v>
      </c>
    </row>
    <row r="1812" spans="1:5" x14ac:dyDescent="0.25">
      <c r="A1812">
        <v>0</v>
      </c>
      <c r="B1812">
        <v>-6.2E-2</v>
      </c>
      <c r="C1812">
        <f t="shared" si="56"/>
        <v>1.5351641399467728</v>
      </c>
      <c r="D1812">
        <v>1</v>
      </c>
      <c r="E1812">
        <f t="shared" si="57"/>
        <v>5.1821752370718156E-2</v>
      </c>
    </row>
    <row r="1813" spans="1:5" x14ac:dyDescent="0.25">
      <c r="A1813">
        <v>0</v>
      </c>
      <c r="B1813">
        <v>-6.1666666666666703E-2</v>
      </c>
      <c r="C1813">
        <f t="shared" si="56"/>
        <v>1.5359270110207834</v>
      </c>
      <c r="D1813">
        <v>1</v>
      </c>
      <c r="E1813">
        <f t="shared" si="57"/>
        <v>5.1821752370718156E-2</v>
      </c>
    </row>
    <row r="1814" spans="1:5" x14ac:dyDescent="0.25">
      <c r="A1814">
        <v>0</v>
      </c>
      <c r="B1814">
        <v>-6.1666666666666703E-2</v>
      </c>
      <c r="C1814">
        <f t="shared" si="56"/>
        <v>1.5359270110207834</v>
      </c>
      <c r="D1814">
        <v>1</v>
      </c>
      <c r="E1814">
        <f t="shared" si="57"/>
        <v>5.1821752370718156E-2</v>
      </c>
    </row>
    <row r="1815" spans="1:5" x14ac:dyDescent="0.25">
      <c r="A1815">
        <v>0</v>
      </c>
      <c r="B1815">
        <v>-6.1666666666666703E-2</v>
      </c>
      <c r="C1815">
        <f t="shared" si="56"/>
        <v>1.5359270110207834</v>
      </c>
      <c r="D1815">
        <v>1</v>
      </c>
      <c r="E1815">
        <f t="shared" si="57"/>
        <v>5.1821752370718156E-2</v>
      </c>
    </row>
    <row r="1816" spans="1:5" x14ac:dyDescent="0.25">
      <c r="A1816">
        <v>0</v>
      </c>
      <c r="B1816">
        <v>-6.15384615384615E-2</v>
      </c>
      <c r="C1816">
        <f t="shared" si="56"/>
        <v>1.5362197559457358</v>
      </c>
      <c r="D1816">
        <v>1</v>
      </c>
      <c r="E1816">
        <f t="shared" si="57"/>
        <v>5.1821752370718156E-2</v>
      </c>
    </row>
    <row r="1817" spans="1:5" x14ac:dyDescent="0.25">
      <c r="A1817">
        <v>0</v>
      </c>
      <c r="B1817">
        <v>-6.1333333333333302E-2</v>
      </c>
      <c r="C1817">
        <f t="shared" si="56"/>
        <v>1.5366873761981108</v>
      </c>
      <c r="D1817">
        <v>1</v>
      </c>
      <c r="E1817">
        <f t="shared" si="57"/>
        <v>5.1821752370718156E-2</v>
      </c>
    </row>
    <row r="1818" spans="1:5" x14ac:dyDescent="0.25">
      <c r="A1818">
        <v>0</v>
      </c>
      <c r="B1818">
        <v>-6.1333333333333302E-2</v>
      </c>
      <c r="C1818">
        <f t="shared" si="56"/>
        <v>1.5366873761981108</v>
      </c>
      <c r="D1818">
        <v>1</v>
      </c>
      <c r="E1818">
        <f t="shared" si="57"/>
        <v>5.1821752370718156E-2</v>
      </c>
    </row>
    <row r="1819" spans="1:5" x14ac:dyDescent="0.25">
      <c r="A1819">
        <v>0</v>
      </c>
      <c r="B1819">
        <v>-6.1333333333333302E-2</v>
      </c>
      <c r="C1819">
        <f t="shared" si="56"/>
        <v>1.5366873761981108</v>
      </c>
      <c r="D1819">
        <v>1</v>
      </c>
      <c r="E1819">
        <f t="shared" si="57"/>
        <v>5.1821752370718156E-2</v>
      </c>
    </row>
    <row r="1820" spans="1:5" x14ac:dyDescent="0.25">
      <c r="A1820">
        <v>0</v>
      </c>
      <c r="B1820">
        <v>-6.1333333333333302E-2</v>
      </c>
      <c r="C1820">
        <f t="shared" si="56"/>
        <v>1.5366873761981108</v>
      </c>
      <c r="D1820">
        <v>1</v>
      </c>
      <c r="E1820">
        <f t="shared" si="57"/>
        <v>5.1821752370718156E-2</v>
      </c>
    </row>
    <row r="1821" spans="1:5" x14ac:dyDescent="0.25">
      <c r="A1821">
        <v>0</v>
      </c>
      <c r="B1821">
        <v>-6.1333333333333302E-2</v>
      </c>
      <c r="C1821">
        <f t="shared" si="56"/>
        <v>1.5366873761981108</v>
      </c>
      <c r="D1821">
        <v>1</v>
      </c>
      <c r="E1821">
        <f t="shared" si="57"/>
        <v>5.1821752370718156E-2</v>
      </c>
    </row>
    <row r="1822" spans="1:5" x14ac:dyDescent="0.25">
      <c r="A1822">
        <v>0</v>
      </c>
      <c r="B1822">
        <v>-6.1333333333333302E-2</v>
      </c>
      <c r="C1822">
        <f t="shared" si="56"/>
        <v>1.5366873761981108</v>
      </c>
      <c r="D1822">
        <v>1</v>
      </c>
      <c r="E1822">
        <f t="shared" si="57"/>
        <v>5.1821752370718156E-2</v>
      </c>
    </row>
    <row r="1823" spans="1:5" x14ac:dyDescent="0.25">
      <c r="A1823">
        <v>0</v>
      </c>
      <c r="B1823">
        <v>-6.1333333333333302E-2</v>
      </c>
      <c r="C1823">
        <f t="shared" si="56"/>
        <v>1.5366873761981108</v>
      </c>
      <c r="D1823">
        <v>1</v>
      </c>
      <c r="E1823">
        <f t="shared" si="57"/>
        <v>5.1821752370718156E-2</v>
      </c>
    </row>
    <row r="1824" spans="1:5" x14ac:dyDescent="0.25">
      <c r="A1824">
        <v>0</v>
      </c>
      <c r="B1824">
        <v>-6.1333333333333302E-2</v>
      </c>
      <c r="C1824">
        <f t="shared" si="56"/>
        <v>1.5366873761981108</v>
      </c>
      <c r="D1824">
        <v>1</v>
      </c>
      <c r="E1824">
        <f t="shared" si="57"/>
        <v>5.1821752370718156E-2</v>
      </c>
    </row>
    <row r="1825" spans="1:5" x14ac:dyDescent="0.25">
      <c r="A1825">
        <v>0</v>
      </c>
      <c r="B1825">
        <v>-6.1333333333333302E-2</v>
      </c>
      <c r="C1825">
        <f t="shared" si="56"/>
        <v>1.5366873761981108</v>
      </c>
      <c r="D1825">
        <v>1</v>
      </c>
      <c r="E1825">
        <f t="shared" si="57"/>
        <v>5.1821752370718156E-2</v>
      </c>
    </row>
    <row r="1826" spans="1:5" x14ac:dyDescent="0.25">
      <c r="A1826">
        <v>0</v>
      </c>
      <c r="B1826">
        <v>-6.1333333333333302E-2</v>
      </c>
      <c r="C1826">
        <f t="shared" si="56"/>
        <v>1.5366873761981108</v>
      </c>
      <c r="D1826">
        <v>1</v>
      </c>
      <c r="E1826">
        <f t="shared" si="57"/>
        <v>5.1821752370718156E-2</v>
      </c>
    </row>
    <row r="1827" spans="1:5" x14ac:dyDescent="0.25">
      <c r="A1827">
        <v>0</v>
      </c>
      <c r="B1827">
        <v>-6.1333333333333302E-2</v>
      </c>
      <c r="C1827">
        <f t="shared" si="56"/>
        <v>1.5366873761981108</v>
      </c>
      <c r="D1827">
        <v>1</v>
      </c>
      <c r="E1827">
        <f t="shared" si="57"/>
        <v>5.1821752370718156E-2</v>
      </c>
    </row>
    <row r="1828" spans="1:5" x14ac:dyDescent="0.25">
      <c r="A1828">
        <v>0</v>
      </c>
      <c r="B1828">
        <v>-6.1333333333333302E-2</v>
      </c>
      <c r="C1828">
        <f t="shared" si="56"/>
        <v>1.5366873761981108</v>
      </c>
      <c r="D1828">
        <v>1</v>
      </c>
      <c r="E1828">
        <f t="shared" si="57"/>
        <v>5.1821752370718156E-2</v>
      </c>
    </row>
    <row r="1829" spans="1:5" x14ac:dyDescent="0.25">
      <c r="A1829">
        <v>0</v>
      </c>
      <c r="B1829">
        <v>-6.1068702290076299E-2</v>
      </c>
      <c r="C1829">
        <f t="shared" si="56"/>
        <v>1.5372892377734113</v>
      </c>
      <c r="D1829">
        <v>1</v>
      </c>
      <c r="E1829">
        <f t="shared" si="57"/>
        <v>5.1821752370718156E-2</v>
      </c>
    </row>
    <row r="1830" spans="1:5" x14ac:dyDescent="0.25">
      <c r="A1830">
        <v>0</v>
      </c>
      <c r="B1830">
        <v>-6.0747663551401897E-2</v>
      </c>
      <c r="C1830">
        <f t="shared" si="56"/>
        <v>1.538017263106906</v>
      </c>
      <c r="D1830">
        <v>1</v>
      </c>
      <c r="E1830">
        <f t="shared" si="57"/>
        <v>5.1821752370718156E-2</v>
      </c>
    </row>
    <row r="1831" spans="1:5" x14ac:dyDescent="0.25">
      <c r="A1831">
        <v>0</v>
      </c>
      <c r="B1831">
        <v>-6.0747663551401897E-2</v>
      </c>
      <c r="C1831">
        <f t="shared" si="56"/>
        <v>1.538017263106906</v>
      </c>
      <c r="D1831">
        <v>1</v>
      </c>
      <c r="E1831">
        <f t="shared" si="57"/>
        <v>5.1821752370718156E-2</v>
      </c>
    </row>
    <row r="1832" spans="1:5" x14ac:dyDescent="0.25">
      <c r="A1832">
        <v>0</v>
      </c>
      <c r="B1832">
        <v>-6.0747663551401897E-2</v>
      </c>
      <c r="C1832">
        <f t="shared" si="56"/>
        <v>1.538017263106906</v>
      </c>
      <c r="D1832">
        <v>1</v>
      </c>
      <c r="E1832">
        <f t="shared" si="57"/>
        <v>5.1821752370718156E-2</v>
      </c>
    </row>
    <row r="1833" spans="1:5" x14ac:dyDescent="0.25">
      <c r="A1833">
        <v>0</v>
      </c>
      <c r="B1833">
        <v>-6.0606060606060601E-2</v>
      </c>
      <c r="C1833">
        <f t="shared" si="56"/>
        <v>1.5383376368106247</v>
      </c>
      <c r="D1833">
        <v>1</v>
      </c>
      <c r="E1833">
        <f t="shared" si="57"/>
        <v>5.1821752370718156E-2</v>
      </c>
    </row>
    <row r="1834" spans="1:5" x14ac:dyDescent="0.25">
      <c r="A1834">
        <v>0</v>
      </c>
      <c r="B1834">
        <v>-6.0606060606060601E-2</v>
      </c>
      <c r="C1834">
        <f t="shared" si="56"/>
        <v>1.5383376368106247</v>
      </c>
      <c r="D1834">
        <v>1</v>
      </c>
      <c r="E1834">
        <f t="shared" si="57"/>
        <v>5.1821752370718156E-2</v>
      </c>
    </row>
    <row r="1835" spans="1:5" x14ac:dyDescent="0.25">
      <c r="A1835">
        <v>0</v>
      </c>
      <c r="B1835">
        <v>-6.0606060606060601E-2</v>
      </c>
      <c r="C1835">
        <f t="shared" si="56"/>
        <v>1.5383376368106247</v>
      </c>
      <c r="D1835">
        <v>1</v>
      </c>
      <c r="E1835">
        <f t="shared" si="57"/>
        <v>5.1821752370718156E-2</v>
      </c>
    </row>
    <row r="1836" spans="1:5" x14ac:dyDescent="0.25">
      <c r="A1836">
        <v>0</v>
      </c>
      <c r="B1836">
        <v>-6.0606060606060601E-2</v>
      </c>
      <c r="C1836">
        <f t="shared" si="56"/>
        <v>1.5383376368106247</v>
      </c>
      <c r="D1836">
        <v>1</v>
      </c>
      <c r="E1836">
        <f t="shared" si="57"/>
        <v>5.1821752370718156E-2</v>
      </c>
    </row>
    <row r="1837" spans="1:5" x14ac:dyDescent="0.25">
      <c r="A1837">
        <v>0</v>
      </c>
      <c r="B1837">
        <v>-6.0606060606060601E-2</v>
      </c>
      <c r="C1837">
        <f t="shared" si="56"/>
        <v>1.5383376368106247</v>
      </c>
      <c r="D1837">
        <v>1</v>
      </c>
      <c r="E1837">
        <f t="shared" si="57"/>
        <v>5.1821752370718156E-2</v>
      </c>
    </row>
    <row r="1838" spans="1:5" x14ac:dyDescent="0.25">
      <c r="A1838">
        <v>0</v>
      </c>
      <c r="B1838">
        <v>-6.0606060606060601E-2</v>
      </c>
      <c r="C1838">
        <f t="shared" si="56"/>
        <v>1.5383376368106247</v>
      </c>
      <c r="D1838">
        <v>1</v>
      </c>
      <c r="E1838">
        <f t="shared" si="57"/>
        <v>5.1821752370718156E-2</v>
      </c>
    </row>
    <row r="1839" spans="1:5" x14ac:dyDescent="0.25">
      <c r="A1839">
        <v>0</v>
      </c>
      <c r="B1839">
        <v>-6.0606060606060601E-2</v>
      </c>
      <c r="C1839">
        <f t="shared" si="56"/>
        <v>1.5383376368106247</v>
      </c>
      <c r="D1839">
        <v>1</v>
      </c>
      <c r="E1839">
        <f t="shared" si="57"/>
        <v>5.1821752370718156E-2</v>
      </c>
    </row>
    <row r="1840" spans="1:5" x14ac:dyDescent="0.25">
      <c r="A1840">
        <v>0</v>
      </c>
      <c r="B1840">
        <v>-6.0606060606060601E-2</v>
      </c>
      <c r="C1840">
        <f t="shared" si="56"/>
        <v>1.5383376368106247</v>
      </c>
      <c r="D1840">
        <v>1</v>
      </c>
      <c r="E1840">
        <f t="shared" si="57"/>
        <v>5.1821752370718156E-2</v>
      </c>
    </row>
    <row r="1841" spans="1:5" x14ac:dyDescent="0.25">
      <c r="A1841">
        <v>0</v>
      </c>
      <c r="B1841">
        <v>-6.0606060606060601E-2</v>
      </c>
      <c r="C1841">
        <f t="shared" si="56"/>
        <v>1.5383376368106247</v>
      </c>
      <c r="D1841">
        <v>1</v>
      </c>
      <c r="E1841">
        <f t="shared" si="57"/>
        <v>5.1821752370718156E-2</v>
      </c>
    </row>
    <row r="1842" spans="1:5" x14ac:dyDescent="0.25">
      <c r="A1842">
        <v>0</v>
      </c>
      <c r="B1842">
        <v>-6.0060060060060101E-2</v>
      </c>
      <c r="C1842">
        <f t="shared" si="56"/>
        <v>1.5395686933385822</v>
      </c>
      <c r="D1842">
        <v>1</v>
      </c>
      <c r="E1842">
        <f t="shared" si="57"/>
        <v>5.1821752370718156E-2</v>
      </c>
    </row>
    <row r="1843" spans="1:5" x14ac:dyDescent="0.25">
      <c r="A1843">
        <v>0</v>
      </c>
      <c r="B1843">
        <v>-6.0060060060060101E-2</v>
      </c>
      <c r="C1843">
        <f t="shared" si="56"/>
        <v>1.5395686933385822</v>
      </c>
      <c r="D1843">
        <v>1</v>
      </c>
      <c r="E1843">
        <f t="shared" si="57"/>
        <v>5.1821752370718156E-2</v>
      </c>
    </row>
    <row r="1844" spans="1:5" x14ac:dyDescent="0.25">
      <c r="A1844">
        <v>0</v>
      </c>
      <c r="B1844">
        <v>-0.06</v>
      </c>
      <c r="C1844">
        <f t="shared" si="56"/>
        <v>1.5397036961968293</v>
      </c>
      <c r="D1844">
        <v>1</v>
      </c>
      <c r="E1844">
        <f t="shared" si="57"/>
        <v>5.1821752370718156E-2</v>
      </c>
    </row>
    <row r="1845" spans="1:5" x14ac:dyDescent="0.25">
      <c r="A1845">
        <v>0</v>
      </c>
      <c r="B1845">
        <v>-0.06</v>
      </c>
      <c r="C1845">
        <f t="shared" si="56"/>
        <v>1.5397036961968293</v>
      </c>
      <c r="D1845">
        <v>1</v>
      </c>
      <c r="E1845">
        <f t="shared" si="57"/>
        <v>5.1821752370718156E-2</v>
      </c>
    </row>
    <row r="1846" spans="1:5" x14ac:dyDescent="0.25">
      <c r="A1846">
        <v>0</v>
      </c>
      <c r="B1846">
        <v>-0.06</v>
      </c>
      <c r="C1846">
        <f t="shared" si="56"/>
        <v>1.5397036961968293</v>
      </c>
      <c r="D1846">
        <v>1</v>
      </c>
      <c r="E1846">
        <f t="shared" si="57"/>
        <v>5.1821752370718156E-2</v>
      </c>
    </row>
    <row r="1847" spans="1:5" x14ac:dyDescent="0.25">
      <c r="A1847">
        <v>0</v>
      </c>
      <c r="B1847">
        <v>-0.06</v>
      </c>
      <c r="C1847">
        <f t="shared" si="56"/>
        <v>1.5397036961968293</v>
      </c>
      <c r="D1847">
        <v>1</v>
      </c>
      <c r="E1847">
        <f t="shared" si="57"/>
        <v>5.1821752370718156E-2</v>
      </c>
    </row>
    <row r="1848" spans="1:5" x14ac:dyDescent="0.25">
      <c r="A1848">
        <v>0</v>
      </c>
      <c r="B1848">
        <v>-0.06</v>
      </c>
      <c r="C1848">
        <f t="shared" si="56"/>
        <v>1.5397036961968293</v>
      </c>
      <c r="D1848">
        <v>1</v>
      </c>
      <c r="E1848">
        <f t="shared" si="57"/>
        <v>5.1821752370718156E-2</v>
      </c>
    </row>
    <row r="1849" spans="1:5" x14ac:dyDescent="0.25">
      <c r="A1849">
        <v>0</v>
      </c>
      <c r="B1849">
        <v>-0.06</v>
      </c>
      <c r="C1849">
        <f t="shared" si="56"/>
        <v>1.5397036961968293</v>
      </c>
      <c r="D1849">
        <v>1</v>
      </c>
      <c r="E1849">
        <f t="shared" si="57"/>
        <v>5.1821752370718156E-2</v>
      </c>
    </row>
    <row r="1850" spans="1:5" x14ac:dyDescent="0.25">
      <c r="A1850">
        <v>0</v>
      </c>
      <c r="B1850">
        <v>-0.06</v>
      </c>
      <c r="C1850">
        <f t="shared" si="56"/>
        <v>1.5397036961968293</v>
      </c>
      <c r="D1850">
        <v>1</v>
      </c>
      <c r="E1850">
        <f t="shared" si="57"/>
        <v>5.1821752370718156E-2</v>
      </c>
    </row>
    <row r="1851" spans="1:5" x14ac:dyDescent="0.25">
      <c r="A1851">
        <v>0</v>
      </c>
      <c r="B1851">
        <v>-0.06</v>
      </c>
      <c r="C1851">
        <f t="shared" si="56"/>
        <v>1.5397036961968293</v>
      </c>
      <c r="D1851">
        <v>1</v>
      </c>
      <c r="E1851">
        <f t="shared" si="57"/>
        <v>5.1821752370718156E-2</v>
      </c>
    </row>
    <row r="1852" spans="1:5" x14ac:dyDescent="0.25">
      <c r="A1852">
        <v>0</v>
      </c>
      <c r="B1852">
        <v>-0.06</v>
      </c>
      <c r="C1852">
        <f t="shared" si="56"/>
        <v>1.5397036961968293</v>
      </c>
      <c r="D1852">
        <v>1</v>
      </c>
      <c r="E1852">
        <f t="shared" si="57"/>
        <v>5.1821752370718156E-2</v>
      </c>
    </row>
    <row r="1853" spans="1:5" x14ac:dyDescent="0.25">
      <c r="A1853">
        <v>0</v>
      </c>
      <c r="B1853">
        <v>-5.9880239520958098E-2</v>
      </c>
      <c r="C1853">
        <f t="shared" si="56"/>
        <v>1.5399726486718148</v>
      </c>
      <c r="D1853">
        <v>1</v>
      </c>
      <c r="E1853">
        <f t="shared" si="57"/>
        <v>5.1821752370718156E-2</v>
      </c>
    </row>
    <row r="1854" spans="1:5" x14ac:dyDescent="0.25">
      <c r="A1854">
        <v>0</v>
      </c>
      <c r="B1854">
        <v>-5.9880239520958098E-2</v>
      </c>
      <c r="C1854">
        <f t="shared" si="56"/>
        <v>1.5399726486718148</v>
      </c>
      <c r="D1854">
        <v>1</v>
      </c>
      <c r="E1854">
        <f t="shared" si="57"/>
        <v>5.1821752370718156E-2</v>
      </c>
    </row>
    <row r="1855" spans="1:5" x14ac:dyDescent="0.25">
      <c r="A1855">
        <v>0</v>
      </c>
      <c r="B1855">
        <v>-5.9880239520958098E-2</v>
      </c>
      <c r="C1855">
        <f t="shared" si="56"/>
        <v>1.5399726486718148</v>
      </c>
      <c r="D1855">
        <v>1</v>
      </c>
      <c r="E1855">
        <f t="shared" si="57"/>
        <v>5.1821752370718156E-2</v>
      </c>
    </row>
    <row r="1856" spans="1:5" x14ac:dyDescent="0.25">
      <c r="A1856">
        <v>0</v>
      </c>
      <c r="B1856">
        <v>-5.86666666666667E-2</v>
      </c>
      <c r="C1856">
        <f t="shared" si="56"/>
        <v>1.5426795963354303</v>
      </c>
      <c r="D1856">
        <v>1</v>
      </c>
      <c r="E1856">
        <f t="shared" si="57"/>
        <v>5.1821752370718156E-2</v>
      </c>
    </row>
    <row r="1857" spans="1:5" x14ac:dyDescent="0.25">
      <c r="A1857">
        <v>0</v>
      </c>
      <c r="B1857">
        <v>-5.86666666666667E-2</v>
      </c>
      <c r="C1857">
        <f t="shared" si="56"/>
        <v>1.5426795963354303</v>
      </c>
      <c r="D1857">
        <v>1</v>
      </c>
      <c r="E1857">
        <f t="shared" si="57"/>
        <v>5.1821752370718156E-2</v>
      </c>
    </row>
    <row r="1858" spans="1:5" x14ac:dyDescent="0.25">
      <c r="A1858">
        <v>0</v>
      </c>
      <c r="B1858">
        <v>-5.86666666666667E-2</v>
      </c>
      <c r="C1858">
        <f t="shared" ref="C1858:C1921" si="58">_xlfn.NORM.DIST(B1858,I$10,I$13,FALSE)</f>
        <v>1.5426795963354303</v>
      </c>
      <c r="D1858">
        <v>1</v>
      </c>
      <c r="E1858">
        <f t="shared" si="57"/>
        <v>5.1821752370718156E-2</v>
      </c>
    </row>
    <row r="1859" spans="1:5" x14ac:dyDescent="0.25">
      <c r="A1859">
        <v>0</v>
      </c>
      <c r="B1859">
        <v>-5.86666666666667E-2</v>
      </c>
      <c r="C1859">
        <f t="shared" si="58"/>
        <v>1.5426795963354303</v>
      </c>
      <c r="D1859">
        <v>1</v>
      </c>
      <c r="E1859">
        <f t="shared" ref="E1859:E1922" si="59">_xlfn.NORM.DIST(D1859,I$4,I$7,FALSE)</f>
        <v>5.1821752370718156E-2</v>
      </c>
    </row>
    <row r="1860" spans="1:5" x14ac:dyDescent="0.25">
      <c r="A1860">
        <v>0</v>
      </c>
      <c r="B1860">
        <v>-5.86666666666667E-2</v>
      </c>
      <c r="C1860">
        <f t="shared" si="58"/>
        <v>1.5426795963354303</v>
      </c>
      <c r="D1860">
        <v>1</v>
      </c>
      <c r="E1860">
        <f t="shared" si="59"/>
        <v>5.1821752370718156E-2</v>
      </c>
    </row>
    <row r="1861" spans="1:5" x14ac:dyDescent="0.25">
      <c r="A1861">
        <v>0</v>
      </c>
      <c r="B1861">
        <v>-5.86666666666667E-2</v>
      </c>
      <c r="C1861">
        <f t="shared" si="58"/>
        <v>1.5426795963354303</v>
      </c>
      <c r="D1861">
        <v>1</v>
      </c>
      <c r="E1861">
        <f t="shared" si="59"/>
        <v>5.1821752370718156E-2</v>
      </c>
    </row>
    <row r="1862" spans="1:5" x14ac:dyDescent="0.25">
      <c r="A1862">
        <v>0</v>
      </c>
      <c r="B1862">
        <v>-5.86666666666667E-2</v>
      </c>
      <c r="C1862">
        <f t="shared" si="58"/>
        <v>1.5426795963354303</v>
      </c>
      <c r="D1862">
        <v>1</v>
      </c>
      <c r="E1862">
        <f t="shared" si="59"/>
        <v>5.1821752370718156E-2</v>
      </c>
    </row>
    <row r="1863" spans="1:5" x14ac:dyDescent="0.25">
      <c r="A1863">
        <v>0</v>
      </c>
      <c r="B1863">
        <v>-5.86666666666667E-2</v>
      </c>
      <c r="C1863">
        <f t="shared" si="58"/>
        <v>1.5426795963354303</v>
      </c>
      <c r="D1863">
        <v>1</v>
      </c>
      <c r="E1863">
        <f t="shared" si="59"/>
        <v>5.1821752370718156E-2</v>
      </c>
    </row>
    <row r="1864" spans="1:5" x14ac:dyDescent="0.25">
      <c r="A1864">
        <v>0</v>
      </c>
      <c r="B1864">
        <v>-5.86666666666667E-2</v>
      </c>
      <c r="C1864">
        <f t="shared" si="58"/>
        <v>1.5426795963354303</v>
      </c>
      <c r="D1864">
        <v>1</v>
      </c>
      <c r="E1864">
        <f t="shared" si="59"/>
        <v>5.1821752370718156E-2</v>
      </c>
    </row>
    <row r="1865" spans="1:5" x14ac:dyDescent="0.25">
      <c r="A1865">
        <v>0</v>
      </c>
      <c r="B1865">
        <v>-5.86666666666667E-2</v>
      </c>
      <c r="C1865">
        <f t="shared" si="58"/>
        <v>1.5426795963354303</v>
      </c>
      <c r="D1865">
        <v>1</v>
      </c>
      <c r="E1865">
        <f t="shared" si="59"/>
        <v>5.1821752370718156E-2</v>
      </c>
    </row>
    <row r="1866" spans="1:5" x14ac:dyDescent="0.25">
      <c r="A1866">
        <v>0</v>
      </c>
      <c r="B1866">
        <v>-5.86666666666667E-2</v>
      </c>
      <c r="C1866">
        <f t="shared" si="58"/>
        <v>1.5426795963354303</v>
      </c>
      <c r="D1866">
        <v>1</v>
      </c>
      <c r="E1866">
        <f t="shared" si="59"/>
        <v>5.1821752370718156E-2</v>
      </c>
    </row>
    <row r="1867" spans="1:5" x14ac:dyDescent="0.25">
      <c r="A1867">
        <v>0</v>
      </c>
      <c r="B1867">
        <v>-5.86666666666667E-2</v>
      </c>
      <c r="C1867">
        <f t="shared" si="58"/>
        <v>1.5426795963354303</v>
      </c>
      <c r="D1867">
        <v>1</v>
      </c>
      <c r="E1867">
        <f t="shared" si="59"/>
        <v>5.1821752370718156E-2</v>
      </c>
    </row>
    <row r="1868" spans="1:5" x14ac:dyDescent="0.25">
      <c r="A1868">
        <v>0</v>
      </c>
      <c r="B1868">
        <v>-5.86666666666667E-2</v>
      </c>
      <c r="C1868">
        <f t="shared" si="58"/>
        <v>1.5426795963354303</v>
      </c>
      <c r="D1868">
        <v>1</v>
      </c>
      <c r="E1868">
        <f t="shared" si="59"/>
        <v>5.1821752370718156E-2</v>
      </c>
    </row>
    <row r="1869" spans="1:5" x14ac:dyDescent="0.25">
      <c r="A1869">
        <v>0</v>
      </c>
      <c r="B1869">
        <v>-5.86666666666667E-2</v>
      </c>
      <c r="C1869">
        <f t="shared" si="58"/>
        <v>1.5426795963354303</v>
      </c>
      <c r="D1869">
        <v>1</v>
      </c>
      <c r="E1869">
        <f t="shared" si="59"/>
        <v>5.1821752370718156E-2</v>
      </c>
    </row>
    <row r="1870" spans="1:5" x14ac:dyDescent="0.25">
      <c r="A1870">
        <v>0</v>
      </c>
      <c r="B1870">
        <v>-5.86666666666667E-2</v>
      </c>
      <c r="C1870">
        <f t="shared" si="58"/>
        <v>1.5426795963354303</v>
      </c>
      <c r="D1870">
        <v>1</v>
      </c>
      <c r="E1870">
        <f t="shared" si="59"/>
        <v>5.1821752370718156E-2</v>
      </c>
    </row>
    <row r="1871" spans="1:5" x14ac:dyDescent="0.25">
      <c r="A1871">
        <v>0</v>
      </c>
      <c r="B1871">
        <v>-5.8411214953271E-2</v>
      </c>
      <c r="C1871">
        <f t="shared" si="58"/>
        <v>1.5432451101100813</v>
      </c>
      <c r="D1871">
        <v>1</v>
      </c>
      <c r="E1871">
        <f t="shared" si="59"/>
        <v>5.1821752370718156E-2</v>
      </c>
    </row>
    <row r="1872" spans="1:5" x14ac:dyDescent="0.25">
      <c r="A1872">
        <v>0</v>
      </c>
      <c r="B1872">
        <v>-5.8411214953271E-2</v>
      </c>
      <c r="C1872">
        <f t="shared" si="58"/>
        <v>1.5432451101100813</v>
      </c>
      <c r="D1872">
        <v>1</v>
      </c>
      <c r="E1872">
        <f t="shared" si="59"/>
        <v>5.1821752370718156E-2</v>
      </c>
    </row>
    <row r="1873" spans="1:5" x14ac:dyDescent="0.25">
      <c r="A1873">
        <v>0</v>
      </c>
      <c r="B1873">
        <v>-5.8411214953271E-2</v>
      </c>
      <c r="C1873">
        <f t="shared" si="58"/>
        <v>1.5432451101100813</v>
      </c>
      <c r="D1873">
        <v>1</v>
      </c>
      <c r="E1873">
        <f t="shared" si="59"/>
        <v>5.1821752370718156E-2</v>
      </c>
    </row>
    <row r="1874" spans="1:5" x14ac:dyDescent="0.25">
      <c r="A1874">
        <v>0</v>
      </c>
      <c r="B1874">
        <v>-5.83333333333333E-2</v>
      </c>
      <c r="C1874">
        <f t="shared" si="58"/>
        <v>1.5434172255713583</v>
      </c>
      <c r="D1874">
        <v>1</v>
      </c>
      <c r="E1874">
        <f t="shared" si="59"/>
        <v>5.1821752370718156E-2</v>
      </c>
    </row>
    <row r="1875" spans="1:5" x14ac:dyDescent="0.25">
      <c r="A1875">
        <v>0</v>
      </c>
      <c r="B1875">
        <v>-5.83333333333333E-2</v>
      </c>
      <c r="C1875">
        <f t="shared" si="58"/>
        <v>1.5434172255713583</v>
      </c>
      <c r="D1875">
        <v>1</v>
      </c>
      <c r="E1875">
        <f t="shared" si="59"/>
        <v>5.1821752370718156E-2</v>
      </c>
    </row>
    <row r="1876" spans="1:5" x14ac:dyDescent="0.25">
      <c r="A1876">
        <v>0</v>
      </c>
      <c r="B1876">
        <v>-5.83333333333333E-2</v>
      </c>
      <c r="C1876">
        <f t="shared" si="58"/>
        <v>1.5434172255713583</v>
      </c>
      <c r="D1876">
        <v>1</v>
      </c>
      <c r="E1876">
        <f t="shared" si="59"/>
        <v>5.1821752370718156E-2</v>
      </c>
    </row>
    <row r="1877" spans="1:5" x14ac:dyDescent="0.25">
      <c r="A1877">
        <v>0</v>
      </c>
      <c r="B1877">
        <v>-5.83333333333333E-2</v>
      </c>
      <c r="C1877">
        <f t="shared" si="58"/>
        <v>1.5434172255713583</v>
      </c>
      <c r="D1877">
        <v>1</v>
      </c>
      <c r="E1877">
        <f t="shared" si="59"/>
        <v>5.1821752370718156E-2</v>
      </c>
    </row>
    <row r="1878" spans="1:5" x14ac:dyDescent="0.25">
      <c r="A1878">
        <v>0</v>
      </c>
      <c r="B1878">
        <v>-5.83333333333333E-2</v>
      </c>
      <c r="C1878">
        <f t="shared" si="58"/>
        <v>1.5434172255713583</v>
      </c>
      <c r="D1878">
        <v>1</v>
      </c>
      <c r="E1878">
        <f t="shared" si="59"/>
        <v>5.1821752370718156E-2</v>
      </c>
    </row>
    <row r="1879" spans="1:5" x14ac:dyDescent="0.25">
      <c r="A1879">
        <v>0</v>
      </c>
      <c r="B1879">
        <v>-5.82750582750583E-2</v>
      </c>
      <c r="C1879">
        <f t="shared" si="58"/>
        <v>1.5435459203518382</v>
      </c>
      <c r="D1879">
        <v>1</v>
      </c>
      <c r="E1879">
        <f t="shared" si="59"/>
        <v>5.1821752370718156E-2</v>
      </c>
    </row>
    <row r="1880" spans="1:5" x14ac:dyDescent="0.25">
      <c r="A1880">
        <v>0</v>
      </c>
      <c r="B1880">
        <v>-5.82750582750583E-2</v>
      </c>
      <c r="C1880">
        <f t="shared" si="58"/>
        <v>1.5435459203518382</v>
      </c>
      <c r="D1880">
        <v>1</v>
      </c>
      <c r="E1880">
        <f t="shared" si="59"/>
        <v>5.1821752370718156E-2</v>
      </c>
    </row>
    <row r="1881" spans="1:5" x14ac:dyDescent="0.25">
      <c r="A1881">
        <v>0</v>
      </c>
      <c r="B1881">
        <v>-5.82750582750583E-2</v>
      </c>
      <c r="C1881">
        <f t="shared" si="58"/>
        <v>1.5435459203518382</v>
      </c>
      <c r="D1881">
        <v>1</v>
      </c>
      <c r="E1881">
        <f t="shared" si="59"/>
        <v>5.1821752370718156E-2</v>
      </c>
    </row>
    <row r="1882" spans="1:5" x14ac:dyDescent="0.25">
      <c r="A1882">
        <v>0</v>
      </c>
      <c r="B1882">
        <v>-5.82750582750583E-2</v>
      </c>
      <c r="C1882">
        <f t="shared" si="58"/>
        <v>1.5435459203518382</v>
      </c>
      <c r="D1882">
        <v>1</v>
      </c>
      <c r="E1882">
        <f t="shared" si="59"/>
        <v>5.1821752370718156E-2</v>
      </c>
    </row>
    <row r="1883" spans="1:5" x14ac:dyDescent="0.25">
      <c r="A1883">
        <v>0</v>
      </c>
      <c r="B1883">
        <v>-5.82750582750583E-2</v>
      </c>
      <c r="C1883">
        <f t="shared" si="58"/>
        <v>1.5435459203518382</v>
      </c>
      <c r="D1883">
        <v>1</v>
      </c>
      <c r="E1883">
        <f t="shared" si="59"/>
        <v>5.1821752370718156E-2</v>
      </c>
    </row>
    <row r="1884" spans="1:5" x14ac:dyDescent="0.25">
      <c r="A1884">
        <v>0</v>
      </c>
      <c r="B1884">
        <v>-5.82750582750583E-2</v>
      </c>
      <c r="C1884">
        <f t="shared" si="58"/>
        <v>1.5435459203518382</v>
      </c>
      <c r="D1884">
        <v>1</v>
      </c>
      <c r="E1884">
        <f t="shared" si="59"/>
        <v>5.1821752370718156E-2</v>
      </c>
    </row>
    <row r="1885" spans="1:5" x14ac:dyDescent="0.25">
      <c r="A1885">
        <v>0</v>
      </c>
      <c r="B1885">
        <v>-5.8000000000000003E-2</v>
      </c>
      <c r="C1885">
        <f t="shared" si="58"/>
        <v>1.5441523084973523</v>
      </c>
      <c r="D1885">
        <v>1</v>
      </c>
      <c r="E1885">
        <f t="shared" si="59"/>
        <v>5.1821752370718156E-2</v>
      </c>
    </row>
    <row r="1886" spans="1:5" x14ac:dyDescent="0.25">
      <c r="A1886">
        <v>0</v>
      </c>
      <c r="B1886">
        <v>-5.8000000000000003E-2</v>
      </c>
      <c r="C1886">
        <f t="shared" si="58"/>
        <v>1.5441523084973523</v>
      </c>
      <c r="D1886">
        <v>1</v>
      </c>
      <c r="E1886">
        <f t="shared" si="59"/>
        <v>5.1821752370718156E-2</v>
      </c>
    </row>
    <row r="1887" spans="1:5" x14ac:dyDescent="0.25">
      <c r="A1887">
        <v>0</v>
      </c>
      <c r="B1887">
        <v>-5.8000000000000003E-2</v>
      </c>
      <c r="C1887">
        <f t="shared" si="58"/>
        <v>1.5441523084973523</v>
      </c>
      <c r="D1887">
        <v>1</v>
      </c>
      <c r="E1887">
        <f t="shared" si="59"/>
        <v>5.1821752370718156E-2</v>
      </c>
    </row>
    <row r="1888" spans="1:5" x14ac:dyDescent="0.25">
      <c r="A1888">
        <v>0</v>
      </c>
      <c r="B1888">
        <v>-5.8000000000000003E-2</v>
      </c>
      <c r="C1888">
        <f t="shared" si="58"/>
        <v>1.5441523084973523</v>
      </c>
      <c r="D1888">
        <v>1</v>
      </c>
      <c r="E1888">
        <f t="shared" si="59"/>
        <v>5.1821752370718156E-2</v>
      </c>
    </row>
    <row r="1889" spans="1:5" x14ac:dyDescent="0.25">
      <c r="A1889">
        <v>0</v>
      </c>
      <c r="B1889">
        <v>-5.8000000000000003E-2</v>
      </c>
      <c r="C1889">
        <f t="shared" si="58"/>
        <v>1.5441523084973523</v>
      </c>
      <c r="D1889">
        <v>1</v>
      </c>
      <c r="E1889">
        <f t="shared" si="59"/>
        <v>5.1821752370718156E-2</v>
      </c>
    </row>
    <row r="1890" spans="1:5" x14ac:dyDescent="0.25">
      <c r="A1890">
        <v>0</v>
      </c>
      <c r="B1890">
        <v>-5.8000000000000003E-2</v>
      </c>
      <c r="C1890">
        <f t="shared" si="58"/>
        <v>1.5441523084973523</v>
      </c>
      <c r="D1890">
        <v>1</v>
      </c>
      <c r="E1890">
        <f t="shared" si="59"/>
        <v>5.1821752370718156E-2</v>
      </c>
    </row>
    <row r="1891" spans="1:5" x14ac:dyDescent="0.25">
      <c r="A1891">
        <v>0</v>
      </c>
      <c r="B1891">
        <v>-5.8000000000000003E-2</v>
      </c>
      <c r="C1891">
        <f t="shared" si="58"/>
        <v>1.5441523084973523</v>
      </c>
      <c r="D1891">
        <v>1</v>
      </c>
      <c r="E1891">
        <f t="shared" si="59"/>
        <v>5.1821752370718156E-2</v>
      </c>
    </row>
    <row r="1892" spans="1:5" x14ac:dyDescent="0.25">
      <c r="A1892">
        <v>0</v>
      </c>
      <c r="B1892">
        <v>-5.7971014492753603E-2</v>
      </c>
      <c r="C1892">
        <f t="shared" si="58"/>
        <v>1.5442161082850532</v>
      </c>
      <c r="D1892">
        <v>1</v>
      </c>
      <c r="E1892">
        <f t="shared" si="59"/>
        <v>5.1821752370718156E-2</v>
      </c>
    </row>
    <row r="1893" spans="1:5" x14ac:dyDescent="0.25">
      <c r="A1893">
        <v>0</v>
      </c>
      <c r="B1893">
        <v>-5.7692307692307702E-2</v>
      </c>
      <c r="C1893">
        <f t="shared" si="58"/>
        <v>1.5448285831079425</v>
      </c>
      <c r="D1893">
        <v>1</v>
      </c>
      <c r="E1893">
        <f t="shared" si="59"/>
        <v>5.1821752370718156E-2</v>
      </c>
    </row>
    <row r="1894" spans="1:5" x14ac:dyDescent="0.25">
      <c r="A1894">
        <v>0</v>
      </c>
      <c r="B1894">
        <v>-5.7333333333333299E-2</v>
      </c>
      <c r="C1894">
        <f t="shared" si="58"/>
        <v>1.545614819538075</v>
      </c>
      <c r="D1894">
        <v>1</v>
      </c>
      <c r="E1894">
        <f t="shared" si="59"/>
        <v>5.1821752370718156E-2</v>
      </c>
    </row>
    <row r="1895" spans="1:5" x14ac:dyDescent="0.25">
      <c r="A1895">
        <v>0</v>
      </c>
      <c r="B1895">
        <v>-5.7333333333333299E-2</v>
      </c>
      <c r="C1895">
        <f t="shared" si="58"/>
        <v>1.545614819538075</v>
      </c>
      <c r="D1895">
        <v>1</v>
      </c>
      <c r="E1895">
        <f t="shared" si="59"/>
        <v>5.1821752370718156E-2</v>
      </c>
    </row>
    <row r="1896" spans="1:5" x14ac:dyDescent="0.25">
      <c r="A1896">
        <v>0</v>
      </c>
      <c r="B1896">
        <v>-5.7057057057057103E-2</v>
      </c>
      <c r="C1896">
        <f t="shared" si="58"/>
        <v>1.5462179080126657</v>
      </c>
      <c r="D1896">
        <v>1</v>
      </c>
      <c r="E1896">
        <f t="shared" si="59"/>
        <v>5.1821752370718156E-2</v>
      </c>
    </row>
    <row r="1897" spans="1:5" x14ac:dyDescent="0.25">
      <c r="A1897">
        <v>0</v>
      </c>
      <c r="B1897">
        <v>-5.7057057057057103E-2</v>
      </c>
      <c r="C1897">
        <f t="shared" si="58"/>
        <v>1.5462179080126657</v>
      </c>
      <c r="D1897">
        <v>1</v>
      </c>
      <c r="E1897">
        <f t="shared" si="59"/>
        <v>5.1821752370718156E-2</v>
      </c>
    </row>
    <row r="1898" spans="1:5" x14ac:dyDescent="0.25">
      <c r="A1898">
        <v>0</v>
      </c>
      <c r="B1898">
        <v>-5.7057057057057103E-2</v>
      </c>
      <c r="C1898">
        <f t="shared" si="58"/>
        <v>1.5462179080126657</v>
      </c>
      <c r="D1898">
        <v>1</v>
      </c>
      <c r="E1898">
        <f t="shared" si="59"/>
        <v>5.1821752370718156E-2</v>
      </c>
    </row>
    <row r="1899" spans="1:5" x14ac:dyDescent="0.25">
      <c r="A1899">
        <v>0</v>
      </c>
      <c r="B1899">
        <v>-5.7057057057057103E-2</v>
      </c>
      <c r="C1899">
        <f t="shared" si="58"/>
        <v>1.5462179080126657</v>
      </c>
      <c r="D1899">
        <v>1</v>
      </c>
      <c r="E1899">
        <f t="shared" si="59"/>
        <v>5.1821752370718156E-2</v>
      </c>
    </row>
    <row r="1900" spans="1:5" x14ac:dyDescent="0.25">
      <c r="A1900">
        <v>0</v>
      </c>
      <c r="B1900">
        <v>-5.7057057057057103E-2</v>
      </c>
      <c r="C1900">
        <f t="shared" si="58"/>
        <v>1.5462179080126657</v>
      </c>
      <c r="D1900">
        <v>1</v>
      </c>
      <c r="E1900">
        <f t="shared" si="59"/>
        <v>5.1821752370718156E-2</v>
      </c>
    </row>
    <row r="1901" spans="1:5" x14ac:dyDescent="0.25">
      <c r="A1901">
        <v>0</v>
      </c>
      <c r="B1901">
        <v>-5.7057057057057103E-2</v>
      </c>
      <c r="C1901">
        <f t="shared" si="58"/>
        <v>1.5462179080126657</v>
      </c>
      <c r="D1901">
        <v>1</v>
      </c>
      <c r="E1901">
        <f t="shared" si="59"/>
        <v>5.1821752370718156E-2</v>
      </c>
    </row>
    <row r="1902" spans="1:5" x14ac:dyDescent="0.25">
      <c r="A1902">
        <v>0</v>
      </c>
      <c r="B1902">
        <v>-5.7057057057057103E-2</v>
      </c>
      <c r="C1902">
        <f t="shared" si="58"/>
        <v>1.5462179080126657</v>
      </c>
      <c r="D1902">
        <v>1</v>
      </c>
      <c r="E1902">
        <f t="shared" si="59"/>
        <v>5.1821752370718156E-2</v>
      </c>
    </row>
    <row r="1903" spans="1:5" x14ac:dyDescent="0.25">
      <c r="A1903">
        <v>0</v>
      </c>
      <c r="B1903">
        <v>-5.7057057057057103E-2</v>
      </c>
      <c r="C1903">
        <f t="shared" si="58"/>
        <v>1.5462179080126657</v>
      </c>
      <c r="D1903">
        <v>1</v>
      </c>
      <c r="E1903">
        <f t="shared" si="59"/>
        <v>5.1821752370718156E-2</v>
      </c>
    </row>
    <row r="1904" spans="1:5" x14ac:dyDescent="0.25">
      <c r="A1904">
        <v>0</v>
      </c>
      <c r="B1904">
        <v>-5.6886227544910198E-2</v>
      </c>
      <c r="C1904">
        <f t="shared" si="58"/>
        <v>1.5465899345982468</v>
      </c>
      <c r="D1904">
        <v>1</v>
      </c>
      <c r="E1904">
        <f t="shared" si="59"/>
        <v>5.1821752370718156E-2</v>
      </c>
    </row>
    <row r="1905" spans="1:5" x14ac:dyDescent="0.25">
      <c r="A1905">
        <v>0</v>
      </c>
      <c r="B1905">
        <v>-5.6886227544910198E-2</v>
      </c>
      <c r="C1905">
        <f t="shared" si="58"/>
        <v>1.5465899345982468</v>
      </c>
      <c r="D1905">
        <v>1</v>
      </c>
      <c r="E1905">
        <f t="shared" si="59"/>
        <v>5.1821752370718156E-2</v>
      </c>
    </row>
    <row r="1906" spans="1:5" x14ac:dyDescent="0.25">
      <c r="A1906">
        <v>0</v>
      </c>
      <c r="B1906">
        <v>-5.6886227544910198E-2</v>
      </c>
      <c r="C1906">
        <f t="shared" si="58"/>
        <v>1.5465899345982468</v>
      </c>
      <c r="D1906">
        <v>1</v>
      </c>
      <c r="E1906">
        <f t="shared" si="59"/>
        <v>5.1821752370718156E-2</v>
      </c>
    </row>
    <row r="1907" spans="1:5" x14ac:dyDescent="0.25">
      <c r="A1907">
        <v>0</v>
      </c>
      <c r="B1907">
        <v>-5.6886227544910198E-2</v>
      </c>
      <c r="C1907">
        <f t="shared" si="58"/>
        <v>1.5465899345982468</v>
      </c>
      <c r="D1907">
        <v>1</v>
      </c>
      <c r="E1907">
        <f t="shared" si="59"/>
        <v>5.1821752370718156E-2</v>
      </c>
    </row>
    <row r="1908" spans="1:5" x14ac:dyDescent="0.25">
      <c r="A1908">
        <v>0</v>
      </c>
      <c r="B1908">
        <v>-5.6886227544910198E-2</v>
      </c>
      <c r="C1908">
        <f t="shared" si="58"/>
        <v>1.5465899345982468</v>
      </c>
      <c r="D1908">
        <v>1</v>
      </c>
      <c r="E1908">
        <f t="shared" si="59"/>
        <v>5.1821752370718156E-2</v>
      </c>
    </row>
    <row r="1909" spans="1:5" x14ac:dyDescent="0.25">
      <c r="A1909">
        <v>0</v>
      </c>
      <c r="B1909">
        <v>-5.6886227544910198E-2</v>
      </c>
      <c r="C1909">
        <f t="shared" si="58"/>
        <v>1.5465899345982468</v>
      </c>
      <c r="D1909">
        <v>1</v>
      </c>
      <c r="E1909">
        <f t="shared" si="59"/>
        <v>5.1821752370718156E-2</v>
      </c>
    </row>
    <row r="1910" spans="1:5" x14ac:dyDescent="0.25">
      <c r="A1910">
        <v>0</v>
      </c>
      <c r="B1910">
        <v>-5.6886227544910198E-2</v>
      </c>
      <c r="C1910">
        <f t="shared" si="58"/>
        <v>1.5465899345982468</v>
      </c>
      <c r="D1910">
        <v>1</v>
      </c>
      <c r="E1910">
        <f t="shared" si="59"/>
        <v>5.1821752370718156E-2</v>
      </c>
    </row>
    <row r="1911" spans="1:5" x14ac:dyDescent="0.25">
      <c r="A1911">
        <v>0</v>
      </c>
      <c r="B1911">
        <v>-5.6818181818181802E-2</v>
      </c>
      <c r="C1911">
        <f t="shared" si="58"/>
        <v>1.5467379347459924</v>
      </c>
      <c r="D1911">
        <v>1</v>
      </c>
      <c r="E1911">
        <f t="shared" si="59"/>
        <v>5.1821752370718156E-2</v>
      </c>
    </row>
    <row r="1912" spans="1:5" x14ac:dyDescent="0.25">
      <c r="A1912">
        <v>0</v>
      </c>
      <c r="B1912">
        <v>-5.6666666666666698E-2</v>
      </c>
      <c r="C1912">
        <f t="shared" si="58"/>
        <v>1.5470670978196692</v>
      </c>
      <c r="D1912">
        <v>1</v>
      </c>
      <c r="E1912">
        <f t="shared" si="59"/>
        <v>5.1821752370718156E-2</v>
      </c>
    </row>
    <row r="1913" spans="1:5" x14ac:dyDescent="0.25">
      <c r="A1913">
        <v>0</v>
      </c>
      <c r="B1913">
        <v>-5.6666666666666698E-2</v>
      </c>
      <c r="C1913">
        <f t="shared" si="58"/>
        <v>1.5470670978196692</v>
      </c>
      <c r="D1913">
        <v>1</v>
      </c>
      <c r="E1913">
        <f t="shared" si="59"/>
        <v>5.1821752370718156E-2</v>
      </c>
    </row>
    <row r="1914" spans="1:5" x14ac:dyDescent="0.25">
      <c r="A1914">
        <v>0</v>
      </c>
      <c r="B1914">
        <v>-5.60747663551402E-2</v>
      </c>
      <c r="C1914">
        <f t="shared" si="58"/>
        <v>1.5483479026928699</v>
      </c>
      <c r="D1914">
        <v>1</v>
      </c>
      <c r="E1914">
        <f t="shared" si="59"/>
        <v>5.1821752370718156E-2</v>
      </c>
    </row>
    <row r="1915" spans="1:5" x14ac:dyDescent="0.25">
      <c r="A1915">
        <v>0</v>
      </c>
      <c r="B1915">
        <v>-5.60747663551402E-2</v>
      </c>
      <c r="C1915">
        <f t="shared" si="58"/>
        <v>1.5483479026928699</v>
      </c>
      <c r="D1915">
        <v>1</v>
      </c>
      <c r="E1915">
        <f t="shared" si="59"/>
        <v>5.1821752370718156E-2</v>
      </c>
    </row>
    <row r="1916" spans="1:5" x14ac:dyDescent="0.25">
      <c r="A1916">
        <v>0</v>
      </c>
      <c r="B1916">
        <v>-5.6000000000000001E-2</v>
      </c>
      <c r="C1916">
        <f t="shared" si="58"/>
        <v>1.5485091119050007</v>
      </c>
      <c r="D1916">
        <v>1</v>
      </c>
      <c r="E1916">
        <f t="shared" si="59"/>
        <v>5.1821752370718156E-2</v>
      </c>
    </row>
    <row r="1917" spans="1:5" x14ac:dyDescent="0.25">
      <c r="A1917">
        <v>0</v>
      </c>
      <c r="B1917">
        <v>-5.6000000000000001E-2</v>
      </c>
      <c r="C1917">
        <f t="shared" si="58"/>
        <v>1.5485091119050007</v>
      </c>
      <c r="D1917">
        <v>1</v>
      </c>
      <c r="E1917">
        <f t="shared" si="59"/>
        <v>5.1821752370718156E-2</v>
      </c>
    </row>
    <row r="1918" spans="1:5" x14ac:dyDescent="0.25">
      <c r="A1918">
        <v>0</v>
      </c>
      <c r="B1918">
        <v>-5.6000000000000001E-2</v>
      </c>
      <c r="C1918">
        <f t="shared" si="58"/>
        <v>1.5485091119050007</v>
      </c>
      <c r="D1918">
        <v>1</v>
      </c>
      <c r="E1918">
        <f t="shared" si="59"/>
        <v>5.1821752370718156E-2</v>
      </c>
    </row>
    <row r="1919" spans="1:5" x14ac:dyDescent="0.25">
      <c r="A1919">
        <v>0</v>
      </c>
      <c r="B1919">
        <v>-5.6000000000000001E-2</v>
      </c>
      <c r="C1919">
        <f t="shared" si="58"/>
        <v>1.5485091119050007</v>
      </c>
      <c r="D1919">
        <v>1</v>
      </c>
      <c r="E1919">
        <f t="shared" si="59"/>
        <v>5.1821752370718156E-2</v>
      </c>
    </row>
    <row r="1920" spans="1:5" x14ac:dyDescent="0.25">
      <c r="A1920">
        <v>0</v>
      </c>
      <c r="B1920">
        <v>-5.6000000000000001E-2</v>
      </c>
      <c r="C1920">
        <f t="shared" si="58"/>
        <v>1.5485091119050007</v>
      </c>
      <c r="D1920">
        <v>1</v>
      </c>
      <c r="E1920">
        <f t="shared" si="59"/>
        <v>5.1821752370718156E-2</v>
      </c>
    </row>
    <row r="1921" spans="1:5" x14ac:dyDescent="0.25">
      <c r="A1921">
        <v>0</v>
      </c>
      <c r="B1921">
        <v>-5.6000000000000001E-2</v>
      </c>
      <c r="C1921">
        <f t="shared" si="58"/>
        <v>1.5485091119050007</v>
      </c>
      <c r="D1921">
        <v>1</v>
      </c>
      <c r="E1921">
        <f t="shared" si="59"/>
        <v>5.1821752370718156E-2</v>
      </c>
    </row>
    <row r="1922" spans="1:5" x14ac:dyDescent="0.25">
      <c r="A1922">
        <v>0</v>
      </c>
      <c r="B1922">
        <v>-5.6000000000000001E-2</v>
      </c>
      <c r="C1922">
        <f t="shared" ref="C1922:C1985" si="60">_xlfn.NORM.DIST(B1922,I$10,I$13,FALSE)</f>
        <v>1.5485091119050007</v>
      </c>
      <c r="D1922">
        <v>1</v>
      </c>
      <c r="E1922">
        <f t="shared" si="59"/>
        <v>5.1821752370718156E-2</v>
      </c>
    </row>
    <row r="1923" spans="1:5" x14ac:dyDescent="0.25">
      <c r="A1923">
        <v>0</v>
      </c>
      <c r="B1923">
        <v>-5.6000000000000001E-2</v>
      </c>
      <c r="C1923">
        <f t="shared" si="60"/>
        <v>1.5485091119050007</v>
      </c>
      <c r="D1923">
        <v>1</v>
      </c>
      <c r="E1923">
        <f t="shared" ref="E1923:E1986" si="61">_xlfn.NORM.DIST(D1923,I$4,I$7,FALSE)</f>
        <v>5.1821752370718156E-2</v>
      </c>
    </row>
    <row r="1924" spans="1:5" x14ac:dyDescent="0.25">
      <c r="A1924">
        <v>0</v>
      </c>
      <c r="B1924">
        <v>-5.6000000000000001E-2</v>
      </c>
      <c r="C1924">
        <f t="shared" si="60"/>
        <v>1.5485091119050007</v>
      </c>
      <c r="D1924">
        <v>1</v>
      </c>
      <c r="E1924">
        <f t="shared" si="61"/>
        <v>5.1821752370718156E-2</v>
      </c>
    </row>
    <row r="1925" spans="1:5" x14ac:dyDescent="0.25">
      <c r="A1925">
        <v>0</v>
      </c>
      <c r="B1925">
        <v>-5.6000000000000001E-2</v>
      </c>
      <c r="C1925">
        <f t="shared" si="60"/>
        <v>1.5485091119050007</v>
      </c>
      <c r="D1925">
        <v>1</v>
      </c>
      <c r="E1925">
        <f t="shared" si="61"/>
        <v>5.1821752370718156E-2</v>
      </c>
    </row>
    <row r="1926" spans="1:5" x14ac:dyDescent="0.25">
      <c r="A1926">
        <v>0</v>
      </c>
      <c r="B1926">
        <v>-5.6000000000000001E-2</v>
      </c>
      <c r="C1926">
        <f t="shared" si="60"/>
        <v>1.5485091119050007</v>
      </c>
      <c r="D1926">
        <v>1</v>
      </c>
      <c r="E1926">
        <f t="shared" si="61"/>
        <v>5.1821752370718156E-2</v>
      </c>
    </row>
    <row r="1927" spans="1:5" x14ac:dyDescent="0.25">
      <c r="A1927">
        <v>0</v>
      </c>
      <c r="B1927">
        <v>-5.6000000000000001E-2</v>
      </c>
      <c r="C1927">
        <f t="shared" si="60"/>
        <v>1.5485091119050007</v>
      </c>
      <c r="D1927">
        <v>1</v>
      </c>
      <c r="E1927">
        <f t="shared" si="61"/>
        <v>5.1821752370718156E-2</v>
      </c>
    </row>
    <row r="1928" spans="1:5" x14ac:dyDescent="0.25">
      <c r="A1928">
        <v>0</v>
      </c>
      <c r="B1928">
        <v>-5.6000000000000001E-2</v>
      </c>
      <c r="C1928">
        <f t="shared" si="60"/>
        <v>1.5485091119050007</v>
      </c>
      <c r="D1928">
        <v>1</v>
      </c>
      <c r="E1928">
        <f t="shared" si="61"/>
        <v>5.1821752370718156E-2</v>
      </c>
    </row>
    <row r="1929" spans="1:5" x14ac:dyDescent="0.25">
      <c r="A1929">
        <v>0</v>
      </c>
      <c r="B1929">
        <v>-5.6000000000000001E-2</v>
      </c>
      <c r="C1929">
        <f t="shared" si="60"/>
        <v>1.5485091119050007</v>
      </c>
      <c r="D1929">
        <v>1</v>
      </c>
      <c r="E1929">
        <f t="shared" si="61"/>
        <v>5.1821752370718156E-2</v>
      </c>
    </row>
    <row r="1930" spans="1:5" x14ac:dyDescent="0.25">
      <c r="A1930">
        <v>0</v>
      </c>
      <c r="B1930">
        <v>-5.6000000000000001E-2</v>
      </c>
      <c r="C1930">
        <f t="shared" si="60"/>
        <v>1.5485091119050007</v>
      </c>
      <c r="D1930">
        <v>1</v>
      </c>
      <c r="E1930">
        <f t="shared" si="61"/>
        <v>5.1821752370718156E-2</v>
      </c>
    </row>
    <row r="1931" spans="1:5" x14ac:dyDescent="0.25">
      <c r="A1931">
        <v>0</v>
      </c>
      <c r="B1931">
        <v>-5.6000000000000001E-2</v>
      </c>
      <c r="C1931">
        <f t="shared" si="60"/>
        <v>1.5485091119050007</v>
      </c>
      <c r="D1931">
        <v>1</v>
      </c>
      <c r="E1931">
        <f t="shared" si="61"/>
        <v>5.1821752370718156E-2</v>
      </c>
    </row>
    <row r="1932" spans="1:5" x14ac:dyDescent="0.25">
      <c r="A1932">
        <v>0</v>
      </c>
      <c r="B1932">
        <v>-5.6000000000000001E-2</v>
      </c>
      <c r="C1932">
        <f t="shared" si="60"/>
        <v>1.5485091119050007</v>
      </c>
      <c r="D1932">
        <v>1</v>
      </c>
      <c r="E1932">
        <f t="shared" si="61"/>
        <v>5.1821752370718156E-2</v>
      </c>
    </row>
    <row r="1933" spans="1:5" x14ac:dyDescent="0.25">
      <c r="A1933">
        <v>0</v>
      </c>
      <c r="B1933">
        <v>-5.6000000000000001E-2</v>
      </c>
      <c r="C1933">
        <f t="shared" si="60"/>
        <v>1.5485091119050007</v>
      </c>
      <c r="D1933">
        <v>1</v>
      </c>
      <c r="E1933">
        <f t="shared" si="61"/>
        <v>5.1821752370718156E-2</v>
      </c>
    </row>
    <row r="1934" spans="1:5" x14ac:dyDescent="0.25">
      <c r="A1934">
        <v>0</v>
      </c>
      <c r="B1934">
        <v>-5.6000000000000001E-2</v>
      </c>
      <c r="C1934">
        <f t="shared" si="60"/>
        <v>1.5485091119050007</v>
      </c>
      <c r="D1934">
        <v>1</v>
      </c>
      <c r="E1934">
        <f t="shared" si="61"/>
        <v>5.1821752370718156E-2</v>
      </c>
    </row>
    <row r="1935" spans="1:5" x14ac:dyDescent="0.25">
      <c r="A1935">
        <v>0</v>
      </c>
      <c r="B1935">
        <v>-5.6000000000000001E-2</v>
      </c>
      <c r="C1935">
        <f t="shared" si="60"/>
        <v>1.5485091119050007</v>
      </c>
      <c r="D1935">
        <v>1</v>
      </c>
      <c r="E1935">
        <f t="shared" si="61"/>
        <v>5.1821752370718156E-2</v>
      </c>
    </row>
    <row r="1936" spans="1:5" x14ac:dyDescent="0.25">
      <c r="A1936">
        <v>0</v>
      </c>
      <c r="B1936">
        <v>-5.5944055944055902E-2</v>
      </c>
      <c r="C1936">
        <f t="shared" si="60"/>
        <v>1.5486296522864151</v>
      </c>
      <c r="D1936">
        <v>1</v>
      </c>
      <c r="E1936">
        <f t="shared" si="61"/>
        <v>5.1821752370718156E-2</v>
      </c>
    </row>
    <row r="1937" spans="1:5" x14ac:dyDescent="0.25">
      <c r="A1937">
        <v>0</v>
      </c>
      <c r="B1937">
        <v>-5.5944055944055902E-2</v>
      </c>
      <c r="C1937">
        <f t="shared" si="60"/>
        <v>1.5486296522864151</v>
      </c>
      <c r="D1937">
        <v>1</v>
      </c>
      <c r="E1937">
        <f t="shared" si="61"/>
        <v>5.1821752370718156E-2</v>
      </c>
    </row>
    <row r="1938" spans="1:5" x14ac:dyDescent="0.25">
      <c r="A1938">
        <v>0</v>
      </c>
      <c r="B1938">
        <v>-5.5944055944055902E-2</v>
      </c>
      <c r="C1938">
        <f t="shared" si="60"/>
        <v>1.5486296522864151</v>
      </c>
      <c r="D1938">
        <v>1</v>
      </c>
      <c r="E1938">
        <f t="shared" si="61"/>
        <v>5.1821752370718156E-2</v>
      </c>
    </row>
    <row r="1939" spans="1:5" x14ac:dyDescent="0.25">
      <c r="A1939">
        <v>0</v>
      </c>
      <c r="B1939">
        <v>-5.5944055944055902E-2</v>
      </c>
      <c r="C1939">
        <f t="shared" si="60"/>
        <v>1.5486296522864151</v>
      </c>
      <c r="D1939">
        <v>1</v>
      </c>
      <c r="E1939">
        <f t="shared" si="61"/>
        <v>5.1821752370718156E-2</v>
      </c>
    </row>
    <row r="1940" spans="1:5" x14ac:dyDescent="0.25">
      <c r="A1940">
        <v>0</v>
      </c>
      <c r="B1940">
        <v>-5.5944055944055902E-2</v>
      </c>
      <c r="C1940">
        <f t="shared" si="60"/>
        <v>1.5486296522864151</v>
      </c>
      <c r="D1940">
        <v>1</v>
      </c>
      <c r="E1940">
        <f t="shared" si="61"/>
        <v>5.1821752370718156E-2</v>
      </c>
    </row>
    <row r="1941" spans="1:5" x14ac:dyDescent="0.25">
      <c r="A1941">
        <v>0</v>
      </c>
      <c r="B1941">
        <v>-5.5E-2</v>
      </c>
      <c r="C1941">
        <f t="shared" si="60"/>
        <v>1.550652819393481</v>
      </c>
      <c r="D1941">
        <v>1</v>
      </c>
      <c r="E1941">
        <f t="shared" si="61"/>
        <v>5.1821752370718156E-2</v>
      </c>
    </row>
    <row r="1942" spans="1:5" x14ac:dyDescent="0.25">
      <c r="A1942">
        <v>0</v>
      </c>
      <c r="B1942">
        <v>-5.5E-2</v>
      </c>
      <c r="C1942">
        <f t="shared" si="60"/>
        <v>1.550652819393481</v>
      </c>
      <c r="D1942">
        <v>1</v>
      </c>
      <c r="E1942">
        <f t="shared" si="61"/>
        <v>5.1821752370718156E-2</v>
      </c>
    </row>
    <row r="1943" spans="1:5" x14ac:dyDescent="0.25">
      <c r="A1943">
        <v>0</v>
      </c>
      <c r="B1943">
        <v>-5.5E-2</v>
      </c>
      <c r="C1943">
        <f t="shared" si="60"/>
        <v>1.550652819393481</v>
      </c>
      <c r="D1943">
        <v>1</v>
      </c>
      <c r="E1943">
        <f t="shared" si="61"/>
        <v>5.1821752370718156E-2</v>
      </c>
    </row>
    <row r="1944" spans="1:5" x14ac:dyDescent="0.25">
      <c r="A1944">
        <v>0</v>
      </c>
      <c r="B1944">
        <v>-5.4054054054054099E-2</v>
      </c>
      <c r="C1944">
        <f t="shared" si="60"/>
        <v>1.5526592359887905</v>
      </c>
      <c r="D1944">
        <v>1</v>
      </c>
      <c r="E1944">
        <f t="shared" si="61"/>
        <v>5.1821752370718156E-2</v>
      </c>
    </row>
    <row r="1945" spans="1:5" x14ac:dyDescent="0.25">
      <c r="A1945">
        <v>0</v>
      </c>
      <c r="B1945">
        <v>-5.4054054054054099E-2</v>
      </c>
      <c r="C1945">
        <f t="shared" si="60"/>
        <v>1.5526592359887905</v>
      </c>
      <c r="D1945">
        <v>1</v>
      </c>
      <c r="E1945">
        <f t="shared" si="61"/>
        <v>5.1821752370718156E-2</v>
      </c>
    </row>
    <row r="1946" spans="1:5" x14ac:dyDescent="0.25">
      <c r="A1946">
        <v>0</v>
      </c>
      <c r="B1946">
        <v>-5.4054054054054099E-2</v>
      </c>
      <c r="C1946">
        <f t="shared" si="60"/>
        <v>1.5526592359887905</v>
      </c>
      <c r="D1946">
        <v>1</v>
      </c>
      <c r="E1946">
        <f t="shared" si="61"/>
        <v>5.1821752370718156E-2</v>
      </c>
    </row>
    <row r="1947" spans="1:5" x14ac:dyDescent="0.25">
      <c r="A1947">
        <v>0</v>
      </c>
      <c r="B1947">
        <v>-5.4054054054054099E-2</v>
      </c>
      <c r="C1947">
        <f t="shared" si="60"/>
        <v>1.5526592359887905</v>
      </c>
      <c r="D1947">
        <v>1</v>
      </c>
      <c r="E1947">
        <f t="shared" si="61"/>
        <v>5.1821752370718156E-2</v>
      </c>
    </row>
    <row r="1948" spans="1:5" x14ac:dyDescent="0.25">
      <c r="A1948">
        <v>0</v>
      </c>
      <c r="B1948">
        <v>-5.4054054054054099E-2</v>
      </c>
      <c r="C1948">
        <f t="shared" si="60"/>
        <v>1.5526592359887905</v>
      </c>
      <c r="D1948">
        <v>1</v>
      </c>
      <c r="E1948">
        <f t="shared" si="61"/>
        <v>5.1821752370718156E-2</v>
      </c>
    </row>
    <row r="1949" spans="1:5" x14ac:dyDescent="0.25">
      <c r="A1949">
        <v>0</v>
      </c>
      <c r="B1949">
        <v>-5.4054054054054099E-2</v>
      </c>
      <c r="C1949">
        <f t="shared" si="60"/>
        <v>1.5526592359887905</v>
      </c>
      <c r="D1949">
        <v>1</v>
      </c>
      <c r="E1949">
        <f t="shared" si="61"/>
        <v>5.1821752370718156E-2</v>
      </c>
    </row>
    <row r="1950" spans="1:5" x14ac:dyDescent="0.25">
      <c r="A1950">
        <v>0</v>
      </c>
      <c r="B1950">
        <v>-5.4054054054054099E-2</v>
      </c>
      <c r="C1950">
        <f t="shared" si="60"/>
        <v>1.5526592359887905</v>
      </c>
      <c r="D1950">
        <v>1</v>
      </c>
      <c r="E1950">
        <f t="shared" si="61"/>
        <v>5.1821752370718156E-2</v>
      </c>
    </row>
    <row r="1951" spans="1:5" x14ac:dyDescent="0.25">
      <c r="A1951">
        <v>0</v>
      </c>
      <c r="B1951">
        <v>-5.4054054054054099E-2</v>
      </c>
      <c r="C1951">
        <f t="shared" si="60"/>
        <v>1.5526592359887905</v>
      </c>
      <c r="D1951">
        <v>1</v>
      </c>
      <c r="E1951">
        <f t="shared" si="61"/>
        <v>5.1821752370718156E-2</v>
      </c>
    </row>
    <row r="1952" spans="1:5" x14ac:dyDescent="0.25">
      <c r="A1952">
        <v>0</v>
      </c>
      <c r="B1952">
        <v>-5.4054054054054099E-2</v>
      </c>
      <c r="C1952">
        <f t="shared" si="60"/>
        <v>1.5526592359887905</v>
      </c>
      <c r="D1952">
        <v>1</v>
      </c>
      <c r="E1952">
        <f t="shared" si="61"/>
        <v>5.1821752370718156E-2</v>
      </c>
    </row>
    <row r="1953" spans="1:5" x14ac:dyDescent="0.25">
      <c r="A1953">
        <v>0</v>
      </c>
      <c r="B1953">
        <v>-5.4054054054054099E-2</v>
      </c>
      <c r="C1953">
        <f t="shared" si="60"/>
        <v>1.5526592359887905</v>
      </c>
      <c r="D1953">
        <v>1</v>
      </c>
      <c r="E1953">
        <f t="shared" si="61"/>
        <v>5.1821752370718156E-2</v>
      </c>
    </row>
    <row r="1954" spans="1:5" x14ac:dyDescent="0.25">
      <c r="A1954">
        <v>0</v>
      </c>
      <c r="B1954">
        <v>-5.4054054054054099E-2</v>
      </c>
      <c r="C1954">
        <f t="shared" si="60"/>
        <v>1.5526592359887905</v>
      </c>
      <c r="D1954">
        <v>1</v>
      </c>
      <c r="E1954">
        <f t="shared" si="61"/>
        <v>5.1821752370718156E-2</v>
      </c>
    </row>
    <row r="1955" spans="1:5" x14ac:dyDescent="0.25">
      <c r="A1955">
        <v>0</v>
      </c>
      <c r="B1955">
        <v>-5.4054054054054099E-2</v>
      </c>
      <c r="C1955">
        <f t="shared" si="60"/>
        <v>1.5526592359887905</v>
      </c>
      <c r="D1955">
        <v>1</v>
      </c>
      <c r="E1955">
        <f t="shared" si="61"/>
        <v>5.1821752370718156E-2</v>
      </c>
    </row>
    <row r="1956" spans="1:5" x14ac:dyDescent="0.25">
      <c r="A1956">
        <v>0</v>
      </c>
      <c r="B1956">
        <v>-5.4054054054054099E-2</v>
      </c>
      <c r="C1956">
        <f t="shared" si="60"/>
        <v>1.5526592359887905</v>
      </c>
      <c r="D1956">
        <v>1</v>
      </c>
      <c r="E1956">
        <f t="shared" si="61"/>
        <v>5.1821752370718156E-2</v>
      </c>
    </row>
    <row r="1957" spans="1:5" x14ac:dyDescent="0.25">
      <c r="A1957">
        <v>0</v>
      </c>
      <c r="B1957">
        <v>-5.4054054054054099E-2</v>
      </c>
      <c r="C1957">
        <f t="shared" si="60"/>
        <v>1.5526592359887905</v>
      </c>
      <c r="D1957">
        <v>1</v>
      </c>
      <c r="E1957">
        <f t="shared" si="61"/>
        <v>5.1821752370718156E-2</v>
      </c>
    </row>
    <row r="1958" spans="1:5" x14ac:dyDescent="0.25">
      <c r="A1958">
        <v>0</v>
      </c>
      <c r="B1958">
        <v>-5.4054054054054099E-2</v>
      </c>
      <c r="C1958">
        <f t="shared" si="60"/>
        <v>1.5526592359887905</v>
      </c>
      <c r="D1958">
        <v>1</v>
      </c>
      <c r="E1958">
        <f t="shared" si="61"/>
        <v>5.1821752370718156E-2</v>
      </c>
    </row>
    <row r="1959" spans="1:5" x14ac:dyDescent="0.25">
      <c r="A1959">
        <v>0</v>
      </c>
      <c r="B1959">
        <v>-5.3999999999999999E-2</v>
      </c>
      <c r="C1959">
        <f t="shared" si="60"/>
        <v>1.5527732576477389</v>
      </c>
      <c r="D1959">
        <v>1</v>
      </c>
      <c r="E1959">
        <f t="shared" si="61"/>
        <v>5.1821752370718156E-2</v>
      </c>
    </row>
    <row r="1960" spans="1:5" x14ac:dyDescent="0.25">
      <c r="A1960">
        <v>0</v>
      </c>
      <c r="B1960">
        <v>-5.3999999999999999E-2</v>
      </c>
      <c r="C1960">
        <f t="shared" si="60"/>
        <v>1.5527732576477389</v>
      </c>
      <c r="D1960">
        <v>1</v>
      </c>
      <c r="E1960">
        <f t="shared" si="61"/>
        <v>5.1821752370718156E-2</v>
      </c>
    </row>
    <row r="1961" spans="1:5" x14ac:dyDescent="0.25">
      <c r="A1961">
        <v>0</v>
      </c>
      <c r="B1961">
        <v>-5.3999999999999999E-2</v>
      </c>
      <c r="C1961">
        <f t="shared" si="60"/>
        <v>1.5527732576477389</v>
      </c>
      <c r="D1961">
        <v>1</v>
      </c>
      <c r="E1961">
        <f t="shared" si="61"/>
        <v>5.1821752370718156E-2</v>
      </c>
    </row>
    <row r="1962" spans="1:5" x14ac:dyDescent="0.25">
      <c r="A1962">
        <v>0</v>
      </c>
      <c r="B1962">
        <v>-5.3999999999999999E-2</v>
      </c>
      <c r="C1962">
        <f t="shared" si="60"/>
        <v>1.5527732576477389</v>
      </c>
      <c r="D1962">
        <v>1</v>
      </c>
      <c r="E1962">
        <f t="shared" si="61"/>
        <v>5.1821752370718156E-2</v>
      </c>
    </row>
    <row r="1963" spans="1:5" x14ac:dyDescent="0.25">
      <c r="A1963">
        <v>0</v>
      </c>
      <c r="B1963">
        <v>-5.3999999999999999E-2</v>
      </c>
      <c r="C1963">
        <f t="shared" si="60"/>
        <v>1.5527732576477389</v>
      </c>
      <c r="D1963">
        <v>1</v>
      </c>
      <c r="E1963">
        <f t="shared" si="61"/>
        <v>5.1821752370718156E-2</v>
      </c>
    </row>
    <row r="1964" spans="1:5" x14ac:dyDescent="0.25">
      <c r="A1964">
        <v>0</v>
      </c>
      <c r="B1964">
        <v>-5.3999999999999999E-2</v>
      </c>
      <c r="C1964">
        <f t="shared" si="60"/>
        <v>1.5527732576477389</v>
      </c>
      <c r="D1964">
        <v>1</v>
      </c>
      <c r="E1964">
        <f t="shared" si="61"/>
        <v>5.1821752370718156E-2</v>
      </c>
    </row>
    <row r="1965" spans="1:5" x14ac:dyDescent="0.25">
      <c r="A1965">
        <v>0</v>
      </c>
      <c r="B1965">
        <v>-5.3999999999999999E-2</v>
      </c>
      <c r="C1965">
        <f t="shared" si="60"/>
        <v>1.5527732576477389</v>
      </c>
      <c r="D1965">
        <v>1</v>
      </c>
      <c r="E1965">
        <f t="shared" si="61"/>
        <v>5.1821752370718156E-2</v>
      </c>
    </row>
    <row r="1966" spans="1:5" x14ac:dyDescent="0.25">
      <c r="A1966">
        <v>0</v>
      </c>
      <c r="B1966">
        <v>-5.3999999999999999E-2</v>
      </c>
      <c r="C1966">
        <f t="shared" si="60"/>
        <v>1.5527732576477389</v>
      </c>
      <c r="D1966">
        <v>1</v>
      </c>
      <c r="E1966">
        <f t="shared" si="61"/>
        <v>5.1821752370718156E-2</v>
      </c>
    </row>
    <row r="1967" spans="1:5" x14ac:dyDescent="0.25">
      <c r="A1967">
        <v>0</v>
      </c>
      <c r="B1967">
        <v>-5.3892215568862298E-2</v>
      </c>
      <c r="C1967">
        <f t="shared" si="60"/>
        <v>1.5530004143310323</v>
      </c>
      <c r="D1967">
        <v>1</v>
      </c>
      <c r="E1967">
        <f t="shared" si="61"/>
        <v>5.1821752370718156E-2</v>
      </c>
    </row>
    <row r="1968" spans="1:5" x14ac:dyDescent="0.25">
      <c r="A1968">
        <v>0</v>
      </c>
      <c r="B1968">
        <v>-5.3892215568862298E-2</v>
      </c>
      <c r="C1968">
        <f t="shared" si="60"/>
        <v>1.5530004143310323</v>
      </c>
      <c r="D1968">
        <v>1</v>
      </c>
      <c r="E1968">
        <f t="shared" si="61"/>
        <v>5.1821752370718156E-2</v>
      </c>
    </row>
    <row r="1969" spans="1:5" x14ac:dyDescent="0.25">
      <c r="A1969">
        <v>0</v>
      </c>
      <c r="B1969">
        <v>-5.3892215568862298E-2</v>
      </c>
      <c r="C1969">
        <f t="shared" si="60"/>
        <v>1.5530004143310323</v>
      </c>
      <c r="D1969">
        <v>1</v>
      </c>
      <c r="E1969">
        <f t="shared" si="61"/>
        <v>5.1821752370718156E-2</v>
      </c>
    </row>
    <row r="1970" spans="1:5" x14ac:dyDescent="0.25">
      <c r="A1970">
        <v>0</v>
      </c>
      <c r="B1970">
        <v>-5.3892215568862298E-2</v>
      </c>
      <c r="C1970">
        <f t="shared" si="60"/>
        <v>1.5530004143310323</v>
      </c>
      <c r="D1970">
        <v>1</v>
      </c>
      <c r="E1970">
        <f t="shared" si="61"/>
        <v>5.1821752370718156E-2</v>
      </c>
    </row>
    <row r="1971" spans="1:5" x14ac:dyDescent="0.25">
      <c r="A1971">
        <v>0</v>
      </c>
      <c r="B1971">
        <v>-5.3892215568862298E-2</v>
      </c>
      <c r="C1971">
        <f t="shared" si="60"/>
        <v>1.5530004143310323</v>
      </c>
      <c r="D1971">
        <v>1</v>
      </c>
      <c r="E1971">
        <f t="shared" si="61"/>
        <v>5.1821752370718156E-2</v>
      </c>
    </row>
    <row r="1972" spans="1:5" x14ac:dyDescent="0.25">
      <c r="A1972">
        <v>0</v>
      </c>
      <c r="B1972">
        <v>-5.3892215568862298E-2</v>
      </c>
      <c r="C1972">
        <f t="shared" si="60"/>
        <v>1.5530004143310323</v>
      </c>
      <c r="D1972">
        <v>1</v>
      </c>
      <c r="E1972">
        <f t="shared" si="61"/>
        <v>5.1821752370718156E-2</v>
      </c>
    </row>
    <row r="1973" spans="1:5" x14ac:dyDescent="0.25">
      <c r="A1973">
        <v>0</v>
      </c>
      <c r="B1973">
        <v>-5.3892215568862298E-2</v>
      </c>
      <c r="C1973">
        <f t="shared" si="60"/>
        <v>1.5530004143310323</v>
      </c>
      <c r="D1973">
        <v>1</v>
      </c>
      <c r="E1973">
        <f t="shared" si="61"/>
        <v>5.1821752370718156E-2</v>
      </c>
    </row>
    <row r="1974" spans="1:5" x14ac:dyDescent="0.25">
      <c r="A1974">
        <v>0</v>
      </c>
      <c r="B1974">
        <v>-5.3738317757009303E-2</v>
      </c>
      <c r="C1974">
        <f t="shared" si="60"/>
        <v>1.5533242844950672</v>
      </c>
      <c r="D1974">
        <v>1</v>
      </c>
      <c r="E1974">
        <f t="shared" si="61"/>
        <v>5.1821752370718156E-2</v>
      </c>
    </row>
    <row r="1975" spans="1:5" x14ac:dyDescent="0.25">
      <c r="A1975">
        <v>0</v>
      </c>
      <c r="B1975">
        <v>-5.3738317757009303E-2</v>
      </c>
      <c r="C1975">
        <f t="shared" si="60"/>
        <v>1.5533242844950672</v>
      </c>
      <c r="D1975">
        <v>1</v>
      </c>
      <c r="E1975">
        <f t="shared" si="61"/>
        <v>5.1821752370718156E-2</v>
      </c>
    </row>
    <row r="1976" spans="1:5" x14ac:dyDescent="0.25">
      <c r="A1976">
        <v>0</v>
      </c>
      <c r="B1976">
        <v>-5.3613053613053602E-2</v>
      </c>
      <c r="C1976">
        <f t="shared" si="60"/>
        <v>1.553587487436906</v>
      </c>
      <c r="D1976">
        <v>1</v>
      </c>
      <c r="E1976">
        <f t="shared" si="61"/>
        <v>5.1821752370718156E-2</v>
      </c>
    </row>
    <row r="1977" spans="1:5" x14ac:dyDescent="0.25">
      <c r="A1977">
        <v>0</v>
      </c>
      <c r="B1977">
        <v>-5.3613053613053602E-2</v>
      </c>
      <c r="C1977">
        <f t="shared" si="60"/>
        <v>1.553587487436906</v>
      </c>
      <c r="D1977">
        <v>1</v>
      </c>
      <c r="E1977">
        <f t="shared" si="61"/>
        <v>5.1821752370718156E-2</v>
      </c>
    </row>
    <row r="1978" spans="1:5" x14ac:dyDescent="0.25">
      <c r="A1978">
        <v>0</v>
      </c>
      <c r="B1978">
        <v>-5.3613053613053602E-2</v>
      </c>
      <c r="C1978">
        <f t="shared" si="60"/>
        <v>1.553587487436906</v>
      </c>
      <c r="D1978">
        <v>1</v>
      </c>
      <c r="E1978">
        <f t="shared" si="61"/>
        <v>5.1821752370718156E-2</v>
      </c>
    </row>
    <row r="1979" spans="1:5" x14ac:dyDescent="0.25">
      <c r="A1979">
        <v>0</v>
      </c>
      <c r="B1979">
        <v>-5.3613053613053602E-2</v>
      </c>
      <c r="C1979">
        <f t="shared" si="60"/>
        <v>1.553587487436906</v>
      </c>
      <c r="D1979">
        <v>1</v>
      </c>
      <c r="E1979">
        <f t="shared" si="61"/>
        <v>5.1821752370718156E-2</v>
      </c>
    </row>
    <row r="1980" spans="1:5" x14ac:dyDescent="0.25">
      <c r="A1980">
        <v>0</v>
      </c>
      <c r="B1980">
        <v>-5.3333333333333302E-2</v>
      </c>
      <c r="C1980">
        <f t="shared" si="60"/>
        <v>1.5541739046320873</v>
      </c>
      <c r="D1980">
        <v>1</v>
      </c>
      <c r="E1980">
        <f t="shared" si="61"/>
        <v>5.1821752370718156E-2</v>
      </c>
    </row>
    <row r="1981" spans="1:5" x14ac:dyDescent="0.25">
      <c r="A1981">
        <v>0</v>
      </c>
      <c r="B1981">
        <v>-5.3333333333333302E-2</v>
      </c>
      <c r="C1981">
        <f t="shared" si="60"/>
        <v>1.5541739046320873</v>
      </c>
      <c r="D1981">
        <v>1</v>
      </c>
      <c r="E1981">
        <f t="shared" si="61"/>
        <v>5.1821752370718156E-2</v>
      </c>
    </row>
    <row r="1982" spans="1:5" x14ac:dyDescent="0.25">
      <c r="A1982">
        <v>0</v>
      </c>
      <c r="B1982">
        <v>-5.3333333333333302E-2</v>
      </c>
      <c r="C1982">
        <f t="shared" si="60"/>
        <v>1.5541739046320873</v>
      </c>
      <c r="D1982">
        <v>1</v>
      </c>
      <c r="E1982">
        <f t="shared" si="61"/>
        <v>5.1821752370718156E-2</v>
      </c>
    </row>
    <row r="1983" spans="1:5" x14ac:dyDescent="0.25">
      <c r="A1983">
        <v>0</v>
      </c>
      <c r="B1983">
        <v>-5.3333333333333302E-2</v>
      </c>
      <c r="C1983">
        <f t="shared" si="60"/>
        <v>1.5541739046320873</v>
      </c>
      <c r="D1983">
        <v>1</v>
      </c>
      <c r="E1983">
        <f t="shared" si="61"/>
        <v>5.1821752370718156E-2</v>
      </c>
    </row>
    <row r="1984" spans="1:5" x14ac:dyDescent="0.25">
      <c r="A1984">
        <v>0</v>
      </c>
      <c r="B1984">
        <v>-5.3333333333333302E-2</v>
      </c>
      <c r="C1984">
        <f t="shared" si="60"/>
        <v>1.5541739046320873</v>
      </c>
      <c r="D1984">
        <v>1</v>
      </c>
      <c r="E1984">
        <f t="shared" si="61"/>
        <v>5.1821752370718156E-2</v>
      </c>
    </row>
    <row r="1985" spans="1:5" x14ac:dyDescent="0.25">
      <c r="A1985">
        <v>0</v>
      </c>
      <c r="B1985">
        <v>-5.3333333333333302E-2</v>
      </c>
      <c r="C1985">
        <f t="shared" si="60"/>
        <v>1.5541739046320873</v>
      </c>
      <c r="D1985">
        <v>1</v>
      </c>
      <c r="E1985">
        <f t="shared" si="61"/>
        <v>5.1821752370718156E-2</v>
      </c>
    </row>
    <row r="1986" spans="1:5" x14ac:dyDescent="0.25">
      <c r="A1986">
        <v>0</v>
      </c>
      <c r="B1986">
        <v>-5.3333333333333302E-2</v>
      </c>
      <c r="C1986">
        <f t="shared" ref="C1986:C2049" si="62">_xlfn.NORM.DIST(B1986,I$10,I$13,FALSE)</f>
        <v>1.5541739046320873</v>
      </c>
      <c r="D1986">
        <v>1</v>
      </c>
      <c r="E1986">
        <f t="shared" si="61"/>
        <v>5.1821752370718156E-2</v>
      </c>
    </row>
    <row r="1987" spans="1:5" x14ac:dyDescent="0.25">
      <c r="A1987">
        <v>0</v>
      </c>
      <c r="B1987">
        <v>-5.3333333333333302E-2</v>
      </c>
      <c r="C1987">
        <f t="shared" si="62"/>
        <v>1.5541739046320873</v>
      </c>
      <c r="D1987">
        <v>1</v>
      </c>
      <c r="E1987">
        <f t="shared" ref="E1987:E2050" si="63">_xlfn.NORM.DIST(D1987,I$4,I$7,FALSE)</f>
        <v>5.1821752370718156E-2</v>
      </c>
    </row>
    <row r="1988" spans="1:5" x14ac:dyDescent="0.25">
      <c r="A1988">
        <v>0</v>
      </c>
      <c r="B1988">
        <v>-5.3333333333333302E-2</v>
      </c>
      <c r="C1988">
        <f t="shared" si="62"/>
        <v>1.5541739046320873</v>
      </c>
      <c r="D1988">
        <v>1</v>
      </c>
      <c r="E1988">
        <f t="shared" si="63"/>
        <v>5.1821752370718156E-2</v>
      </c>
    </row>
    <row r="1989" spans="1:5" x14ac:dyDescent="0.25">
      <c r="A1989">
        <v>0</v>
      </c>
      <c r="B1989">
        <v>-5.3333333333333302E-2</v>
      </c>
      <c r="C1989">
        <f t="shared" si="62"/>
        <v>1.5541739046320873</v>
      </c>
      <c r="D1989">
        <v>1</v>
      </c>
      <c r="E1989">
        <f t="shared" si="63"/>
        <v>5.1821752370718156E-2</v>
      </c>
    </row>
    <row r="1990" spans="1:5" x14ac:dyDescent="0.25">
      <c r="A1990">
        <v>0</v>
      </c>
      <c r="B1990">
        <v>-5.3333333333333302E-2</v>
      </c>
      <c r="C1990">
        <f t="shared" si="62"/>
        <v>1.5541739046320873</v>
      </c>
      <c r="D1990">
        <v>1</v>
      </c>
      <c r="E1990">
        <f t="shared" si="63"/>
        <v>5.1821752370718156E-2</v>
      </c>
    </row>
    <row r="1991" spans="1:5" x14ac:dyDescent="0.25">
      <c r="A1991">
        <v>0</v>
      </c>
      <c r="B1991">
        <v>-5.3333333333333302E-2</v>
      </c>
      <c r="C1991">
        <f t="shared" si="62"/>
        <v>1.5541739046320873</v>
      </c>
      <c r="D1991">
        <v>1</v>
      </c>
      <c r="E1991">
        <f t="shared" si="63"/>
        <v>5.1821752370718156E-2</v>
      </c>
    </row>
    <row r="1992" spans="1:5" x14ac:dyDescent="0.25">
      <c r="A1992">
        <v>0</v>
      </c>
      <c r="B1992">
        <v>-5.3333333333333302E-2</v>
      </c>
      <c r="C1992">
        <f t="shared" si="62"/>
        <v>1.5541739046320873</v>
      </c>
      <c r="D1992">
        <v>1</v>
      </c>
      <c r="E1992">
        <f t="shared" si="63"/>
        <v>5.1821752370718156E-2</v>
      </c>
    </row>
    <row r="1993" spans="1:5" x14ac:dyDescent="0.25">
      <c r="A1993">
        <v>0</v>
      </c>
      <c r="B1993">
        <v>-5.3333333333333302E-2</v>
      </c>
      <c r="C1993">
        <f t="shared" si="62"/>
        <v>1.5541739046320873</v>
      </c>
      <c r="D1993">
        <v>1</v>
      </c>
      <c r="E1993">
        <f t="shared" si="63"/>
        <v>5.1821752370718156E-2</v>
      </c>
    </row>
    <row r="1994" spans="1:5" x14ac:dyDescent="0.25">
      <c r="A1994">
        <v>0</v>
      </c>
      <c r="B1994">
        <v>-5.3333333333333302E-2</v>
      </c>
      <c r="C1994">
        <f t="shared" si="62"/>
        <v>1.5541739046320873</v>
      </c>
      <c r="D1994">
        <v>1</v>
      </c>
      <c r="E1994">
        <f t="shared" si="63"/>
        <v>5.1821752370718156E-2</v>
      </c>
    </row>
    <row r="1995" spans="1:5" x14ac:dyDescent="0.25">
      <c r="A1995">
        <v>0</v>
      </c>
      <c r="B1995">
        <v>-5.3333333333333302E-2</v>
      </c>
      <c r="C1995">
        <f t="shared" si="62"/>
        <v>1.5541739046320873</v>
      </c>
      <c r="D1995">
        <v>1</v>
      </c>
      <c r="E1995">
        <f t="shared" si="63"/>
        <v>5.1821752370718156E-2</v>
      </c>
    </row>
    <row r="1996" spans="1:5" x14ac:dyDescent="0.25">
      <c r="A1996">
        <v>0</v>
      </c>
      <c r="B1996">
        <v>-5.3333333333333302E-2</v>
      </c>
      <c r="C1996">
        <f t="shared" si="62"/>
        <v>1.5541739046320873</v>
      </c>
      <c r="D1996">
        <v>1</v>
      </c>
      <c r="E1996">
        <f t="shared" si="63"/>
        <v>5.1821752370718156E-2</v>
      </c>
    </row>
    <row r="1997" spans="1:5" x14ac:dyDescent="0.25">
      <c r="A1997">
        <v>0</v>
      </c>
      <c r="B1997">
        <v>-5.2999999999999999E-2</v>
      </c>
      <c r="C1997">
        <f t="shared" si="62"/>
        <v>1.5548703231432188</v>
      </c>
      <c r="D1997">
        <v>1</v>
      </c>
      <c r="E1997">
        <f t="shared" si="63"/>
        <v>5.1821752370718156E-2</v>
      </c>
    </row>
    <row r="1998" spans="1:5" x14ac:dyDescent="0.25">
      <c r="A1998">
        <v>0</v>
      </c>
      <c r="B1998">
        <v>-5.2666666666666702E-2</v>
      </c>
      <c r="C1998">
        <f t="shared" si="62"/>
        <v>1.5555641332858525</v>
      </c>
      <c r="D1998">
        <v>1</v>
      </c>
      <c r="E1998">
        <f t="shared" si="63"/>
        <v>5.1821752370718156E-2</v>
      </c>
    </row>
    <row r="1999" spans="1:5" x14ac:dyDescent="0.25">
      <c r="A1999">
        <v>0</v>
      </c>
      <c r="B1999">
        <v>-5.2631578947368397E-2</v>
      </c>
      <c r="C1999">
        <f t="shared" si="62"/>
        <v>1.5556370140450952</v>
      </c>
      <c r="D1999">
        <v>1</v>
      </c>
      <c r="E1999">
        <f t="shared" si="63"/>
        <v>5.1821752370718156E-2</v>
      </c>
    </row>
    <row r="2000" spans="1:5" x14ac:dyDescent="0.25">
      <c r="A2000">
        <v>0</v>
      </c>
      <c r="B2000">
        <v>-5.21739130434783E-2</v>
      </c>
      <c r="C2000">
        <f t="shared" si="62"/>
        <v>1.5565849797681679</v>
      </c>
      <c r="D2000">
        <v>1</v>
      </c>
      <c r="E2000">
        <f t="shared" si="63"/>
        <v>5.1821752370718156E-2</v>
      </c>
    </row>
    <row r="2001" spans="1:5" x14ac:dyDescent="0.25">
      <c r="A2001">
        <v>0</v>
      </c>
      <c r="B2001">
        <v>-5.21739130434783E-2</v>
      </c>
      <c r="C2001">
        <f t="shared" si="62"/>
        <v>1.5565849797681679</v>
      </c>
      <c r="D2001">
        <v>1</v>
      </c>
      <c r="E2001">
        <f t="shared" si="63"/>
        <v>5.1821752370718156E-2</v>
      </c>
    </row>
    <row r="2002" spans="1:5" x14ac:dyDescent="0.25">
      <c r="A2002">
        <v>0</v>
      </c>
      <c r="B2002">
        <v>-5.1999999999999998E-2</v>
      </c>
      <c r="C2002">
        <f t="shared" si="62"/>
        <v>1.5569439134002367</v>
      </c>
      <c r="D2002">
        <v>1</v>
      </c>
      <c r="E2002">
        <f t="shared" si="63"/>
        <v>5.1821752370718156E-2</v>
      </c>
    </row>
    <row r="2003" spans="1:5" x14ac:dyDescent="0.25">
      <c r="A2003">
        <v>0</v>
      </c>
      <c r="B2003">
        <v>-5.1999999999999998E-2</v>
      </c>
      <c r="C2003">
        <f t="shared" si="62"/>
        <v>1.5569439134002367</v>
      </c>
      <c r="D2003">
        <v>1</v>
      </c>
      <c r="E2003">
        <f t="shared" si="63"/>
        <v>5.1821752370718156E-2</v>
      </c>
    </row>
    <row r="2004" spans="1:5" x14ac:dyDescent="0.25">
      <c r="A2004">
        <v>0</v>
      </c>
      <c r="B2004">
        <v>-5.1999999999999998E-2</v>
      </c>
      <c r="C2004">
        <f t="shared" si="62"/>
        <v>1.5569439134002367</v>
      </c>
      <c r="D2004">
        <v>1</v>
      </c>
      <c r="E2004">
        <f t="shared" si="63"/>
        <v>5.1821752370718156E-2</v>
      </c>
    </row>
    <row r="2005" spans="1:5" x14ac:dyDescent="0.25">
      <c r="A2005">
        <v>0</v>
      </c>
      <c r="B2005">
        <v>-5.1999999999999998E-2</v>
      </c>
      <c r="C2005">
        <f t="shared" si="62"/>
        <v>1.5569439134002367</v>
      </c>
      <c r="D2005">
        <v>1</v>
      </c>
      <c r="E2005">
        <f t="shared" si="63"/>
        <v>5.1821752370718156E-2</v>
      </c>
    </row>
    <row r="2006" spans="1:5" x14ac:dyDescent="0.25">
      <c r="A2006">
        <v>0</v>
      </c>
      <c r="B2006">
        <v>-5.1999999999999998E-2</v>
      </c>
      <c r="C2006">
        <f t="shared" si="62"/>
        <v>1.5569439134002367</v>
      </c>
      <c r="D2006">
        <v>1</v>
      </c>
      <c r="E2006">
        <f t="shared" si="63"/>
        <v>5.1821752370718156E-2</v>
      </c>
    </row>
    <row r="2007" spans="1:5" x14ac:dyDescent="0.25">
      <c r="A2007">
        <v>0</v>
      </c>
      <c r="B2007">
        <v>-5.1999999999999998E-2</v>
      </c>
      <c r="C2007">
        <f t="shared" si="62"/>
        <v>1.5569439134002367</v>
      </c>
      <c r="D2007">
        <v>1</v>
      </c>
      <c r="E2007">
        <f t="shared" si="63"/>
        <v>5.1821752370718156E-2</v>
      </c>
    </row>
    <row r="2008" spans="1:5" x14ac:dyDescent="0.25">
      <c r="A2008">
        <v>0</v>
      </c>
      <c r="B2008">
        <v>-5.1999999999999998E-2</v>
      </c>
      <c r="C2008">
        <f t="shared" si="62"/>
        <v>1.5569439134002367</v>
      </c>
      <c r="D2008">
        <v>1</v>
      </c>
      <c r="E2008">
        <f t="shared" si="63"/>
        <v>5.1821752370718156E-2</v>
      </c>
    </row>
    <row r="2009" spans="1:5" x14ac:dyDescent="0.25">
      <c r="A2009">
        <v>0</v>
      </c>
      <c r="B2009">
        <v>-5.1666666666666701E-2</v>
      </c>
      <c r="C2009">
        <f t="shared" si="62"/>
        <v>1.5576298758719178</v>
      </c>
      <c r="D2009">
        <v>1</v>
      </c>
      <c r="E2009">
        <f t="shared" si="63"/>
        <v>5.1821752370718156E-2</v>
      </c>
    </row>
    <row r="2010" spans="1:5" x14ac:dyDescent="0.25">
      <c r="A2010">
        <v>0</v>
      </c>
      <c r="B2010">
        <v>-5.1666666666666701E-2</v>
      </c>
      <c r="C2010">
        <f t="shared" si="62"/>
        <v>1.5576298758719178</v>
      </c>
      <c r="D2010">
        <v>1</v>
      </c>
      <c r="E2010">
        <f t="shared" si="63"/>
        <v>5.1821752370718156E-2</v>
      </c>
    </row>
    <row r="2011" spans="1:5" x14ac:dyDescent="0.25">
      <c r="A2011">
        <v>0</v>
      </c>
      <c r="B2011">
        <v>-5.1666666666666701E-2</v>
      </c>
      <c r="C2011">
        <f t="shared" si="62"/>
        <v>1.5576298758719178</v>
      </c>
      <c r="D2011">
        <v>1</v>
      </c>
      <c r="E2011">
        <f t="shared" si="63"/>
        <v>5.1821752370718156E-2</v>
      </c>
    </row>
    <row r="2012" spans="1:5" x14ac:dyDescent="0.25">
      <c r="A2012">
        <v>0</v>
      </c>
      <c r="B2012">
        <v>-5.1401869158878503E-2</v>
      </c>
      <c r="C2012">
        <f t="shared" si="62"/>
        <v>1.5581729297695097</v>
      </c>
      <c r="D2012">
        <v>1</v>
      </c>
      <c r="E2012">
        <f t="shared" si="63"/>
        <v>5.1821752370718156E-2</v>
      </c>
    </row>
    <row r="2013" spans="1:5" x14ac:dyDescent="0.25">
      <c r="A2013">
        <v>0</v>
      </c>
      <c r="B2013">
        <v>-5.1401869158878503E-2</v>
      </c>
      <c r="C2013">
        <f t="shared" si="62"/>
        <v>1.5581729297695097</v>
      </c>
      <c r="D2013">
        <v>1</v>
      </c>
      <c r="E2013">
        <f t="shared" si="63"/>
        <v>5.1821752370718156E-2</v>
      </c>
    </row>
    <row r="2014" spans="1:5" x14ac:dyDescent="0.25">
      <c r="A2014">
        <v>0</v>
      </c>
      <c r="B2014">
        <v>-5.1401869158878503E-2</v>
      </c>
      <c r="C2014">
        <f t="shared" si="62"/>
        <v>1.5581729297695097</v>
      </c>
      <c r="D2014">
        <v>1</v>
      </c>
      <c r="E2014">
        <f t="shared" si="63"/>
        <v>5.1821752370718156E-2</v>
      </c>
    </row>
    <row r="2015" spans="1:5" x14ac:dyDescent="0.25">
      <c r="A2015">
        <v>0</v>
      </c>
      <c r="B2015">
        <v>-5.1401869158878503E-2</v>
      </c>
      <c r="C2015">
        <f t="shared" si="62"/>
        <v>1.5581729297695097</v>
      </c>
      <c r="D2015">
        <v>1</v>
      </c>
      <c r="E2015">
        <f t="shared" si="63"/>
        <v>5.1821752370718156E-2</v>
      </c>
    </row>
    <row r="2016" spans="1:5" x14ac:dyDescent="0.25">
      <c r="A2016">
        <v>0</v>
      </c>
      <c r="B2016">
        <v>-5.1401869158878503E-2</v>
      </c>
      <c r="C2016">
        <f t="shared" si="62"/>
        <v>1.5581729297695097</v>
      </c>
      <c r="D2016">
        <v>1</v>
      </c>
      <c r="E2016">
        <f t="shared" si="63"/>
        <v>5.1821752370718156E-2</v>
      </c>
    </row>
    <row r="2017" spans="1:5" x14ac:dyDescent="0.25">
      <c r="A2017">
        <v>0</v>
      </c>
      <c r="B2017">
        <v>-5.1401869158878503E-2</v>
      </c>
      <c r="C2017">
        <f t="shared" si="62"/>
        <v>1.5581729297695097</v>
      </c>
      <c r="D2017">
        <v>1</v>
      </c>
      <c r="E2017">
        <f t="shared" si="63"/>
        <v>5.1821752370718156E-2</v>
      </c>
    </row>
    <row r="2018" spans="1:5" x14ac:dyDescent="0.25">
      <c r="A2018">
        <v>0</v>
      </c>
      <c r="B2018">
        <v>-5.1282051282051301E-2</v>
      </c>
      <c r="C2018">
        <f t="shared" si="62"/>
        <v>1.5584181109874005</v>
      </c>
      <c r="D2018">
        <v>1</v>
      </c>
      <c r="E2018">
        <f t="shared" si="63"/>
        <v>5.1821752370718156E-2</v>
      </c>
    </row>
    <row r="2019" spans="1:5" x14ac:dyDescent="0.25">
      <c r="A2019">
        <v>0</v>
      </c>
      <c r="B2019">
        <v>-5.1282051282051301E-2</v>
      </c>
      <c r="C2019">
        <f t="shared" si="62"/>
        <v>1.5584181109874005</v>
      </c>
      <c r="D2019">
        <v>1</v>
      </c>
      <c r="E2019">
        <f t="shared" si="63"/>
        <v>5.1821752370718156E-2</v>
      </c>
    </row>
    <row r="2020" spans="1:5" x14ac:dyDescent="0.25">
      <c r="A2020">
        <v>0</v>
      </c>
      <c r="B2020">
        <v>-5.1282051282051301E-2</v>
      </c>
      <c r="C2020">
        <f t="shared" si="62"/>
        <v>1.5584181109874005</v>
      </c>
      <c r="D2020">
        <v>1</v>
      </c>
      <c r="E2020">
        <f t="shared" si="63"/>
        <v>5.1821752370718156E-2</v>
      </c>
    </row>
    <row r="2021" spans="1:5" x14ac:dyDescent="0.25">
      <c r="A2021">
        <v>0</v>
      </c>
      <c r="B2021">
        <v>-5.1282051282051301E-2</v>
      </c>
      <c r="C2021">
        <f t="shared" si="62"/>
        <v>1.5584181109874005</v>
      </c>
      <c r="D2021">
        <v>1</v>
      </c>
      <c r="E2021">
        <f t="shared" si="63"/>
        <v>5.1821752370718156E-2</v>
      </c>
    </row>
    <row r="2022" spans="1:5" x14ac:dyDescent="0.25">
      <c r="A2022">
        <v>0</v>
      </c>
      <c r="B2022">
        <v>-5.1051051051051101E-2</v>
      </c>
      <c r="C2022">
        <f t="shared" si="62"/>
        <v>1.5588898443114316</v>
      </c>
      <c r="D2022">
        <v>1</v>
      </c>
      <c r="E2022">
        <f t="shared" si="63"/>
        <v>5.1821752370718156E-2</v>
      </c>
    </row>
    <row r="2023" spans="1:5" x14ac:dyDescent="0.25">
      <c r="A2023">
        <v>0</v>
      </c>
      <c r="B2023">
        <v>-5.1051051051051101E-2</v>
      </c>
      <c r="C2023">
        <f t="shared" si="62"/>
        <v>1.5588898443114316</v>
      </c>
      <c r="D2023">
        <v>1</v>
      </c>
      <c r="E2023">
        <f t="shared" si="63"/>
        <v>5.1821752370718156E-2</v>
      </c>
    </row>
    <row r="2024" spans="1:5" x14ac:dyDescent="0.25">
      <c r="A2024">
        <v>0</v>
      </c>
      <c r="B2024">
        <v>-5.1051051051051101E-2</v>
      </c>
      <c r="C2024">
        <f t="shared" si="62"/>
        <v>1.5588898443114316</v>
      </c>
      <c r="D2024">
        <v>1</v>
      </c>
      <c r="E2024">
        <f t="shared" si="63"/>
        <v>5.1821752370718156E-2</v>
      </c>
    </row>
    <row r="2025" spans="1:5" x14ac:dyDescent="0.25">
      <c r="A2025">
        <v>0</v>
      </c>
      <c r="B2025">
        <v>-5.1051051051051101E-2</v>
      </c>
      <c r="C2025">
        <f t="shared" si="62"/>
        <v>1.5588898443114316</v>
      </c>
      <c r="D2025">
        <v>1</v>
      </c>
      <c r="E2025">
        <f t="shared" si="63"/>
        <v>5.1821752370718156E-2</v>
      </c>
    </row>
    <row r="2026" spans="1:5" x14ac:dyDescent="0.25">
      <c r="A2026">
        <v>0</v>
      </c>
      <c r="B2026">
        <v>-5.1051051051051101E-2</v>
      </c>
      <c r="C2026">
        <f t="shared" si="62"/>
        <v>1.5588898443114316</v>
      </c>
      <c r="D2026">
        <v>1</v>
      </c>
      <c r="E2026">
        <f t="shared" si="63"/>
        <v>5.1821752370718156E-2</v>
      </c>
    </row>
    <row r="2027" spans="1:5" x14ac:dyDescent="0.25">
      <c r="A2027">
        <v>0</v>
      </c>
      <c r="B2027">
        <v>-5.1051051051051101E-2</v>
      </c>
      <c r="C2027">
        <f t="shared" si="62"/>
        <v>1.5588898443114316</v>
      </c>
      <c r="D2027">
        <v>1</v>
      </c>
      <c r="E2027">
        <f t="shared" si="63"/>
        <v>5.1821752370718156E-2</v>
      </c>
    </row>
    <row r="2028" spans="1:5" x14ac:dyDescent="0.25">
      <c r="A2028">
        <v>0</v>
      </c>
      <c r="B2028">
        <v>-5.1051051051051101E-2</v>
      </c>
      <c r="C2028">
        <f t="shared" si="62"/>
        <v>1.5588898443114316</v>
      </c>
      <c r="D2028">
        <v>1</v>
      </c>
      <c r="E2028">
        <f t="shared" si="63"/>
        <v>5.1821752370718156E-2</v>
      </c>
    </row>
    <row r="2029" spans="1:5" x14ac:dyDescent="0.25">
      <c r="A2029">
        <v>0</v>
      </c>
      <c r="B2029">
        <v>-5.1051051051051101E-2</v>
      </c>
      <c r="C2029">
        <f t="shared" si="62"/>
        <v>1.5588898443114316</v>
      </c>
      <c r="D2029">
        <v>1</v>
      </c>
      <c r="E2029">
        <f t="shared" si="63"/>
        <v>5.1821752370718156E-2</v>
      </c>
    </row>
    <row r="2030" spans="1:5" x14ac:dyDescent="0.25">
      <c r="A2030">
        <v>0</v>
      </c>
      <c r="B2030">
        <v>-5.1051051051051101E-2</v>
      </c>
      <c r="C2030">
        <f t="shared" si="62"/>
        <v>1.5588898443114316</v>
      </c>
      <c r="D2030">
        <v>1</v>
      </c>
      <c r="E2030">
        <f t="shared" si="63"/>
        <v>5.1821752370718156E-2</v>
      </c>
    </row>
    <row r="2031" spans="1:5" x14ac:dyDescent="0.25">
      <c r="A2031">
        <v>0</v>
      </c>
      <c r="B2031">
        <v>-5.1051051051051101E-2</v>
      </c>
      <c r="C2031">
        <f t="shared" si="62"/>
        <v>1.5588898443114316</v>
      </c>
      <c r="D2031">
        <v>1</v>
      </c>
      <c r="E2031">
        <f t="shared" si="63"/>
        <v>5.1821752370718156E-2</v>
      </c>
    </row>
    <row r="2032" spans="1:5" x14ac:dyDescent="0.25">
      <c r="A2032">
        <v>0</v>
      </c>
      <c r="B2032">
        <v>-5.1051051051051101E-2</v>
      </c>
      <c r="C2032">
        <f t="shared" si="62"/>
        <v>1.5588898443114316</v>
      </c>
      <c r="D2032">
        <v>1</v>
      </c>
      <c r="E2032">
        <f t="shared" si="63"/>
        <v>5.1821752370718156E-2</v>
      </c>
    </row>
    <row r="2033" spans="1:5" x14ac:dyDescent="0.25">
      <c r="A2033">
        <v>0</v>
      </c>
      <c r="B2033">
        <v>-5.0999999999999997E-2</v>
      </c>
      <c r="C2033">
        <f t="shared" si="62"/>
        <v>1.5589939269923205</v>
      </c>
      <c r="D2033">
        <v>1</v>
      </c>
      <c r="E2033">
        <f t="shared" si="63"/>
        <v>5.1821752370718156E-2</v>
      </c>
    </row>
    <row r="2034" spans="1:5" x14ac:dyDescent="0.25">
      <c r="A2034">
        <v>0</v>
      </c>
      <c r="B2034">
        <v>-5.0898203592814398E-2</v>
      </c>
      <c r="C2034">
        <f t="shared" si="62"/>
        <v>1.5592012848914185</v>
      </c>
      <c r="D2034">
        <v>1</v>
      </c>
      <c r="E2034">
        <f t="shared" si="63"/>
        <v>5.1821752370718156E-2</v>
      </c>
    </row>
    <row r="2035" spans="1:5" x14ac:dyDescent="0.25">
      <c r="A2035">
        <v>0</v>
      </c>
      <c r="B2035">
        <v>-5.0898203592814398E-2</v>
      </c>
      <c r="C2035">
        <f t="shared" si="62"/>
        <v>1.5592012848914185</v>
      </c>
      <c r="D2035">
        <v>1</v>
      </c>
      <c r="E2035">
        <f t="shared" si="63"/>
        <v>5.1821752370718156E-2</v>
      </c>
    </row>
    <row r="2036" spans="1:5" x14ac:dyDescent="0.25">
      <c r="A2036">
        <v>0</v>
      </c>
      <c r="B2036">
        <v>-5.0898203592814398E-2</v>
      </c>
      <c r="C2036">
        <f t="shared" si="62"/>
        <v>1.5592012848914185</v>
      </c>
      <c r="D2036">
        <v>1</v>
      </c>
      <c r="E2036">
        <f t="shared" si="63"/>
        <v>5.1821752370718156E-2</v>
      </c>
    </row>
    <row r="2037" spans="1:5" x14ac:dyDescent="0.25">
      <c r="A2037">
        <v>0</v>
      </c>
      <c r="B2037">
        <v>-5.0898203592814398E-2</v>
      </c>
      <c r="C2037">
        <f t="shared" si="62"/>
        <v>1.5592012848914185</v>
      </c>
      <c r="D2037">
        <v>1</v>
      </c>
      <c r="E2037">
        <f t="shared" si="63"/>
        <v>5.1821752370718156E-2</v>
      </c>
    </row>
    <row r="2038" spans="1:5" x14ac:dyDescent="0.25">
      <c r="A2038">
        <v>0</v>
      </c>
      <c r="B2038">
        <v>-5.0898203592814398E-2</v>
      </c>
      <c r="C2038">
        <f t="shared" si="62"/>
        <v>1.5592012848914185</v>
      </c>
      <c r="D2038">
        <v>1</v>
      </c>
      <c r="E2038">
        <f t="shared" si="63"/>
        <v>5.1821752370718156E-2</v>
      </c>
    </row>
    <row r="2039" spans="1:5" x14ac:dyDescent="0.25">
      <c r="A2039">
        <v>0</v>
      </c>
      <c r="B2039">
        <v>-5.06666666666667E-2</v>
      </c>
      <c r="C2039">
        <f t="shared" si="62"/>
        <v>1.5596720082197026</v>
      </c>
      <c r="D2039">
        <v>1</v>
      </c>
      <c r="E2039">
        <f t="shared" si="63"/>
        <v>5.1821752370718156E-2</v>
      </c>
    </row>
    <row r="2040" spans="1:5" x14ac:dyDescent="0.25">
      <c r="A2040">
        <v>0</v>
      </c>
      <c r="B2040">
        <v>-5.06666666666667E-2</v>
      </c>
      <c r="C2040">
        <f t="shared" si="62"/>
        <v>1.5596720082197026</v>
      </c>
      <c r="D2040">
        <v>1</v>
      </c>
      <c r="E2040">
        <f t="shared" si="63"/>
        <v>5.1821752370718156E-2</v>
      </c>
    </row>
    <row r="2041" spans="1:5" x14ac:dyDescent="0.25">
      <c r="A2041">
        <v>0</v>
      </c>
      <c r="B2041">
        <v>-5.06666666666667E-2</v>
      </c>
      <c r="C2041">
        <f t="shared" si="62"/>
        <v>1.5596720082197026</v>
      </c>
      <c r="D2041">
        <v>1</v>
      </c>
      <c r="E2041">
        <f t="shared" si="63"/>
        <v>5.1821752370718156E-2</v>
      </c>
    </row>
    <row r="2042" spans="1:5" x14ac:dyDescent="0.25">
      <c r="A2042">
        <v>0</v>
      </c>
      <c r="B2042">
        <v>-5.06666666666667E-2</v>
      </c>
      <c r="C2042">
        <f t="shared" si="62"/>
        <v>1.5596720082197026</v>
      </c>
      <c r="D2042">
        <v>1</v>
      </c>
      <c r="E2042">
        <f t="shared" si="63"/>
        <v>5.1821752370718156E-2</v>
      </c>
    </row>
    <row r="2043" spans="1:5" x14ac:dyDescent="0.25">
      <c r="A2043">
        <v>0</v>
      </c>
      <c r="B2043">
        <v>-5.06666666666667E-2</v>
      </c>
      <c r="C2043">
        <f t="shared" si="62"/>
        <v>1.5596720082197026</v>
      </c>
      <c r="D2043">
        <v>1</v>
      </c>
      <c r="E2043">
        <f t="shared" si="63"/>
        <v>5.1821752370718156E-2</v>
      </c>
    </row>
    <row r="2044" spans="1:5" x14ac:dyDescent="0.25">
      <c r="A2044">
        <v>0</v>
      </c>
      <c r="B2044">
        <v>-5.06666666666667E-2</v>
      </c>
      <c r="C2044">
        <f t="shared" si="62"/>
        <v>1.5596720082197026</v>
      </c>
      <c r="D2044">
        <v>1</v>
      </c>
      <c r="E2044">
        <f t="shared" si="63"/>
        <v>5.1821752370718156E-2</v>
      </c>
    </row>
    <row r="2045" spans="1:5" x14ac:dyDescent="0.25">
      <c r="A2045">
        <v>0</v>
      </c>
      <c r="B2045">
        <v>-5.06666666666667E-2</v>
      </c>
      <c r="C2045">
        <f t="shared" si="62"/>
        <v>1.5596720082197026</v>
      </c>
      <c r="D2045">
        <v>1</v>
      </c>
      <c r="E2045">
        <f t="shared" si="63"/>
        <v>5.1821752370718156E-2</v>
      </c>
    </row>
    <row r="2046" spans="1:5" x14ac:dyDescent="0.25">
      <c r="A2046">
        <v>0</v>
      </c>
      <c r="B2046">
        <v>-5.06666666666667E-2</v>
      </c>
      <c r="C2046">
        <f t="shared" si="62"/>
        <v>1.5596720082197026</v>
      </c>
      <c r="D2046">
        <v>1</v>
      </c>
      <c r="E2046">
        <f t="shared" si="63"/>
        <v>5.1821752370718156E-2</v>
      </c>
    </row>
    <row r="2047" spans="1:5" x14ac:dyDescent="0.25">
      <c r="A2047">
        <v>0</v>
      </c>
      <c r="B2047">
        <v>-5.06666666666667E-2</v>
      </c>
      <c r="C2047">
        <f t="shared" si="62"/>
        <v>1.5596720082197026</v>
      </c>
      <c r="D2047">
        <v>1</v>
      </c>
      <c r="E2047">
        <f t="shared" si="63"/>
        <v>5.1821752370718156E-2</v>
      </c>
    </row>
    <row r="2048" spans="1:5" x14ac:dyDescent="0.25">
      <c r="A2048">
        <v>0</v>
      </c>
      <c r="B2048">
        <v>-5.06666666666667E-2</v>
      </c>
      <c r="C2048">
        <f t="shared" si="62"/>
        <v>1.5596720082197026</v>
      </c>
      <c r="D2048">
        <v>1</v>
      </c>
      <c r="E2048">
        <f t="shared" si="63"/>
        <v>5.1821752370718156E-2</v>
      </c>
    </row>
    <row r="2049" spans="1:5" x14ac:dyDescent="0.25">
      <c r="A2049">
        <v>0</v>
      </c>
      <c r="B2049">
        <v>-5.06666666666667E-2</v>
      </c>
      <c r="C2049">
        <f t="shared" si="62"/>
        <v>1.5596720082197026</v>
      </c>
      <c r="D2049">
        <v>1</v>
      </c>
      <c r="E2049">
        <f t="shared" si="63"/>
        <v>5.1821752370718156E-2</v>
      </c>
    </row>
    <row r="2050" spans="1:5" x14ac:dyDescent="0.25">
      <c r="A2050">
        <v>0</v>
      </c>
      <c r="B2050">
        <v>-5.06666666666667E-2</v>
      </c>
      <c r="C2050">
        <f t="shared" ref="C2050:C2113" si="64">_xlfn.NORM.DIST(B2050,I$10,I$13,FALSE)</f>
        <v>1.5596720082197026</v>
      </c>
      <c r="D2050">
        <v>1</v>
      </c>
      <c r="E2050">
        <f t="shared" si="63"/>
        <v>5.1821752370718156E-2</v>
      </c>
    </row>
    <row r="2051" spans="1:5" x14ac:dyDescent="0.25">
      <c r="A2051">
        <v>0</v>
      </c>
      <c r="B2051">
        <v>-5.06666666666667E-2</v>
      </c>
      <c r="C2051">
        <f t="shared" si="64"/>
        <v>1.5596720082197026</v>
      </c>
      <c r="D2051">
        <v>1</v>
      </c>
      <c r="E2051">
        <f t="shared" ref="E2051:E2114" si="65">_xlfn.NORM.DIST(D2051,I$4,I$7,FALSE)</f>
        <v>5.1821752370718156E-2</v>
      </c>
    </row>
    <row r="2052" spans="1:5" x14ac:dyDescent="0.25">
      <c r="A2052">
        <v>0</v>
      </c>
      <c r="B2052">
        <v>-5.06666666666667E-2</v>
      </c>
      <c r="C2052">
        <f t="shared" si="64"/>
        <v>1.5596720082197026</v>
      </c>
      <c r="D2052">
        <v>1</v>
      </c>
      <c r="E2052">
        <f t="shared" si="65"/>
        <v>5.1821752370718156E-2</v>
      </c>
    </row>
    <row r="2053" spans="1:5" x14ac:dyDescent="0.25">
      <c r="A2053">
        <v>0</v>
      </c>
      <c r="B2053">
        <v>-5.06666666666667E-2</v>
      </c>
      <c r="C2053">
        <f t="shared" si="64"/>
        <v>1.5596720082197026</v>
      </c>
      <c r="D2053">
        <v>1</v>
      </c>
      <c r="E2053">
        <f t="shared" si="65"/>
        <v>5.1821752370718156E-2</v>
      </c>
    </row>
    <row r="2054" spans="1:5" x14ac:dyDescent="0.25">
      <c r="A2054">
        <v>0</v>
      </c>
      <c r="B2054">
        <v>-0.05</v>
      </c>
      <c r="C2054">
        <f t="shared" si="64"/>
        <v>1.5610202635544741</v>
      </c>
      <c r="D2054">
        <v>1</v>
      </c>
      <c r="E2054">
        <f t="shared" si="65"/>
        <v>5.1821752370718156E-2</v>
      </c>
    </row>
    <row r="2055" spans="1:5" x14ac:dyDescent="0.25">
      <c r="A2055">
        <v>0</v>
      </c>
      <c r="B2055">
        <v>-0.05</v>
      </c>
      <c r="C2055">
        <f t="shared" si="64"/>
        <v>1.5610202635544741</v>
      </c>
      <c r="D2055">
        <v>1</v>
      </c>
      <c r="E2055">
        <f t="shared" si="65"/>
        <v>5.1821752370718156E-2</v>
      </c>
    </row>
    <row r="2056" spans="1:5" x14ac:dyDescent="0.25">
      <c r="A2056">
        <v>0</v>
      </c>
      <c r="B2056">
        <v>-0.05</v>
      </c>
      <c r="C2056">
        <f t="shared" si="64"/>
        <v>1.5610202635544741</v>
      </c>
      <c r="D2056">
        <v>1</v>
      </c>
      <c r="E2056">
        <f t="shared" si="65"/>
        <v>5.1821752370718156E-2</v>
      </c>
    </row>
    <row r="2057" spans="1:5" x14ac:dyDescent="0.25">
      <c r="A2057">
        <v>0</v>
      </c>
      <c r="B2057">
        <v>-0.05</v>
      </c>
      <c r="C2057">
        <f t="shared" si="64"/>
        <v>1.5610202635544741</v>
      </c>
      <c r="D2057">
        <v>1</v>
      </c>
      <c r="E2057">
        <f t="shared" si="65"/>
        <v>5.1821752370718156E-2</v>
      </c>
    </row>
    <row r="2058" spans="1:5" x14ac:dyDescent="0.25">
      <c r="A2058">
        <v>0</v>
      </c>
      <c r="B2058">
        <v>-0.05</v>
      </c>
      <c r="C2058">
        <f t="shared" si="64"/>
        <v>1.5610202635544741</v>
      </c>
      <c r="D2058">
        <v>1</v>
      </c>
      <c r="E2058">
        <f t="shared" si="65"/>
        <v>5.1821752370718156E-2</v>
      </c>
    </row>
    <row r="2059" spans="1:5" x14ac:dyDescent="0.25">
      <c r="A2059">
        <v>0</v>
      </c>
      <c r="B2059">
        <v>-0.05</v>
      </c>
      <c r="C2059">
        <f t="shared" si="64"/>
        <v>1.5610202635544741</v>
      </c>
      <c r="D2059">
        <v>1</v>
      </c>
      <c r="E2059">
        <f t="shared" si="65"/>
        <v>5.1821752370718156E-2</v>
      </c>
    </row>
    <row r="2060" spans="1:5" x14ac:dyDescent="0.25">
      <c r="A2060">
        <v>0</v>
      </c>
      <c r="B2060">
        <v>-0.05</v>
      </c>
      <c r="C2060">
        <f t="shared" si="64"/>
        <v>1.5610202635544741</v>
      </c>
      <c r="D2060">
        <v>1</v>
      </c>
      <c r="E2060">
        <f t="shared" si="65"/>
        <v>5.1821752370718156E-2</v>
      </c>
    </row>
    <row r="2061" spans="1:5" x14ac:dyDescent="0.25">
      <c r="A2061">
        <v>0</v>
      </c>
      <c r="B2061">
        <v>-0.05</v>
      </c>
      <c r="C2061">
        <f t="shared" si="64"/>
        <v>1.5610202635544741</v>
      </c>
      <c r="D2061">
        <v>1</v>
      </c>
      <c r="E2061">
        <f t="shared" si="65"/>
        <v>5.1821752370718156E-2</v>
      </c>
    </row>
    <row r="2062" spans="1:5" x14ac:dyDescent="0.25">
      <c r="A2062">
        <v>0</v>
      </c>
      <c r="B2062">
        <v>-0.05</v>
      </c>
      <c r="C2062">
        <f t="shared" si="64"/>
        <v>1.5610202635544741</v>
      </c>
      <c r="D2062">
        <v>1</v>
      </c>
      <c r="E2062">
        <f t="shared" si="65"/>
        <v>5.1821752370718156E-2</v>
      </c>
    </row>
    <row r="2063" spans="1:5" x14ac:dyDescent="0.25">
      <c r="A2063">
        <v>0</v>
      </c>
      <c r="B2063">
        <v>-0.05</v>
      </c>
      <c r="C2063">
        <f t="shared" si="64"/>
        <v>1.5610202635544741</v>
      </c>
      <c r="D2063">
        <v>1</v>
      </c>
      <c r="E2063">
        <f t="shared" si="65"/>
        <v>5.1821752370718156E-2</v>
      </c>
    </row>
    <row r="2064" spans="1:5" x14ac:dyDescent="0.25">
      <c r="A2064">
        <v>0</v>
      </c>
      <c r="B2064">
        <v>-0.05</v>
      </c>
      <c r="C2064">
        <f t="shared" si="64"/>
        <v>1.5610202635544741</v>
      </c>
      <c r="D2064">
        <v>1</v>
      </c>
      <c r="E2064">
        <f t="shared" si="65"/>
        <v>5.1821752370718156E-2</v>
      </c>
    </row>
    <row r="2065" spans="1:5" x14ac:dyDescent="0.25">
      <c r="A2065">
        <v>0</v>
      </c>
      <c r="B2065">
        <v>-4.9333333333333299E-2</v>
      </c>
      <c r="C2065">
        <f t="shared" si="64"/>
        <v>1.5623579516113963</v>
      </c>
      <c r="D2065">
        <v>1</v>
      </c>
      <c r="E2065">
        <f t="shared" si="65"/>
        <v>5.1821752370718156E-2</v>
      </c>
    </row>
    <row r="2066" spans="1:5" x14ac:dyDescent="0.25">
      <c r="A2066">
        <v>0</v>
      </c>
      <c r="B2066">
        <v>-4.9333333333333299E-2</v>
      </c>
      <c r="C2066">
        <f t="shared" si="64"/>
        <v>1.5623579516113963</v>
      </c>
      <c r="D2066">
        <v>1</v>
      </c>
      <c r="E2066">
        <f t="shared" si="65"/>
        <v>5.1821752370718156E-2</v>
      </c>
    </row>
    <row r="2067" spans="1:5" x14ac:dyDescent="0.25">
      <c r="A2067">
        <v>0</v>
      </c>
      <c r="B2067">
        <v>-4.9333333333333299E-2</v>
      </c>
      <c r="C2067">
        <f t="shared" si="64"/>
        <v>1.5623579516113963</v>
      </c>
      <c r="D2067">
        <v>1</v>
      </c>
      <c r="E2067">
        <f t="shared" si="65"/>
        <v>5.1821752370718156E-2</v>
      </c>
    </row>
    <row r="2068" spans="1:5" x14ac:dyDescent="0.25">
      <c r="A2068">
        <v>0</v>
      </c>
      <c r="B2068">
        <v>-4.9065420560747697E-2</v>
      </c>
      <c r="C2068">
        <f t="shared" si="64"/>
        <v>1.5628925439703563</v>
      </c>
      <c r="D2068">
        <v>1</v>
      </c>
      <c r="E2068">
        <f t="shared" si="65"/>
        <v>5.1821752370718156E-2</v>
      </c>
    </row>
    <row r="2069" spans="1:5" x14ac:dyDescent="0.25">
      <c r="A2069">
        <v>0</v>
      </c>
      <c r="B2069">
        <v>-4.9065420560747697E-2</v>
      </c>
      <c r="C2069">
        <f t="shared" si="64"/>
        <v>1.5628925439703563</v>
      </c>
      <c r="D2069">
        <v>1</v>
      </c>
      <c r="E2069">
        <f t="shared" si="65"/>
        <v>5.1821752370718156E-2</v>
      </c>
    </row>
    <row r="2070" spans="1:5" x14ac:dyDescent="0.25">
      <c r="A2070">
        <v>0</v>
      </c>
      <c r="B2070">
        <v>-4.9065420560747697E-2</v>
      </c>
      <c r="C2070">
        <f t="shared" si="64"/>
        <v>1.5628925439703563</v>
      </c>
      <c r="D2070">
        <v>1</v>
      </c>
      <c r="E2070">
        <f t="shared" si="65"/>
        <v>5.1821752370718156E-2</v>
      </c>
    </row>
    <row r="2071" spans="1:5" x14ac:dyDescent="0.25">
      <c r="A2071">
        <v>0</v>
      </c>
      <c r="B2071">
        <v>-4.8951048951049E-2</v>
      </c>
      <c r="C2071">
        <f t="shared" si="64"/>
        <v>1.5631202390643129</v>
      </c>
      <c r="D2071">
        <v>1</v>
      </c>
      <c r="E2071">
        <f t="shared" si="65"/>
        <v>5.1821752370718156E-2</v>
      </c>
    </row>
    <row r="2072" spans="1:5" x14ac:dyDescent="0.25">
      <c r="A2072">
        <v>0</v>
      </c>
      <c r="B2072">
        <v>-4.8333333333333298E-2</v>
      </c>
      <c r="C2072">
        <f t="shared" si="64"/>
        <v>1.5643446063326016</v>
      </c>
      <c r="D2072">
        <v>1</v>
      </c>
      <c r="E2072">
        <f t="shared" si="65"/>
        <v>5.1821752370718156E-2</v>
      </c>
    </row>
    <row r="2073" spans="1:5" x14ac:dyDescent="0.25">
      <c r="A2073">
        <v>0</v>
      </c>
      <c r="B2073">
        <v>-4.8333333333333298E-2</v>
      </c>
      <c r="C2073">
        <f t="shared" si="64"/>
        <v>1.5643446063326016</v>
      </c>
      <c r="D2073">
        <v>1</v>
      </c>
      <c r="E2073">
        <f t="shared" si="65"/>
        <v>5.1821752370718156E-2</v>
      </c>
    </row>
    <row r="2074" spans="1:5" x14ac:dyDescent="0.25">
      <c r="A2074">
        <v>0</v>
      </c>
      <c r="B2074">
        <v>-4.8048048048047999E-2</v>
      </c>
      <c r="C2074">
        <f t="shared" si="64"/>
        <v>1.5649069849537416</v>
      </c>
      <c r="D2074">
        <v>1</v>
      </c>
      <c r="E2074">
        <f t="shared" si="65"/>
        <v>5.1821752370718156E-2</v>
      </c>
    </row>
    <row r="2075" spans="1:5" x14ac:dyDescent="0.25">
      <c r="A2075">
        <v>0</v>
      </c>
      <c r="B2075">
        <v>-4.8048048048047999E-2</v>
      </c>
      <c r="C2075">
        <f t="shared" si="64"/>
        <v>1.5649069849537416</v>
      </c>
      <c r="D2075">
        <v>1</v>
      </c>
      <c r="E2075">
        <f t="shared" si="65"/>
        <v>5.1821752370718156E-2</v>
      </c>
    </row>
    <row r="2076" spans="1:5" x14ac:dyDescent="0.25">
      <c r="A2076">
        <v>0</v>
      </c>
      <c r="B2076">
        <v>-4.8048048048047999E-2</v>
      </c>
      <c r="C2076">
        <f t="shared" si="64"/>
        <v>1.5649069849537416</v>
      </c>
      <c r="D2076">
        <v>1</v>
      </c>
      <c r="E2076">
        <f t="shared" si="65"/>
        <v>5.1821752370718156E-2</v>
      </c>
    </row>
    <row r="2077" spans="1:5" x14ac:dyDescent="0.25">
      <c r="A2077">
        <v>0</v>
      </c>
      <c r="B2077">
        <v>-4.8048048048047999E-2</v>
      </c>
      <c r="C2077">
        <f t="shared" si="64"/>
        <v>1.5649069849537416</v>
      </c>
      <c r="D2077">
        <v>1</v>
      </c>
      <c r="E2077">
        <f t="shared" si="65"/>
        <v>5.1821752370718156E-2</v>
      </c>
    </row>
    <row r="2078" spans="1:5" x14ac:dyDescent="0.25">
      <c r="A2078">
        <v>0</v>
      </c>
      <c r="B2078">
        <v>-4.8048048048047999E-2</v>
      </c>
      <c r="C2078">
        <f t="shared" si="64"/>
        <v>1.5649069849537416</v>
      </c>
      <c r="D2078">
        <v>1</v>
      </c>
      <c r="E2078">
        <f t="shared" si="65"/>
        <v>5.1821752370718156E-2</v>
      </c>
    </row>
    <row r="2079" spans="1:5" x14ac:dyDescent="0.25">
      <c r="A2079">
        <v>0</v>
      </c>
      <c r="B2079">
        <v>-4.8048048048047999E-2</v>
      </c>
      <c r="C2079">
        <f t="shared" si="64"/>
        <v>1.5649069849537416</v>
      </c>
      <c r="D2079">
        <v>1</v>
      </c>
      <c r="E2079">
        <f t="shared" si="65"/>
        <v>5.1821752370718156E-2</v>
      </c>
    </row>
    <row r="2080" spans="1:5" x14ac:dyDescent="0.25">
      <c r="A2080">
        <v>0</v>
      </c>
      <c r="B2080">
        <v>-4.8048048048047999E-2</v>
      </c>
      <c r="C2080">
        <f t="shared" si="64"/>
        <v>1.5649069849537416</v>
      </c>
      <c r="D2080">
        <v>1</v>
      </c>
      <c r="E2080">
        <f t="shared" si="65"/>
        <v>5.1821752370718156E-2</v>
      </c>
    </row>
    <row r="2081" spans="1:5" x14ac:dyDescent="0.25">
      <c r="A2081">
        <v>0</v>
      </c>
      <c r="B2081">
        <v>-4.8048048048047999E-2</v>
      </c>
      <c r="C2081">
        <f t="shared" si="64"/>
        <v>1.5649069849537416</v>
      </c>
      <c r="D2081">
        <v>1</v>
      </c>
      <c r="E2081">
        <f t="shared" si="65"/>
        <v>5.1821752370718156E-2</v>
      </c>
    </row>
    <row r="2082" spans="1:5" x14ac:dyDescent="0.25">
      <c r="A2082">
        <v>0</v>
      </c>
      <c r="B2082">
        <v>-4.8048048048047999E-2</v>
      </c>
      <c r="C2082">
        <f t="shared" si="64"/>
        <v>1.5649069849537416</v>
      </c>
      <c r="D2082">
        <v>1</v>
      </c>
      <c r="E2082">
        <f t="shared" si="65"/>
        <v>5.1821752370718156E-2</v>
      </c>
    </row>
    <row r="2083" spans="1:5" x14ac:dyDescent="0.25">
      <c r="A2083">
        <v>0</v>
      </c>
      <c r="B2083">
        <v>-4.8048048048047999E-2</v>
      </c>
      <c r="C2083">
        <f t="shared" si="64"/>
        <v>1.5649069849537416</v>
      </c>
      <c r="D2083">
        <v>1</v>
      </c>
      <c r="E2083">
        <f t="shared" si="65"/>
        <v>5.1821752370718156E-2</v>
      </c>
    </row>
    <row r="2084" spans="1:5" x14ac:dyDescent="0.25">
      <c r="A2084">
        <v>0</v>
      </c>
      <c r="B2084">
        <v>-4.8048048048047999E-2</v>
      </c>
      <c r="C2084">
        <f t="shared" si="64"/>
        <v>1.5649069849537416</v>
      </c>
      <c r="D2084">
        <v>1</v>
      </c>
      <c r="E2084">
        <f t="shared" si="65"/>
        <v>5.1821752370718156E-2</v>
      </c>
    </row>
    <row r="2085" spans="1:5" x14ac:dyDescent="0.25">
      <c r="A2085">
        <v>0</v>
      </c>
      <c r="B2085">
        <v>-4.8048048048047999E-2</v>
      </c>
      <c r="C2085">
        <f t="shared" si="64"/>
        <v>1.5649069849537416</v>
      </c>
      <c r="D2085">
        <v>1</v>
      </c>
      <c r="E2085">
        <f t="shared" si="65"/>
        <v>5.1821752370718156E-2</v>
      </c>
    </row>
    <row r="2086" spans="1:5" x14ac:dyDescent="0.25">
      <c r="A2086">
        <v>0</v>
      </c>
      <c r="B2086">
        <v>-4.8048048048047999E-2</v>
      </c>
      <c r="C2086">
        <f t="shared" si="64"/>
        <v>1.5649069849537416</v>
      </c>
      <c r="D2086">
        <v>1</v>
      </c>
      <c r="E2086">
        <f t="shared" si="65"/>
        <v>5.1821752370718156E-2</v>
      </c>
    </row>
    <row r="2087" spans="1:5" x14ac:dyDescent="0.25">
      <c r="A2087">
        <v>0</v>
      </c>
      <c r="B2087">
        <v>-4.8048048048047999E-2</v>
      </c>
      <c r="C2087">
        <f t="shared" si="64"/>
        <v>1.5649069849537416</v>
      </c>
      <c r="D2087">
        <v>1</v>
      </c>
      <c r="E2087">
        <f t="shared" si="65"/>
        <v>5.1821752370718156E-2</v>
      </c>
    </row>
    <row r="2088" spans="1:5" x14ac:dyDescent="0.25">
      <c r="A2088">
        <v>0</v>
      </c>
      <c r="B2088">
        <v>-4.8048048048047999E-2</v>
      </c>
      <c r="C2088">
        <f t="shared" si="64"/>
        <v>1.5649069849537416</v>
      </c>
      <c r="D2088">
        <v>1</v>
      </c>
      <c r="E2088">
        <f t="shared" si="65"/>
        <v>5.1821752370718156E-2</v>
      </c>
    </row>
    <row r="2089" spans="1:5" x14ac:dyDescent="0.25">
      <c r="A2089">
        <v>0</v>
      </c>
      <c r="B2089">
        <v>-4.8000000000000001E-2</v>
      </c>
      <c r="C2089">
        <f t="shared" si="64"/>
        <v>1.5650015094854224</v>
      </c>
      <c r="D2089">
        <v>1</v>
      </c>
      <c r="E2089">
        <f t="shared" si="65"/>
        <v>5.1821752370718156E-2</v>
      </c>
    </row>
    <row r="2090" spans="1:5" x14ac:dyDescent="0.25">
      <c r="A2090">
        <v>0</v>
      </c>
      <c r="B2090">
        <v>-4.8000000000000001E-2</v>
      </c>
      <c r="C2090">
        <f t="shared" si="64"/>
        <v>1.5650015094854224</v>
      </c>
      <c r="D2090">
        <v>1</v>
      </c>
      <c r="E2090">
        <f t="shared" si="65"/>
        <v>5.1821752370718156E-2</v>
      </c>
    </row>
    <row r="2091" spans="1:5" x14ac:dyDescent="0.25">
      <c r="A2091">
        <v>0</v>
      </c>
      <c r="B2091">
        <v>-4.8000000000000001E-2</v>
      </c>
      <c r="C2091">
        <f t="shared" si="64"/>
        <v>1.5650015094854224</v>
      </c>
      <c r="D2091">
        <v>1</v>
      </c>
      <c r="E2091">
        <f t="shared" si="65"/>
        <v>5.1821752370718156E-2</v>
      </c>
    </row>
    <row r="2092" spans="1:5" x14ac:dyDescent="0.25">
      <c r="A2092">
        <v>0</v>
      </c>
      <c r="B2092">
        <v>-4.8000000000000001E-2</v>
      </c>
      <c r="C2092">
        <f t="shared" si="64"/>
        <v>1.5650015094854224</v>
      </c>
      <c r="D2092">
        <v>1</v>
      </c>
      <c r="E2092">
        <f t="shared" si="65"/>
        <v>5.1821752370718156E-2</v>
      </c>
    </row>
    <row r="2093" spans="1:5" x14ac:dyDescent="0.25">
      <c r="A2093">
        <v>0</v>
      </c>
      <c r="B2093">
        <v>-4.8000000000000001E-2</v>
      </c>
      <c r="C2093">
        <f t="shared" si="64"/>
        <v>1.5650015094854224</v>
      </c>
      <c r="D2093">
        <v>1</v>
      </c>
      <c r="E2093">
        <f t="shared" si="65"/>
        <v>5.1821752370718156E-2</v>
      </c>
    </row>
    <row r="2094" spans="1:5" x14ac:dyDescent="0.25">
      <c r="A2094">
        <v>0</v>
      </c>
      <c r="B2094">
        <v>-4.8000000000000001E-2</v>
      </c>
      <c r="C2094">
        <f t="shared" si="64"/>
        <v>1.5650015094854224</v>
      </c>
      <c r="D2094">
        <v>1</v>
      </c>
      <c r="E2094">
        <f t="shared" si="65"/>
        <v>5.1821752370718156E-2</v>
      </c>
    </row>
    <row r="2095" spans="1:5" x14ac:dyDescent="0.25">
      <c r="A2095">
        <v>0</v>
      </c>
      <c r="B2095">
        <v>-4.8000000000000001E-2</v>
      </c>
      <c r="C2095">
        <f t="shared" si="64"/>
        <v>1.5650015094854224</v>
      </c>
      <c r="D2095">
        <v>1</v>
      </c>
      <c r="E2095">
        <f t="shared" si="65"/>
        <v>5.1821752370718156E-2</v>
      </c>
    </row>
    <row r="2096" spans="1:5" x14ac:dyDescent="0.25">
      <c r="A2096">
        <v>0</v>
      </c>
      <c r="B2096">
        <v>-4.8000000000000001E-2</v>
      </c>
      <c r="C2096">
        <f t="shared" si="64"/>
        <v>1.5650015094854224</v>
      </c>
      <c r="D2096">
        <v>1</v>
      </c>
      <c r="E2096">
        <f t="shared" si="65"/>
        <v>5.1821752370718156E-2</v>
      </c>
    </row>
    <row r="2097" spans="1:5" x14ac:dyDescent="0.25">
      <c r="A2097">
        <v>0</v>
      </c>
      <c r="B2097">
        <v>-4.8000000000000001E-2</v>
      </c>
      <c r="C2097">
        <f t="shared" si="64"/>
        <v>1.5650015094854224</v>
      </c>
      <c r="D2097">
        <v>1</v>
      </c>
      <c r="E2097">
        <f t="shared" si="65"/>
        <v>5.1821752370718156E-2</v>
      </c>
    </row>
    <row r="2098" spans="1:5" x14ac:dyDescent="0.25">
      <c r="A2098">
        <v>0</v>
      </c>
      <c r="B2098">
        <v>-4.8000000000000001E-2</v>
      </c>
      <c r="C2098">
        <f t="shared" si="64"/>
        <v>1.5650015094854224</v>
      </c>
      <c r="D2098">
        <v>1</v>
      </c>
      <c r="E2098">
        <f t="shared" si="65"/>
        <v>5.1821752370718156E-2</v>
      </c>
    </row>
    <row r="2099" spans="1:5" x14ac:dyDescent="0.25">
      <c r="A2099">
        <v>0</v>
      </c>
      <c r="B2099">
        <v>-4.8000000000000001E-2</v>
      </c>
      <c r="C2099">
        <f t="shared" si="64"/>
        <v>1.5650015094854224</v>
      </c>
      <c r="D2099">
        <v>1</v>
      </c>
      <c r="E2099">
        <f t="shared" si="65"/>
        <v>5.1821752370718156E-2</v>
      </c>
    </row>
    <row r="2100" spans="1:5" x14ac:dyDescent="0.25">
      <c r="A2100">
        <v>0</v>
      </c>
      <c r="B2100">
        <v>-4.8000000000000001E-2</v>
      </c>
      <c r="C2100">
        <f t="shared" si="64"/>
        <v>1.5650015094854224</v>
      </c>
      <c r="D2100">
        <v>1</v>
      </c>
      <c r="E2100">
        <f t="shared" si="65"/>
        <v>5.1821752370718156E-2</v>
      </c>
    </row>
    <row r="2101" spans="1:5" x14ac:dyDescent="0.25">
      <c r="A2101">
        <v>0</v>
      </c>
      <c r="B2101">
        <v>-4.8000000000000001E-2</v>
      </c>
      <c r="C2101">
        <f t="shared" si="64"/>
        <v>1.5650015094854224</v>
      </c>
      <c r="D2101">
        <v>1</v>
      </c>
      <c r="E2101">
        <f t="shared" si="65"/>
        <v>5.1821752370718156E-2</v>
      </c>
    </row>
    <row r="2102" spans="1:5" x14ac:dyDescent="0.25">
      <c r="A2102">
        <v>0</v>
      </c>
      <c r="B2102">
        <v>-4.7904191616766498E-2</v>
      </c>
      <c r="C2102">
        <f t="shared" si="64"/>
        <v>1.5651898273257787</v>
      </c>
      <c r="D2102">
        <v>1</v>
      </c>
      <c r="E2102">
        <f t="shared" si="65"/>
        <v>5.1821752370718156E-2</v>
      </c>
    </row>
    <row r="2103" spans="1:5" x14ac:dyDescent="0.25">
      <c r="A2103">
        <v>0</v>
      </c>
      <c r="B2103">
        <v>-4.7904191616766498E-2</v>
      </c>
      <c r="C2103">
        <f t="shared" si="64"/>
        <v>1.5651898273257787</v>
      </c>
      <c r="D2103">
        <v>1</v>
      </c>
      <c r="E2103">
        <f t="shared" si="65"/>
        <v>5.1821752370718156E-2</v>
      </c>
    </row>
    <row r="2104" spans="1:5" x14ac:dyDescent="0.25">
      <c r="A2104">
        <v>0</v>
      </c>
      <c r="B2104">
        <v>-4.7904191616766498E-2</v>
      </c>
      <c r="C2104">
        <f t="shared" si="64"/>
        <v>1.5651898273257787</v>
      </c>
      <c r="D2104">
        <v>1</v>
      </c>
      <c r="E2104">
        <f t="shared" si="65"/>
        <v>5.1821752370718156E-2</v>
      </c>
    </row>
    <row r="2105" spans="1:5" x14ac:dyDescent="0.25">
      <c r="A2105">
        <v>0</v>
      </c>
      <c r="B2105">
        <v>-4.7904191616766498E-2</v>
      </c>
      <c r="C2105">
        <f t="shared" si="64"/>
        <v>1.5651898273257787</v>
      </c>
      <c r="D2105">
        <v>1</v>
      </c>
      <c r="E2105">
        <f t="shared" si="65"/>
        <v>5.1821752370718156E-2</v>
      </c>
    </row>
    <row r="2106" spans="1:5" x14ac:dyDescent="0.25">
      <c r="A2106">
        <v>0</v>
      </c>
      <c r="B2106">
        <v>-4.7904191616766498E-2</v>
      </c>
      <c r="C2106">
        <f t="shared" si="64"/>
        <v>1.5651898273257787</v>
      </c>
      <c r="D2106">
        <v>1</v>
      </c>
      <c r="E2106">
        <f t="shared" si="65"/>
        <v>5.1821752370718156E-2</v>
      </c>
    </row>
    <row r="2107" spans="1:5" x14ac:dyDescent="0.25">
      <c r="A2107">
        <v>0</v>
      </c>
      <c r="B2107">
        <v>-4.7904191616766498E-2</v>
      </c>
      <c r="C2107">
        <f t="shared" si="64"/>
        <v>1.5651898273257787</v>
      </c>
      <c r="D2107">
        <v>1</v>
      </c>
      <c r="E2107">
        <f t="shared" si="65"/>
        <v>5.1821752370718156E-2</v>
      </c>
    </row>
    <row r="2108" spans="1:5" x14ac:dyDescent="0.25">
      <c r="A2108">
        <v>0</v>
      </c>
      <c r="B2108">
        <v>-4.7904191616766498E-2</v>
      </c>
      <c r="C2108">
        <f t="shared" si="64"/>
        <v>1.5651898273257787</v>
      </c>
      <c r="D2108">
        <v>1</v>
      </c>
      <c r="E2108">
        <f t="shared" si="65"/>
        <v>5.1821752370718156E-2</v>
      </c>
    </row>
    <row r="2109" spans="1:5" x14ac:dyDescent="0.25">
      <c r="A2109">
        <v>0</v>
      </c>
      <c r="B2109">
        <v>-4.67289719626168E-2</v>
      </c>
      <c r="C2109">
        <f t="shared" si="64"/>
        <v>1.5674818643288206</v>
      </c>
      <c r="D2109">
        <v>1</v>
      </c>
      <c r="E2109">
        <f t="shared" si="65"/>
        <v>5.1821752370718156E-2</v>
      </c>
    </row>
    <row r="2110" spans="1:5" x14ac:dyDescent="0.25">
      <c r="A2110">
        <v>0</v>
      </c>
      <c r="B2110">
        <v>-4.67289719626168E-2</v>
      </c>
      <c r="C2110">
        <f t="shared" si="64"/>
        <v>1.5674818643288206</v>
      </c>
      <c r="D2110">
        <v>1</v>
      </c>
      <c r="E2110">
        <f t="shared" si="65"/>
        <v>5.1821752370718156E-2</v>
      </c>
    </row>
    <row r="2111" spans="1:5" x14ac:dyDescent="0.25">
      <c r="A2111">
        <v>0</v>
      </c>
      <c r="B2111">
        <v>-4.67289719626168E-2</v>
      </c>
      <c r="C2111">
        <f t="shared" si="64"/>
        <v>1.5674818643288206</v>
      </c>
      <c r="D2111">
        <v>1</v>
      </c>
      <c r="E2111">
        <f t="shared" si="65"/>
        <v>5.1821752370718156E-2</v>
      </c>
    </row>
    <row r="2112" spans="1:5" x14ac:dyDescent="0.25">
      <c r="A2112">
        <v>0</v>
      </c>
      <c r="B2112">
        <v>-4.67289719626168E-2</v>
      </c>
      <c r="C2112">
        <f t="shared" si="64"/>
        <v>1.5674818643288206</v>
      </c>
      <c r="D2112">
        <v>1</v>
      </c>
      <c r="E2112">
        <f t="shared" si="65"/>
        <v>5.1821752370718156E-2</v>
      </c>
    </row>
    <row r="2113" spans="1:5" x14ac:dyDescent="0.25">
      <c r="A2113">
        <v>0</v>
      </c>
      <c r="B2113">
        <v>-4.6666666666666697E-2</v>
      </c>
      <c r="C2113">
        <f t="shared" si="64"/>
        <v>1.567602451175067</v>
      </c>
      <c r="D2113">
        <v>1</v>
      </c>
      <c r="E2113">
        <f t="shared" si="65"/>
        <v>5.1821752370718156E-2</v>
      </c>
    </row>
    <row r="2114" spans="1:5" x14ac:dyDescent="0.25">
      <c r="A2114">
        <v>0</v>
      </c>
      <c r="B2114">
        <v>-4.6666666666666697E-2</v>
      </c>
      <c r="C2114">
        <f t="shared" ref="C2114:C2177" si="66">_xlfn.NORM.DIST(B2114,I$10,I$13,FALSE)</f>
        <v>1.567602451175067</v>
      </c>
      <c r="D2114">
        <v>1</v>
      </c>
      <c r="E2114">
        <f t="shared" si="65"/>
        <v>5.1821752370718156E-2</v>
      </c>
    </row>
    <row r="2115" spans="1:5" x14ac:dyDescent="0.25">
      <c r="A2115">
        <v>0</v>
      </c>
      <c r="B2115">
        <v>-4.6666666666666697E-2</v>
      </c>
      <c r="C2115">
        <f t="shared" si="66"/>
        <v>1.567602451175067</v>
      </c>
      <c r="D2115">
        <v>1</v>
      </c>
      <c r="E2115">
        <f t="shared" ref="E2115:E2178" si="67">_xlfn.NORM.DIST(D2115,I$4,I$7,FALSE)</f>
        <v>5.1821752370718156E-2</v>
      </c>
    </row>
    <row r="2116" spans="1:5" x14ac:dyDescent="0.25">
      <c r="A2116">
        <v>0</v>
      </c>
      <c r="B2116">
        <v>-4.6666666666666697E-2</v>
      </c>
      <c r="C2116">
        <f t="shared" si="66"/>
        <v>1.567602451175067</v>
      </c>
      <c r="D2116">
        <v>1</v>
      </c>
      <c r="E2116">
        <f t="shared" si="67"/>
        <v>5.1821752370718156E-2</v>
      </c>
    </row>
    <row r="2117" spans="1:5" x14ac:dyDescent="0.25">
      <c r="A2117">
        <v>0</v>
      </c>
      <c r="B2117">
        <v>-4.6511627906976702E-2</v>
      </c>
      <c r="C2117">
        <f t="shared" si="66"/>
        <v>1.5679021100298653</v>
      </c>
      <c r="D2117">
        <v>1</v>
      </c>
      <c r="E2117">
        <f t="shared" si="67"/>
        <v>5.1821752370718156E-2</v>
      </c>
    </row>
    <row r="2118" spans="1:5" x14ac:dyDescent="0.25">
      <c r="A2118">
        <v>0</v>
      </c>
      <c r="B2118">
        <v>-4.5999999999999999E-2</v>
      </c>
      <c r="C2118">
        <f t="shared" si="66"/>
        <v>1.5688868698116849</v>
      </c>
      <c r="D2118">
        <v>1</v>
      </c>
      <c r="E2118">
        <f t="shared" si="67"/>
        <v>5.1821752370718156E-2</v>
      </c>
    </row>
    <row r="2119" spans="1:5" x14ac:dyDescent="0.25">
      <c r="A2119">
        <v>0</v>
      </c>
      <c r="B2119">
        <v>-4.5999999999999999E-2</v>
      </c>
      <c r="C2119">
        <f t="shared" si="66"/>
        <v>1.5688868698116849</v>
      </c>
      <c r="D2119">
        <v>1</v>
      </c>
      <c r="E2119">
        <f t="shared" si="67"/>
        <v>5.1821752370718156E-2</v>
      </c>
    </row>
    <row r="2120" spans="1:5" x14ac:dyDescent="0.25">
      <c r="A2120">
        <v>0</v>
      </c>
      <c r="B2120">
        <v>-4.5999999999999999E-2</v>
      </c>
      <c r="C2120">
        <f t="shared" si="66"/>
        <v>1.5688868698116849</v>
      </c>
      <c r="D2120">
        <v>1</v>
      </c>
      <c r="E2120">
        <f t="shared" si="67"/>
        <v>5.1821752370718156E-2</v>
      </c>
    </row>
    <row r="2121" spans="1:5" x14ac:dyDescent="0.25">
      <c r="A2121">
        <v>0</v>
      </c>
      <c r="B2121">
        <v>-4.5999999999999999E-2</v>
      </c>
      <c r="C2121">
        <f t="shared" si="66"/>
        <v>1.5688868698116849</v>
      </c>
      <c r="D2121">
        <v>1</v>
      </c>
      <c r="E2121">
        <f t="shared" si="67"/>
        <v>5.1821752370718156E-2</v>
      </c>
    </row>
    <row r="2122" spans="1:5" x14ac:dyDescent="0.25">
      <c r="A2122">
        <v>0</v>
      </c>
      <c r="B2122">
        <v>-4.5999999999999999E-2</v>
      </c>
      <c r="C2122">
        <f t="shared" si="66"/>
        <v>1.5688868698116849</v>
      </c>
      <c r="D2122">
        <v>1</v>
      </c>
      <c r="E2122">
        <f t="shared" si="67"/>
        <v>5.1821752370718156E-2</v>
      </c>
    </row>
    <row r="2123" spans="1:5" x14ac:dyDescent="0.25">
      <c r="A2123">
        <v>0</v>
      </c>
      <c r="B2123">
        <v>-4.5999999999999999E-2</v>
      </c>
      <c r="C2123">
        <f t="shared" si="66"/>
        <v>1.5688868698116849</v>
      </c>
      <c r="D2123">
        <v>1</v>
      </c>
      <c r="E2123">
        <f t="shared" si="67"/>
        <v>5.1821752370718156E-2</v>
      </c>
    </row>
    <row r="2124" spans="1:5" x14ac:dyDescent="0.25">
      <c r="A2124">
        <v>0</v>
      </c>
      <c r="B2124">
        <v>-4.5999999999999999E-2</v>
      </c>
      <c r="C2124">
        <f t="shared" si="66"/>
        <v>1.5688868698116849</v>
      </c>
      <c r="D2124">
        <v>1</v>
      </c>
      <c r="E2124">
        <f t="shared" si="67"/>
        <v>5.1821752370718156E-2</v>
      </c>
    </row>
    <row r="2125" spans="1:5" x14ac:dyDescent="0.25">
      <c r="A2125">
        <v>0</v>
      </c>
      <c r="B2125">
        <v>-4.5999999999999999E-2</v>
      </c>
      <c r="C2125">
        <f t="shared" si="66"/>
        <v>1.5688868698116849</v>
      </c>
      <c r="D2125">
        <v>1</v>
      </c>
      <c r="E2125">
        <f t="shared" si="67"/>
        <v>5.1821752370718156E-2</v>
      </c>
    </row>
    <row r="2126" spans="1:5" x14ac:dyDescent="0.25">
      <c r="A2126">
        <v>0</v>
      </c>
      <c r="B2126">
        <v>-4.5333333333333302E-2</v>
      </c>
      <c r="C2126">
        <f t="shared" si="66"/>
        <v>1.5701605494703268</v>
      </c>
      <c r="D2126">
        <v>1</v>
      </c>
      <c r="E2126">
        <f t="shared" si="67"/>
        <v>5.1821752370718156E-2</v>
      </c>
    </row>
    <row r="2127" spans="1:5" x14ac:dyDescent="0.25">
      <c r="A2127">
        <v>0</v>
      </c>
      <c r="B2127">
        <v>-4.5333333333333302E-2</v>
      </c>
      <c r="C2127">
        <f t="shared" si="66"/>
        <v>1.5701605494703268</v>
      </c>
      <c r="D2127">
        <v>1</v>
      </c>
      <c r="E2127">
        <f t="shared" si="67"/>
        <v>5.1821752370718156E-2</v>
      </c>
    </row>
    <row r="2128" spans="1:5" x14ac:dyDescent="0.25">
      <c r="A2128">
        <v>0</v>
      </c>
      <c r="B2128">
        <v>-4.5333333333333302E-2</v>
      </c>
      <c r="C2128">
        <f t="shared" si="66"/>
        <v>1.5701605494703268</v>
      </c>
      <c r="D2128">
        <v>1</v>
      </c>
      <c r="E2128">
        <f t="shared" si="67"/>
        <v>5.1821752370718156E-2</v>
      </c>
    </row>
    <row r="2129" spans="1:5" x14ac:dyDescent="0.25">
      <c r="A2129">
        <v>0</v>
      </c>
      <c r="B2129">
        <v>-4.5333333333333302E-2</v>
      </c>
      <c r="C2129">
        <f t="shared" si="66"/>
        <v>1.5701605494703268</v>
      </c>
      <c r="D2129">
        <v>1</v>
      </c>
      <c r="E2129">
        <f t="shared" si="67"/>
        <v>5.1821752370718156E-2</v>
      </c>
    </row>
    <row r="2130" spans="1:5" x14ac:dyDescent="0.25">
      <c r="A2130">
        <v>0</v>
      </c>
      <c r="B2130">
        <v>-4.5333333333333302E-2</v>
      </c>
      <c r="C2130">
        <f t="shared" si="66"/>
        <v>1.5701605494703268</v>
      </c>
      <c r="D2130">
        <v>1</v>
      </c>
      <c r="E2130">
        <f t="shared" si="67"/>
        <v>5.1821752370718156E-2</v>
      </c>
    </row>
    <row r="2131" spans="1:5" x14ac:dyDescent="0.25">
      <c r="A2131">
        <v>0</v>
      </c>
      <c r="B2131">
        <v>-4.5333333333333302E-2</v>
      </c>
      <c r="C2131">
        <f t="shared" si="66"/>
        <v>1.5701605494703268</v>
      </c>
      <c r="D2131">
        <v>1</v>
      </c>
      <c r="E2131">
        <f t="shared" si="67"/>
        <v>5.1821752370718156E-2</v>
      </c>
    </row>
    <row r="2132" spans="1:5" x14ac:dyDescent="0.25">
      <c r="A2132">
        <v>0</v>
      </c>
      <c r="B2132">
        <v>-4.5333333333333302E-2</v>
      </c>
      <c r="C2132">
        <f t="shared" si="66"/>
        <v>1.5701605494703268</v>
      </c>
      <c r="D2132">
        <v>1</v>
      </c>
      <c r="E2132">
        <f t="shared" si="67"/>
        <v>5.1821752370718156E-2</v>
      </c>
    </row>
    <row r="2133" spans="1:5" x14ac:dyDescent="0.25">
      <c r="A2133">
        <v>0</v>
      </c>
      <c r="B2133">
        <v>-4.5333333333333302E-2</v>
      </c>
      <c r="C2133">
        <f t="shared" si="66"/>
        <v>1.5701605494703268</v>
      </c>
      <c r="D2133">
        <v>1</v>
      </c>
      <c r="E2133">
        <f t="shared" si="67"/>
        <v>5.1821752370718156E-2</v>
      </c>
    </row>
    <row r="2134" spans="1:5" x14ac:dyDescent="0.25">
      <c r="A2134">
        <v>0</v>
      </c>
      <c r="B2134">
        <v>-4.5333333333333302E-2</v>
      </c>
      <c r="C2134">
        <f t="shared" si="66"/>
        <v>1.5701605494703268</v>
      </c>
      <c r="D2134">
        <v>1</v>
      </c>
      <c r="E2134">
        <f t="shared" si="67"/>
        <v>5.1821752370718156E-2</v>
      </c>
    </row>
    <row r="2135" spans="1:5" x14ac:dyDescent="0.25">
      <c r="A2135">
        <v>0</v>
      </c>
      <c r="B2135">
        <v>-4.5333333333333302E-2</v>
      </c>
      <c r="C2135">
        <f t="shared" si="66"/>
        <v>1.5701605494703268</v>
      </c>
      <c r="D2135">
        <v>1</v>
      </c>
      <c r="E2135">
        <f t="shared" si="67"/>
        <v>5.1821752370718156E-2</v>
      </c>
    </row>
    <row r="2136" spans="1:5" x14ac:dyDescent="0.25">
      <c r="A2136">
        <v>0</v>
      </c>
      <c r="B2136">
        <v>-4.5333333333333302E-2</v>
      </c>
      <c r="C2136">
        <f t="shared" si="66"/>
        <v>1.5701605494703268</v>
      </c>
      <c r="D2136">
        <v>1</v>
      </c>
      <c r="E2136">
        <f t="shared" si="67"/>
        <v>5.1821752370718156E-2</v>
      </c>
    </row>
    <row r="2137" spans="1:5" x14ac:dyDescent="0.25">
      <c r="A2137">
        <v>0</v>
      </c>
      <c r="B2137">
        <v>-4.5333333333333302E-2</v>
      </c>
      <c r="C2137">
        <f t="shared" si="66"/>
        <v>1.5701605494703268</v>
      </c>
      <c r="D2137">
        <v>1</v>
      </c>
      <c r="E2137">
        <f t="shared" si="67"/>
        <v>5.1821752370718156E-2</v>
      </c>
    </row>
    <row r="2138" spans="1:5" x14ac:dyDescent="0.25">
      <c r="A2138">
        <v>0</v>
      </c>
      <c r="B2138">
        <v>-4.5333333333333302E-2</v>
      </c>
      <c r="C2138">
        <f t="shared" si="66"/>
        <v>1.5701605494703268</v>
      </c>
      <c r="D2138">
        <v>1</v>
      </c>
      <c r="E2138">
        <f t="shared" si="67"/>
        <v>5.1821752370718156E-2</v>
      </c>
    </row>
    <row r="2139" spans="1:5" x14ac:dyDescent="0.25">
      <c r="A2139">
        <v>0</v>
      </c>
      <c r="B2139">
        <v>-4.5333333333333302E-2</v>
      </c>
      <c r="C2139">
        <f t="shared" si="66"/>
        <v>1.5701605494703268</v>
      </c>
      <c r="D2139">
        <v>1</v>
      </c>
      <c r="E2139">
        <f t="shared" si="67"/>
        <v>5.1821752370718156E-2</v>
      </c>
    </row>
    <row r="2140" spans="1:5" x14ac:dyDescent="0.25">
      <c r="A2140">
        <v>0</v>
      </c>
      <c r="B2140">
        <v>-4.5333333333333302E-2</v>
      </c>
      <c r="C2140">
        <f t="shared" si="66"/>
        <v>1.5701605494703268</v>
      </c>
      <c r="D2140">
        <v>1</v>
      </c>
      <c r="E2140">
        <f t="shared" si="67"/>
        <v>5.1821752370718156E-2</v>
      </c>
    </row>
    <row r="2141" spans="1:5" x14ac:dyDescent="0.25">
      <c r="A2141">
        <v>0</v>
      </c>
      <c r="B2141">
        <v>-4.5333333333333302E-2</v>
      </c>
      <c r="C2141">
        <f t="shared" si="66"/>
        <v>1.5701605494703268</v>
      </c>
      <c r="D2141">
        <v>1</v>
      </c>
      <c r="E2141">
        <f t="shared" si="67"/>
        <v>5.1821752370718156E-2</v>
      </c>
    </row>
    <row r="2142" spans="1:5" x14ac:dyDescent="0.25">
      <c r="A2142">
        <v>0</v>
      </c>
      <c r="B2142">
        <v>-4.5333333333333302E-2</v>
      </c>
      <c r="C2142">
        <f t="shared" si="66"/>
        <v>1.5701605494703268</v>
      </c>
      <c r="D2142">
        <v>1</v>
      </c>
      <c r="E2142">
        <f t="shared" si="67"/>
        <v>5.1821752370718156E-2</v>
      </c>
    </row>
    <row r="2143" spans="1:5" x14ac:dyDescent="0.25">
      <c r="A2143">
        <v>0</v>
      </c>
      <c r="B2143">
        <v>-4.5045045045045001E-2</v>
      </c>
      <c r="C2143">
        <f t="shared" si="66"/>
        <v>1.5707079968364244</v>
      </c>
      <c r="D2143">
        <v>1</v>
      </c>
      <c r="E2143">
        <f t="shared" si="67"/>
        <v>5.1821752370718156E-2</v>
      </c>
    </row>
    <row r="2144" spans="1:5" x14ac:dyDescent="0.25">
      <c r="A2144">
        <v>0</v>
      </c>
      <c r="B2144">
        <v>-4.5045045045045001E-2</v>
      </c>
      <c r="C2144">
        <f t="shared" si="66"/>
        <v>1.5707079968364244</v>
      </c>
      <c r="D2144">
        <v>1</v>
      </c>
      <c r="E2144">
        <f t="shared" si="67"/>
        <v>5.1821752370718156E-2</v>
      </c>
    </row>
    <row r="2145" spans="1:5" x14ac:dyDescent="0.25">
      <c r="A2145">
        <v>0</v>
      </c>
      <c r="B2145">
        <v>-4.5045045045045001E-2</v>
      </c>
      <c r="C2145">
        <f t="shared" si="66"/>
        <v>1.5707079968364244</v>
      </c>
      <c r="D2145">
        <v>1</v>
      </c>
      <c r="E2145">
        <f t="shared" si="67"/>
        <v>5.1821752370718156E-2</v>
      </c>
    </row>
    <row r="2146" spans="1:5" x14ac:dyDescent="0.25">
      <c r="A2146">
        <v>0</v>
      </c>
      <c r="B2146">
        <v>-4.5045045045045001E-2</v>
      </c>
      <c r="C2146">
        <f t="shared" si="66"/>
        <v>1.5707079968364244</v>
      </c>
      <c r="D2146">
        <v>1</v>
      </c>
      <c r="E2146">
        <f t="shared" si="67"/>
        <v>5.1821752370718156E-2</v>
      </c>
    </row>
    <row r="2147" spans="1:5" x14ac:dyDescent="0.25">
      <c r="A2147">
        <v>0</v>
      </c>
      <c r="B2147">
        <v>-4.5045045045045001E-2</v>
      </c>
      <c r="C2147">
        <f t="shared" si="66"/>
        <v>1.5707079968364244</v>
      </c>
      <c r="D2147">
        <v>1</v>
      </c>
      <c r="E2147">
        <f t="shared" si="67"/>
        <v>5.1821752370718156E-2</v>
      </c>
    </row>
    <row r="2148" spans="1:5" x14ac:dyDescent="0.25">
      <c r="A2148">
        <v>0</v>
      </c>
      <c r="B2148">
        <v>-4.5045045045045001E-2</v>
      </c>
      <c r="C2148">
        <f t="shared" si="66"/>
        <v>1.5707079968364244</v>
      </c>
      <c r="D2148">
        <v>1</v>
      </c>
      <c r="E2148">
        <f t="shared" si="67"/>
        <v>5.1821752370718156E-2</v>
      </c>
    </row>
    <row r="2149" spans="1:5" x14ac:dyDescent="0.25">
      <c r="A2149">
        <v>0</v>
      </c>
      <c r="B2149">
        <v>-4.5045045045045001E-2</v>
      </c>
      <c r="C2149">
        <f t="shared" si="66"/>
        <v>1.5707079968364244</v>
      </c>
      <c r="D2149">
        <v>1</v>
      </c>
      <c r="E2149">
        <f t="shared" si="67"/>
        <v>5.1821752370718156E-2</v>
      </c>
    </row>
    <row r="2150" spans="1:5" x14ac:dyDescent="0.25">
      <c r="A2150">
        <v>0</v>
      </c>
      <c r="B2150">
        <v>-4.5045045045045001E-2</v>
      </c>
      <c r="C2150">
        <f t="shared" si="66"/>
        <v>1.5707079968364244</v>
      </c>
      <c r="D2150">
        <v>1</v>
      </c>
      <c r="E2150">
        <f t="shared" si="67"/>
        <v>5.1821752370718156E-2</v>
      </c>
    </row>
    <row r="2151" spans="1:5" x14ac:dyDescent="0.25">
      <c r="A2151">
        <v>0</v>
      </c>
      <c r="B2151">
        <v>-4.5045045045045001E-2</v>
      </c>
      <c r="C2151">
        <f t="shared" si="66"/>
        <v>1.5707079968364244</v>
      </c>
      <c r="D2151">
        <v>1</v>
      </c>
      <c r="E2151">
        <f t="shared" si="67"/>
        <v>5.1821752370718156E-2</v>
      </c>
    </row>
    <row r="2152" spans="1:5" x14ac:dyDescent="0.25">
      <c r="A2152">
        <v>0</v>
      </c>
      <c r="B2152">
        <v>-4.5045045045045001E-2</v>
      </c>
      <c r="C2152">
        <f t="shared" si="66"/>
        <v>1.5707079968364244</v>
      </c>
      <c r="D2152">
        <v>1</v>
      </c>
      <c r="E2152">
        <f t="shared" si="67"/>
        <v>5.1821752370718156E-2</v>
      </c>
    </row>
    <row r="2153" spans="1:5" x14ac:dyDescent="0.25">
      <c r="A2153">
        <v>0</v>
      </c>
      <c r="B2153">
        <v>-4.4999999999999998E-2</v>
      </c>
      <c r="C2153">
        <f t="shared" si="66"/>
        <v>1.5707933534694081</v>
      </c>
      <c r="D2153">
        <v>1</v>
      </c>
      <c r="E2153">
        <f t="shared" si="67"/>
        <v>5.1821752370718156E-2</v>
      </c>
    </row>
    <row r="2154" spans="1:5" x14ac:dyDescent="0.25">
      <c r="A2154">
        <v>0</v>
      </c>
      <c r="B2154">
        <v>-4.4999999999999998E-2</v>
      </c>
      <c r="C2154">
        <f t="shared" si="66"/>
        <v>1.5707933534694081</v>
      </c>
      <c r="D2154">
        <v>1</v>
      </c>
      <c r="E2154">
        <f t="shared" si="67"/>
        <v>5.1821752370718156E-2</v>
      </c>
    </row>
    <row r="2155" spans="1:5" x14ac:dyDescent="0.25">
      <c r="A2155">
        <v>0</v>
      </c>
      <c r="B2155">
        <v>-4.4910179640718598E-2</v>
      </c>
      <c r="C2155">
        <f t="shared" si="66"/>
        <v>1.5709634086914794</v>
      </c>
      <c r="D2155">
        <v>1</v>
      </c>
      <c r="E2155">
        <f t="shared" si="67"/>
        <v>5.1821752370718156E-2</v>
      </c>
    </row>
    <row r="2156" spans="1:5" x14ac:dyDescent="0.25">
      <c r="A2156">
        <v>0</v>
      </c>
      <c r="B2156">
        <v>-4.4392523364486E-2</v>
      </c>
      <c r="C2156">
        <f t="shared" si="66"/>
        <v>1.5719396604159954</v>
      </c>
      <c r="D2156">
        <v>1</v>
      </c>
      <c r="E2156">
        <f t="shared" si="67"/>
        <v>5.1821752370718156E-2</v>
      </c>
    </row>
    <row r="2157" spans="1:5" x14ac:dyDescent="0.25">
      <c r="A2157">
        <v>0</v>
      </c>
      <c r="B2157">
        <v>-4.4392523364486E-2</v>
      </c>
      <c r="C2157">
        <f t="shared" si="66"/>
        <v>1.5719396604159954</v>
      </c>
      <c r="D2157">
        <v>1</v>
      </c>
      <c r="E2157">
        <f t="shared" si="67"/>
        <v>5.1821752370718156E-2</v>
      </c>
    </row>
    <row r="2158" spans="1:5" x14ac:dyDescent="0.25">
      <c r="A2158">
        <v>0</v>
      </c>
      <c r="B2158">
        <v>-4.4392523364486E-2</v>
      </c>
      <c r="C2158">
        <f t="shared" si="66"/>
        <v>1.5719396604159954</v>
      </c>
      <c r="D2158">
        <v>1</v>
      </c>
      <c r="E2158">
        <f t="shared" si="67"/>
        <v>5.1821752370718156E-2</v>
      </c>
    </row>
    <row r="2159" spans="1:5" x14ac:dyDescent="0.25">
      <c r="A2159">
        <v>0</v>
      </c>
      <c r="B2159">
        <v>-4.4392523364486E-2</v>
      </c>
      <c r="C2159">
        <f t="shared" si="66"/>
        <v>1.5719396604159954</v>
      </c>
      <c r="D2159">
        <v>1</v>
      </c>
      <c r="E2159">
        <f t="shared" si="67"/>
        <v>5.1821752370718156E-2</v>
      </c>
    </row>
    <row r="2160" spans="1:5" x14ac:dyDescent="0.25">
      <c r="A2160">
        <v>0</v>
      </c>
      <c r="B2160">
        <v>-4.4392523364486E-2</v>
      </c>
      <c r="C2160">
        <f t="shared" si="66"/>
        <v>1.5719396604159954</v>
      </c>
      <c r="D2160">
        <v>1</v>
      </c>
      <c r="E2160">
        <f t="shared" si="67"/>
        <v>5.1821752370718156E-2</v>
      </c>
    </row>
    <row r="2161" spans="1:5" x14ac:dyDescent="0.25">
      <c r="A2161">
        <v>0</v>
      </c>
      <c r="B2161">
        <v>-4.4289044289044302E-2</v>
      </c>
      <c r="C2161">
        <f t="shared" si="66"/>
        <v>1.5721340314122849</v>
      </c>
      <c r="D2161">
        <v>1</v>
      </c>
      <c r="E2161">
        <f t="shared" si="67"/>
        <v>5.1821752370718156E-2</v>
      </c>
    </row>
    <row r="2162" spans="1:5" x14ac:dyDescent="0.25">
      <c r="A2162">
        <v>0</v>
      </c>
      <c r="B2162">
        <v>-4.4289044289044302E-2</v>
      </c>
      <c r="C2162">
        <f t="shared" si="66"/>
        <v>1.5721340314122849</v>
      </c>
      <c r="D2162">
        <v>1</v>
      </c>
      <c r="E2162">
        <f t="shared" si="67"/>
        <v>5.1821752370718156E-2</v>
      </c>
    </row>
    <row r="2163" spans="1:5" x14ac:dyDescent="0.25">
      <c r="A2163">
        <v>0</v>
      </c>
      <c r="B2163">
        <v>-4.4289044289044302E-2</v>
      </c>
      <c r="C2163">
        <f t="shared" si="66"/>
        <v>1.5721340314122849</v>
      </c>
      <c r="D2163">
        <v>1</v>
      </c>
      <c r="E2163">
        <f t="shared" si="67"/>
        <v>5.1821752370718156E-2</v>
      </c>
    </row>
    <row r="2164" spans="1:5" x14ac:dyDescent="0.25">
      <c r="A2164">
        <v>0</v>
      </c>
      <c r="B2164">
        <v>-4.4289044289044302E-2</v>
      </c>
      <c r="C2164">
        <f t="shared" si="66"/>
        <v>1.5721340314122849</v>
      </c>
      <c r="D2164">
        <v>1</v>
      </c>
      <c r="E2164">
        <f t="shared" si="67"/>
        <v>5.1821752370718156E-2</v>
      </c>
    </row>
    <row r="2165" spans="1:5" x14ac:dyDescent="0.25">
      <c r="A2165">
        <v>0</v>
      </c>
      <c r="B2165">
        <v>-4.4289044289044302E-2</v>
      </c>
      <c r="C2165">
        <f t="shared" si="66"/>
        <v>1.5721340314122849</v>
      </c>
      <c r="D2165">
        <v>1</v>
      </c>
      <c r="E2165">
        <f t="shared" si="67"/>
        <v>5.1821752370718156E-2</v>
      </c>
    </row>
    <row r="2166" spans="1:5" x14ac:dyDescent="0.25">
      <c r="A2166">
        <v>0</v>
      </c>
      <c r="B2166">
        <v>-4.4289044289044302E-2</v>
      </c>
      <c r="C2166">
        <f t="shared" si="66"/>
        <v>1.5721340314122849</v>
      </c>
      <c r="D2166">
        <v>1</v>
      </c>
      <c r="E2166">
        <f t="shared" si="67"/>
        <v>5.1821752370718156E-2</v>
      </c>
    </row>
    <row r="2167" spans="1:5" x14ac:dyDescent="0.25">
      <c r="A2167">
        <v>0</v>
      </c>
      <c r="B2167">
        <v>-4.4289044289044302E-2</v>
      </c>
      <c r="C2167">
        <f t="shared" si="66"/>
        <v>1.5721340314122849</v>
      </c>
      <c r="D2167">
        <v>1</v>
      </c>
      <c r="E2167">
        <f t="shared" si="67"/>
        <v>5.1821752370718156E-2</v>
      </c>
    </row>
    <row r="2168" spans="1:5" x14ac:dyDescent="0.25">
      <c r="A2168">
        <v>0</v>
      </c>
      <c r="B2168">
        <v>-4.4289044289044302E-2</v>
      </c>
      <c r="C2168">
        <f t="shared" si="66"/>
        <v>1.5721340314122849</v>
      </c>
      <c r="D2168">
        <v>1</v>
      </c>
      <c r="E2168">
        <f t="shared" si="67"/>
        <v>5.1821752370718156E-2</v>
      </c>
    </row>
    <row r="2169" spans="1:5" x14ac:dyDescent="0.25">
      <c r="A2169">
        <v>0</v>
      </c>
      <c r="B2169">
        <v>-4.4117647058823498E-2</v>
      </c>
      <c r="C2169">
        <f t="shared" si="66"/>
        <v>1.5724554041751393</v>
      </c>
      <c r="D2169">
        <v>1</v>
      </c>
      <c r="E2169">
        <f t="shared" si="67"/>
        <v>5.1821752370718156E-2</v>
      </c>
    </row>
    <row r="2170" spans="1:5" x14ac:dyDescent="0.25">
      <c r="A2170">
        <v>0</v>
      </c>
      <c r="B2170">
        <v>-4.3999999999999997E-2</v>
      </c>
      <c r="C2170">
        <f t="shared" si="66"/>
        <v>1.5726755806509771</v>
      </c>
      <c r="D2170">
        <v>1</v>
      </c>
      <c r="E2170">
        <f t="shared" si="67"/>
        <v>5.1821752370718156E-2</v>
      </c>
    </row>
    <row r="2171" spans="1:5" x14ac:dyDescent="0.25">
      <c r="A2171">
        <v>0</v>
      </c>
      <c r="B2171">
        <v>-4.3999999999999997E-2</v>
      </c>
      <c r="C2171">
        <f t="shared" si="66"/>
        <v>1.5726755806509771</v>
      </c>
      <c r="D2171">
        <v>1</v>
      </c>
      <c r="E2171">
        <f t="shared" si="67"/>
        <v>5.1821752370718156E-2</v>
      </c>
    </row>
    <row r="2172" spans="1:5" x14ac:dyDescent="0.25">
      <c r="A2172">
        <v>0</v>
      </c>
      <c r="B2172">
        <v>-4.3999999999999997E-2</v>
      </c>
      <c r="C2172">
        <f t="shared" si="66"/>
        <v>1.5726755806509771</v>
      </c>
      <c r="D2172">
        <v>1</v>
      </c>
      <c r="E2172">
        <f t="shared" si="67"/>
        <v>5.1821752370718156E-2</v>
      </c>
    </row>
    <row r="2173" spans="1:5" x14ac:dyDescent="0.25">
      <c r="A2173">
        <v>0</v>
      </c>
      <c r="B2173">
        <v>-4.3999999999999997E-2</v>
      </c>
      <c r="C2173">
        <f t="shared" si="66"/>
        <v>1.5726755806509771</v>
      </c>
      <c r="D2173">
        <v>1</v>
      </c>
      <c r="E2173">
        <f t="shared" si="67"/>
        <v>5.1821752370718156E-2</v>
      </c>
    </row>
    <row r="2174" spans="1:5" x14ac:dyDescent="0.25">
      <c r="A2174">
        <v>0</v>
      </c>
      <c r="B2174">
        <v>-4.3999999999999997E-2</v>
      </c>
      <c r="C2174">
        <f t="shared" si="66"/>
        <v>1.5726755806509771</v>
      </c>
      <c r="D2174">
        <v>1</v>
      </c>
      <c r="E2174">
        <f t="shared" si="67"/>
        <v>5.1821752370718156E-2</v>
      </c>
    </row>
    <row r="2175" spans="1:5" x14ac:dyDescent="0.25">
      <c r="A2175">
        <v>0</v>
      </c>
      <c r="B2175">
        <v>-4.3999999999999997E-2</v>
      </c>
      <c r="C2175">
        <f t="shared" si="66"/>
        <v>1.5726755806509771</v>
      </c>
      <c r="D2175">
        <v>2</v>
      </c>
      <c r="E2175">
        <f t="shared" si="67"/>
        <v>5.4488474052736408E-2</v>
      </c>
    </row>
    <row r="2176" spans="1:5" x14ac:dyDescent="0.25">
      <c r="A2176">
        <v>0</v>
      </c>
      <c r="B2176">
        <v>-4.3999999999999997E-2</v>
      </c>
      <c r="C2176">
        <f t="shared" si="66"/>
        <v>1.5726755806509771</v>
      </c>
      <c r="D2176">
        <v>2</v>
      </c>
      <c r="E2176">
        <f t="shared" si="67"/>
        <v>5.4488474052736408E-2</v>
      </c>
    </row>
    <row r="2177" spans="1:5" x14ac:dyDescent="0.25">
      <c r="A2177">
        <v>0</v>
      </c>
      <c r="B2177">
        <v>-4.3999999999999997E-2</v>
      </c>
      <c r="C2177">
        <f t="shared" si="66"/>
        <v>1.5726755806509771</v>
      </c>
      <c r="D2177">
        <v>2</v>
      </c>
      <c r="E2177">
        <f t="shared" si="67"/>
        <v>5.4488474052736408E-2</v>
      </c>
    </row>
    <row r="2178" spans="1:5" x14ac:dyDescent="0.25">
      <c r="A2178">
        <v>0</v>
      </c>
      <c r="B2178">
        <v>-4.3999999999999997E-2</v>
      </c>
      <c r="C2178">
        <f t="shared" ref="C2178:C2241" si="68">_xlfn.NORM.DIST(B2178,I$10,I$13,FALSE)</f>
        <v>1.5726755806509771</v>
      </c>
      <c r="D2178">
        <v>2</v>
      </c>
      <c r="E2178">
        <f t="shared" si="67"/>
        <v>5.4488474052736408E-2</v>
      </c>
    </row>
    <row r="2179" spans="1:5" x14ac:dyDescent="0.25">
      <c r="A2179">
        <v>0</v>
      </c>
      <c r="B2179">
        <v>-4.3999999999999997E-2</v>
      </c>
      <c r="C2179">
        <f t="shared" si="68"/>
        <v>1.5726755806509771</v>
      </c>
      <c r="D2179">
        <v>2</v>
      </c>
      <c r="E2179">
        <f t="shared" ref="E2179:E2242" si="69">_xlfn.NORM.DIST(D2179,I$4,I$7,FALSE)</f>
        <v>5.4488474052736408E-2</v>
      </c>
    </row>
    <row r="2180" spans="1:5" x14ac:dyDescent="0.25">
      <c r="A2180">
        <v>0</v>
      </c>
      <c r="B2180">
        <v>-4.33333333333333E-2</v>
      </c>
      <c r="C2180">
        <f t="shared" si="68"/>
        <v>1.5739168771230216</v>
      </c>
      <c r="D2180">
        <v>2</v>
      </c>
      <c r="E2180">
        <f t="shared" si="69"/>
        <v>5.4488474052736408E-2</v>
      </c>
    </row>
    <row r="2181" spans="1:5" x14ac:dyDescent="0.25">
      <c r="A2181">
        <v>0</v>
      </c>
      <c r="B2181">
        <v>-4.33333333333333E-2</v>
      </c>
      <c r="C2181">
        <f t="shared" si="68"/>
        <v>1.5739168771230216</v>
      </c>
      <c r="D2181">
        <v>2</v>
      </c>
      <c r="E2181">
        <f t="shared" si="69"/>
        <v>5.4488474052736408E-2</v>
      </c>
    </row>
    <row r="2182" spans="1:5" x14ac:dyDescent="0.25">
      <c r="A2182">
        <v>0</v>
      </c>
      <c r="B2182">
        <v>-4.33333333333333E-2</v>
      </c>
      <c r="C2182">
        <f t="shared" si="68"/>
        <v>1.5739168771230216</v>
      </c>
      <c r="D2182">
        <v>2</v>
      </c>
      <c r="E2182">
        <f t="shared" si="69"/>
        <v>5.4488474052736408E-2</v>
      </c>
    </row>
    <row r="2183" spans="1:5" x14ac:dyDescent="0.25">
      <c r="A2183">
        <v>0</v>
      </c>
      <c r="B2183">
        <v>-4.33333333333333E-2</v>
      </c>
      <c r="C2183">
        <f t="shared" si="68"/>
        <v>1.5739168771230216</v>
      </c>
      <c r="D2183">
        <v>2</v>
      </c>
      <c r="E2183">
        <f t="shared" si="69"/>
        <v>5.4488474052736408E-2</v>
      </c>
    </row>
    <row r="2184" spans="1:5" x14ac:dyDescent="0.25">
      <c r="A2184">
        <v>0</v>
      </c>
      <c r="B2184">
        <v>-4.26666666666667E-2</v>
      </c>
      <c r="C2184">
        <f t="shared" si="68"/>
        <v>1.5751473245191689</v>
      </c>
      <c r="D2184">
        <v>2</v>
      </c>
      <c r="E2184">
        <f t="shared" si="69"/>
        <v>5.4488474052736408E-2</v>
      </c>
    </row>
    <row r="2185" spans="1:5" x14ac:dyDescent="0.25">
      <c r="A2185">
        <v>0</v>
      </c>
      <c r="B2185">
        <v>-4.26666666666667E-2</v>
      </c>
      <c r="C2185">
        <f t="shared" si="68"/>
        <v>1.5751473245191689</v>
      </c>
      <c r="D2185">
        <v>2</v>
      </c>
      <c r="E2185">
        <f t="shared" si="69"/>
        <v>5.4488474052736408E-2</v>
      </c>
    </row>
    <row r="2186" spans="1:5" x14ac:dyDescent="0.25">
      <c r="A2186">
        <v>0</v>
      </c>
      <c r="B2186">
        <v>-4.26666666666667E-2</v>
      </c>
      <c r="C2186">
        <f t="shared" si="68"/>
        <v>1.5751473245191689</v>
      </c>
      <c r="D2186">
        <v>2</v>
      </c>
      <c r="E2186">
        <f t="shared" si="69"/>
        <v>5.4488474052736408E-2</v>
      </c>
    </row>
    <row r="2187" spans="1:5" x14ac:dyDescent="0.25">
      <c r="A2187">
        <v>0</v>
      </c>
      <c r="B2187">
        <v>-4.26666666666667E-2</v>
      </c>
      <c r="C2187">
        <f t="shared" si="68"/>
        <v>1.5751473245191689</v>
      </c>
      <c r="D2187">
        <v>2</v>
      </c>
      <c r="E2187">
        <f t="shared" si="69"/>
        <v>5.4488474052736408E-2</v>
      </c>
    </row>
    <row r="2188" spans="1:5" x14ac:dyDescent="0.25">
      <c r="A2188">
        <v>0</v>
      </c>
      <c r="B2188">
        <v>-4.26666666666667E-2</v>
      </c>
      <c r="C2188">
        <f t="shared" si="68"/>
        <v>1.5751473245191689</v>
      </c>
      <c r="D2188">
        <v>2</v>
      </c>
      <c r="E2188">
        <f t="shared" si="69"/>
        <v>5.4488474052736408E-2</v>
      </c>
    </row>
    <row r="2189" spans="1:5" x14ac:dyDescent="0.25">
      <c r="A2189">
        <v>0</v>
      </c>
      <c r="B2189">
        <v>-4.26666666666667E-2</v>
      </c>
      <c r="C2189">
        <f t="shared" si="68"/>
        <v>1.5751473245191689</v>
      </c>
      <c r="D2189">
        <v>2</v>
      </c>
      <c r="E2189">
        <f t="shared" si="69"/>
        <v>5.4488474052736408E-2</v>
      </c>
    </row>
    <row r="2190" spans="1:5" x14ac:dyDescent="0.25">
      <c r="A2190">
        <v>0</v>
      </c>
      <c r="B2190">
        <v>-4.26666666666667E-2</v>
      </c>
      <c r="C2190">
        <f t="shared" si="68"/>
        <v>1.5751473245191689</v>
      </c>
      <c r="D2190">
        <v>2</v>
      </c>
      <c r="E2190">
        <f t="shared" si="69"/>
        <v>5.4488474052736408E-2</v>
      </c>
    </row>
    <row r="2191" spans="1:5" x14ac:dyDescent="0.25">
      <c r="A2191">
        <v>0</v>
      </c>
      <c r="B2191">
        <v>-4.26666666666667E-2</v>
      </c>
      <c r="C2191">
        <f t="shared" si="68"/>
        <v>1.5751473245191689</v>
      </c>
      <c r="D2191">
        <v>2</v>
      </c>
      <c r="E2191">
        <f t="shared" si="69"/>
        <v>5.4488474052736408E-2</v>
      </c>
    </row>
    <row r="2192" spans="1:5" x14ac:dyDescent="0.25">
      <c r="A2192">
        <v>0</v>
      </c>
      <c r="B2192">
        <v>-4.26666666666667E-2</v>
      </c>
      <c r="C2192">
        <f t="shared" si="68"/>
        <v>1.5751473245191689</v>
      </c>
      <c r="D2192">
        <v>2</v>
      </c>
      <c r="E2192">
        <f t="shared" si="69"/>
        <v>5.4488474052736408E-2</v>
      </c>
    </row>
    <row r="2193" spans="1:5" x14ac:dyDescent="0.25">
      <c r="A2193">
        <v>0</v>
      </c>
      <c r="B2193">
        <v>-4.26666666666667E-2</v>
      </c>
      <c r="C2193">
        <f t="shared" si="68"/>
        <v>1.5751473245191689</v>
      </c>
      <c r="D2193">
        <v>2</v>
      </c>
      <c r="E2193">
        <f t="shared" si="69"/>
        <v>5.4488474052736408E-2</v>
      </c>
    </row>
    <row r="2194" spans="1:5" x14ac:dyDescent="0.25">
      <c r="A2194">
        <v>0</v>
      </c>
      <c r="B2194">
        <v>-4.26666666666667E-2</v>
      </c>
      <c r="C2194">
        <f t="shared" si="68"/>
        <v>1.5751473245191689</v>
      </c>
      <c r="D2194">
        <v>2</v>
      </c>
      <c r="E2194">
        <f t="shared" si="69"/>
        <v>5.4488474052736408E-2</v>
      </c>
    </row>
    <row r="2195" spans="1:5" x14ac:dyDescent="0.25">
      <c r="A2195">
        <v>0</v>
      </c>
      <c r="B2195">
        <v>-4.2056074766355103E-2</v>
      </c>
      <c r="C2195">
        <f t="shared" si="68"/>
        <v>1.5762647346924228</v>
      </c>
      <c r="D2195">
        <v>2</v>
      </c>
      <c r="E2195">
        <f t="shared" si="69"/>
        <v>5.4488474052736408E-2</v>
      </c>
    </row>
    <row r="2196" spans="1:5" x14ac:dyDescent="0.25">
      <c r="A2196">
        <v>0</v>
      </c>
      <c r="B2196">
        <v>-4.2056074766355103E-2</v>
      </c>
      <c r="C2196">
        <f t="shared" si="68"/>
        <v>1.5762647346924228</v>
      </c>
      <c r="D2196">
        <v>2</v>
      </c>
      <c r="E2196">
        <f t="shared" si="69"/>
        <v>5.4488474052736408E-2</v>
      </c>
    </row>
    <row r="2197" spans="1:5" x14ac:dyDescent="0.25">
      <c r="A2197">
        <v>0</v>
      </c>
      <c r="B2197">
        <v>-4.2042042042041997E-2</v>
      </c>
      <c r="C2197">
        <f t="shared" si="68"/>
        <v>1.5762903077881947</v>
      </c>
      <c r="D2197">
        <v>2</v>
      </c>
      <c r="E2197">
        <f t="shared" si="69"/>
        <v>5.4488474052736408E-2</v>
      </c>
    </row>
    <row r="2198" spans="1:5" x14ac:dyDescent="0.25">
      <c r="A2198">
        <v>0</v>
      </c>
      <c r="B2198">
        <v>-4.2042042042041997E-2</v>
      </c>
      <c r="C2198">
        <f t="shared" si="68"/>
        <v>1.5762903077881947</v>
      </c>
      <c r="D2198">
        <v>2</v>
      </c>
      <c r="E2198">
        <f t="shared" si="69"/>
        <v>5.4488474052736408E-2</v>
      </c>
    </row>
    <row r="2199" spans="1:5" x14ac:dyDescent="0.25">
      <c r="A2199">
        <v>0</v>
      </c>
      <c r="B2199">
        <v>-4.2042042042041997E-2</v>
      </c>
      <c r="C2199">
        <f t="shared" si="68"/>
        <v>1.5762903077881947</v>
      </c>
      <c r="D2199">
        <v>2</v>
      </c>
      <c r="E2199">
        <f t="shared" si="69"/>
        <v>5.4488474052736408E-2</v>
      </c>
    </row>
    <row r="2200" spans="1:5" x14ac:dyDescent="0.25">
      <c r="A2200">
        <v>0</v>
      </c>
      <c r="B2200">
        <v>-4.2042042042041997E-2</v>
      </c>
      <c r="C2200">
        <f t="shared" si="68"/>
        <v>1.5762903077881947</v>
      </c>
      <c r="D2200">
        <v>2</v>
      </c>
      <c r="E2200">
        <f t="shared" si="69"/>
        <v>5.4488474052736408E-2</v>
      </c>
    </row>
    <row r="2201" spans="1:5" x14ac:dyDescent="0.25">
      <c r="A2201">
        <v>0</v>
      </c>
      <c r="B2201">
        <v>-4.2042042042041997E-2</v>
      </c>
      <c r="C2201">
        <f t="shared" si="68"/>
        <v>1.5762903077881947</v>
      </c>
      <c r="D2201">
        <v>2</v>
      </c>
      <c r="E2201">
        <f t="shared" si="69"/>
        <v>5.4488474052736408E-2</v>
      </c>
    </row>
    <row r="2202" spans="1:5" x14ac:dyDescent="0.25">
      <c r="A2202">
        <v>0</v>
      </c>
      <c r="B2202">
        <v>-4.2042042042041997E-2</v>
      </c>
      <c r="C2202">
        <f t="shared" si="68"/>
        <v>1.5762903077881947</v>
      </c>
      <c r="D2202">
        <v>2</v>
      </c>
      <c r="E2202">
        <f t="shared" si="69"/>
        <v>5.4488474052736408E-2</v>
      </c>
    </row>
    <row r="2203" spans="1:5" x14ac:dyDescent="0.25">
      <c r="A2203">
        <v>0</v>
      </c>
      <c r="B2203">
        <v>-4.2042042042041997E-2</v>
      </c>
      <c r="C2203">
        <f t="shared" si="68"/>
        <v>1.5762903077881947</v>
      </c>
      <c r="D2203">
        <v>2</v>
      </c>
      <c r="E2203">
        <f t="shared" si="69"/>
        <v>5.4488474052736408E-2</v>
      </c>
    </row>
    <row r="2204" spans="1:5" x14ac:dyDescent="0.25">
      <c r="A2204">
        <v>0</v>
      </c>
      <c r="B2204">
        <v>-4.2042042042041997E-2</v>
      </c>
      <c r="C2204">
        <f t="shared" si="68"/>
        <v>1.5762903077881947</v>
      </c>
      <c r="D2204">
        <v>2</v>
      </c>
      <c r="E2204">
        <f t="shared" si="69"/>
        <v>5.4488474052736408E-2</v>
      </c>
    </row>
    <row r="2205" spans="1:5" x14ac:dyDescent="0.25">
      <c r="A2205">
        <v>0</v>
      </c>
      <c r="B2205">
        <v>-4.2000000000000003E-2</v>
      </c>
      <c r="C2205">
        <f t="shared" si="68"/>
        <v>1.576366895870329</v>
      </c>
      <c r="D2205">
        <v>2</v>
      </c>
      <c r="E2205">
        <f t="shared" si="69"/>
        <v>5.4488474052736408E-2</v>
      </c>
    </row>
    <row r="2206" spans="1:5" x14ac:dyDescent="0.25">
      <c r="A2206">
        <v>0</v>
      </c>
      <c r="B2206">
        <v>-4.2000000000000003E-2</v>
      </c>
      <c r="C2206">
        <f t="shared" si="68"/>
        <v>1.576366895870329</v>
      </c>
      <c r="D2206">
        <v>2</v>
      </c>
      <c r="E2206">
        <f t="shared" si="69"/>
        <v>5.4488474052736408E-2</v>
      </c>
    </row>
    <row r="2207" spans="1:5" x14ac:dyDescent="0.25">
      <c r="A2207">
        <v>0</v>
      </c>
      <c r="B2207">
        <v>-4.2000000000000003E-2</v>
      </c>
      <c r="C2207">
        <f t="shared" si="68"/>
        <v>1.576366895870329</v>
      </c>
      <c r="D2207">
        <v>2</v>
      </c>
      <c r="E2207">
        <f t="shared" si="69"/>
        <v>5.4488474052736408E-2</v>
      </c>
    </row>
    <row r="2208" spans="1:5" x14ac:dyDescent="0.25">
      <c r="A2208">
        <v>0</v>
      </c>
      <c r="B2208">
        <v>-4.2000000000000003E-2</v>
      </c>
      <c r="C2208">
        <f t="shared" si="68"/>
        <v>1.576366895870329</v>
      </c>
      <c r="D2208">
        <v>2</v>
      </c>
      <c r="E2208">
        <f t="shared" si="69"/>
        <v>5.4488474052736408E-2</v>
      </c>
    </row>
    <row r="2209" spans="1:5" x14ac:dyDescent="0.25">
      <c r="A2209">
        <v>0</v>
      </c>
      <c r="B2209">
        <v>-4.2000000000000003E-2</v>
      </c>
      <c r="C2209">
        <f t="shared" si="68"/>
        <v>1.576366895870329</v>
      </c>
      <c r="D2209">
        <v>2</v>
      </c>
      <c r="E2209">
        <f t="shared" si="69"/>
        <v>5.4488474052736408E-2</v>
      </c>
    </row>
    <row r="2210" spans="1:5" x14ac:dyDescent="0.25">
      <c r="A2210">
        <v>0</v>
      </c>
      <c r="B2210">
        <v>-4.2000000000000003E-2</v>
      </c>
      <c r="C2210">
        <f t="shared" si="68"/>
        <v>1.576366895870329</v>
      </c>
      <c r="D2210">
        <v>2</v>
      </c>
      <c r="E2210">
        <f t="shared" si="69"/>
        <v>5.4488474052736408E-2</v>
      </c>
    </row>
    <row r="2211" spans="1:5" x14ac:dyDescent="0.25">
      <c r="A2211">
        <v>0</v>
      </c>
      <c r="B2211">
        <v>-4.2000000000000003E-2</v>
      </c>
      <c r="C2211">
        <f t="shared" si="68"/>
        <v>1.576366895870329</v>
      </c>
      <c r="D2211">
        <v>2</v>
      </c>
      <c r="E2211">
        <f t="shared" si="69"/>
        <v>5.4488474052736408E-2</v>
      </c>
    </row>
    <row r="2212" spans="1:5" x14ac:dyDescent="0.25">
      <c r="A2212">
        <v>0</v>
      </c>
      <c r="B2212">
        <v>-4.2000000000000003E-2</v>
      </c>
      <c r="C2212">
        <f t="shared" si="68"/>
        <v>1.576366895870329</v>
      </c>
      <c r="D2212">
        <v>2</v>
      </c>
      <c r="E2212">
        <f t="shared" si="69"/>
        <v>5.4488474052736408E-2</v>
      </c>
    </row>
    <row r="2213" spans="1:5" x14ac:dyDescent="0.25">
      <c r="A2213">
        <v>0</v>
      </c>
      <c r="B2213">
        <v>-4.2000000000000003E-2</v>
      </c>
      <c r="C2213">
        <f t="shared" si="68"/>
        <v>1.576366895870329</v>
      </c>
      <c r="D2213">
        <v>2</v>
      </c>
      <c r="E2213">
        <f t="shared" si="69"/>
        <v>5.4488474052736408E-2</v>
      </c>
    </row>
    <row r="2214" spans="1:5" x14ac:dyDescent="0.25">
      <c r="A2214">
        <v>0</v>
      </c>
      <c r="B2214">
        <v>-4.2000000000000003E-2</v>
      </c>
      <c r="C2214">
        <f t="shared" si="68"/>
        <v>1.576366895870329</v>
      </c>
      <c r="D2214">
        <v>2</v>
      </c>
      <c r="E2214">
        <f t="shared" si="69"/>
        <v>5.4488474052736408E-2</v>
      </c>
    </row>
    <row r="2215" spans="1:5" x14ac:dyDescent="0.25">
      <c r="A2215">
        <v>0</v>
      </c>
      <c r="B2215">
        <v>-4.1958041958042001E-2</v>
      </c>
      <c r="C2215">
        <f t="shared" si="68"/>
        <v>1.5764432876992656</v>
      </c>
      <c r="D2215">
        <v>2</v>
      </c>
      <c r="E2215">
        <f t="shared" si="69"/>
        <v>5.4488474052736408E-2</v>
      </c>
    </row>
    <row r="2216" spans="1:5" x14ac:dyDescent="0.25">
      <c r="A2216">
        <v>0</v>
      </c>
      <c r="B2216">
        <v>-4.1958041958042001E-2</v>
      </c>
      <c r="C2216">
        <f t="shared" si="68"/>
        <v>1.5764432876992656</v>
      </c>
      <c r="D2216">
        <v>2</v>
      </c>
      <c r="E2216">
        <f t="shared" si="69"/>
        <v>5.4488474052736408E-2</v>
      </c>
    </row>
    <row r="2217" spans="1:5" x14ac:dyDescent="0.25">
      <c r="A2217">
        <v>0</v>
      </c>
      <c r="B2217">
        <v>-4.1958041958042001E-2</v>
      </c>
      <c r="C2217">
        <f t="shared" si="68"/>
        <v>1.5764432876992656</v>
      </c>
      <c r="D2217">
        <v>2</v>
      </c>
      <c r="E2217">
        <f t="shared" si="69"/>
        <v>5.4488474052736408E-2</v>
      </c>
    </row>
    <row r="2218" spans="1:5" x14ac:dyDescent="0.25">
      <c r="A2218">
        <v>0</v>
      </c>
      <c r="B2218">
        <v>-4.1958041958042001E-2</v>
      </c>
      <c r="C2218">
        <f t="shared" si="68"/>
        <v>1.5764432876992656</v>
      </c>
      <c r="D2218">
        <v>2</v>
      </c>
      <c r="E2218">
        <f t="shared" si="69"/>
        <v>5.4488474052736408E-2</v>
      </c>
    </row>
    <row r="2219" spans="1:5" x14ac:dyDescent="0.25">
      <c r="A2219">
        <v>0</v>
      </c>
      <c r="B2219">
        <v>-4.1958041958042001E-2</v>
      </c>
      <c r="C2219">
        <f t="shared" si="68"/>
        <v>1.5764432876992656</v>
      </c>
      <c r="D2219">
        <v>2</v>
      </c>
      <c r="E2219">
        <f t="shared" si="69"/>
        <v>5.4488474052736408E-2</v>
      </c>
    </row>
    <row r="2220" spans="1:5" x14ac:dyDescent="0.25">
      <c r="A2220">
        <v>0</v>
      </c>
      <c r="B2220">
        <v>-4.1958041958042001E-2</v>
      </c>
      <c r="C2220">
        <f t="shared" si="68"/>
        <v>1.5764432876992656</v>
      </c>
      <c r="D2220">
        <v>2</v>
      </c>
      <c r="E2220">
        <f t="shared" si="69"/>
        <v>5.4488474052736408E-2</v>
      </c>
    </row>
    <row r="2221" spans="1:5" x14ac:dyDescent="0.25">
      <c r="A2221">
        <v>0</v>
      </c>
      <c r="B2221">
        <v>-4.1958041958042001E-2</v>
      </c>
      <c r="C2221">
        <f t="shared" si="68"/>
        <v>1.5764432876992656</v>
      </c>
      <c r="D2221">
        <v>2</v>
      </c>
      <c r="E2221">
        <f t="shared" si="69"/>
        <v>5.4488474052736408E-2</v>
      </c>
    </row>
    <row r="2222" spans="1:5" x14ac:dyDescent="0.25">
      <c r="A2222">
        <v>0</v>
      </c>
      <c r="B2222">
        <v>-4.1958041958042001E-2</v>
      </c>
      <c r="C2222">
        <f t="shared" si="68"/>
        <v>1.5764432876992656</v>
      </c>
      <c r="D2222">
        <v>2</v>
      </c>
      <c r="E2222">
        <f t="shared" si="69"/>
        <v>5.4488474052736408E-2</v>
      </c>
    </row>
    <row r="2223" spans="1:5" x14ac:dyDescent="0.25">
      <c r="A2223">
        <v>0</v>
      </c>
      <c r="B2223">
        <v>-4.1916167664670698E-2</v>
      </c>
      <c r="C2223">
        <f t="shared" si="68"/>
        <v>1.5765194839852736</v>
      </c>
      <c r="D2223">
        <v>2</v>
      </c>
      <c r="E2223">
        <f t="shared" si="69"/>
        <v>5.4488474052736408E-2</v>
      </c>
    </row>
    <row r="2224" spans="1:5" x14ac:dyDescent="0.25">
      <c r="A2224">
        <v>0</v>
      </c>
      <c r="B2224">
        <v>-4.1916167664670698E-2</v>
      </c>
      <c r="C2224">
        <f t="shared" si="68"/>
        <v>1.5765194839852736</v>
      </c>
      <c r="D2224">
        <v>2</v>
      </c>
      <c r="E2224">
        <f t="shared" si="69"/>
        <v>5.4488474052736408E-2</v>
      </c>
    </row>
    <row r="2225" spans="1:5" x14ac:dyDescent="0.25">
      <c r="A2225">
        <v>0</v>
      </c>
      <c r="B2225">
        <v>-4.1916167664670698E-2</v>
      </c>
      <c r="C2225">
        <f t="shared" si="68"/>
        <v>1.5765194839852736</v>
      </c>
      <c r="D2225">
        <v>2</v>
      </c>
      <c r="E2225">
        <f t="shared" si="69"/>
        <v>5.4488474052736408E-2</v>
      </c>
    </row>
    <row r="2226" spans="1:5" x14ac:dyDescent="0.25">
      <c r="A2226">
        <v>0</v>
      </c>
      <c r="B2226">
        <v>-4.1666666666666699E-2</v>
      </c>
      <c r="C2226">
        <f t="shared" si="68"/>
        <v>1.5769725946624584</v>
      </c>
      <c r="D2226">
        <v>2</v>
      </c>
      <c r="E2226">
        <f t="shared" si="69"/>
        <v>5.4488474052736408E-2</v>
      </c>
    </row>
    <row r="2227" spans="1:5" x14ac:dyDescent="0.25">
      <c r="A2227">
        <v>0</v>
      </c>
      <c r="B2227">
        <v>-4.0666666666666698E-2</v>
      </c>
      <c r="C2227">
        <f t="shared" si="68"/>
        <v>1.5787733036829878</v>
      </c>
      <c r="D2227">
        <v>2</v>
      </c>
      <c r="E2227">
        <f t="shared" si="69"/>
        <v>5.4488474052736408E-2</v>
      </c>
    </row>
    <row r="2228" spans="1:5" x14ac:dyDescent="0.25">
      <c r="A2228">
        <v>0</v>
      </c>
      <c r="B2228">
        <v>-4.0441176470588203E-2</v>
      </c>
      <c r="C2228">
        <f t="shared" si="68"/>
        <v>1.5791759432135577</v>
      </c>
      <c r="D2228">
        <v>2</v>
      </c>
      <c r="E2228">
        <f t="shared" si="69"/>
        <v>5.4488474052736408E-2</v>
      </c>
    </row>
    <row r="2229" spans="1:5" x14ac:dyDescent="0.25">
      <c r="A2229">
        <v>0</v>
      </c>
      <c r="B2229">
        <v>-0.04</v>
      </c>
      <c r="C2229">
        <f t="shared" si="68"/>
        <v>1.5799600873308932</v>
      </c>
      <c r="D2229">
        <v>2</v>
      </c>
      <c r="E2229">
        <f t="shared" si="69"/>
        <v>5.4488474052736408E-2</v>
      </c>
    </row>
    <row r="2230" spans="1:5" x14ac:dyDescent="0.25">
      <c r="A2230">
        <v>0</v>
      </c>
      <c r="B2230">
        <v>-0.04</v>
      </c>
      <c r="C2230">
        <f t="shared" si="68"/>
        <v>1.5799600873308932</v>
      </c>
      <c r="D2230">
        <v>2</v>
      </c>
      <c r="E2230">
        <f t="shared" si="69"/>
        <v>5.4488474052736408E-2</v>
      </c>
    </row>
    <row r="2231" spans="1:5" x14ac:dyDescent="0.25">
      <c r="A2231">
        <v>0</v>
      </c>
      <c r="B2231">
        <v>-0.04</v>
      </c>
      <c r="C2231">
        <f t="shared" si="68"/>
        <v>1.5799600873308932</v>
      </c>
      <c r="D2231">
        <v>2</v>
      </c>
      <c r="E2231">
        <f t="shared" si="69"/>
        <v>5.4488474052736408E-2</v>
      </c>
    </row>
    <row r="2232" spans="1:5" x14ac:dyDescent="0.25">
      <c r="A2232">
        <v>0</v>
      </c>
      <c r="B2232">
        <v>-0.04</v>
      </c>
      <c r="C2232">
        <f t="shared" si="68"/>
        <v>1.5799600873308932</v>
      </c>
      <c r="D2232">
        <v>2</v>
      </c>
      <c r="E2232">
        <f t="shared" si="69"/>
        <v>5.4488474052736408E-2</v>
      </c>
    </row>
    <row r="2233" spans="1:5" x14ac:dyDescent="0.25">
      <c r="A2233">
        <v>0</v>
      </c>
      <c r="B2233">
        <v>-0.04</v>
      </c>
      <c r="C2233">
        <f t="shared" si="68"/>
        <v>1.5799600873308932</v>
      </c>
      <c r="D2233">
        <v>2</v>
      </c>
      <c r="E2233">
        <f t="shared" si="69"/>
        <v>5.4488474052736408E-2</v>
      </c>
    </row>
    <row r="2234" spans="1:5" x14ac:dyDescent="0.25">
      <c r="A2234">
        <v>0</v>
      </c>
      <c r="B2234">
        <v>-0.04</v>
      </c>
      <c r="C2234">
        <f t="shared" si="68"/>
        <v>1.5799600873308932</v>
      </c>
      <c r="D2234">
        <v>2</v>
      </c>
      <c r="E2234">
        <f t="shared" si="69"/>
        <v>5.4488474052736408E-2</v>
      </c>
    </row>
    <row r="2235" spans="1:5" x14ac:dyDescent="0.25">
      <c r="A2235">
        <v>0</v>
      </c>
      <c r="B2235">
        <v>-0.04</v>
      </c>
      <c r="C2235">
        <f t="shared" si="68"/>
        <v>1.5799600873308932</v>
      </c>
      <c r="D2235">
        <v>2</v>
      </c>
      <c r="E2235">
        <f t="shared" si="69"/>
        <v>5.4488474052736408E-2</v>
      </c>
    </row>
    <row r="2236" spans="1:5" x14ac:dyDescent="0.25">
      <c r="A2236">
        <v>0</v>
      </c>
      <c r="B2236">
        <v>-0.04</v>
      </c>
      <c r="C2236">
        <f t="shared" si="68"/>
        <v>1.5799600873308932</v>
      </c>
      <c r="D2236">
        <v>2</v>
      </c>
      <c r="E2236">
        <f t="shared" si="69"/>
        <v>5.4488474052736408E-2</v>
      </c>
    </row>
    <row r="2237" spans="1:5" x14ac:dyDescent="0.25">
      <c r="A2237">
        <v>0</v>
      </c>
      <c r="B2237">
        <v>-0.04</v>
      </c>
      <c r="C2237">
        <f t="shared" si="68"/>
        <v>1.5799600873308932</v>
      </c>
      <c r="D2237">
        <v>2</v>
      </c>
      <c r="E2237">
        <f t="shared" si="69"/>
        <v>5.4488474052736408E-2</v>
      </c>
    </row>
    <row r="2238" spans="1:5" x14ac:dyDescent="0.25">
      <c r="A2238">
        <v>0</v>
      </c>
      <c r="B2238">
        <v>-0.04</v>
      </c>
      <c r="C2238">
        <f t="shared" si="68"/>
        <v>1.5799600873308932</v>
      </c>
      <c r="D2238">
        <v>2</v>
      </c>
      <c r="E2238">
        <f t="shared" si="69"/>
        <v>5.4488474052736408E-2</v>
      </c>
    </row>
    <row r="2239" spans="1:5" x14ac:dyDescent="0.25">
      <c r="A2239">
        <v>0</v>
      </c>
      <c r="B2239">
        <v>-0.04</v>
      </c>
      <c r="C2239">
        <f t="shared" si="68"/>
        <v>1.5799600873308932</v>
      </c>
      <c r="D2239">
        <v>2</v>
      </c>
      <c r="E2239">
        <f t="shared" si="69"/>
        <v>5.4488474052736408E-2</v>
      </c>
    </row>
    <row r="2240" spans="1:5" x14ac:dyDescent="0.25">
      <c r="A2240">
        <v>0</v>
      </c>
      <c r="B2240">
        <v>-0.04</v>
      </c>
      <c r="C2240">
        <f t="shared" si="68"/>
        <v>1.5799600873308932</v>
      </c>
      <c r="D2240">
        <v>2</v>
      </c>
      <c r="E2240">
        <f t="shared" si="69"/>
        <v>5.4488474052736408E-2</v>
      </c>
    </row>
    <row r="2241" spans="1:5" x14ac:dyDescent="0.25">
      <c r="A2241">
        <v>0</v>
      </c>
      <c r="B2241">
        <v>-0.04</v>
      </c>
      <c r="C2241">
        <f t="shared" si="68"/>
        <v>1.5799600873308932</v>
      </c>
      <c r="D2241">
        <v>2</v>
      </c>
      <c r="E2241">
        <f t="shared" si="69"/>
        <v>5.4488474052736408E-2</v>
      </c>
    </row>
    <row r="2242" spans="1:5" x14ac:dyDescent="0.25">
      <c r="A2242">
        <v>0</v>
      </c>
      <c r="B2242">
        <v>-0.04</v>
      </c>
      <c r="C2242">
        <f t="shared" ref="C2242:C2305" si="70">_xlfn.NORM.DIST(B2242,I$10,I$13,FALSE)</f>
        <v>1.5799600873308932</v>
      </c>
      <c r="D2242">
        <v>2</v>
      </c>
      <c r="E2242">
        <f t="shared" si="69"/>
        <v>5.4488474052736408E-2</v>
      </c>
    </row>
    <row r="2243" spans="1:5" x14ac:dyDescent="0.25">
      <c r="A2243">
        <v>0</v>
      </c>
      <c r="B2243">
        <v>-0.04</v>
      </c>
      <c r="C2243">
        <f t="shared" si="70"/>
        <v>1.5799600873308932</v>
      </c>
      <c r="D2243">
        <v>2</v>
      </c>
      <c r="E2243">
        <f t="shared" ref="E2243:E2306" si="71">_xlfn.NORM.DIST(D2243,I$4,I$7,FALSE)</f>
        <v>5.4488474052736408E-2</v>
      </c>
    </row>
    <row r="2244" spans="1:5" x14ac:dyDescent="0.25">
      <c r="A2244">
        <v>0</v>
      </c>
      <c r="B2244">
        <v>-0.04</v>
      </c>
      <c r="C2244">
        <f t="shared" si="70"/>
        <v>1.5799600873308932</v>
      </c>
      <c r="D2244">
        <v>2</v>
      </c>
      <c r="E2244">
        <f t="shared" si="71"/>
        <v>5.4488474052736408E-2</v>
      </c>
    </row>
    <row r="2245" spans="1:5" x14ac:dyDescent="0.25">
      <c r="A2245">
        <v>0</v>
      </c>
      <c r="B2245">
        <v>-0.04</v>
      </c>
      <c r="C2245">
        <f t="shared" si="70"/>
        <v>1.5799600873308932</v>
      </c>
      <c r="D2245">
        <v>2</v>
      </c>
      <c r="E2245">
        <f t="shared" si="71"/>
        <v>5.4488474052736408E-2</v>
      </c>
    </row>
    <row r="2246" spans="1:5" x14ac:dyDescent="0.25">
      <c r="A2246">
        <v>0</v>
      </c>
      <c r="B2246">
        <v>-0.04</v>
      </c>
      <c r="C2246">
        <f t="shared" si="70"/>
        <v>1.5799600873308932</v>
      </c>
      <c r="D2246">
        <v>2</v>
      </c>
      <c r="E2246">
        <f t="shared" si="71"/>
        <v>5.4488474052736408E-2</v>
      </c>
    </row>
    <row r="2247" spans="1:5" x14ac:dyDescent="0.25">
      <c r="A2247">
        <v>0</v>
      </c>
      <c r="B2247">
        <v>-0.04</v>
      </c>
      <c r="C2247">
        <f t="shared" si="70"/>
        <v>1.5799600873308932</v>
      </c>
      <c r="D2247">
        <v>2</v>
      </c>
      <c r="E2247">
        <f t="shared" si="71"/>
        <v>5.4488474052736408E-2</v>
      </c>
    </row>
    <row r="2248" spans="1:5" x14ac:dyDescent="0.25">
      <c r="A2248">
        <v>0</v>
      </c>
      <c r="B2248">
        <v>-0.04</v>
      </c>
      <c r="C2248">
        <f t="shared" si="70"/>
        <v>1.5799600873308932</v>
      </c>
      <c r="D2248">
        <v>2</v>
      </c>
      <c r="E2248">
        <f t="shared" si="71"/>
        <v>5.4488474052736408E-2</v>
      </c>
    </row>
    <row r="2249" spans="1:5" x14ac:dyDescent="0.25">
      <c r="A2249">
        <v>0</v>
      </c>
      <c r="B2249">
        <v>-0.04</v>
      </c>
      <c r="C2249">
        <f t="shared" si="70"/>
        <v>1.5799600873308932</v>
      </c>
      <c r="D2249">
        <v>2</v>
      </c>
      <c r="E2249">
        <f t="shared" si="71"/>
        <v>5.4488474052736408E-2</v>
      </c>
    </row>
    <row r="2250" spans="1:5" x14ac:dyDescent="0.25">
      <c r="A2250">
        <v>0</v>
      </c>
      <c r="B2250">
        <v>-0.04</v>
      </c>
      <c r="C2250">
        <f t="shared" si="70"/>
        <v>1.5799600873308932</v>
      </c>
      <c r="D2250">
        <v>2</v>
      </c>
      <c r="E2250">
        <f t="shared" si="71"/>
        <v>5.4488474052736408E-2</v>
      </c>
    </row>
    <row r="2251" spans="1:5" x14ac:dyDescent="0.25">
      <c r="A2251">
        <v>0</v>
      </c>
      <c r="B2251">
        <v>-0.04</v>
      </c>
      <c r="C2251">
        <f t="shared" si="70"/>
        <v>1.5799600873308932</v>
      </c>
      <c r="D2251">
        <v>2</v>
      </c>
      <c r="E2251">
        <f t="shared" si="71"/>
        <v>5.4488474052736408E-2</v>
      </c>
    </row>
    <row r="2252" spans="1:5" x14ac:dyDescent="0.25">
      <c r="A2252">
        <v>0</v>
      </c>
      <c r="B2252">
        <v>-0.04</v>
      </c>
      <c r="C2252">
        <f t="shared" si="70"/>
        <v>1.5799600873308932</v>
      </c>
      <c r="D2252">
        <v>2</v>
      </c>
      <c r="E2252">
        <f t="shared" si="71"/>
        <v>5.4488474052736408E-2</v>
      </c>
    </row>
    <row r="2253" spans="1:5" x14ac:dyDescent="0.25">
      <c r="A2253">
        <v>0</v>
      </c>
      <c r="B2253">
        <v>-0.04</v>
      </c>
      <c r="C2253">
        <f t="shared" si="70"/>
        <v>1.5799600873308932</v>
      </c>
      <c r="D2253">
        <v>2</v>
      </c>
      <c r="E2253">
        <f t="shared" si="71"/>
        <v>5.4488474052736408E-2</v>
      </c>
    </row>
    <row r="2254" spans="1:5" x14ac:dyDescent="0.25">
      <c r="A2254">
        <v>0</v>
      </c>
      <c r="B2254">
        <v>-3.9719626168224297E-2</v>
      </c>
      <c r="C2254">
        <f t="shared" si="70"/>
        <v>1.5804559230440609</v>
      </c>
      <c r="D2254">
        <v>2</v>
      </c>
      <c r="E2254">
        <f t="shared" si="71"/>
        <v>5.4488474052736408E-2</v>
      </c>
    </row>
    <row r="2255" spans="1:5" x14ac:dyDescent="0.25">
      <c r="A2255">
        <v>0</v>
      </c>
      <c r="B2255">
        <v>-3.9719626168224297E-2</v>
      </c>
      <c r="C2255">
        <f t="shared" si="70"/>
        <v>1.5804559230440609</v>
      </c>
      <c r="D2255">
        <v>2</v>
      </c>
      <c r="E2255">
        <f t="shared" si="71"/>
        <v>5.4488474052736408E-2</v>
      </c>
    </row>
    <row r="2256" spans="1:5" x14ac:dyDescent="0.25">
      <c r="A2256">
        <v>0</v>
      </c>
      <c r="B2256">
        <v>-3.9627039627039597E-2</v>
      </c>
      <c r="C2256">
        <f t="shared" si="70"/>
        <v>1.5806192336161959</v>
      </c>
      <c r="D2256">
        <v>2</v>
      </c>
      <c r="E2256">
        <f t="shared" si="71"/>
        <v>5.4488474052736408E-2</v>
      </c>
    </row>
    <row r="2257" spans="1:5" x14ac:dyDescent="0.25">
      <c r="A2257">
        <v>0</v>
      </c>
      <c r="B2257">
        <v>-3.9627039627039597E-2</v>
      </c>
      <c r="C2257">
        <f t="shared" si="70"/>
        <v>1.5806192336161959</v>
      </c>
      <c r="D2257">
        <v>2</v>
      </c>
      <c r="E2257">
        <f t="shared" si="71"/>
        <v>5.4488474052736408E-2</v>
      </c>
    </row>
    <row r="2258" spans="1:5" x14ac:dyDescent="0.25">
      <c r="A2258">
        <v>0</v>
      </c>
      <c r="B2258">
        <v>-3.9627039627039597E-2</v>
      </c>
      <c r="C2258">
        <f t="shared" si="70"/>
        <v>1.5806192336161959</v>
      </c>
      <c r="D2258">
        <v>2</v>
      </c>
      <c r="E2258">
        <f t="shared" si="71"/>
        <v>5.4488474052736408E-2</v>
      </c>
    </row>
    <row r="2259" spans="1:5" x14ac:dyDescent="0.25">
      <c r="A2259">
        <v>0</v>
      </c>
      <c r="B2259">
        <v>-3.9039039039038999E-2</v>
      </c>
      <c r="C2259">
        <f t="shared" si="70"/>
        <v>1.5816514364457939</v>
      </c>
      <c r="D2259">
        <v>2</v>
      </c>
      <c r="E2259">
        <f t="shared" si="71"/>
        <v>5.4488474052736408E-2</v>
      </c>
    </row>
    <row r="2260" spans="1:5" x14ac:dyDescent="0.25">
      <c r="A2260">
        <v>0</v>
      </c>
      <c r="B2260">
        <v>-3.9039039039038999E-2</v>
      </c>
      <c r="C2260">
        <f t="shared" si="70"/>
        <v>1.5816514364457939</v>
      </c>
      <c r="D2260">
        <v>2</v>
      </c>
      <c r="E2260">
        <f t="shared" si="71"/>
        <v>5.4488474052736408E-2</v>
      </c>
    </row>
    <row r="2261" spans="1:5" x14ac:dyDescent="0.25">
      <c r="A2261">
        <v>0</v>
      </c>
      <c r="B2261">
        <v>-3.9039039039038999E-2</v>
      </c>
      <c r="C2261">
        <f t="shared" si="70"/>
        <v>1.5816514364457939</v>
      </c>
      <c r="D2261">
        <v>2</v>
      </c>
      <c r="E2261">
        <f t="shared" si="71"/>
        <v>5.4488474052736408E-2</v>
      </c>
    </row>
    <row r="2262" spans="1:5" x14ac:dyDescent="0.25">
      <c r="A2262">
        <v>0</v>
      </c>
      <c r="B2262">
        <v>-3.9039039039038999E-2</v>
      </c>
      <c r="C2262">
        <f t="shared" si="70"/>
        <v>1.5816514364457939</v>
      </c>
      <c r="D2262">
        <v>2</v>
      </c>
      <c r="E2262">
        <f t="shared" si="71"/>
        <v>5.4488474052736408E-2</v>
      </c>
    </row>
    <row r="2263" spans="1:5" x14ac:dyDescent="0.25">
      <c r="A2263">
        <v>0</v>
      </c>
      <c r="B2263">
        <v>-3.9039039039038999E-2</v>
      </c>
      <c r="C2263">
        <f t="shared" si="70"/>
        <v>1.5816514364457939</v>
      </c>
      <c r="D2263">
        <v>2</v>
      </c>
      <c r="E2263">
        <f t="shared" si="71"/>
        <v>5.4488474052736408E-2</v>
      </c>
    </row>
    <row r="2264" spans="1:5" x14ac:dyDescent="0.25">
      <c r="A2264">
        <v>0</v>
      </c>
      <c r="B2264">
        <v>-3.9039039039038999E-2</v>
      </c>
      <c r="C2264">
        <f t="shared" si="70"/>
        <v>1.5816514364457939</v>
      </c>
      <c r="D2264">
        <v>2</v>
      </c>
      <c r="E2264">
        <f t="shared" si="71"/>
        <v>5.4488474052736408E-2</v>
      </c>
    </row>
    <row r="2265" spans="1:5" x14ac:dyDescent="0.25">
      <c r="A2265">
        <v>0</v>
      </c>
      <c r="B2265">
        <v>-3.9039039039038999E-2</v>
      </c>
      <c r="C2265">
        <f t="shared" si="70"/>
        <v>1.5816514364457939</v>
      </c>
      <c r="D2265">
        <v>2</v>
      </c>
      <c r="E2265">
        <f t="shared" si="71"/>
        <v>5.4488474052736408E-2</v>
      </c>
    </row>
    <row r="2266" spans="1:5" x14ac:dyDescent="0.25">
      <c r="A2266">
        <v>0</v>
      </c>
      <c r="B2266">
        <v>-3.9039039039038999E-2</v>
      </c>
      <c r="C2266">
        <f t="shared" si="70"/>
        <v>1.5816514364457939</v>
      </c>
      <c r="D2266">
        <v>2</v>
      </c>
      <c r="E2266">
        <f t="shared" si="71"/>
        <v>5.4488474052736408E-2</v>
      </c>
    </row>
    <row r="2267" spans="1:5" x14ac:dyDescent="0.25">
      <c r="A2267">
        <v>0</v>
      </c>
      <c r="B2267">
        <v>-3.9E-2</v>
      </c>
      <c r="C2267">
        <f t="shared" si="70"/>
        <v>1.5817196640875151</v>
      </c>
      <c r="D2267">
        <v>2</v>
      </c>
      <c r="E2267">
        <f t="shared" si="71"/>
        <v>5.4488474052736408E-2</v>
      </c>
    </row>
    <row r="2268" spans="1:5" x14ac:dyDescent="0.25">
      <c r="A2268">
        <v>0</v>
      </c>
      <c r="B2268">
        <v>-3.9E-2</v>
      </c>
      <c r="C2268">
        <f t="shared" si="70"/>
        <v>1.5817196640875151</v>
      </c>
      <c r="D2268">
        <v>2</v>
      </c>
      <c r="E2268">
        <f t="shared" si="71"/>
        <v>5.4488474052736408E-2</v>
      </c>
    </row>
    <row r="2269" spans="1:5" x14ac:dyDescent="0.25">
      <c r="A2269">
        <v>0</v>
      </c>
      <c r="B2269">
        <v>-3.8922155688622798E-2</v>
      </c>
      <c r="C2269">
        <f t="shared" si="70"/>
        <v>1.5818555980122366</v>
      </c>
      <c r="D2269">
        <v>2</v>
      </c>
      <c r="E2269">
        <f t="shared" si="71"/>
        <v>5.4488474052736408E-2</v>
      </c>
    </row>
    <row r="2270" spans="1:5" x14ac:dyDescent="0.25">
      <c r="A2270">
        <v>0</v>
      </c>
      <c r="B2270">
        <v>-3.8922155688622798E-2</v>
      </c>
      <c r="C2270">
        <f t="shared" si="70"/>
        <v>1.5818555980122366</v>
      </c>
      <c r="D2270">
        <v>2</v>
      </c>
      <c r="E2270">
        <f t="shared" si="71"/>
        <v>5.4488474052736408E-2</v>
      </c>
    </row>
    <row r="2271" spans="1:5" x14ac:dyDescent="0.25">
      <c r="A2271">
        <v>0</v>
      </c>
      <c r="B2271">
        <v>-3.8666666666666703E-2</v>
      </c>
      <c r="C2271">
        <f t="shared" si="70"/>
        <v>1.5823006837772624</v>
      </c>
      <c r="D2271">
        <v>2</v>
      </c>
      <c r="E2271">
        <f t="shared" si="71"/>
        <v>5.4488474052736408E-2</v>
      </c>
    </row>
    <row r="2272" spans="1:5" x14ac:dyDescent="0.25">
      <c r="A2272">
        <v>0</v>
      </c>
      <c r="B2272">
        <v>-3.8666666666666703E-2</v>
      </c>
      <c r="C2272">
        <f t="shared" si="70"/>
        <v>1.5823006837772624</v>
      </c>
      <c r="D2272">
        <v>2</v>
      </c>
      <c r="E2272">
        <f t="shared" si="71"/>
        <v>5.4488474052736408E-2</v>
      </c>
    </row>
    <row r="2273" spans="1:5" x14ac:dyDescent="0.25">
      <c r="A2273">
        <v>0</v>
      </c>
      <c r="B2273">
        <v>-3.8461538461538498E-2</v>
      </c>
      <c r="C2273">
        <f t="shared" si="70"/>
        <v>1.5826568635774718</v>
      </c>
      <c r="D2273">
        <v>2</v>
      </c>
      <c r="E2273">
        <f t="shared" si="71"/>
        <v>5.4488474052736408E-2</v>
      </c>
    </row>
    <row r="2274" spans="1:5" x14ac:dyDescent="0.25">
      <c r="A2274">
        <v>0</v>
      </c>
      <c r="B2274">
        <v>-3.8333333333333303E-2</v>
      </c>
      <c r="C2274">
        <f t="shared" si="70"/>
        <v>1.5828789451837388</v>
      </c>
      <c r="D2274">
        <v>2</v>
      </c>
      <c r="E2274">
        <f t="shared" si="71"/>
        <v>5.4488474052736408E-2</v>
      </c>
    </row>
    <row r="2275" spans="1:5" x14ac:dyDescent="0.25">
      <c r="A2275">
        <v>0</v>
      </c>
      <c r="B2275">
        <v>-3.8333333333333303E-2</v>
      </c>
      <c r="C2275">
        <f t="shared" si="70"/>
        <v>1.5828789451837388</v>
      </c>
      <c r="D2275">
        <v>2</v>
      </c>
      <c r="E2275">
        <f t="shared" si="71"/>
        <v>5.4488474052736408E-2</v>
      </c>
    </row>
    <row r="2276" spans="1:5" x14ac:dyDescent="0.25">
      <c r="A2276">
        <v>0</v>
      </c>
      <c r="B2276">
        <v>-3.8333333333333303E-2</v>
      </c>
      <c r="C2276">
        <f t="shared" si="70"/>
        <v>1.5828789451837388</v>
      </c>
      <c r="D2276">
        <v>2</v>
      </c>
      <c r="E2276">
        <f t="shared" si="71"/>
        <v>5.4488474052736408E-2</v>
      </c>
    </row>
    <row r="2277" spans="1:5" x14ac:dyDescent="0.25">
      <c r="A2277">
        <v>0</v>
      </c>
      <c r="B2277">
        <v>-3.8167938931297697E-2</v>
      </c>
      <c r="C2277">
        <f t="shared" si="70"/>
        <v>1.5831648439512354</v>
      </c>
      <c r="D2277">
        <v>2</v>
      </c>
      <c r="E2277">
        <f t="shared" si="71"/>
        <v>5.4488474052736408E-2</v>
      </c>
    </row>
    <row r="2278" spans="1:5" x14ac:dyDescent="0.25">
      <c r="A2278">
        <v>0</v>
      </c>
      <c r="B2278">
        <v>-3.7999999999999999E-2</v>
      </c>
      <c r="C2278">
        <f t="shared" si="70"/>
        <v>1.5834544451272528</v>
      </c>
      <c r="D2278">
        <v>2</v>
      </c>
      <c r="E2278">
        <f t="shared" si="71"/>
        <v>5.4488474052736408E-2</v>
      </c>
    </row>
    <row r="2279" spans="1:5" x14ac:dyDescent="0.25">
      <c r="A2279">
        <v>0</v>
      </c>
      <c r="B2279">
        <v>-3.7999999999999999E-2</v>
      </c>
      <c r="C2279">
        <f t="shared" si="70"/>
        <v>1.5834544451272528</v>
      </c>
      <c r="D2279">
        <v>2</v>
      </c>
      <c r="E2279">
        <f t="shared" si="71"/>
        <v>5.4488474052736408E-2</v>
      </c>
    </row>
    <row r="2280" spans="1:5" x14ac:dyDescent="0.25">
      <c r="A2280">
        <v>0</v>
      </c>
      <c r="B2280">
        <v>-3.7999999999999999E-2</v>
      </c>
      <c r="C2280">
        <f t="shared" si="70"/>
        <v>1.5834544451272528</v>
      </c>
      <c r="D2280">
        <v>2</v>
      </c>
      <c r="E2280">
        <f t="shared" si="71"/>
        <v>5.4488474052736408E-2</v>
      </c>
    </row>
    <row r="2281" spans="1:5" x14ac:dyDescent="0.25">
      <c r="A2281">
        <v>0</v>
      </c>
      <c r="B2281">
        <v>-3.7999999999999999E-2</v>
      </c>
      <c r="C2281">
        <f t="shared" si="70"/>
        <v>1.5834544451272528</v>
      </c>
      <c r="D2281">
        <v>2</v>
      </c>
      <c r="E2281">
        <f t="shared" si="71"/>
        <v>5.4488474052736408E-2</v>
      </c>
    </row>
    <row r="2282" spans="1:5" x14ac:dyDescent="0.25">
      <c r="A2282">
        <v>0</v>
      </c>
      <c r="B2282">
        <v>-3.7333333333333302E-2</v>
      </c>
      <c r="C2282">
        <f t="shared" si="70"/>
        <v>1.5845971479786449</v>
      </c>
      <c r="D2282">
        <v>2</v>
      </c>
      <c r="E2282">
        <f t="shared" si="71"/>
        <v>5.4488474052736408E-2</v>
      </c>
    </row>
    <row r="2283" spans="1:5" x14ac:dyDescent="0.25">
      <c r="A2283">
        <v>0</v>
      </c>
      <c r="B2283">
        <v>-3.7333333333333302E-2</v>
      </c>
      <c r="C2283">
        <f t="shared" si="70"/>
        <v>1.5845971479786449</v>
      </c>
      <c r="D2283">
        <v>2</v>
      </c>
      <c r="E2283">
        <f t="shared" si="71"/>
        <v>5.4488474052736408E-2</v>
      </c>
    </row>
    <row r="2284" spans="1:5" x14ac:dyDescent="0.25">
      <c r="A2284">
        <v>0</v>
      </c>
      <c r="B2284">
        <v>-3.7333333333333302E-2</v>
      </c>
      <c r="C2284">
        <f t="shared" si="70"/>
        <v>1.5845971479786449</v>
      </c>
      <c r="D2284">
        <v>2</v>
      </c>
      <c r="E2284">
        <f t="shared" si="71"/>
        <v>5.4488474052736408E-2</v>
      </c>
    </row>
    <row r="2285" spans="1:5" x14ac:dyDescent="0.25">
      <c r="A2285">
        <v>0</v>
      </c>
      <c r="B2285">
        <v>-3.7333333333333302E-2</v>
      </c>
      <c r="C2285">
        <f t="shared" si="70"/>
        <v>1.5845971479786449</v>
      </c>
      <c r="D2285">
        <v>2</v>
      </c>
      <c r="E2285">
        <f t="shared" si="71"/>
        <v>5.4488474052736408E-2</v>
      </c>
    </row>
    <row r="2286" spans="1:5" x14ac:dyDescent="0.25">
      <c r="A2286">
        <v>0</v>
      </c>
      <c r="B2286">
        <v>-3.7333333333333302E-2</v>
      </c>
      <c r="C2286">
        <f t="shared" si="70"/>
        <v>1.5845971479786449</v>
      </c>
      <c r="D2286">
        <v>2</v>
      </c>
      <c r="E2286">
        <f t="shared" si="71"/>
        <v>5.4488474052736408E-2</v>
      </c>
    </row>
    <row r="2287" spans="1:5" x14ac:dyDescent="0.25">
      <c r="A2287">
        <v>0</v>
      </c>
      <c r="B2287">
        <v>-3.7333333333333302E-2</v>
      </c>
      <c r="C2287">
        <f t="shared" si="70"/>
        <v>1.5845971479786449</v>
      </c>
      <c r="D2287">
        <v>2</v>
      </c>
      <c r="E2287">
        <f t="shared" si="71"/>
        <v>5.4488474052736408E-2</v>
      </c>
    </row>
    <row r="2288" spans="1:5" x14ac:dyDescent="0.25">
      <c r="A2288">
        <v>0</v>
      </c>
      <c r="B2288">
        <v>-3.7333333333333302E-2</v>
      </c>
      <c r="C2288">
        <f t="shared" si="70"/>
        <v>1.5845971479786449</v>
      </c>
      <c r="D2288">
        <v>2</v>
      </c>
      <c r="E2288">
        <f t="shared" si="71"/>
        <v>5.4488474052736408E-2</v>
      </c>
    </row>
    <row r="2289" spans="1:5" x14ac:dyDescent="0.25">
      <c r="A2289">
        <v>0</v>
      </c>
      <c r="B2289">
        <v>-3.7333333333333302E-2</v>
      </c>
      <c r="C2289">
        <f t="shared" si="70"/>
        <v>1.5845971479786449</v>
      </c>
      <c r="D2289">
        <v>2</v>
      </c>
      <c r="E2289">
        <f t="shared" si="71"/>
        <v>5.4488474052736408E-2</v>
      </c>
    </row>
    <row r="2290" spans="1:5" x14ac:dyDescent="0.25">
      <c r="A2290">
        <v>0</v>
      </c>
      <c r="B2290">
        <v>-3.7333333333333302E-2</v>
      </c>
      <c r="C2290">
        <f t="shared" si="70"/>
        <v>1.5845971479786449</v>
      </c>
      <c r="D2290">
        <v>2</v>
      </c>
      <c r="E2290">
        <f t="shared" si="71"/>
        <v>5.4488474052736408E-2</v>
      </c>
    </row>
    <row r="2291" spans="1:5" x14ac:dyDescent="0.25">
      <c r="A2291">
        <v>0</v>
      </c>
      <c r="B2291">
        <v>-3.7333333333333302E-2</v>
      </c>
      <c r="C2291">
        <f t="shared" si="70"/>
        <v>1.5845971479786449</v>
      </c>
      <c r="D2291">
        <v>2</v>
      </c>
      <c r="E2291">
        <f t="shared" si="71"/>
        <v>5.4488474052736408E-2</v>
      </c>
    </row>
    <row r="2292" spans="1:5" x14ac:dyDescent="0.25">
      <c r="A2292">
        <v>0</v>
      </c>
      <c r="B2292">
        <v>-3.7333333333333302E-2</v>
      </c>
      <c r="C2292">
        <f t="shared" si="70"/>
        <v>1.5845971479786449</v>
      </c>
      <c r="D2292">
        <v>2</v>
      </c>
      <c r="E2292">
        <f t="shared" si="71"/>
        <v>5.4488474052736408E-2</v>
      </c>
    </row>
    <row r="2293" spans="1:5" x14ac:dyDescent="0.25">
      <c r="A2293">
        <v>0</v>
      </c>
      <c r="B2293">
        <v>-3.7333333333333302E-2</v>
      </c>
      <c r="C2293">
        <f t="shared" si="70"/>
        <v>1.5845971479786449</v>
      </c>
      <c r="D2293">
        <v>2</v>
      </c>
      <c r="E2293">
        <f t="shared" si="71"/>
        <v>5.4488474052736408E-2</v>
      </c>
    </row>
    <row r="2294" spans="1:5" x14ac:dyDescent="0.25">
      <c r="A2294">
        <v>0</v>
      </c>
      <c r="B2294">
        <v>-3.7296037296037303E-2</v>
      </c>
      <c r="C2294">
        <f t="shared" si="70"/>
        <v>1.5846607482669857</v>
      </c>
      <c r="D2294">
        <v>2</v>
      </c>
      <c r="E2294">
        <f t="shared" si="71"/>
        <v>5.4488474052736408E-2</v>
      </c>
    </row>
    <row r="2295" spans="1:5" x14ac:dyDescent="0.25">
      <c r="A2295">
        <v>0</v>
      </c>
      <c r="B2295">
        <v>-3.7296037296037303E-2</v>
      </c>
      <c r="C2295">
        <f t="shared" si="70"/>
        <v>1.5846607482669857</v>
      </c>
      <c r="D2295">
        <v>2</v>
      </c>
      <c r="E2295">
        <f t="shared" si="71"/>
        <v>5.4488474052736408E-2</v>
      </c>
    </row>
    <row r="2296" spans="1:5" x14ac:dyDescent="0.25">
      <c r="A2296">
        <v>0</v>
      </c>
      <c r="B2296">
        <v>-3.7296037296037303E-2</v>
      </c>
      <c r="C2296">
        <f t="shared" si="70"/>
        <v>1.5846607482669857</v>
      </c>
      <c r="D2296">
        <v>2</v>
      </c>
      <c r="E2296">
        <f t="shared" si="71"/>
        <v>5.4488474052736408E-2</v>
      </c>
    </row>
    <row r="2297" spans="1:5" x14ac:dyDescent="0.25">
      <c r="A2297">
        <v>0</v>
      </c>
      <c r="B2297">
        <v>-3.7296037296037303E-2</v>
      </c>
      <c r="C2297">
        <f t="shared" si="70"/>
        <v>1.5846607482669857</v>
      </c>
      <c r="D2297">
        <v>2</v>
      </c>
      <c r="E2297">
        <f t="shared" si="71"/>
        <v>5.4488474052736408E-2</v>
      </c>
    </row>
    <row r="2298" spans="1:5" x14ac:dyDescent="0.25">
      <c r="A2298">
        <v>0</v>
      </c>
      <c r="B2298">
        <v>-3.7296037296037303E-2</v>
      </c>
      <c r="C2298">
        <f t="shared" si="70"/>
        <v>1.5846607482669857</v>
      </c>
      <c r="D2298">
        <v>2</v>
      </c>
      <c r="E2298">
        <f t="shared" si="71"/>
        <v>5.4488474052736408E-2</v>
      </c>
    </row>
    <row r="2299" spans="1:5" x14ac:dyDescent="0.25">
      <c r="A2299">
        <v>0</v>
      </c>
      <c r="B2299">
        <v>-3.7296037296037303E-2</v>
      </c>
      <c r="C2299">
        <f t="shared" si="70"/>
        <v>1.5846607482669857</v>
      </c>
      <c r="D2299">
        <v>2</v>
      </c>
      <c r="E2299">
        <f t="shared" si="71"/>
        <v>5.4488474052736408E-2</v>
      </c>
    </row>
    <row r="2300" spans="1:5" x14ac:dyDescent="0.25">
      <c r="A2300">
        <v>0</v>
      </c>
      <c r="B2300">
        <v>-3.7037037037037E-2</v>
      </c>
      <c r="C2300">
        <f t="shared" si="70"/>
        <v>1.5851014596850392</v>
      </c>
      <c r="D2300">
        <v>2</v>
      </c>
      <c r="E2300">
        <f t="shared" si="71"/>
        <v>5.4488474052736408E-2</v>
      </c>
    </row>
    <row r="2301" spans="1:5" x14ac:dyDescent="0.25">
      <c r="A2301">
        <v>0</v>
      </c>
      <c r="B2301">
        <v>-3.6666666666666702E-2</v>
      </c>
      <c r="C2301">
        <f t="shared" si="70"/>
        <v>1.5857287671823732</v>
      </c>
      <c r="D2301">
        <v>2</v>
      </c>
      <c r="E2301">
        <f t="shared" si="71"/>
        <v>5.4488474052736408E-2</v>
      </c>
    </row>
    <row r="2302" spans="1:5" x14ac:dyDescent="0.25">
      <c r="A2302">
        <v>0</v>
      </c>
      <c r="B2302">
        <v>-3.6666666666666702E-2</v>
      </c>
      <c r="C2302">
        <f t="shared" si="70"/>
        <v>1.5857287671823732</v>
      </c>
      <c r="D2302">
        <v>2</v>
      </c>
      <c r="E2302">
        <f t="shared" si="71"/>
        <v>5.4488474052736408E-2</v>
      </c>
    </row>
    <row r="2303" spans="1:5" x14ac:dyDescent="0.25">
      <c r="A2303">
        <v>0</v>
      </c>
      <c r="B2303">
        <v>-3.6666666666666702E-2</v>
      </c>
      <c r="C2303">
        <f t="shared" si="70"/>
        <v>1.5857287671823732</v>
      </c>
      <c r="D2303">
        <v>2</v>
      </c>
      <c r="E2303">
        <f t="shared" si="71"/>
        <v>5.4488474052736408E-2</v>
      </c>
    </row>
    <row r="2304" spans="1:5" x14ac:dyDescent="0.25">
      <c r="A2304">
        <v>0</v>
      </c>
      <c r="B2304">
        <v>-3.6036036036036001E-2</v>
      </c>
      <c r="C2304">
        <f t="shared" si="70"/>
        <v>1.5867889940916067</v>
      </c>
      <c r="D2304">
        <v>2</v>
      </c>
      <c r="E2304">
        <f t="shared" si="71"/>
        <v>5.4488474052736408E-2</v>
      </c>
    </row>
    <row r="2305" spans="1:5" x14ac:dyDescent="0.25">
      <c r="A2305">
        <v>0</v>
      </c>
      <c r="B2305">
        <v>-3.6036036036036001E-2</v>
      </c>
      <c r="C2305">
        <f t="shared" si="70"/>
        <v>1.5867889940916067</v>
      </c>
      <c r="D2305">
        <v>2</v>
      </c>
      <c r="E2305">
        <f t="shared" si="71"/>
        <v>5.4488474052736408E-2</v>
      </c>
    </row>
    <row r="2306" spans="1:5" x14ac:dyDescent="0.25">
      <c r="A2306">
        <v>0</v>
      </c>
      <c r="B2306">
        <v>-3.6036036036036001E-2</v>
      </c>
      <c r="C2306">
        <f t="shared" ref="C2306:C2369" si="72">_xlfn.NORM.DIST(B2306,I$10,I$13,FALSE)</f>
        <v>1.5867889940916067</v>
      </c>
      <c r="D2306">
        <v>2</v>
      </c>
      <c r="E2306">
        <f t="shared" si="71"/>
        <v>5.4488474052736408E-2</v>
      </c>
    </row>
    <row r="2307" spans="1:5" x14ac:dyDescent="0.25">
      <c r="A2307">
        <v>0</v>
      </c>
      <c r="B2307">
        <v>-3.6036036036036001E-2</v>
      </c>
      <c r="C2307">
        <f t="shared" si="72"/>
        <v>1.5867889940916067</v>
      </c>
      <c r="D2307">
        <v>2</v>
      </c>
      <c r="E2307">
        <f t="shared" ref="E2307:E2370" si="73">_xlfn.NORM.DIST(D2307,I$4,I$7,FALSE)</f>
        <v>5.4488474052736408E-2</v>
      </c>
    </row>
    <row r="2308" spans="1:5" x14ac:dyDescent="0.25">
      <c r="A2308">
        <v>0</v>
      </c>
      <c r="B2308">
        <v>-3.5999999999999997E-2</v>
      </c>
      <c r="C2308">
        <f t="shared" si="72"/>
        <v>1.5868492778211081</v>
      </c>
      <c r="D2308">
        <v>2</v>
      </c>
      <c r="E2308">
        <f t="shared" si="73"/>
        <v>5.4488474052736408E-2</v>
      </c>
    </row>
    <row r="2309" spans="1:5" x14ac:dyDescent="0.25">
      <c r="A2309">
        <v>0</v>
      </c>
      <c r="B2309">
        <v>-3.5999999999999997E-2</v>
      </c>
      <c r="C2309">
        <f t="shared" si="72"/>
        <v>1.5868492778211081</v>
      </c>
      <c r="D2309">
        <v>2</v>
      </c>
      <c r="E2309">
        <f t="shared" si="73"/>
        <v>5.4488474052736408E-2</v>
      </c>
    </row>
    <row r="2310" spans="1:5" x14ac:dyDescent="0.25">
      <c r="A2310">
        <v>0</v>
      </c>
      <c r="B2310">
        <v>-3.5999999999999997E-2</v>
      </c>
      <c r="C2310">
        <f t="shared" si="72"/>
        <v>1.5868492778211081</v>
      </c>
      <c r="D2310">
        <v>2</v>
      </c>
      <c r="E2310">
        <f t="shared" si="73"/>
        <v>5.4488474052736408E-2</v>
      </c>
    </row>
    <row r="2311" spans="1:5" x14ac:dyDescent="0.25">
      <c r="A2311">
        <v>0</v>
      </c>
      <c r="B2311">
        <v>-3.5999999999999997E-2</v>
      </c>
      <c r="C2311">
        <f t="shared" si="72"/>
        <v>1.5868492778211081</v>
      </c>
      <c r="D2311">
        <v>2</v>
      </c>
      <c r="E2311">
        <f t="shared" si="73"/>
        <v>5.4488474052736408E-2</v>
      </c>
    </row>
    <row r="2312" spans="1:5" x14ac:dyDescent="0.25">
      <c r="A2312">
        <v>0</v>
      </c>
      <c r="B2312">
        <v>-3.5999999999999997E-2</v>
      </c>
      <c r="C2312">
        <f t="shared" si="72"/>
        <v>1.5868492778211081</v>
      </c>
      <c r="D2312">
        <v>2</v>
      </c>
      <c r="E2312">
        <f t="shared" si="73"/>
        <v>5.4488474052736408E-2</v>
      </c>
    </row>
    <row r="2313" spans="1:5" x14ac:dyDescent="0.25">
      <c r="A2313">
        <v>0</v>
      </c>
      <c r="B2313">
        <v>-3.5999999999999997E-2</v>
      </c>
      <c r="C2313">
        <f t="shared" si="72"/>
        <v>1.5868492778211081</v>
      </c>
      <c r="D2313">
        <v>2</v>
      </c>
      <c r="E2313">
        <f t="shared" si="73"/>
        <v>5.4488474052736408E-2</v>
      </c>
    </row>
    <row r="2314" spans="1:5" x14ac:dyDescent="0.25">
      <c r="A2314">
        <v>0</v>
      </c>
      <c r="B2314">
        <v>-3.5999999999999997E-2</v>
      </c>
      <c r="C2314">
        <f t="shared" si="72"/>
        <v>1.5868492778211081</v>
      </c>
      <c r="D2314">
        <v>2</v>
      </c>
      <c r="E2314">
        <f t="shared" si="73"/>
        <v>5.4488474052736408E-2</v>
      </c>
    </row>
    <row r="2315" spans="1:5" x14ac:dyDescent="0.25">
      <c r="A2315">
        <v>0</v>
      </c>
      <c r="B2315">
        <v>-3.59281437125748E-2</v>
      </c>
      <c r="C2315">
        <f t="shared" si="72"/>
        <v>1.5869693871933279</v>
      </c>
      <c r="D2315">
        <v>2</v>
      </c>
      <c r="E2315">
        <f t="shared" si="73"/>
        <v>5.4488474052736408E-2</v>
      </c>
    </row>
    <row r="2316" spans="1:5" x14ac:dyDescent="0.25">
      <c r="A2316">
        <v>0</v>
      </c>
      <c r="B2316">
        <v>-3.59281437125748E-2</v>
      </c>
      <c r="C2316">
        <f t="shared" si="72"/>
        <v>1.5869693871933279</v>
      </c>
      <c r="D2316">
        <v>2</v>
      </c>
      <c r="E2316">
        <f t="shared" si="73"/>
        <v>5.4488474052736408E-2</v>
      </c>
    </row>
    <row r="2317" spans="1:5" x14ac:dyDescent="0.25">
      <c r="A2317">
        <v>0</v>
      </c>
      <c r="B2317">
        <v>-3.59281437125748E-2</v>
      </c>
      <c r="C2317">
        <f t="shared" si="72"/>
        <v>1.5869693871933279</v>
      </c>
      <c r="D2317">
        <v>2</v>
      </c>
      <c r="E2317">
        <f t="shared" si="73"/>
        <v>5.4488474052736408E-2</v>
      </c>
    </row>
    <row r="2318" spans="1:5" x14ac:dyDescent="0.25">
      <c r="A2318">
        <v>0</v>
      </c>
      <c r="B2318">
        <v>-3.59281437125748E-2</v>
      </c>
      <c r="C2318">
        <f t="shared" si="72"/>
        <v>1.5869693871933279</v>
      </c>
      <c r="D2318">
        <v>2</v>
      </c>
      <c r="E2318">
        <f t="shared" si="73"/>
        <v>5.4488474052736408E-2</v>
      </c>
    </row>
    <row r="2319" spans="1:5" x14ac:dyDescent="0.25">
      <c r="A2319">
        <v>0</v>
      </c>
      <c r="B2319">
        <v>-3.59281437125748E-2</v>
      </c>
      <c r="C2319">
        <f t="shared" si="72"/>
        <v>1.5869693871933279</v>
      </c>
      <c r="D2319">
        <v>2</v>
      </c>
      <c r="E2319">
        <f t="shared" si="73"/>
        <v>5.4488474052736408E-2</v>
      </c>
    </row>
    <row r="2320" spans="1:5" x14ac:dyDescent="0.25">
      <c r="A2320">
        <v>0</v>
      </c>
      <c r="B2320">
        <v>-3.59281437125748E-2</v>
      </c>
      <c r="C2320">
        <f t="shared" si="72"/>
        <v>1.5869693871933279</v>
      </c>
      <c r="D2320">
        <v>2</v>
      </c>
      <c r="E2320">
        <f t="shared" si="73"/>
        <v>5.4488474052736408E-2</v>
      </c>
    </row>
    <row r="2321" spans="1:5" x14ac:dyDescent="0.25">
      <c r="A2321">
        <v>0</v>
      </c>
      <c r="B2321">
        <v>-3.53333333333333E-2</v>
      </c>
      <c r="C2321">
        <f t="shared" si="72"/>
        <v>1.587958655210171</v>
      </c>
      <c r="D2321">
        <v>2</v>
      </c>
      <c r="E2321">
        <f t="shared" si="73"/>
        <v>5.4488474052736408E-2</v>
      </c>
    </row>
    <row r="2322" spans="1:5" x14ac:dyDescent="0.25">
      <c r="A2322">
        <v>0</v>
      </c>
      <c r="B2322">
        <v>-3.5087719298245598E-2</v>
      </c>
      <c r="C2322">
        <f t="shared" si="72"/>
        <v>1.5883645618798357</v>
      </c>
      <c r="D2322">
        <v>2</v>
      </c>
      <c r="E2322">
        <f t="shared" si="73"/>
        <v>5.4488474052736408E-2</v>
      </c>
    </row>
    <row r="2323" spans="1:5" x14ac:dyDescent="0.25">
      <c r="A2323">
        <v>0</v>
      </c>
      <c r="B2323">
        <v>-3.50467289719626E-2</v>
      </c>
      <c r="C2323">
        <f t="shared" si="72"/>
        <v>1.5884321557618077</v>
      </c>
      <c r="D2323">
        <v>2</v>
      </c>
      <c r="E2323">
        <f t="shared" si="73"/>
        <v>5.4488474052736408E-2</v>
      </c>
    </row>
    <row r="2324" spans="1:5" x14ac:dyDescent="0.25">
      <c r="A2324">
        <v>0</v>
      </c>
      <c r="B2324">
        <v>-3.50467289719626E-2</v>
      </c>
      <c r="C2324">
        <f t="shared" si="72"/>
        <v>1.5884321557618077</v>
      </c>
      <c r="D2324">
        <v>2</v>
      </c>
      <c r="E2324">
        <f t="shared" si="73"/>
        <v>5.4488474052736408E-2</v>
      </c>
    </row>
    <row r="2325" spans="1:5" x14ac:dyDescent="0.25">
      <c r="A2325">
        <v>0</v>
      </c>
      <c r="B2325">
        <v>-3.50467289719626E-2</v>
      </c>
      <c r="C2325">
        <f t="shared" si="72"/>
        <v>1.5884321557618077</v>
      </c>
      <c r="D2325">
        <v>2</v>
      </c>
      <c r="E2325">
        <f t="shared" si="73"/>
        <v>5.4488474052736408E-2</v>
      </c>
    </row>
    <row r="2326" spans="1:5" x14ac:dyDescent="0.25">
      <c r="A2326">
        <v>0</v>
      </c>
      <c r="B2326">
        <v>-3.5000000000000003E-2</v>
      </c>
      <c r="C2326">
        <f t="shared" si="72"/>
        <v>1.5885091612859519</v>
      </c>
      <c r="D2326">
        <v>2</v>
      </c>
      <c r="E2326">
        <f t="shared" si="73"/>
        <v>5.4488474052736408E-2</v>
      </c>
    </row>
    <row r="2327" spans="1:5" x14ac:dyDescent="0.25">
      <c r="A2327">
        <v>0</v>
      </c>
      <c r="B2327">
        <v>-3.5000000000000003E-2</v>
      </c>
      <c r="C2327">
        <f t="shared" si="72"/>
        <v>1.5885091612859519</v>
      </c>
      <c r="D2327">
        <v>2</v>
      </c>
      <c r="E2327">
        <f t="shared" si="73"/>
        <v>5.4488474052736408E-2</v>
      </c>
    </row>
    <row r="2328" spans="1:5" x14ac:dyDescent="0.25">
      <c r="A2328">
        <v>0</v>
      </c>
      <c r="B2328">
        <v>-3.5000000000000003E-2</v>
      </c>
      <c r="C2328">
        <f t="shared" si="72"/>
        <v>1.5885091612859519</v>
      </c>
      <c r="D2328">
        <v>2</v>
      </c>
      <c r="E2328">
        <f t="shared" si="73"/>
        <v>5.4488474052736408E-2</v>
      </c>
    </row>
    <row r="2329" spans="1:5" x14ac:dyDescent="0.25">
      <c r="A2329">
        <v>0</v>
      </c>
      <c r="B2329">
        <v>-3.4965034965035002E-2</v>
      </c>
      <c r="C2329">
        <f t="shared" si="72"/>
        <v>1.5885667449102703</v>
      </c>
      <c r="D2329">
        <v>2</v>
      </c>
      <c r="E2329">
        <f t="shared" si="73"/>
        <v>5.4488474052736408E-2</v>
      </c>
    </row>
    <row r="2330" spans="1:5" x14ac:dyDescent="0.25">
      <c r="A2330">
        <v>0</v>
      </c>
      <c r="B2330">
        <v>-3.4965034965035002E-2</v>
      </c>
      <c r="C2330">
        <f t="shared" si="72"/>
        <v>1.5885667449102703</v>
      </c>
      <c r="D2330">
        <v>2</v>
      </c>
      <c r="E2330">
        <f t="shared" si="73"/>
        <v>5.4488474052736408E-2</v>
      </c>
    </row>
    <row r="2331" spans="1:5" x14ac:dyDescent="0.25">
      <c r="A2331">
        <v>0</v>
      </c>
      <c r="B2331">
        <v>-3.4965034965035002E-2</v>
      </c>
      <c r="C2331">
        <f t="shared" si="72"/>
        <v>1.5885667449102703</v>
      </c>
      <c r="D2331">
        <v>2</v>
      </c>
      <c r="E2331">
        <f t="shared" si="73"/>
        <v>5.4488474052736408E-2</v>
      </c>
    </row>
    <row r="2332" spans="1:5" x14ac:dyDescent="0.25">
      <c r="A2332">
        <v>0</v>
      </c>
      <c r="B2332">
        <v>-3.46666666666667E-2</v>
      </c>
      <c r="C2332">
        <f t="shared" si="72"/>
        <v>1.5890568748984397</v>
      </c>
      <c r="D2332">
        <v>2</v>
      </c>
      <c r="E2332">
        <f t="shared" si="73"/>
        <v>5.4488474052736408E-2</v>
      </c>
    </row>
    <row r="2333" spans="1:5" x14ac:dyDescent="0.25">
      <c r="A2333">
        <v>0</v>
      </c>
      <c r="B2333">
        <v>-3.46666666666667E-2</v>
      </c>
      <c r="C2333">
        <f t="shared" si="72"/>
        <v>1.5890568748984397</v>
      </c>
      <c r="D2333">
        <v>2</v>
      </c>
      <c r="E2333">
        <f t="shared" si="73"/>
        <v>5.4488474052736408E-2</v>
      </c>
    </row>
    <row r="2334" spans="1:5" x14ac:dyDescent="0.25">
      <c r="A2334">
        <v>0</v>
      </c>
      <c r="B2334">
        <v>-3.46666666666667E-2</v>
      </c>
      <c r="C2334">
        <f t="shared" si="72"/>
        <v>1.5890568748984397</v>
      </c>
      <c r="D2334">
        <v>2</v>
      </c>
      <c r="E2334">
        <f t="shared" si="73"/>
        <v>5.4488474052736408E-2</v>
      </c>
    </row>
    <row r="2335" spans="1:5" x14ac:dyDescent="0.25">
      <c r="A2335">
        <v>0</v>
      </c>
      <c r="B2335">
        <v>-3.46666666666667E-2</v>
      </c>
      <c r="C2335">
        <f t="shared" si="72"/>
        <v>1.5890568748984397</v>
      </c>
      <c r="D2335">
        <v>2</v>
      </c>
      <c r="E2335">
        <f t="shared" si="73"/>
        <v>5.4488474052736408E-2</v>
      </c>
    </row>
    <row r="2336" spans="1:5" x14ac:dyDescent="0.25">
      <c r="A2336">
        <v>0</v>
      </c>
      <c r="B2336">
        <v>-3.46666666666667E-2</v>
      </c>
      <c r="C2336">
        <f t="shared" si="72"/>
        <v>1.5890568748984397</v>
      </c>
      <c r="D2336">
        <v>2</v>
      </c>
      <c r="E2336">
        <f t="shared" si="73"/>
        <v>5.4488474052736408E-2</v>
      </c>
    </row>
    <row r="2337" spans="1:5" x14ac:dyDescent="0.25">
      <c r="A2337">
        <v>0</v>
      </c>
      <c r="B2337">
        <v>-3.46666666666667E-2</v>
      </c>
      <c r="C2337">
        <f t="shared" si="72"/>
        <v>1.5890568748984397</v>
      </c>
      <c r="D2337">
        <v>2</v>
      </c>
      <c r="E2337">
        <f t="shared" si="73"/>
        <v>5.4488474052736408E-2</v>
      </c>
    </row>
    <row r="2338" spans="1:5" x14ac:dyDescent="0.25">
      <c r="A2338">
        <v>0</v>
      </c>
      <c r="B2338">
        <v>-3.46666666666667E-2</v>
      </c>
      <c r="C2338">
        <f t="shared" si="72"/>
        <v>1.5890568748984397</v>
      </c>
      <c r="D2338">
        <v>2</v>
      </c>
      <c r="E2338">
        <f t="shared" si="73"/>
        <v>5.4488474052736408E-2</v>
      </c>
    </row>
    <row r="2339" spans="1:5" x14ac:dyDescent="0.25">
      <c r="A2339">
        <v>0</v>
      </c>
      <c r="B2339">
        <v>-3.4090909090909102E-2</v>
      </c>
      <c r="C2339">
        <f t="shared" si="72"/>
        <v>1.5899963395649892</v>
      </c>
      <c r="D2339">
        <v>2</v>
      </c>
      <c r="E2339">
        <f t="shared" si="73"/>
        <v>5.4488474052736408E-2</v>
      </c>
    </row>
    <row r="2340" spans="1:5" x14ac:dyDescent="0.25">
      <c r="A2340">
        <v>0</v>
      </c>
      <c r="B2340">
        <v>-3.4000000000000002E-2</v>
      </c>
      <c r="C2340">
        <f t="shared" si="72"/>
        <v>1.5901439126692474</v>
      </c>
      <c r="D2340">
        <v>2</v>
      </c>
      <c r="E2340">
        <f t="shared" si="73"/>
        <v>5.4488474052736408E-2</v>
      </c>
    </row>
    <row r="2341" spans="1:5" x14ac:dyDescent="0.25">
      <c r="A2341">
        <v>0</v>
      </c>
      <c r="B2341">
        <v>-3.4000000000000002E-2</v>
      </c>
      <c r="C2341">
        <f t="shared" si="72"/>
        <v>1.5901439126692474</v>
      </c>
      <c r="D2341">
        <v>2</v>
      </c>
      <c r="E2341">
        <f t="shared" si="73"/>
        <v>5.4488474052736408E-2</v>
      </c>
    </row>
    <row r="2342" spans="1:5" x14ac:dyDescent="0.25">
      <c r="A2342">
        <v>0</v>
      </c>
      <c r="B2342">
        <v>-3.4000000000000002E-2</v>
      </c>
      <c r="C2342">
        <f t="shared" si="72"/>
        <v>1.5901439126692474</v>
      </c>
      <c r="D2342">
        <v>2</v>
      </c>
      <c r="E2342">
        <f t="shared" si="73"/>
        <v>5.4488474052736408E-2</v>
      </c>
    </row>
    <row r="2343" spans="1:5" x14ac:dyDescent="0.25">
      <c r="A2343">
        <v>0</v>
      </c>
      <c r="B2343">
        <v>-3.4000000000000002E-2</v>
      </c>
      <c r="C2343">
        <f t="shared" si="72"/>
        <v>1.5901439126692474</v>
      </c>
      <c r="D2343">
        <v>2</v>
      </c>
      <c r="E2343">
        <f t="shared" si="73"/>
        <v>5.4488474052736408E-2</v>
      </c>
    </row>
    <row r="2344" spans="1:5" x14ac:dyDescent="0.25">
      <c r="A2344">
        <v>0</v>
      </c>
      <c r="B2344">
        <v>-3.4000000000000002E-2</v>
      </c>
      <c r="C2344">
        <f t="shared" si="72"/>
        <v>1.5901439126692474</v>
      </c>
      <c r="D2344">
        <v>2</v>
      </c>
      <c r="E2344">
        <f t="shared" si="73"/>
        <v>5.4488474052736408E-2</v>
      </c>
    </row>
    <row r="2345" spans="1:5" x14ac:dyDescent="0.25">
      <c r="A2345">
        <v>0</v>
      </c>
      <c r="B2345">
        <v>-3.4000000000000002E-2</v>
      </c>
      <c r="C2345">
        <f t="shared" si="72"/>
        <v>1.5901439126692474</v>
      </c>
      <c r="D2345">
        <v>2</v>
      </c>
      <c r="E2345">
        <f t="shared" si="73"/>
        <v>5.4488474052736408E-2</v>
      </c>
    </row>
    <row r="2346" spans="1:5" x14ac:dyDescent="0.25">
      <c r="A2346">
        <v>0</v>
      </c>
      <c r="B2346">
        <v>-3.4000000000000002E-2</v>
      </c>
      <c r="C2346">
        <f t="shared" si="72"/>
        <v>1.5901439126692474</v>
      </c>
      <c r="D2346">
        <v>2</v>
      </c>
      <c r="E2346">
        <f t="shared" si="73"/>
        <v>5.4488474052736408E-2</v>
      </c>
    </row>
    <row r="2347" spans="1:5" x14ac:dyDescent="0.25">
      <c r="A2347">
        <v>0</v>
      </c>
      <c r="B2347">
        <v>-3.3898305084745797E-2</v>
      </c>
      <c r="C2347">
        <f t="shared" si="72"/>
        <v>1.5903087475193649</v>
      </c>
      <c r="D2347">
        <v>2</v>
      </c>
      <c r="E2347">
        <f t="shared" si="73"/>
        <v>5.4488474052736408E-2</v>
      </c>
    </row>
    <row r="2348" spans="1:5" x14ac:dyDescent="0.25">
      <c r="A2348">
        <v>0</v>
      </c>
      <c r="B2348">
        <v>-3.3333333333333298E-2</v>
      </c>
      <c r="C2348">
        <f t="shared" si="72"/>
        <v>1.5912197445412715</v>
      </c>
      <c r="D2348">
        <v>2</v>
      </c>
      <c r="E2348">
        <f t="shared" si="73"/>
        <v>5.4488474052736408E-2</v>
      </c>
    </row>
    <row r="2349" spans="1:5" x14ac:dyDescent="0.25">
      <c r="A2349">
        <v>0</v>
      </c>
      <c r="B2349">
        <v>-3.3333333333333298E-2</v>
      </c>
      <c r="C2349">
        <f t="shared" si="72"/>
        <v>1.5912197445412715</v>
      </c>
      <c r="D2349">
        <v>2</v>
      </c>
      <c r="E2349">
        <f t="shared" si="73"/>
        <v>5.4488474052736408E-2</v>
      </c>
    </row>
    <row r="2350" spans="1:5" x14ac:dyDescent="0.25">
      <c r="A2350">
        <v>0</v>
      </c>
      <c r="B2350">
        <v>-3.3333333333333298E-2</v>
      </c>
      <c r="C2350">
        <f t="shared" si="72"/>
        <v>1.5912197445412715</v>
      </c>
      <c r="D2350">
        <v>2</v>
      </c>
      <c r="E2350">
        <f t="shared" si="73"/>
        <v>5.4488474052736408E-2</v>
      </c>
    </row>
    <row r="2351" spans="1:5" x14ac:dyDescent="0.25">
      <c r="A2351">
        <v>0</v>
      </c>
      <c r="B2351">
        <v>-3.3333333333333298E-2</v>
      </c>
      <c r="C2351">
        <f t="shared" si="72"/>
        <v>1.5912197445412715</v>
      </c>
      <c r="D2351">
        <v>2</v>
      </c>
      <c r="E2351">
        <f t="shared" si="73"/>
        <v>5.4488474052736408E-2</v>
      </c>
    </row>
    <row r="2352" spans="1:5" x14ac:dyDescent="0.25">
      <c r="A2352">
        <v>0</v>
      </c>
      <c r="B2352">
        <v>-3.3333333333333298E-2</v>
      </c>
      <c r="C2352">
        <f t="shared" si="72"/>
        <v>1.5912197445412715</v>
      </c>
      <c r="D2352">
        <v>2</v>
      </c>
      <c r="E2352">
        <f t="shared" si="73"/>
        <v>5.4488474052736408E-2</v>
      </c>
    </row>
    <row r="2353" spans="1:5" x14ac:dyDescent="0.25">
      <c r="A2353">
        <v>0</v>
      </c>
      <c r="B2353">
        <v>-3.3333333333333298E-2</v>
      </c>
      <c r="C2353">
        <f t="shared" si="72"/>
        <v>1.5912197445412715</v>
      </c>
      <c r="D2353">
        <v>2</v>
      </c>
      <c r="E2353">
        <f t="shared" si="73"/>
        <v>5.4488474052736408E-2</v>
      </c>
    </row>
    <row r="2354" spans="1:5" x14ac:dyDescent="0.25">
      <c r="A2354">
        <v>0</v>
      </c>
      <c r="B2354">
        <v>-3.3033033033033003E-2</v>
      </c>
      <c r="C2354">
        <f t="shared" si="72"/>
        <v>1.5917006864269703</v>
      </c>
      <c r="D2354">
        <v>2</v>
      </c>
      <c r="E2354">
        <f t="shared" si="73"/>
        <v>5.4488474052736408E-2</v>
      </c>
    </row>
    <row r="2355" spans="1:5" x14ac:dyDescent="0.25">
      <c r="A2355">
        <v>0</v>
      </c>
      <c r="B2355">
        <v>-3.3033033033033003E-2</v>
      </c>
      <c r="C2355">
        <f t="shared" si="72"/>
        <v>1.5917006864269703</v>
      </c>
      <c r="D2355">
        <v>2</v>
      </c>
      <c r="E2355">
        <f t="shared" si="73"/>
        <v>5.4488474052736408E-2</v>
      </c>
    </row>
    <row r="2356" spans="1:5" x14ac:dyDescent="0.25">
      <c r="A2356">
        <v>0</v>
      </c>
      <c r="B2356">
        <v>-3.3033033033033003E-2</v>
      </c>
      <c r="C2356">
        <f t="shared" si="72"/>
        <v>1.5917006864269703</v>
      </c>
      <c r="D2356">
        <v>2</v>
      </c>
      <c r="E2356">
        <f t="shared" si="73"/>
        <v>5.4488474052736408E-2</v>
      </c>
    </row>
    <row r="2357" spans="1:5" x14ac:dyDescent="0.25">
      <c r="A2357">
        <v>0</v>
      </c>
      <c r="B2357">
        <v>-3.3033033033033003E-2</v>
      </c>
      <c r="C2357">
        <f t="shared" si="72"/>
        <v>1.5917006864269703</v>
      </c>
      <c r="D2357">
        <v>2</v>
      </c>
      <c r="E2357">
        <f t="shared" si="73"/>
        <v>5.4488474052736408E-2</v>
      </c>
    </row>
    <row r="2358" spans="1:5" x14ac:dyDescent="0.25">
      <c r="A2358">
        <v>0</v>
      </c>
      <c r="B2358">
        <v>-3.3033033033033003E-2</v>
      </c>
      <c r="C2358">
        <f t="shared" si="72"/>
        <v>1.5917006864269703</v>
      </c>
      <c r="D2358">
        <v>2</v>
      </c>
      <c r="E2358">
        <f t="shared" si="73"/>
        <v>5.4488474052736408E-2</v>
      </c>
    </row>
    <row r="2359" spans="1:5" x14ac:dyDescent="0.25">
      <c r="A2359">
        <v>0</v>
      </c>
      <c r="B2359">
        <v>-3.3033033033033003E-2</v>
      </c>
      <c r="C2359">
        <f t="shared" si="72"/>
        <v>1.5917006864269703</v>
      </c>
      <c r="D2359">
        <v>2</v>
      </c>
      <c r="E2359">
        <f t="shared" si="73"/>
        <v>5.4488474052736408E-2</v>
      </c>
    </row>
    <row r="2360" spans="1:5" x14ac:dyDescent="0.25">
      <c r="A2360">
        <v>0</v>
      </c>
      <c r="B2360">
        <v>-3.3033033033033003E-2</v>
      </c>
      <c r="C2360">
        <f t="shared" si="72"/>
        <v>1.5917006864269703</v>
      </c>
      <c r="D2360">
        <v>2</v>
      </c>
      <c r="E2360">
        <f t="shared" si="73"/>
        <v>5.4488474052736408E-2</v>
      </c>
    </row>
    <row r="2361" spans="1:5" x14ac:dyDescent="0.25">
      <c r="A2361">
        <v>0</v>
      </c>
      <c r="B2361">
        <v>-3.3033033033033003E-2</v>
      </c>
      <c r="C2361">
        <f t="shared" si="72"/>
        <v>1.5917006864269703</v>
      </c>
      <c r="D2361">
        <v>2</v>
      </c>
      <c r="E2361">
        <f t="shared" si="73"/>
        <v>5.4488474052736408E-2</v>
      </c>
    </row>
    <row r="2362" spans="1:5" x14ac:dyDescent="0.25">
      <c r="A2362">
        <v>0</v>
      </c>
      <c r="B2362">
        <v>-3.3033033033033003E-2</v>
      </c>
      <c r="C2362">
        <f t="shared" si="72"/>
        <v>1.5917006864269703</v>
      </c>
      <c r="D2362">
        <v>2</v>
      </c>
      <c r="E2362">
        <f t="shared" si="73"/>
        <v>5.4488474052736408E-2</v>
      </c>
    </row>
    <row r="2363" spans="1:5" x14ac:dyDescent="0.25">
      <c r="A2363">
        <v>0</v>
      </c>
      <c r="B2363">
        <v>-3.3033033033033003E-2</v>
      </c>
      <c r="C2363">
        <f t="shared" si="72"/>
        <v>1.5917006864269703</v>
      </c>
      <c r="D2363">
        <v>2</v>
      </c>
      <c r="E2363">
        <f t="shared" si="73"/>
        <v>5.4488474052736408E-2</v>
      </c>
    </row>
    <row r="2364" spans="1:5" x14ac:dyDescent="0.25">
      <c r="A2364">
        <v>0</v>
      </c>
      <c r="B2364">
        <v>-3.3000000000000002E-2</v>
      </c>
      <c r="C2364">
        <f t="shared" si="72"/>
        <v>1.5917534508356455</v>
      </c>
      <c r="D2364">
        <v>2</v>
      </c>
      <c r="E2364">
        <f t="shared" si="73"/>
        <v>5.4488474052736408E-2</v>
      </c>
    </row>
    <row r="2365" spans="1:5" x14ac:dyDescent="0.25">
      <c r="A2365">
        <v>0</v>
      </c>
      <c r="B2365">
        <v>-3.29341317365269E-2</v>
      </c>
      <c r="C2365">
        <f t="shared" si="72"/>
        <v>1.5918585813097135</v>
      </c>
      <c r="D2365">
        <v>2</v>
      </c>
      <c r="E2365">
        <f t="shared" si="73"/>
        <v>5.4488474052736408E-2</v>
      </c>
    </row>
    <row r="2366" spans="1:5" x14ac:dyDescent="0.25">
      <c r="A2366">
        <v>0</v>
      </c>
      <c r="B2366">
        <v>-3.29341317365269E-2</v>
      </c>
      <c r="C2366">
        <f t="shared" si="72"/>
        <v>1.5918585813097135</v>
      </c>
      <c r="D2366">
        <v>2</v>
      </c>
      <c r="E2366">
        <f t="shared" si="73"/>
        <v>5.4488474052736408E-2</v>
      </c>
    </row>
    <row r="2367" spans="1:5" x14ac:dyDescent="0.25">
      <c r="A2367">
        <v>0</v>
      </c>
      <c r="B2367">
        <v>-3.27102803738318E-2</v>
      </c>
      <c r="C2367">
        <f t="shared" si="72"/>
        <v>1.5922150436535574</v>
      </c>
      <c r="D2367">
        <v>2</v>
      </c>
      <c r="E2367">
        <f t="shared" si="73"/>
        <v>5.4488474052736408E-2</v>
      </c>
    </row>
    <row r="2368" spans="1:5" x14ac:dyDescent="0.25">
      <c r="A2368">
        <v>0</v>
      </c>
      <c r="B2368">
        <v>-3.27102803738318E-2</v>
      </c>
      <c r="C2368">
        <f t="shared" si="72"/>
        <v>1.5922150436535574</v>
      </c>
      <c r="D2368">
        <v>2</v>
      </c>
      <c r="E2368">
        <f t="shared" si="73"/>
        <v>5.4488474052736408E-2</v>
      </c>
    </row>
    <row r="2369" spans="1:5" x14ac:dyDescent="0.25">
      <c r="A2369">
        <v>0</v>
      </c>
      <c r="B2369">
        <v>-3.27102803738318E-2</v>
      </c>
      <c r="C2369">
        <f t="shared" si="72"/>
        <v>1.5922150436535574</v>
      </c>
      <c r="D2369">
        <v>2</v>
      </c>
      <c r="E2369">
        <f t="shared" si="73"/>
        <v>5.4488474052736408E-2</v>
      </c>
    </row>
    <row r="2370" spans="1:5" x14ac:dyDescent="0.25">
      <c r="A2370">
        <v>0</v>
      </c>
      <c r="B2370">
        <v>-3.2634032634032598E-2</v>
      </c>
      <c r="C2370">
        <f t="shared" ref="C2370:C2433" si="74">_xlfn.NORM.DIST(B2370,I$10,I$13,FALSE)</f>
        <v>1.5923361714463142</v>
      </c>
      <c r="D2370">
        <v>2</v>
      </c>
      <c r="E2370">
        <f t="shared" si="73"/>
        <v>5.4488474052736408E-2</v>
      </c>
    </row>
    <row r="2371" spans="1:5" x14ac:dyDescent="0.25">
      <c r="A2371">
        <v>0</v>
      </c>
      <c r="B2371">
        <v>-3.2634032634032598E-2</v>
      </c>
      <c r="C2371">
        <f t="shared" si="74"/>
        <v>1.5923361714463142</v>
      </c>
      <c r="D2371">
        <v>2</v>
      </c>
      <c r="E2371">
        <f t="shared" ref="E2371:E2434" si="75">_xlfn.NORM.DIST(D2371,I$4,I$7,FALSE)</f>
        <v>5.4488474052736408E-2</v>
      </c>
    </row>
    <row r="2372" spans="1:5" x14ac:dyDescent="0.25">
      <c r="A2372">
        <v>0</v>
      </c>
      <c r="B2372">
        <v>-3.2634032634032598E-2</v>
      </c>
      <c r="C2372">
        <f t="shared" si="74"/>
        <v>1.5923361714463142</v>
      </c>
      <c r="D2372">
        <v>2</v>
      </c>
      <c r="E2372">
        <f t="shared" si="75"/>
        <v>5.4488474052736408E-2</v>
      </c>
    </row>
    <row r="2373" spans="1:5" x14ac:dyDescent="0.25">
      <c r="A2373">
        <v>0</v>
      </c>
      <c r="B2373">
        <v>-3.2634032634032598E-2</v>
      </c>
      <c r="C2373">
        <f t="shared" si="74"/>
        <v>1.5923361714463142</v>
      </c>
      <c r="D2373">
        <v>2</v>
      </c>
      <c r="E2373">
        <f t="shared" si="75"/>
        <v>5.4488474052736408E-2</v>
      </c>
    </row>
    <row r="2374" spans="1:5" x14ac:dyDescent="0.25">
      <c r="A2374">
        <v>0</v>
      </c>
      <c r="B2374">
        <v>-3.2634032634032598E-2</v>
      </c>
      <c r="C2374">
        <f t="shared" si="74"/>
        <v>1.5923361714463142</v>
      </c>
      <c r="D2374">
        <v>2</v>
      </c>
      <c r="E2374">
        <f t="shared" si="75"/>
        <v>5.4488474052736408E-2</v>
      </c>
    </row>
    <row r="2375" spans="1:5" x14ac:dyDescent="0.25">
      <c r="A2375">
        <v>0</v>
      </c>
      <c r="B2375">
        <v>-3.2634032634032598E-2</v>
      </c>
      <c r="C2375">
        <f t="shared" si="74"/>
        <v>1.5923361714463142</v>
      </c>
      <c r="D2375">
        <v>2</v>
      </c>
      <c r="E2375">
        <f t="shared" si="75"/>
        <v>5.4488474052736408E-2</v>
      </c>
    </row>
    <row r="2376" spans="1:5" x14ac:dyDescent="0.25">
      <c r="A2376">
        <v>0</v>
      </c>
      <c r="B2376">
        <v>-3.2634032634032598E-2</v>
      </c>
      <c r="C2376">
        <f t="shared" si="74"/>
        <v>1.5923361714463142</v>
      </c>
      <c r="D2376">
        <v>2</v>
      </c>
      <c r="E2376">
        <f t="shared" si="75"/>
        <v>5.4488474052736408E-2</v>
      </c>
    </row>
    <row r="2377" spans="1:5" x14ac:dyDescent="0.25">
      <c r="A2377">
        <v>0</v>
      </c>
      <c r="B2377">
        <v>-3.2000000000000001E-2</v>
      </c>
      <c r="C2377">
        <f t="shared" si="74"/>
        <v>1.5933376958456837</v>
      </c>
      <c r="D2377">
        <v>2</v>
      </c>
      <c r="E2377">
        <f t="shared" si="75"/>
        <v>5.4488474052736408E-2</v>
      </c>
    </row>
    <row r="2378" spans="1:5" x14ac:dyDescent="0.25">
      <c r="A2378">
        <v>0</v>
      </c>
      <c r="B2378">
        <v>-3.2000000000000001E-2</v>
      </c>
      <c r="C2378">
        <f t="shared" si="74"/>
        <v>1.5933376958456837</v>
      </c>
      <c r="D2378">
        <v>2</v>
      </c>
      <c r="E2378">
        <f t="shared" si="75"/>
        <v>5.4488474052736408E-2</v>
      </c>
    </row>
    <row r="2379" spans="1:5" x14ac:dyDescent="0.25">
      <c r="A2379">
        <v>0</v>
      </c>
      <c r="B2379">
        <v>-3.2000000000000001E-2</v>
      </c>
      <c r="C2379">
        <f t="shared" si="74"/>
        <v>1.5933376958456837</v>
      </c>
      <c r="D2379">
        <v>2</v>
      </c>
      <c r="E2379">
        <f t="shared" si="75"/>
        <v>5.4488474052736408E-2</v>
      </c>
    </row>
    <row r="2380" spans="1:5" x14ac:dyDescent="0.25">
      <c r="A2380">
        <v>0</v>
      </c>
      <c r="B2380">
        <v>-3.2000000000000001E-2</v>
      </c>
      <c r="C2380">
        <f t="shared" si="74"/>
        <v>1.5933376958456837</v>
      </c>
      <c r="D2380">
        <v>2</v>
      </c>
      <c r="E2380">
        <f t="shared" si="75"/>
        <v>5.4488474052736408E-2</v>
      </c>
    </row>
    <row r="2381" spans="1:5" x14ac:dyDescent="0.25">
      <c r="A2381">
        <v>0</v>
      </c>
      <c r="B2381">
        <v>-3.2000000000000001E-2</v>
      </c>
      <c r="C2381">
        <f t="shared" si="74"/>
        <v>1.5933376958456837</v>
      </c>
      <c r="D2381">
        <v>2</v>
      </c>
      <c r="E2381">
        <f t="shared" si="75"/>
        <v>5.4488474052736408E-2</v>
      </c>
    </row>
    <row r="2382" spans="1:5" x14ac:dyDescent="0.25">
      <c r="A2382">
        <v>0</v>
      </c>
      <c r="B2382">
        <v>-3.2000000000000001E-2</v>
      </c>
      <c r="C2382">
        <f t="shared" si="74"/>
        <v>1.5933376958456837</v>
      </c>
      <c r="D2382">
        <v>2</v>
      </c>
      <c r="E2382">
        <f t="shared" si="75"/>
        <v>5.4488474052736408E-2</v>
      </c>
    </row>
    <row r="2383" spans="1:5" x14ac:dyDescent="0.25">
      <c r="A2383">
        <v>0</v>
      </c>
      <c r="B2383">
        <v>-3.2000000000000001E-2</v>
      </c>
      <c r="C2383">
        <f t="shared" si="74"/>
        <v>1.5933376958456837</v>
      </c>
      <c r="D2383">
        <v>2</v>
      </c>
      <c r="E2383">
        <f t="shared" si="75"/>
        <v>5.4488474052736408E-2</v>
      </c>
    </row>
    <row r="2384" spans="1:5" x14ac:dyDescent="0.25">
      <c r="A2384">
        <v>0</v>
      </c>
      <c r="B2384">
        <v>-3.2000000000000001E-2</v>
      </c>
      <c r="C2384">
        <f t="shared" si="74"/>
        <v>1.5933376958456837</v>
      </c>
      <c r="D2384">
        <v>2</v>
      </c>
      <c r="E2384">
        <f t="shared" si="75"/>
        <v>5.4488474052736408E-2</v>
      </c>
    </row>
    <row r="2385" spans="1:5" x14ac:dyDescent="0.25">
      <c r="A2385">
        <v>0</v>
      </c>
      <c r="B2385">
        <v>-3.2000000000000001E-2</v>
      </c>
      <c r="C2385">
        <f t="shared" si="74"/>
        <v>1.5933376958456837</v>
      </c>
      <c r="D2385">
        <v>2</v>
      </c>
      <c r="E2385">
        <f t="shared" si="75"/>
        <v>5.4488474052736408E-2</v>
      </c>
    </row>
    <row r="2386" spans="1:5" x14ac:dyDescent="0.25">
      <c r="A2386">
        <v>0</v>
      </c>
      <c r="B2386">
        <v>-3.2000000000000001E-2</v>
      </c>
      <c r="C2386">
        <f t="shared" si="74"/>
        <v>1.5933376958456837</v>
      </c>
      <c r="D2386">
        <v>2</v>
      </c>
      <c r="E2386">
        <f t="shared" si="75"/>
        <v>5.4488474052736408E-2</v>
      </c>
    </row>
    <row r="2387" spans="1:5" x14ac:dyDescent="0.25">
      <c r="A2387">
        <v>0</v>
      </c>
      <c r="B2387">
        <v>-3.2000000000000001E-2</v>
      </c>
      <c r="C2387">
        <f t="shared" si="74"/>
        <v>1.5933376958456837</v>
      </c>
      <c r="D2387">
        <v>2</v>
      </c>
      <c r="E2387">
        <f t="shared" si="75"/>
        <v>5.4488474052736408E-2</v>
      </c>
    </row>
    <row r="2388" spans="1:5" x14ac:dyDescent="0.25">
      <c r="A2388">
        <v>0</v>
      </c>
      <c r="B2388">
        <v>-3.2000000000000001E-2</v>
      </c>
      <c r="C2388">
        <f t="shared" si="74"/>
        <v>1.5933376958456837</v>
      </c>
      <c r="D2388">
        <v>2</v>
      </c>
      <c r="E2388">
        <f t="shared" si="75"/>
        <v>5.4488474052736408E-2</v>
      </c>
    </row>
    <row r="2389" spans="1:5" x14ac:dyDescent="0.25">
      <c r="A2389">
        <v>0</v>
      </c>
      <c r="B2389">
        <v>-3.2000000000000001E-2</v>
      </c>
      <c r="C2389">
        <f t="shared" si="74"/>
        <v>1.5933376958456837</v>
      </c>
      <c r="D2389">
        <v>2</v>
      </c>
      <c r="E2389">
        <f t="shared" si="75"/>
        <v>5.4488474052736408E-2</v>
      </c>
    </row>
    <row r="2390" spans="1:5" x14ac:dyDescent="0.25">
      <c r="A2390">
        <v>0</v>
      </c>
      <c r="B2390">
        <v>-3.2000000000000001E-2</v>
      </c>
      <c r="C2390">
        <f t="shared" si="74"/>
        <v>1.5933376958456837</v>
      </c>
      <c r="D2390">
        <v>2</v>
      </c>
      <c r="E2390">
        <f t="shared" si="75"/>
        <v>5.4488474052736408E-2</v>
      </c>
    </row>
    <row r="2391" spans="1:5" x14ac:dyDescent="0.25">
      <c r="A2391">
        <v>0</v>
      </c>
      <c r="B2391">
        <v>-3.2000000000000001E-2</v>
      </c>
      <c r="C2391">
        <f t="shared" si="74"/>
        <v>1.5933376958456837</v>
      </c>
      <c r="D2391">
        <v>2</v>
      </c>
      <c r="E2391">
        <f t="shared" si="75"/>
        <v>5.4488474052736408E-2</v>
      </c>
    </row>
    <row r="2392" spans="1:5" x14ac:dyDescent="0.25">
      <c r="A2392">
        <v>0</v>
      </c>
      <c r="B2392">
        <v>-3.2000000000000001E-2</v>
      </c>
      <c r="C2392">
        <f t="shared" si="74"/>
        <v>1.5933376958456837</v>
      </c>
      <c r="D2392">
        <v>2</v>
      </c>
      <c r="E2392">
        <f t="shared" si="75"/>
        <v>5.4488474052736408E-2</v>
      </c>
    </row>
    <row r="2393" spans="1:5" x14ac:dyDescent="0.25">
      <c r="A2393">
        <v>0</v>
      </c>
      <c r="B2393">
        <v>-3.2000000000000001E-2</v>
      </c>
      <c r="C2393">
        <f t="shared" si="74"/>
        <v>1.5933376958456837</v>
      </c>
      <c r="D2393">
        <v>2</v>
      </c>
      <c r="E2393">
        <f t="shared" si="75"/>
        <v>5.4488474052736408E-2</v>
      </c>
    </row>
    <row r="2394" spans="1:5" x14ac:dyDescent="0.25">
      <c r="A2394">
        <v>0</v>
      </c>
      <c r="B2394">
        <v>-3.2000000000000001E-2</v>
      </c>
      <c r="C2394">
        <f t="shared" si="74"/>
        <v>1.5933376958456837</v>
      </c>
      <c r="D2394">
        <v>2</v>
      </c>
      <c r="E2394">
        <f t="shared" si="75"/>
        <v>5.4488474052736408E-2</v>
      </c>
    </row>
    <row r="2395" spans="1:5" x14ac:dyDescent="0.25">
      <c r="A2395">
        <v>0</v>
      </c>
      <c r="B2395">
        <v>-3.2000000000000001E-2</v>
      </c>
      <c r="C2395">
        <f t="shared" si="74"/>
        <v>1.5933376958456837</v>
      </c>
      <c r="D2395">
        <v>2</v>
      </c>
      <c r="E2395">
        <f t="shared" si="75"/>
        <v>5.4488474052736408E-2</v>
      </c>
    </row>
    <row r="2396" spans="1:5" x14ac:dyDescent="0.25">
      <c r="A2396">
        <v>0</v>
      </c>
      <c r="B2396">
        <v>-3.1666666666666697E-2</v>
      </c>
      <c r="C2396">
        <f t="shared" si="74"/>
        <v>1.59386014317066</v>
      </c>
      <c r="D2396">
        <v>2</v>
      </c>
      <c r="E2396">
        <f t="shared" si="75"/>
        <v>5.4488474052736408E-2</v>
      </c>
    </row>
    <row r="2397" spans="1:5" x14ac:dyDescent="0.25">
      <c r="A2397">
        <v>0</v>
      </c>
      <c r="B2397">
        <v>-3.1666666666666697E-2</v>
      </c>
      <c r="C2397">
        <f t="shared" si="74"/>
        <v>1.59386014317066</v>
      </c>
      <c r="D2397">
        <v>2</v>
      </c>
      <c r="E2397">
        <f t="shared" si="75"/>
        <v>5.4488474052736408E-2</v>
      </c>
    </row>
    <row r="2398" spans="1:5" x14ac:dyDescent="0.25">
      <c r="A2398">
        <v>0</v>
      </c>
      <c r="B2398">
        <v>-3.125E-2</v>
      </c>
      <c r="C2398">
        <f t="shared" si="74"/>
        <v>1.5945092335587534</v>
      </c>
      <c r="D2398">
        <v>2</v>
      </c>
      <c r="E2398">
        <f t="shared" si="75"/>
        <v>5.4488474052736408E-2</v>
      </c>
    </row>
    <row r="2399" spans="1:5" x14ac:dyDescent="0.25">
      <c r="A2399">
        <v>0</v>
      </c>
      <c r="B2399">
        <v>-3.06666666666667E-2</v>
      </c>
      <c r="C2399">
        <f t="shared" si="74"/>
        <v>1.5954105417012847</v>
      </c>
      <c r="D2399">
        <v>2</v>
      </c>
      <c r="E2399">
        <f t="shared" si="75"/>
        <v>5.4488474052736408E-2</v>
      </c>
    </row>
    <row r="2400" spans="1:5" x14ac:dyDescent="0.25">
      <c r="A2400">
        <v>0</v>
      </c>
      <c r="B2400">
        <v>-3.03738317757009E-2</v>
      </c>
      <c r="C2400">
        <f t="shared" si="74"/>
        <v>1.5958597336432727</v>
      </c>
      <c r="D2400">
        <v>2</v>
      </c>
      <c r="E2400">
        <f t="shared" si="75"/>
        <v>5.4488474052736408E-2</v>
      </c>
    </row>
    <row r="2401" spans="1:5" x14ac:dyDescent="0.25">
      <c r="A2401">
        <v>0</v>
      </c>
      <c r="B2401">
        <v>-3.03738317757009E-2</v>
      </c>
      <c r="C2401">
        <f t="shared" si="74"/>
        <v>1.5958597336432727</v>
      </c>
      <c r="D2401">
        <v>2</v>
      </c>
      <c r="E2401">
        <f t="shared" si="75"/>
        <v>5.4488474052736408E-2</v>
      </c>
    </row>
    <row r="2402" spans="1:5" x14ac:dyDescent="0.25">
      <c r="A2402">
        <v>0</v>
      </c>
      <c r="B2402">
        <v>-3.03738317757009E-2</v>
      </c>
      <c r="C2402">
        <f t="shared" si="74"/>
        <v>1.5958597336432727</v>
      </c>
      <c r="D2402">
        <v>2</v>
      </c>
      <c r="E2402">
        <f t="shared" si="75"/>
        <v>5.4488474052736408E-2</v>
      </c>
    </row>
    <row r="2403" spans="1:5" x14ac:dyDescent="0.25">
      <c r="A2403">
        <v>0</v>
      </c>
      <c r="B2403">
        <v>-3.03738317757009E-2</v>
      </c>
      <c r="C2403">
        <f t="shared" si="74"/>
        <v>1.5958597336432727</v>
      </c>
      <c r="D2403">
        <v>2</v>
      </c>
      <c r="E2403">
        <f t="shared" si="75"/>
        <v>5.4488474052736408E-2</v>
      </c>
    </row>
    <row r="2404" spans="1:5" x14ac:dyDescent="0.25">
      <c r="A2404">
        <v>0</v>
      </c>
      <c r="B2404">
        <v>-3.03738317757009E-2</v>
      </c>
      <c r="C2404">
        <f t="shared" si="74"/>
        <v>1.5958597336432727</v>
      </c>
      <c r="D2404">
        <v>2</v>
      </c>
      <c r="E2404">
        <f t="shared" si="75"/>
        <v>5.4488474052736408E-2</v>
      </c>
    </row>
    <row r="2405" spans="1:5" x14ac:dyDescent="0.25">
      <c r="A2405">
        <v>0</v>
      </c>
      <c r="B2405">
        <v>-3.03738317757009E-2</v>
      </c>
      <c r="C2405">
        <f t="shared" si="74"/>
        <v>1.5958597336432727</v>
      </c>
      <c r="D2405">
        <v>2</v>
      </c>
      <c r="E2405">
        <f t="shared" si="75"/>
        <v>5.4488474052736408E-2</v>
      </c>
    </row>
    <row r="2406" spans="1:5" x14ac:dyDescent="0.25">
      <c r="A2406">
        <v>0</v>
      </c>
      <c r="B2406">
        <v>-3.03030303030303E-2</v>
      </c>
      <c r="C2406">
        <f t="shared" si="74"/>
        <v>1.5959680108892125</v>
      </c>
      <c r="D2406">
        <v>2</v>
      </c>
      <c r="E2406">
        <f t="shared" si="75"/>
        <v>5.4488474052736408E-2</v>
      </c>
    </row>
    <row r="2407" spans="1:5" x14ac:dyDescent="0.25">
      <c r="A2407">
        <v>0</v>
      </c>
      <c r="B2407">
        <v>-3.03030303030303E-2</v>
      </c>
      <c r="C2407">
        <f t="shared" si="74"/>
        <v>1.5959680108892125</v>
      </c>
      <c r="D2407">
        <v>2</v>
      </c>
      <c r="E2407">
        <f t="shared" si="75"/>
        <v>5.4488474052736408E-2</v>
      </c>
    </row>
    <row r="2408" spans="1:5" x14ac:dyDescent="0.25">
      <c r="A2408">
        <v>0</v>
      </c>
      <c r="B2408">
        <v>-3.03030303030303E-2</v>
      </c>
      <c r="C2408">
        <f t="shared" si="74"/>
        <v>1.5959680108892125</v>
      </c>
      <c r="D2408">
        <v>2</v>
      </c>
      <c r="E2408">
        <f t="shared" si="75"/>
        <v>5.4488474052736408E-2</v>
      </c>
    </row>
    <row r="2409" spans="1:5" x14ac:dyDescent="0.25">
      <c r="A2409">
        <v>0</v>
      </c>
      <c r="B2409">
        <v>-3.03030303030303E-2</v>
      </c>
      <c r="C2409">
        <f t="shared" si="74"/>
        <v>1.5959680108892125</v>
      </c>
      <c r="D2409">
        <v>2</v>
      </c>
      <c r="E2409">
        <f t="shared" si="75"/>
        <v>5.4488474052736408E-2</v>
      </c>
    </row>
    <row r="2410" spans="1:5" x14ac:dyDescent="0.25">
      <c r="A2410">
        <v>0</v>
      </c>
      <c r="B2410">
        <v>-3.03030303030303E-2</v>
      </c>
      <c r="C2410">
        <f t="shared" si="74"/>
        <v>1.5959680108892125</v>
      </c>
      <c r="D2410">
        <v>2</v>
      </c>
      <c r="E2410">
        <f t="shared" si="75"/>
        <v>5.4488474052736408E-2</v>
      </c>
    </row>
    <row r="2411" spans="1:5" x14ac:dyDescent="0.25">
      <c r="A2411">
        <v>0</v>
      </c>
      <c r="B2411">
        <v>-3.0030030030029999E-2</v>
      </c>
      <c r="C2411">
        <f t="shared" si="74"/>
        <v>1.5963843152793329</v>
      </c>
      <c r="D2411">
        <v>2</v>
      </c>
      <c r="E2411">
        <f t="shared" si="75"/>
        <v>5.4488474052736408E-2</v>
      </c>
    </row>
    <row r="2412" spans="1:5" x14ac:dyDescent="0.25">
      <c r="A2412">
        <v>0</v>
      </c>
      <c r="B2412">
        <v>-3.0030030030029999E-2</v>
      </c>
      <c r="C2412">
        <f t="shared" si="74"/>
        <v>1.5963843152793329</v>
      </c>
      <c r="D2412">
        <v>2</v>
      </c>
      <c r="E2412">
        <f t="shared" si="75"/>
        <v>5.4488474052736408E-2</v>
      </c>
    </row>
    <row r="2413" spans="1:5" x14ac:dyDescent="0.25">
      <c r="A2413">
        <v>0</v>
      </c>
      <c r="B2413">
        <v>-3.0030030030029999E-2</v>
      </c>
      <c r="C2413">
        <f t="shared" si="74"/>
        <v>1.5963843152793329</v>
      </c>
      <c r="D2413">
        <v>2</v>
      </c>
      <c r="E2413">
        <f t="shared" si="75"/>
        <v>5.4488474052736408E-2</v>
      </c>
    </row>
    <row r="2414" spans="1:5" x14ac:dyDescent="0.25">
      <c r="A2414">
        <v>0</v>
      </c>
      <c r="B2414">
        <v>-3.0030030030029999E-2</v>
      </c>
      <c r="C2414">
        <f t="shared" si="74"/>
        <v>1.5963843152793329</v>
      </c>
      <c r="D2414">
        <v>2</v>
      </c>
      <c r="E2414">
        <f t="shared" si="75"/>
        <v>5.4488474052736408E-2</v>
      </c>
    </row>
    <row r="2415" spans="1:5" x14ac:dyDescent="0.25">
      <c r="A2415">
        <v>0</v>
      </c>
      <c r="B2415">
        <v>-3.0030030030029999E-2</v>
      </c>
      <c r="C2415">
        <f t="shared" si="74"/>
        <v>1.5963843152793329</v>
      </c>
      <c r="D2415">
        <v>2</v>
      </c>
      <c r="E2415">
        <f t="shared" si="75"/>
        <v>5.4488474052736408E-2</v>
      </c>
    </row>
    <row r="2416" spans="1:5" x14ac:dyDescent="0.25">
      <c r="A2416">
        <v>0</v>
      </c>
      <c r="B2416">
        <v>-3.0030030030029999E-2</v>
      </c>
      <c r="C2416">
        <f t="shared" si="74"/>
        <v>1.5963843152793329</v>
      </c>
      <c r="D2416">
        <v>2</v>
      </c>
      <c r="E2416">
        <f t="shared" si="75"/>
        <v>5.4488474052736408E-2</v>
      </c>
    </row>
    <row r="2417" spans="1:5" x14ac:dyDescent="0.25">
      <c r="A2417">
        <v>0</v>
      </c>
      <c r="B2417">
        <v>-3.0030030030029999E-2</v>
      </c>
      <c r="C2417">
        <f t="shared" si="74"/>
        <v>1.5963843152793329</v>
      </c>
      <c r="D2417">
        <v>2</v>
      </c>
      <c r="E2417">
        <f t="shared" si="75"/>
        <v>5.4488474052736408E-2</v>
      </c>
    </row>
    <row r="2418" spans="1:5" x14ac:dyDescent="0.25">
      <c r="A2418">
        <v>0</v>
      </c>
      <c r="B2418">
        <v>-0.03</v>
      </c>
      <c r="C2418">
        <f t="shared" si="74"/>
        <v>1.5964299926578662</v>
      </c>
      <c r="D2418">
        <v>2</v>
      </c>
      <c r="E2418">
        <f t="shared" si="75"/>
        <v>5.4488474052736408E-2</v>
      </c>
    </row>
    <row r="2419" spans="1:5" x14ac:dyDescent="0.25">
      <c r="A2419">
        <v>0</v>
      </c>
      <c r="B2419">
        <v>-0.03</v>
      </c>
      <c r="C2419">
        <f t="shared" si="74"/>
        <v>1.5964299926578662</v>
      </c>
      <c r="D2419">
        <v>2</v>
      </c>
      <c r="E2419">
        <f t="shared" si="75"/>
        <v>5.4488474052736408E-2</v>
      </c>
    </row>
    <row r="2420" spans="1:5" x14ac:dyDescent="0.25">
      <c r="A2420">
        <v>0</v>
      </c>
      <c r="B2420">
        <v>-0.03</v>
      </c>
      <c r="C2420">
        <f t="shared" si="74"/>
        <v>1.5964299926578662</v>
      </c>
      <c r="D2420">
        <v>2</v>
      </c>
      <c r="E2420">
        <f t="shared" si="75"/>
        <v>5.4488474052736408E-2</v>
      </c>
    </row>
    <row r="2421" spans="1:5" x14ac:dyDescent="0.25">
      <c r="A2421">
        <v>0</v>
      </c>
      <c r="B2421">
        <v>-0.03</v>
      </c>
      <c r="C2421">
        <f t="shared" si="74"/>
        <v>1.5964299926578662</v>
      </c>
      <c r="D2421">
        <v>2</v>
      </c>
      <c r="E2421">
        <f t="shared" si="75"/>
        <v>5.4488474052736408E-2</v>
      </c>
    </row>
    <row r="2422" spans="1:5" x14ac:dyDescent="0.25">
      <c r="A2422">
        <v>0</v>
      </c>
      <c r="B2422">
        <v>-0.03</v>
      </c>
      <c r="C2422">
        <f t="shared" si="74"/>
        <v>1.5964299926578662</v>
      </c>
      <c r="D2422">
        <v>2</v>
      </c>
      <c r="E2422">
        <f t="shared" si="75"/>
        <v>5.4488474052736408E-2</v>
      </c>
    </row>
    <row r="2423" spans="1:5" x14ac:dyDescent="0.25">
      <c r="A2423">
        <v>0</v>
      </c>
      <c r="B2423">
        <v>-0.03</v>
      </c>
      <c r="C2423">
        <f t="shared" si="74"/>
        <v>1.5964299926578662</v>
      </c>
      <c r="D2423">
        <v>2</v>
      </c>
      <c r="E2423">
        <f t="shared" si="75"/>
        <v>5.4488474052736408E-2</v>
      </c>
    </row>
    <row r="2424" spans="1:5" x14ac:dyDescent="0.25">
      <c r="A2424">
        <v>0</v>
      </c>
      <c r="B2424">
        <v>-0.03</v>
      </c>
      <c r="C2424">
        <f t="shared" si="74"/>
        <v>1.5964299926578662</v>
      </c>
      <c r="D2424">
        <v>2</v>
      </c>
      <c r="E2424">
        <f t="shared" si="75"/>
        <v>5.4488474052736408E-2</v>
      </c>
    </row>
    <row r="2425" spans="1:5" x14ac:dyDescent="0.25">
      <c r="A2425">
        <v>0</v>
      </c>
      <c r="B2425">
        <v>-0.03</v>
      </c>
      <c r="C2425">
        <f t="shared" si="74"/>
        <v>1.5964299926578662</v>
      </c>
      <c r="D2425">
        <v>2</v>
      </c>
      <c r="E2425">
        <f t="shared" si="75"/>
        <v>5.4488474052736408E-2</v>
      </c>
    </row>
    <row r="2426" spans="1:5" x14ac:dyDescent="0.25">
      <c r="A2426">
        <v>0</v>
      </c>
      <c r="B2426">
        <v>-2.9940119760479E-2</v>
      </c>
      <c r="C2426">
        <f t="shared" si="74"/>
        <v>1.596521005182054</v>
      </c>
      <c r="D2426">
        <v>2</v>
      </c>
      <c r="E2426">
        <f t="shared" si="75"/>
        <v>5.4488474052736408E-2</v>
      </c>
    </row>
    <row r="2427" spans="1:5" x14ac:dyDescent="0.25">
      <c r="A2427">
        <v>0</v>
      </c>
      <c r="B2427">
        <v>-2.9940119760479E-2</v>
      </c>
      <c r="C2427">
        <f t="shared" si="74"/>
        <v>1.596521005182054</v>
      </c>
      <c r="D2427">
        <v>2</v>
      </c>
      <c r="E2427">
        <f t="shared" si="75"/>
        <v>5.4488474052736408E-2</v>
      </c>
    </row>
    <row r="2428" spans="1:5" x14ac:dyDescent="0.25">
      <c r="A2428">
        <v>0</v>
      </c>
      <c r="B2428">
        <v>-2.9940119760479E-2</v>
      </c>
      <c r="C2428">
        <f t="shared" si="74"/>
        <v>1.596521005182054</v>
      </c>
      <c r="D2428">
        <v>2</v>
      </c>
      <c r="E2428">
        <f t="shared" si="75"/>
        <v>5.4488474052736408E-2</v>
      </c>
    </row>
    <row r="2429" spans="1:5" x14ac:dyDescent="0.25">
      <c r="A2429">
        <v>0</v>
      </c>
      <c r="B2429">
        <v>-2.9940119760479E-2</v>
      </c>
      <c r="C2429">
        <f t="shared" si="74"/>
        <v>1.596521005182054</v>
      </c>
      <c r="D2429">
        <v>2</v>
      </c>
      <c r="E2429">
        <f t="shared" si="75"/>
        <v>5.4488474052736408E-2</v>
      </c>
    </row>
    <row r="2430" spans="1:5" x14ac:dyDescent="0.25">
      <c r="A2430">
        <v>0</v>
      </c>
      <c r="B2430">
        <v>-2.9940119760479E-2</v>
      </c>
      <c r="C2430">
        <f t="shared" si="74"/>
        <v>1.596521005182054</v>
      </c>
      <c r="D2430">
        <v>2</v>
      </c>
      <c r="E2430">
        <f t="shared" si="75"/>
        <v>5.4488474052736408E-2</v>
      </c>
    </row>
    <row r="2431" spans="1:5" x14ac:dyDescent="0.25">
      <c r="A2431">
        <v>0</v>
      </c>
      <c r="B2431">
        <v>-2.9850746268656699E-2</v>
      </c>
      <c r="C2431">
        <f t="shared" si="74"/>
        <v>1.5966566744864836</v>
      </c>
      <c r="D2431">
        <v>2</v>
      </c>
      <c r="E2431">
        <f t="shared" si="75"/>
        <v>5.4488474052736408E-2</v>
      </c>
    </row>
    <row r="2432" spans="1:5" x14ac:dyDescent="0.25">
      <c r="A2432">
        <v>0</v>
      </c>
      <c r="B2432">
        <v>-2.9411764705882401E-2</v>
      </c>
      <c r="C2432">
        <f t="shared" si="74"/>
        <v>1.5973200876529241</v>
      </c>
      <c r="D2432">
        <v>2</v>
      </c>
      <c r="E2432">
        <f t="shared" si="75"/>
        <v>5.4488474052736408E-2</v>
      </c>
    </row>
    <row r="2433" spans="1:5" x14ac:dyDescent="0.25">
      <c r="A2433">
        <v>0</v>
      </c>
      <c r="B2433">
        <v>-2.9411764705882401E-2</v>
      </c>
      <c r="C2433">
        <f t="shared" si="74"/>
        <v>1.5973200876529241</v>
      </c>
      <c r="D2433">
        <v>2</v>
      </c>
      <c r="E2433">
        <f t="shared" si="75"/>
        <v>5.4488474052736408E-2</v>
      </c>
    </row>
    <row r="2434" spans="1:5" x14ac:dyDescent="0.25">
      <c r="A2434">
        <v>0</v>
      </c>
      <c r="B2434">
        <v>-2.9333333333333302E-2</v>
      </c>
      <c r="C2434">
        <f t="shared" ref="C2434:C2497" si="76">_xlfn.NORM.DIST(B2434,I$10,I$13,FALSE)</f>
        <v>1.5974380988187562</v>
      </c>
      <c r="D2434">
        <v>2</v>
      </c>
      <c r="E2434">
        <f t="shared" si="75"/>
        <v>5.4488474052736408E-2</v>
      </c>
    </row>
    <row r="2435" spans="1:5" x14ac:dyDescent="0.25">
      <c r="A2435">
        <v>0</v>
      </c>
      <c r="B2435">
        <v>-2.9333333333333302E-2</v>
      </c>
      <c r="C2435">
        <f t="shared" si="76"/>
        <v>1.5974380988187562</v>
      </c>
      <c r="D2435">
        <v>2</v>
      </c>
      <c r="E2435">
        <f t="shared" ref="E2435:E2498" si="77">_xlfn.NORM.DIST(D2435,I$4,I$7,FALSE)</f>
        <v>5.4488474052736408E-2</v>
      </c>
    </row>
    <row r="2436" spans="1:5" x14ac:dyDescent="0.25">
      <c r="A2436">
        <v>0</v>
      </c>
      <c r="B2436">
        <v>-2.9333333333333302E-2</v>
      </c>
      <c r="C2436">
        <f t="shared" si="76"/>
        <v>1.5974380988187562</v>
      </c>
      <c r="D2436">
        <v>2</v>
      </c>
      <c r="E2436">
        <f t="shared" si="77"/>
        <v>5.4488474052736408E-2</v>
      </c>
    </row>
    <row r="2437" spans="1:5" x14ac:dyDescent="0.25">
      <c r="A2437">
        <v>0</v>
      </c>
      <c r="B2437">
        <v>-2.9333333333333302E-2</v>
      </c>
      <c r="C2437">
        <f t="shared" si="76"/>
        <v>1.5974380988187562</v>
      </c>
      <c r="D2437">
        <v>2</v>
      </c>
      <c r="E2437">
        <f t="shared" si="77"/>
        <v>5.4488474052736408E-2</v>
      </c>
    </row>
    <row r="2438" spans="1:5" x14ac:dyDescent="0.25">
      <c r="A2438">
        <v>0</v>
      </c>
      <c r="B2438">
        <v>-2.9333333333333302E-2</v>
      </c>
      <c r="C2438">
        <f t="shared" si="76"/>
        <v>1.5974380988187562</v>
      </c>
      <c r="D2438">
        <v>2</v>
      </c>
      <c r="E2438">
        <f t="shared" si="77"/>
        <v>5.4488474052736408E-2</v>
      </c>
    </row>
    <row r="2439" spans="1:5" x14ac:dyDescent="0.25">
      <c r="A2439">
        <v>0</v>
      </c>
      <c r="B2439">
        <v>-2.9333333333333302E-2</v>
      </c>
      <c r="C2439">
        <f t="shared" si="76"/>
        <v>1.5974380988187562</v>
      </c>
      <c r="D2439">
        <v>2</v>
      </c>
      <c r="E2439">
        <f t="shared" si="77"/>
        <v>5.4488474052736408E-2</v>
      </c>
    </row>
    <row r="2440" spans="1:5" x14ac:dyDescent="0.25">
      <c r="A2440">
        <v>0</v>
      </c>
      <c r="B2440">
        <v>-2.9333333333333302E-2</v>
      </c>
      <c r="C2440">
        <f t="shared" si="76"/>
        <v>1.5974380988187562</v>
      </c>
      <c r="D2440">
        <v>2</v>
      </c>
      <c r="E2440">
        <f t="shared" si="77"/>
        <v>5.4488474052736408E-2</v>
      </c>
    </row>
    <row r="2441" spans="1:5" x14ac:dyDescent="0.25">
      <c r="A2441">
        <v>0</v>
      </c>
      <c r="B2441">
        <v>-2.9333333333333302E-2</v>
      </c>
      <c r="C2441">
        <f t="shared" si="76"/>
        <v>1.5974380988187562</v>
      </c>
      <c r="D2441">
        <v>2</v>
      </c>
      <c r="E2441">
        <f t="shared" si="77"/>
        <v>5.4488474052736408E-2</v>
      </c>
    </row>
    <row r="2442" spans="1:5" x14ac:dyDescent="0.25">
      <c r="A2442">
        <v>0</v>
      </c>
      <c r="B2442">
        <v>-2.9333333333333302E-2</v>
      </c>
      <c r="C2442">
        <f t="shared" si="76"/>
        <v>1.5974380988187562</v>
      </c>
      <c r="D2442">
        <v>2</v>
      </c>
      <c r="E2442">
        <f t="shared" si="77"/>
        <v>5.4488474052736408E-2</v>
      </c>
    </row>
    <row r="2443" spans="1:5" x14ac:dyDescent="0.25">
      <c r="A2443">
        <v>0</v>
      </c>
      <c r="B2443">
        <v>-2.9000000000000001E-2</v>
      </c>
      <c r="C2443">
        <f t="shared" si="76"/>
        <v>1.597937890619588</v>
      </c>
      <c r="D2443">
        <v>2</v>
      </c>
      <c r="E2443">
        <f t="shared" si="77"/>
        <v>5.4488474052736408E-2</v>
      </c>
    </row>
    <row r="2444" spans="1:5" x14ac:dyDescent="0.25">
      <c r="A2444">
        <v>0</v>
      </c>
      <c r="B2444">
        <v>-2.9000000000000001E-2</v>
      </c>
      <c r="C2444">
        <f t="shared" si="76"/>
        <v>1.597937890619588</v>
      </c>
      <c r="D2444">
        <v>2</v>
      </c>
      <c r="E2444">
        <f t="shared" si="77"/>
        <v>5.4488474052736408E-2</v>
      </c>
    </row>
    <row r="2445" spans="1:5" x14ac:dyDescent="0.25">
      <c r="A2445">
        <v>0</v>
      </c>
      <c r="B2445">
        <v>-2.8846153846153799E-2</v>
      </c>
      <c r="C2445">
        <f t="shared" si="76"/>
        <v>1.5981676045221751</v>
      </c>
      <c r="D2445">
        <v>2</v>
      </c>
      <c r="E2445">
        <f t="shared" si="77"/>
        <v>5.4488474052736408E-2</v>
      </c>
    </row>
    <row r="2446" spans="1:5" x14ac:dyDescent="0.25">
      <c r="A2446">
        <v>0</v>
      </c>
      <c r="B2446">
        <v>-2.8333333333333301E-2</v>
      </c>
      <c r="C2446">
        <f t="shared" si="76"/>
        <v>1.5989289378319138</v>
      </c>
      <c r="D2446">
        <v>2</v>
      </c>
      <c r="E2446">
        <f t="shared" si="77"/>
        <v>5.4488474052736408E-2</v>
      </c>
    </row>
    <row r="2447" spans="1:5" x14ac:dyDescent="0.25">
      <c r="A2447">
        <v>0</v>
      </c>
      <c r="B2447">
        <v>-2.82485875706215E-2</v>
      </c>
      <c r="C2447">
        <f t="shared" si="76"/>
        <v>1.599054102172798</v>
      </c>
      <c r="D2447">
        <v>2</v>
      </c>
      <c r="E2447">
        <f t="shared" si="77"/>
        <v>5.4488474052736408E-2</v>
      </c>
    </row>
    <row r="2448" spans="1:5" x14ac:dyDescent="0.25">
      <c r="A2448">
        <v>0</v>
      </c>
      <c r="B2448">
        <v>-2.8169014084507001E-2</v>
      </c>
      <c r="C2448">
        <f t="shared" si="76"/>
        <v>1.599171459640844</v>
      </c>
      <c r="D2448">
        <v>2</v>
      </c>
      <c r="E2448">
        <f t="shared" si="77"/>
        <v>5.4488474052736408E-2</v>
      </c>
    </row>
    <row r="2449" spans="1:5" x14ac:dyDescent="0.25">
      <c r="A2449">
        <v>0</v>
      </c>
      <c r="B2449">
        <v>-2.8169014084507001E-2</v>
      </c>
      <c r="C2449">
        <f t="shared" si="76"/>
        <v>1.599171459640844</v>
      </c>
      <c r="D2449">
        <v>2</v>
      </c>
      <c r="E2449">
        <f t="shared" si="77"/>
        <v>5.4488474052736408E-2</v>
      </c>
    </row>
    <row r="2450" spans="1:5" x14ac:dyDescent="0.25">
      <c r="A2450">
        <v>0</v>
      </c>
      <c r="B2450">
        <v>-2.80373831775701E-2</v>
      </c>
      <c r="C2450">
        <f t="shared" si="76"/>
        <v>1.5993652362844457</v>
      </c>
      <c r="D2450">
        <v>2</v>
      </c>
      <c r="E2450">
        <f t="shared" si="77"/>
        <v>5.4488474052736408E-2</v>
      </c>
    </row>
    <row r="2451" spans="1:5" x14ac:dyDescent="0.25">
      <c r="A2451">
        <v>0</v>
      </c>
      <c r="B2451">
        <v>-2.80373831775701E-2</v>
      </c>
      <c r="C2451">
        <f t="shared" si="76"/>
        <v>1.5993652362844457</v>
      </c>
      <c r="D2451">
        <v>2</v>
      </c>
      <c r="E2451">
        <f t="shared" si="77"/>
        <v>5.4488474052736408E-2</v>
      </c>
    </row>
    <row r="2452" spans="1:5" x14ac:dyDescent="0.25">
      <c r="A2452">
        <v>0</v>
      </c>
      <c r="B2452">
        <v>-2.80373831775701E-2</v>
      </c>
      <c r="C2452">
        <f t="shared" si="76"/>
        <v>1.5993652362844457</v>
      </c>
      <c r="D2452">
        <v>2</v>
      </c>
      <c r="E2452">
        <f t="shared" si="77"/>
        <v>5.4488474052736408E-2</v>
      </c>
    </row>
    <row r="2453" spans="1:5" x14ac:dyDescent="0.25">
      <c r="A2453">
        <v>0</v>
      </c>
      <c r="B2453">
        <v>-2.80373831775701E-2</v>
      </c>
      <c r="C2453">
        <f t="shared" si="76"/>
        <v>1.5993652362844457</v>
      </c>
      <c r="D2453">
        <v>2</v>
      </c>
      <c r="E2453">
        <f t="shared" si="77"/>
        <v>5.4488474052736408E-2</v>
      </c>
    </row>
    <row r="2454" spans="1:5" x14ac:dyDescent="0.25">
      <c r="A2454">
        <v>0</v>
      </c>
      <c r="B2454">
        <v>-2.8000000000000001E-2</v>
      </c>
      <c r="C2454">
        <f t="shared" si="76"/>
        <v>1.5994201877568592</v>
      </c>
      <c r="D2454">
        <v>2</v>
      </c>
      <c r="E2454">
        <f t="shared" si="77"/>
        <v>5.4488474052736408E-2</v>
      </c>
    </row>
    <row r="2455" spans="1:5" x14ac:dyDescent="0.25">
      <c r="A2455">
        <v>0</v>
      </c>
      <c r="B2455">
        <v>-2.8000000000000001E-2</v>
      </c>
      <c r="C2455">
        <f t="shared" si="76"/>
        <v>1.5994201877568592</v>
      </c>
      <c r="D2455">
        <v>2</v>
      </c>
      <c r="E2455">
        <f t="shared" si="77"/>
        <v>5.4488474052736408E-2</v>
      </c>
    </row>
    <row r="2456" spans="1:5" x14ac:dyDescent="0.25">
      <c r="A2456">
        <v>0</v>
      </c>
      <c r="B2456">
        <v>-2.8000000000000001E-2</v>
      </c>
      <c r="C2456">
        <f t="shared" si="76"/>
        <v>1.5994201877568592</v>
      </c>
      <c r="D2456">
        <v>2</v>
      </c>
      <c r="E2456">
        <f t="shared" si="77"/>
        <v>5.4488474052736408E-2</v>
      </c>
    </row>
    <row r="2457" spans="1:5" x14ac:dyDescent="0.25">
      <c r="A2457">
        <v>0</v>
      </c>
      <c r="B2457">
        <v>-2.8000000000000001E-2</v>
      </c>
      <c r="C2457">
        <f t="shared" si="76"/>
        <v>1.5994201877568592</v>
      </c>
      <c r="D2457">
        <v>2</v>
      </c>
      <c r="E2457">
        <f t="shared" si="77"/>
        <v>5.4488474052736408E-2</v>
      </c>
    </row>
    <row r="2458" spans="1:5" x14ac:dyDescent="0.25">
      <c r="A2458">
        <v>0</v>
      </c>
      <c r="B2458">
        <v>-2.8000000000000001E-2</v>
      </c>
      <c r="C2458">
        <f t="shared" si="76"/>
        <v>1.5994201877568592</v>
      </c>
      <c r="D2458">
        <v>2</v>
      </c>
      <c r="E2458">
        <f t="shared" si="77"/>
        <v>5.4488474052736408E-2</v>
      </c>
    </row>
    <row r="2459" spans="1:5" x14ac:dyDescent="0.25">
      <c r="A2459">
        <v>0</v>
      </c>
      <c r="B2459">
        <v>-2.8000000000000001E-2</v>
      </c>
      <c r="C2459">
        <f t="shared" si="76"/>
        <v>1.5994201877568592</v>
      </c>
      <c r="D2459">
        <v>2</v>
      </c>
      <c r="E2459">
        <f t="shared" si="77"/>
        <v>5.4488474052736408E-2</v>
      </c>
    </row>
    <row r="2460" spans="1:5" x14ac:dyDescent="0.25">
      <c r="A2460">
        <v>0</v>
      </c>
      <c r="B2460">
        <v>-2.8000000000000001E-2</v>
      </c>
      <c r="C2460">
        <f t="shared" si="76"/>
        <v>1.5994201877568592</v>
      </c>
      <c r="D2460">
        <v>2</v>
      </c>
      <c r="E2460">
        <f t="shared" si="77"/>
        <v>5.4488474052736408E-2</v>
      </c>
    </row>
    <row r="2461" spans="1:5" x14ac:dyDescent="0.25">
      <c r="A2461">
        <v>0</v>
      </c>
      <c r="B2461">
        <v>-2.8000000000000001E-2</v>
      </c>
      <c r="C2461">
        <f t="shared" si="76"/>
        <v>1.5994201877568592</v>
      </c>
      <c r="D2461">
        <v>2</v>
      </c>
      <c r="E2461">
        <f t="shared" si="77"/>
        <v>5.4488474052736408E-2</v>
      </c>
    </row>
    <row r="2462" spans="1:5" x14ac:dyDescent="0.25">
      <c r="A2462">
        <v>0</v>
      </c>
      <c r="B2462">
        <v>-2.7972027972028E-2</v>
      </c>
      <c r="C2462">
        <f t="shared" si="76"/>
        <v>1.5994612818241034</v>
      </c>
      <c r="D2462">
        <v>2</v>
      </c>
      <c r="E2462">
        <f t="shared" si="77"/>
        <v>5.4488474052736408E-2</v>
      </c>
    </row>
    <row r="2463" spans="1:5" x14ac:dyDescent="0.25">
      <c r="A2463">
        <v>0</v>
      </c>
      <c r="B2463">
        <v>-2.7972027972028E-2</v>
      </c>
      <c r="C2463">
        <f t="shared" si="76"/>
        <v>1.5994612818241034</v>
      </c>
      <c r="D2463">
        <v>2</v>
      </c>
      <c r="E2463">
        <f t="shared" si="77"/>
        <v>5.4488474052736408E-2</v>
      </c>
    </row>
    <row r="2464" spans="1:5" x14ac:dyDescent="0.25">
      <c r="A2464">
        <v>0</v>
      </c>
      <c r="B2464">
        <v>-2.7972027972028E-2</v>
      </c>
      <c r="C2464">
        <f t="shared" si="76"/>
        <v>1.5994612818241034</v>
      </c>
      <c r="D2464">
        <v>2</v>
      </c>
      <c r="E2464">
        <f t="shared" si="77"/>
        <v>5.4488474052736408E-2</v>
      </c>
    </row>
    <row r="2465" spans="1:5" x14ac:dyDescent="0.25">
      <c r="A2465">
        <v>0</v>
      </c>
      <c r="B2465">
        <v>-2.7972027972028E-2</v>
      </c>
      <c r="C2465">
        <f t="shared" si="76"/>
        <v>1.5994612818241034</v>
      </c>
      <c r="D2465">
        <v>2</v>
      </c>
      <c r="E2465">
        <f t="shared" si="77"/>
        <v>5.4488474052736408E-2</v>
      </c>
    </row>
    <row r="2466" spans="1:5" x14ac:dyDescent="0.25">
      <c r="A2466">
        <v>0</v>
      </c>
      <c r="B2466">
        <v>-2.7972027972028E-2</v>
      </c>
      <c r="C2466">
        <f t="shared" si="76"/>
        <v>1.5994612818241034</v>
      </c>
      <c r="D2466">
        <v>2</v>
      </c>
      <c r="E2466">
        <f t="shared" si="77"/>
        <v>5.4488474052736408E-2</v>
      </c>
    </row>
    <row r="2467" spans="1:5" x14ac:dyDescent="0.25">
      <c r="A2467">
        <v>0</v>
      </c>
      <c r="B2467">
        <v>-2.7027027027027001E-2</v>
      </c>
      <c r="C2467">
        <f t="shared" si="76"/>
        <v>1.6008377802414875</v>
      </c>
      <c r="D2467">
        <v>2</v>
      </c>
      <c r="E2467">
        <f t="shared" si="77"/>
        <v>5.4488474052736408E-2</v>
      </c>
    </row>
    <row r="2468" spans="1:5" x14ac:dyDescent="0.25">
      <c r="A2468">
        <v>0</v>
      </c>
      <c r="B2468">
        <v>-2.7027027027027001E-2</v>
      </c>
      <c r="C2468">
        <f t="shared" si="76"/>
        <v>1.6008377802414875</v>
      </c>
      <c r="D2468">
        <v>2</v>
      </c>
      <c r="E2468">
        <f t="shared" si="77"/>
        <v>5.4488474052736408E-2</v>
      </c>
    </row>
    <row r="2469" spans="1:5" x14ac:dyDescent="0.25">
      <c r="A2469">
        <v>0</v>
      </c>
      <c r="B2469">
        <v>-2.7027027027027001E-2</v>
      </c>
      <c r="C2469">
        <f t="shared" si="76"/>
        <v>1.6008377802414875</v>
      </c>
      <c r="D2469">
        <v>2</v>
      </c>
      <c r="E2469">
        <f t="shared" si="77"/>
        <v>5.4488474052736408E-2</v>
      </c>
    </row>
    <row r="2470" spans="1:5" x14ac:dyDescent="0.25">
      <c r="A2470">
        <v>0</v>
      </c>
      <c r="B2470">
        <v>-2.7027027027027001E-2</v>
      </c>
      <c r="C2470">
        <f t="shared" si="76"/>
        <v>1.6008377802414875</v>
      </c>
      <c r="D2470">
        <v>2</v>
      </c>
      <c r="E2470">
        <f t="shared" si="77"/>
        <v>5.4488474052736408E-2</v>
      </c>
    </row>
    <row r="2471" spans="1:5" x14ac:dyDescent="0.25">
      <c r="A2471">
        <v>0</v>
      </c>
      <c r="B2471">
        <v>-2.7027027027027001E-2</v>
      </c>
      <c r="C2471">
        <f t="shared" si="76"/>
        <v>1.6008377802414875</v>
      </c>
      <c r="D2471">
        <v>2</v>
      </c>
      <c r="E2471">
        <f t="shared" si="77"/>
        <v>5.4488474052736408E-2</v>
      </c>
    </row>
    <row r="2472" spans="1:5" x14ac:dyDescent="0.25">
      <c r="A2472">
        <v>0</v>
      </c>
      <c r="B2472">
        <v>-2.7027027027027001E-2</v>
      </c>
      <c r="C2472">
        <f t="shared" si="76"/>
        <v>1.6008377802414875</v>
      </c>
      <c r="D2472">
        <v>2</v>
      </c>
      <c r="E2472">
        <f t="shared" si="77"/>
        <v>5.4488474052736408E-2</v>
      </c>
    </row>
    <row r="2473" spans="1:5" x14ac:dyDescent="0.25">
      <c r="A2473">
        <v>0</v>
      </c>
      <c r="B2473">
        <v>-2.7027027027027001E-2</v>
      </c>
      <c r="C2473">
        <f t="shared" si="76"/>
        <v>1.6008377802414875</v>
      </c>
      <c r="D2473">
        <v>2</v>
      </c>
      <c r="E2473">
        <f t="shared" si="77"/>
        <v>5.4488474052736408E-2</v>
      </c>
    </row>
    <row r="2474" spans="1:5" x14ac:dyDescent="0.25">
      <c r="A2474">
        <v>0</v>
      </c>
      <c r="B2474">
        <v>-2.7027027027027001E-2</v>
      </c>
      <c r="C2474">
        <f t="shared" si="76"/>
        <v>1.6008377802414875</v>
      </c>
      <c r="D2474">
        <v>2</v>
      </c>
      <c r="E2474">
        <f t="shared" si="77"/>
        <v>5.4488474052736408E-2</v>
      </c>
    </row>
    <row r="2475" spans="1:5" x14ac:dyDescent="0.25">
      <c r="A2475">
        <v>0</v>
      </c>
      <c r="B2475">
        <v>-2.7027027027027001E-2</v>
      </c>
      <c r="C2475">
        <f t="shared" si="76"/>
        <v>1.6008377802414875</v>
      </c>
      <c r="D2475">
        <v>2</v>
      </c>
      <c r="E2475">
        <f t="shared" si="77"/>
        <v>5.4488474052736408E-2</v>
      </c>
    </row>
    <row r="2476" spans="1:5" x14ac:dyDescent="0.25">
      <c r="A2476">
        <v>0</v>
      </c>
      <c r="B2476">
        <v>-2.7027027027027001E-2</v>
      </c>
      <c r="C2476">
        <f t="shared" si="76"/>
        <v>1.6008377802414875</v>
      </c>
      <c r="D2476">
        <v>2</v>
      </c>
      <c r="E2476">
        <f t="shared" si="77"/>
        <v>5.4488474052736408E-2</v>
      </c>
    </row>
    <row r="2477" spans="1:5" x14ac:dyDescent="0.25">
      <c r="A2477">
        <v>0</v>
      </c>
      <c r="B2477">
        <v>-2.7027027027027001E-2</v>
      </c>
      <c r="C2477">
        <f t="shared" si="76"/>
        <v>1.6008377802414875</v>
      </c>
      <c r="D2477">
        <v>2</v>
      </c>
      <c r="E2477">
        <f t="shared" si="77"/>
        <v>5.4488474052736408E-2</v>
      </c>
    </row>
    <row r="2478" spans="1:5" x14ac:dyDescent="0.25">
      <c r="A2478">
        <v>0</v>
      </c>
      <c r="B2478">
        <v>-2.7027027027027001E-2</v>
      </c>
      <c r="C2478">
        <f t="shared" si="76"/>
        <v>1.6008377802414875</v>
      </c>
      <c r="D2478">
        <v>2</v>
      </c>
      <c r="E2478">
        <f t="shared" si="77"/>
        <v>5.4488474052736408E-2</v>
      </c>
    </row>
    <row r="2479" spans="1:5" x14ac:dyDescent="0.25">
      <c r="A2479">
        <v>0</v>
      </c>
      <c r="B2479">
        <v>-2.7027027027027001E-2</v>
      </c>
      <c r="C2479">
        <f t="shared" si="76"/>
        <v>1.6008377802414875</v>
      </c>
      <c r="D2479">
        <v>2</v>
      </c>
      <c r="E2479">
        <f t="shared" si="77"/>
        <v>5.4488474052736408E-2</v>
      </c>
    </row>
    <row r="2480" spans="1:5" x14ac:dyDescent="0.25">
      <c r="A2480">
        <v>0</v>
      </c>
      <c r="B2480">
        <v>-2.7027027027027001E-2</v>
      </c>
      <c r="C2480">
        <f t="shared" si="76"/>
        <v>1.6008377802414875</v>
      </c>
      <c r="D2480">
        <v>2</v>
      </c>
      <c r="E2480">
        <f t="shared" si="77"/>
        <v>5.4488474052736408E-2</v>
      </c>
    </row>
    <row r="2481" spans="1:5" x14ac:dyDescent="0.25">
      <c r="A2481">
        <v>0</v>
      </c>
      <c r="B2481">
        <v>-2.7027027027027001E-2</v>
      </c>
      <c r="C2481">
        <f t="shared" si="76"/>
        <v>1.6008377802414875</v>
      </c>
      <c r="D2481">
        <v>2</v>
      </c>
      <c r="E2481">
        <f t="shared" si="77"/>
        <v>5.4488474052736408E-2</v>
      </c>
    </row>
    <row r="2482" spans="1:5" x14ac:dyDescent="0.25">
      <c r="A2482">
        <v>0</v>
      </c>
      <c r="B2482">
        <v>-2.7027027027027001E-2</v>
      </c>
      <c r="C2482">
        <f t="shared" si="76"/>
        <v>1.6008377802414875</v>
      </c>
      <c r="D2482">
        <v>2</v>
      </c>
      <c r="E2482">
        <f t="shared" si="77"/>
        <v>5.4488474052736408E-2</v>
      </c>
    </row>
    <row r="2483" spans="1:5" x14ac:dyDescent="0.25">
      <c r="A2483">
        <v>0</v>
      </c>
      <c r="B2483">
        <v>-2.7027027027027001E-2</v>
      </c>
      <c r="C2483">
        <f t="shared" si="76"/>
        <v>1.6008377802414875</v>
      </c>
      <c r="D2483">
        <v>2</v>
      </c>
      <c r="E2483">
        <f t="shared" si="77"/>
        <v>5.4488474052736408E-2</v>
      </c>
    </row>
    <row r="2484" spans="1:5" x14ac:dyDescent="0.25">
      <c r="A2484">
        <v>0</v>
      </c>
      <c r="B2484">
        <v>-2.7027027027027001E-2</v>
      </c>
      <c r="C2484">
        <f t="shared" si="76"/>
        <v>1.6008377802414875</v>
      </c>
      <c r="D2484">
        <v>2</v>
      </c>
      <c r="E2484">
        <f t="shared" si="77"/>
        <v>5.4488474052736408E-2</v>
      </c>
    </row>
    <row r="2485" spans="1:5" x14ac:dyDescent="0.25">
      <c r="A2485">
        <v>0</v>
      </c>
      <c r="B2485">
        <v>-2.7027027027027001E-2</v>
      </c>
      <c r="C2485">
        <f t="shared" si="76"/>
        <v>1.6008377802414875</v>
      </c>
      <c r="D2485">
        <v>2</v>
      </c>
      <c r="E2485">
        <f t="shared" si="77"/>
        <v>5.4488474052736408E-2</v>
      </c>
    </row>
    <row r="2486" spans="1:5" x14ac:dyDescent="0.25">
      <c r="A2486">
        <v>0</v>
      </c>
      <c r="B2486">
        <v>-2.7E-2</v>
      </c>
      <c r="C2486">
        <f t="shared" si="76"/>
        <v>1.6008768102069795</v>
      </c>
      <c r="D2486">
        <v>2</v>
      </c>
      <c r="E2486">
        <f t="shared" si="77"/>
        <v>5.4488474052736408E-2</v>
      </c>
    </row>
    <row r="2487" spans="1:5" x14ac:dyDescent="0.25">
      <c r="A2487">
        <v>0</v>
      </c>
      <c r="B2487">
        <v>-2.69461077844311E-2</v>
      </c>
      <c r="C2487">
        <f t="shared" si="76"/>
        <v>1.6009545802830076</v>
      </c>
      <c r="D2487">
        <v>2</v>
      </c>
      <c r="E2487">
        <f t="shared" si="77"/>
        <v>5.4488474052736408E-2</v>
      </c>
    </row>
    <row r="2488" spans="1:5" x14ac:dyDescent="0.25">
      <c r="A2488">
        <v>0</v>
      </c>
      <c r="B2488">
        <v>-2.69461077844311E-2</v>
      </c>
      <c r="C2488">
        <f t="shared" si="76"/>
        <v>1.6009545802830076</v>
      </c>
      <c r="D2488">
        <v>2</v>
      </c>
      <c r="E2488">
        <f t="shared" si="77"/>
        <v>5.4488474052736408E-2</v>
      </c>
    </row>
    <row r="2489" spans="1:5" x14ac:dyDescent="0.25">
      <c r="A2489">
        <v>0</v>
      </c>
      <c r="B2489">
        <v>-2.69461077844311E-2</v>
      </c>
      <c r="C2489">
        <f t="shared" si="76"/>
        <v>1.6009545802830076</v>
      </c>
      <c r="D2489">
        <v>2</v>
      </c>
      <c r="E2489">
        <f t="shared" si="77"/>
        <v>5.4488474052736408E-2</v>
      </c>
    </row>
    <row r="2490" spans="1:5" x14ac:dyDescent="0.25">
      <c r="A2490">
        <v>0</v>
      </c>
      <c r="B2490">
        <v>-2.66666666666667E-2</v>
      </c>
      <c r="C2490">
        <f t="shared" si="76"/>
        <v>1.6013566329489008</v>
      </c>
      <c r="D2490">
        <v>2</v>
      </c>
      <c r="E2490">
        <f t="shared" si="77"/>
        <v>5.4488474052736408E-2</v>
      </c>
    </row>
    <row r="2491" spans="1:5" x14ac:dyDescent="0.25">
      <c r="A2491">
        <v>0</v>
      </c>
      <c r="B2491">
        <v>-2.66666666666667E-2</v>
      </c>
      <c r="C2491">
        <f t="shared" si="76"/>
        <v>1.6013566329489008</v>
      </c>
      <c r="D2491">
        <v>2</v>
      </c>
      <c r="E2491">
        <f t="shared" si="77"/>
        <v>5.4488474052736408E-2</v>
      </c>
    </row>
    <row r="2492" spans="1:5" x14ac:dyDescent="0.25">
      <c r="A2492">
        <v>0</v>
      </c>
      <c r="B2492">
        <v>-2.66666666666667E-2</v>
      </c>
      <c r="C2492">
        <f t="shared" si="76"/>
        <v>1.6013566329489008</v>
      </c>
      <c r="D2492">
        <v>2</v>
      </c>
      <c r="E2492">
        <f t="shared" si="77"/>
        <v>5.4488474052736408E-2</v>
      </c>
    </row>
    <row r="2493" spans="1:5" x14ac:dyDescent="0.25">
      <c r="A2493">
        <v>0</v>
      </c>
      <c r="B2493">
        <v>-2.66666666666667E-2</v>
      </c>
      <c r="C2493">
        <f t="shared" si="76"/>
        <v>1.6013566329489008</v>
      </c>
      <c r="D2493">
        <v>2</v>
      </c>
      <c r="E2493">
        <f t="shared" si="77"/>
        <v>5.4488474052736408E-2</v>
      </c>
    </row>
    <row r="2494" spans="1:5" x14ac:dyDescent="0.25">
      <c r="A2494">
        <v>0</v>
      </c>
      <c r="B2494">
        <v>-2.66666666666667E-2</v>
      </c>
      <c r="C2494">
        <f t="shared" si="76"/>
        <v>1.6013566329489008</v>
      </c>
      <c r="D2494">
        <v>2</v>
      </c>
      <c r="E2494">
        <f t="shared" si="77"/>
        <v>5.4488474052736408E-2</v>
      </c>
    </row>
    <row r="2495" spans="1:5" x14ac:dyDescent="0.25">
      <c r="A2495">
        <v>0</v>
      </c>
      <c r="B2495">
        <v>-2.66666666666667E-2</v>
      </c>
      <c r="C2495">
        <f t="shared" si="76"/>
        <v>1.6013566329489008</v>
      </c>
      <c r="D2495">
        <v>2</v>
      </c>
      <c r="E2495">
        <f t="shared" si="77"/>
        <v>5.4488474052736408E-2</v>
      </c>
    </row>
    <row r="2496" spans="1:5" x14ac:dyDescent="0.25">
      <c r="A2496">
        <v>0</v>
      </c>
      <c r="B2496">
        <v>-2.66666666666667E-2</v>
      </c>
      <c r="C2496">
        <f t="shared" si="76"/>
        <v>1.6013566329489008</v>
      </c>
      <c r="D2496">
        <v>2</v>
      </c>
      <c r="E2496">
        <f t="shared" si="77"/>
        <v>5.4488474052736408E-2</v>
      </c>
    </row>
    <row r="2497" spans="1:5" x14ac:dyDescent="0.25">
      <c r="A2497">
        <v>0</v>
      </c>
      <c r="B2497">
        <v>-2.66666666666667E-2</v>
      </c>
      <c r="C2497">
        <f t="shared" si="76"/>
        <v>1.6013566329489008</v>
      </c>
      <c r="D2497">
        <v>2</v>
      </c>
      <c r="E2497">
        <f t="shared" si="77"/>
        <v>5.4488474052736408E-2</v>
      </c>
    </row>
    <row r="2498" spans="1:5" x14ac:dyDescent="0.25">
      <c r="A2498">
        <v>0</v>
      </c>
      <c r="B2498">
        <v>-2.66666666666667E-2</v>
      </c>
      <c r="C2498">
        <f t="shared" ref="C2498:C2561" si="78">_xlfn.NORM.DIST(B2498,I$10,I$13,FALSE)</f>
        <v>1.6013566329489008</v>
      </c>
      <c r="D2498">
        <v>2</v>
      </c>
      <c r="E2498">
        <f t="shared" si="77"/>
        <v>5.4488474052736408E-2</v>
      </c>
    </row>
    <row r="2499" spans="1:5" x14ac:dyDescent="0.25">
      <c r="A2499">
        <v>0</v>
      </c>
      <c r="B2499">
        <v>-2.66666666666667E-2</v>
      </c>
      <c r="C2499">
        <f t="shared" si="78"/>
        <v>1.6013566329489008</v>
      </c>
      <c r="D2499">
        <v>2</v>
      </c>
      <c r="E2499">
        <f t="shared" ref="E2499:E2562" si="79">_xlfn.NORM.DIST(D2499,I$4,I$7,FALSE)</f>
        <v>5.4488474052736408E-2</v>
      </c>
    </row>
    <row r="2500" spans="1:5" x14ac:dyDescent="0.25">
      <c r="A2500">
        <v>0</v>
      </c>
      <c r="B2500">
        <v>-2.66666666666667E-2</v>
      </c>
      <c r="C2500">
        <f t="shared" si="78"/>
        <v>1.6013566329489008</v>
      </c>
      <c r="D2500">
        <v>2</v>
      </c>
      <c r="E2500">
        <f t="shared" si="79"/>
        <v>5.4488474052736408E-2</v>
      </c>
    </row>
    <row r="2501" spans="1:5" x14ac:dyDescent="0.25">
      <c r="A2501">
        <v>0</v>
      </c>
      <c r="B2501">
        <v>-2.66666666666667E-2</v>
      </c>
      <c r="C2501">
        <f t="shared" si="78"/>
        <v>1.6013566329489008</v>
      </c>
      <c r="D2501">
        <v>2</v>
      </c>
      <c r="E2501">
        <f t="shared" si="79"/>
        <v>5.4488474052736408E-2</v>
      </c>
    </row>
    <row r="2502" spans="1:5" x14ac:dyDescent="0.25">
      <c r="A2502">
        <v>0</v>
      </c>
      <c r="B2502">
        <v>-2.66666666666667E-2</v>
      </c>
      <c r="C2502">
        <f t="shared" si="78"/>
        <v>1.6013566329489008</v>
      </c>
      <c r="D2502">
        <v>2</v>
      </c>
      <c r="E2502">
        <f t="shared" si="79"/>
        <v>5.4488474052736408E-2</v>
      </c>
    </row>
    <row r="2503" spans="1:5" x14ac:dyDescent="0.25">
      <c r="A2503">
        <v>0</v>
      </c>
      <c r="B2503">
        <v>-2.66666666666667E-2</v>
      </c>
      <c r="C2503">
        <f t="shared" si="78"/>
        <v>1.6013566329489008</v>
      </c>
      <c r="D2503">
        <v>2</v>
      </c>
      <c r="E2503">
        <f t="shared" si="79"/>
        <v>5.4488474052736408E-2</v>
      </c>
    </row>
    <row r="2504" spans="1:5" x14ac:dyDescent="0.25">
      <c r="A2504">
        <v>0</v>
      </c>
      <c r="B2504">
        <v>-2.66666666666667E-2</v>
      </c>
      <c r="C2504">
        <f t="shared" si="78"/>
        <v>1.6013566329489008</v>
      </c>
      <c r="D2504">
        <v>2</v>
      </c>
      <c r="E2504">
        <f t="shared" si="79"/>
        <v>5.4488474052736408E-2</v>
      </c>
    </row>
    <row r="2505" spans="1:5" x14ac:dyDescent="0.25">
      <c r="A2505">
        <v>0</v>
      </c>
      <c r="B2505">
        <v>-2.66666666666667E-2</v>
      </c>
      <c r="C2505">
        <f t="shared" si="78"/>
        <v>1.6013566329489008</v>
      </c>
      <c r="D2505">
        <v>2</v>
      </c>
      <c r="E2505">
        <f t="shared" si="79"/>
        <v>5.4488474052736408E-2</v>
      </c>
    </row>
    <row r="2506" spans="1:5" x14ac:dyDescent="0.25">
      <c r="A2506">
        <v>0</v>
      </c>
      <c r="B2506">
        <v>-2.66666666666667E-2</v>
      </c>
      <c r="C2506">
        <f t="shared" si="78"/>
        <v>1.6013566329489008</v>
      </c>
      <c r="D2506">
        <v>2</v>
      </c>
      <c r="E2506">
        <f t="shared" si="79"/>
        <v>5.4488474052736408E-2</v>
      </c>
    </row>
    <row r="2507" spans="1:5" x14ac:dyDescent="0.25">
      <c r="A2507">
        <v>0</v>
      </c>
      <c r="B2507">
        <v>-2.66666666666667E-2</v>
      </c>
      <c r="C2507">
        <f t="shared" si="78"/>
        <v>1.6013566329489008</v>
      </c>
      <c r="D2507">
        <v>2</v>
      </c>
      <c r="E2507">
        <f t="shared" si="79"/>
        <v>5.4488474052736408E-2</v>
      </c>
    </row>
    <row r="2508" spans="1:5" x14ac:dyDescent="0.25">
      <c r="A2508">
        <v>0</v>
      </c>
      <c r="B2508">
        <v>-2.66666666666667E-2</v>
      </c>
      <c r="C2508">
        <f t="shared" si="78"/>
        <v>1.6013566329489008</v>
      </c>
      <c r="D2508">
        <v>2</v>
      </c>
      <c r="E2508">
        <f t="shared" si="79"/>
        <v>5.4488474052736408E-2</v>
      </c>
    </row>
    <row r="2509" spans="1:5" x14ac:dyDescent="0.25">
      <c r="A2509">
        <v>0</v>
      </c>
      <c r="B2509">
        <v>-2.66666666666667E-2</v>
      </c>
      <c r="C2509">
        <f t="shared" si="78"/>
        <v>1.6013566329489008</v>
      </c>
      <c r="D2509">
        <v>2</v>
      </c>
      <c r="E2509">
        <f t="shared" si="79"/>
        <v>5.4488474052736408E-2</v>
      </c>
    </row>
    <row r="2510" spans="1:5" x14ac:dyDescent="0.25">
      <c r="A2510">
        <v>0</v>
      </c>
      <c r="B2510">
        <v>-2.6086956521739101E-2</v>
      </c>
      <c r="C2510">
        <f t="shared" si="78"/>
        <v>1.6021842853375279</v>
      </c>
      <c r="D2510">
        <v>2</v>
      </c>
      <c r="E2510">
        <f t="shared" si="79"/>
        <v>5.4488474052736408E-2</v>
      </c>
    </row>
    <row r="2511" spans="1:5" x14ac:dyDescent="0.25">
      <c r="A2511">
        <v>0</v>
      </c>
      <c r="B2511">
        <v>-2.5999999999999999E-2</v>
      </c>
      <c r="C2511">
        <f t="shared" si="78"/>
        <v>1.6023076853413918</v>
      </c>
      <c r="D2511">
        <v>2</v>
      </c>
      <c r="E2511">
        <f t="shared" si="79"/>
        <v>5.4488474052736408E-2</v>
      </c>
    </row>
    <row r="2512" spans="1:5" x14ac:dyDescent="0.25">
      <c r="A2512">
        <v>0</v>
      </c>
      <c r="B2512">
        <v>-2.5999999999999999E-2</v>
      </c>
      <c r="C2512">
        <f t="shared" si="78"/>
        <v>1.6023076853413918</v>
      </c>
      <c r="D2512">
        <v>2</v>
      </c>
      <c r="E2512">
        <f t="shared" si="79"/>
        <v>5.4488474052736408E-2</v>
      </c>
    </row>
    <row r="2513" spans="1:5" x14ac:dyDescent="0.25">
      <c r="A2513">
        <v>0</v>
      </c>
      <c r="B2513">
        <v>-2.5999999999999999E-2</v>
      </c>
      <c r="C2513">
        <f t="shared" si="78"/>
        <v>1.6023076853413918</v>
      </c>
      <c r="D2513">
        <v>2</v>
      </c>
      <c r="E2513">
        <f t="shared" si="79"/>
        <v>5.4488474052736408E-2</v>
      </c>
    </row>
    <row r="2514" spans="1:5" x14ac:dyDescent="0.25">
      <c r="A2514">
        <v>0</v>
      </c>
      <c r="B2514">
        <v>-2.5999999999999999E-2</v>
      </c>
      <c r="C2514">
        <f t="shared" si="78"/>
        <v>1.6023076853413918</v>
      </c>
      <c r="D2514">
        <v>2</v>
      </c>
      <c r="E2514">
        <f t="shared" si="79"/>
        <v>5.4488474052736408E-2</v>
      </c>
    </row>
    <row r="2515" spans="1:5" x14ac:dyDescent="0.25">
      <c r="A2515">
        <v>0</v>
      </c>
      <c r="B2515">
        <v>-2.5999999999999999E-2</v>
      </c>
      <c r="C2515">
        <f t="shared" si="78"/>
        <v>1.6023076853413918</v>
      </c>
      <c r="D2515">
        <v>2</v>
      </c>
      <c r="E2515">
        <f t="shared" si="79"/>
        <v>5.4488474052736408E-2</v>
      </c>
    </row>
    <row r="2516" spans="1:5" x14ac:dyDescent="0.25">
      <c r="A2516">
        <v>0</v>
      </c>
      <c r="B2516">
        <v>-2.5999999999999999E-2</v>
      </c>
      <c r="C2516">
        <f t="shared" si="78"/>
        <v>1.6023076853413918</v>
      </c>
      <c r="D2516">
        <v>2</v>
      </c>
      <c r="E2516">
        <f t="shared" si="79"/>
        <v>5.4488474052736408E-2</v>
      </c>
    </row>
    <row r="2517" spans="1:5" x14ac:dyDescent="0.25">
      <c r="A2517">
        <v>0</v>
      </c>
      <c r="B2517">
        <v>-2.5999999999999999E-2</v>
      </c>
      <c r="C2517">
        <f t="shared" si="78"/>
        <v>1.6023076853413918</v>
      </c>
      <c r="D2517">
        <v>2</v>
      </c>
      <c r="E2517">
        <f t="shared" si="79"/>
        <v>5.4488474052736408E-2</v>
      </c>
    </row>
    <row r="2518" spans="1:5" x14ac:dyDescent="0.25">
      <c r="A2518">
        <v>0</v>
      </c>
      <c r="B2518">
        <v>-2.57009345794393E-2</v>
      </c>
      <c r="C2518">
        <f t="shared" si="78"/>
        <v>1.6027305984679563</v>
      </c>
      <c r="D2518">
        <v>2</v>
      </c>
      <c r="E2518">
        <f t="shared" si="79"/>
        <v>5.4488474052736408E-2</v>
      </c>
    </row>
    <row r="2519" spans="1:5" x14ac:dyDescent="0.25">
      <c r="A2519">
        <v>0</v>
      </c>
      <c r="B2519">
        <v>-2.5641025641025599E-2</v>
      </c>
      <c r="C2519">
        <f t="shared" si="78"/>
        <v>1.6028150388490927</v>
      </c>
      <c r="D2519">
        <v>2</v>
      </c>
      <c r="E2519">
        <f t="shared" si="79"/>
        <v>5.4488474052736408E-2</v>
      </c>
    </row>
    <row r="2520" spans="1:5" x14ac:dyDescent="0.25">
      <c r="A2520">
        <v>0</v>
      </c>
      <c r="B2520">
        <v>-2.5641025641025599E-2</v>
      </c>
      <c r="C2520">
        <f t="shared" si="78"/>
        <v>1.6028150388490927</v>
      </c>
      <c r="D2520">
        <v>2</v>
      </c>
      <c r="E2520">
        <f t="shared" si="79"/>
        <v>5.4488474052736408E-2</v>
      </c>
    </row>
    <row r="2521" spans="1:5" x14ac:dyDescent="0.25">
      <c r="A2521">
        <v>0</v>
      </c>
      <c r="B2521">
        <v>-2.5641025641025599E-2</v>
      </c>
      <c r="C2521">
        <f t="shared" si="78"/>
        <v>1.6028150388490927</v>
      </c>
      <c r="D2521">
        <v>2</v>
      </c>
      <c r="E2521">
        <f t="shared" si="79"/>
        <v>5.4488474052736408E-2</v>
      </c>
    </row>
    <row r="2522" spans="1:5" x14ac:dyDescent="0.25">
      <c r="A2522">
        <v>0</v>
      </c>
      <c r="B2522">
        <v>-2.5641025641025599E-2</v>
      </c>
      <c r="C2522">
        <f t="shared" si="78"/>
        <v>1.6028150388490927</v>
      </c>
      <c r="D2522">
        <v>2</v>
      </c>
      <c r="E2522">
        <f t="shared" si="79"/>
        <v>5.4488474052736408E-2</v>
      </c>
    </row>
    <row r="2523" spans="1:5" x14ac:dyDescent="0.25">
      <c r="A2523">
        <v>0</v>
      </c>
      <c r="B2523">
        <v>-2.5333333333333301E-2</v>
      </c>
      <c r="C2523">
        <f t="shared" si="78"/>
        <v>1.603247262728648</v>
      </c>
      <c r="D2523">
        <v>2</v>
      </c>
      <c r="E2523">
        <f t="shared" si="79"/>
        <v>5.4488474052736408E-2</v>
      </c>
    </row>
    <row r="2524" spans="1:5" x14ac:dyDescent="0.25">
      <c r="A2524">
        <v>0</v>
      </c>
      <c r="B2524">
        <v>-2.5333333333333301E-2</v>
      </c>
      <c r="C2524">
        <f t="shared" si="78"/>
        <v>1.603247262728648</v>
      </c>
      <c r="D2524">
        <v>2</v>
      </c>
      <c r="E2524">
        <f t="shared" si="79"/>
        <v>5.4488474052736408E-2</v>
      </c>
    </row>
    <row r="2525" spans="1:5" x14ac:dyDescent="0.25">
      <c r="A2525">
        <v>0</v>
      </c>
      <c r="B2525">
        <v>-2.5000000000000001E-2</v>
      </c>
      <c r="C2525">
        <f t="shared" si="78"/>
        <v>1.6037127417717167</v>
      </c>
      <c r="D2525">
        <v>2</v>
      </c>
      <c r="E2525">
        <f t="shared" si="79"/>
        <v>5.4488474052736408E-2</v>
      </c>
    </row>
    <row r="2526" spans="1:5" x14ac:dyDescent="0.25">
      <c r="A2526">
        <v>0</v>
      </c>
      <c r="B2526">
        <v>-2.5000000000000001E-2</v>
      </c>
      <c r="C2526">
        <f t="shared" si="78"/>
        <v>1.6037127417717167</v>
      </c>
      <c r="D2526">
        <v>2</v>
      </c>
      <c r="E2526">
        <f t="shared" si="79"/>
        <v>5.4488474052736408E-2</v>
      </c>
    </row>
    <row r="2527" spans="1:5" x14ac:dyDescent="0.25">
      <c r="A2527">
        <v>0</v>
      </c>
      <c r="B2527">
        <v>-2.5000000000000001E-2</v>
      </c>
      <c r="C2527">
        <f t="shared" si="78"/>
        <v>1.6037127417717167</v>
      </c>
      <c r="D2527">
        <v>2</v>
      </c>
      <c r="E2527">
        <f t="shared" si="79"/>
        <v>5.4488474052736408E-2</v>
      </c>
    </row>
    <row r="2528" spans="1:5" x14ac:dyDescent="0.25">
      <c r="A2528">
        <v>0</v>
      </c>
      <c r="B2528">
        <v>-2.5000000000000001E-2</v>
      </c>
      <c r="C2528">
        <f t="shared" si="78"/>
        <v>1.6037127417717167</v>
      </c>
      <c r="D2528">
        <v>2</v>
      </c>
      <c r="E2528">
        <f t="shared" si="79"/>
        <v>5.4488474052736408E-2</v>
      </c>
    </row>
    <row r="2529" spans="1:5" x14ac:dyDescent="0.25">
      <c r="A2529">
        <v>0</v>
      </c>
      <c r="B2529">
        <v>-2.4691358024691398E-2</v>
      </c>
      <c r="C2529">
        <f t="shared" si="78"/>
        <v>1.6041411761182527</v>
      </c>
      <c r="D2529">
        <v>2</v>
      </c>
      <c r="E2529">
        <f t="shared" si="79"/>
        <v>5.4488474052736408E-2</v>
      </c>
    </row>
    <row r="2530" spans="1:5" x14ac:dyDescent="0.25">
      <c r="A2530">
        <v>0</v>
      </c>
      <c r="B2530">
        <v>-2.4024024024024E-2</v>
      </c>
      <c r="C2530">
        <f t="shared" si="78"/>
        <v>1.6050590802411633</v>
      </c>
      <c r="D2530">
        <v>2</v>
      </c>
      <c r="E2530">
        <f t="shared" si="79"/>
        <v>5.4488474052736408E-2</v>
      </c>
    </row>
    <row r="2531" spans="1:5" x14ac:dyDescent="0.25">
      <c r="A2531">
        <v>0</v>
      </c>
      <c r="B2531">
        <v>-2.4024024024024E-2</v>
      </c>
      <c r="C2531">
        <f t="shared" si="78"/>
        <v>1.6050590802411633</v>
      </c>
      <c r="D2531">
        <v>2</v>
      </c>
      <c r="E2531">
        <f t="shared" si="79"/>
        <v>5.4488474052736408E-2</v>
      </c>
    </row>
    <row r="2532" spans="1:5" x14ac:dyDescent="0.25">
      <c r="A2532">
        <v>0</v>
      </c>
      <c r="B2532">
        <v>-2.4024024024024E-2</v>
      </c>
      <c r="C2532">
        <f t="shared" si="78"/>
        <v>1.6050590802411633</v>
      </c>
      <c r="D2532">
        <v>2</v>
      </c>
      <c r="E2532">
        <f t="shared" si="79"/>
        <v>5.4488474052736408E-2</v>
      </c>
    </row>
    <row r="2533" spans="1:5" x14ac:dyDescent="0.25">
      <c r="A2533">
        <v>0</v>
      </c>
      <c r="B2533">
        <v>-2.4024024024024E-2</v>
      </c>
      <c r="C2533">
        <f t="shared" si="78"/>
        <v>1.6050590802411633</v>
      </c>
      <c r="D2533">
        <v>2</v>
      </c>
      <c r="E2533">
        <f t="shared" si="79"/>
        <v>5.4488474052736408E-2</v>
      </c>
    </row>
    <row r="2534" spans="1:5" x14ac:dyDescent="0.25">
      <c r="A2534">
        <v>0</v>
      </c>
      <c r="B2534">
        <v>-2.4024024024024E-2</v>
      </c>
      <c r="C2534">
        <f t="shared" si="78"/>
        <v>1.6050590802411633</v>
      </c>
      <c r="D2534">
        <v>2</v>
      </c>
      <c r="E2534">
        <f t="shared" si="79"/>
        <v>5.4488474052736408E-2</v>
      </c>
    </row>
    <row r="2535" spans="1:5" x14ac:dyDescent="0.25">
      <c r="A2535">
        <v>0</v>
      </c>
      <c r="B2535">
        <v>-2.4E-2</v>
      </c>
      <c r="C2535">
        <f t="shared" si="78"/>
        <v>1.6050919093556877</v>
      </c>
      <c r="D2535">
        <v>2</v>
      </c>
      <c r="E2535">
        <f t="shared" si="79"/>
        <v>5.4488474052736408E-2</v>
      </c>
    </row>
    <row r="2536" spans="1:5" x14ac:dyDescent="0.25">
      <c r="A2536">
        <v>0</v>
      </c>
      <c r="B2536">
        <v>-2.4E-2</v>
      </c>
      <c r="C2536">
        <f t="shared" si="78"/>
        <v>1.6050919093556877</v>
      </c>
      <c r="D2536">
        <v>2</v>
      </c>
      <c r="E2536">
        <f t="shared" si="79"/>
        <v>5.4488474052736408E-2</v>
      </c>
    </row>
    <row r="2537" spans="1:5" x14ac:dyDescent="0.25">
      <c r="A2537">
        <v>0</v>
      </c>
      <c r="B2537">
        <v>-2.4E-2</v>
      </c>
      <c r="C2537">
        <f t="shared" si="78"/>
        <v>1.6050919093556877</v>
      </c>
      <c r="D2537">
        <v>2</v>
      </c>
      <c r="E2537">
        <f t="shared" si="79"/>
        <v>5.4488474052736408E-2</v>
      </c>
    </row>
    <row r="2538" spans="1:5" x14ac:dyDescent="0.25">
      <c r="A2538">
        <v>0</v>
      </c>
      <c r="B2538">
        <v>-2.4E-2</v>
      </c>
      <c r="C2538">
        <f t="shared" si="78"/>
        <v>1.6050919093556877</v>
      </c>
      <c r="D2538">
        <v>2</v>
      </c>
      <c r="E2538">
        <f t="shared" si="79"/>
        <v>5.4488474052736408E-2</v>
      </c>
    </row>
    <row r="2539" spans="1:5" x14ac:dyDescent="0.25">
      <c r="A2539">
        <v>0</v>
      </c>
      <c r="B2539">
        <v>-2.4E-2</v>
      </c>
      <c r="C2539">
        <f t="shared" si="78"/>
        <v>1.6050919093556877</v>
      </c>
      <c r="D2539">
        <v>2</v>
      </c>
      <c r="E2539">
        <f t="shared" si="79"/>
        <v>5.4488474052736408E-2</v>
      </c>
    </row>
    <row r="2540" spans="1:5" x14ac:dyDescent="0.25">
      <c r="A2540">
        <v>0</v>
      </c>
      <c r="B2540">
        <v>-2.4E-2</v>
      </c>
      <c r="C2540">
        <f t="shared" si="78"/>
        <v>1.6050919093556877</v>
      </c>
      <c r="D2540">
        <v>2</v>
      </c>
      <c r="E2540">
        <f t="shared" si="79"/>
        <v>5.4488474052736408E-2</v>
      </c>
    </row>
    <row r="2541" spans="1:5" x14ac:dyDescent="0.25">
      <c r="A2541">
        <v>0</v>
      </c>
      <c r="B2541">
        <v>-2.4E-2</v>
      </c>
      <c r="C2541">
        <f t="shared" si="78"/>
        <v>1.6050919093556877</v>
      </c>
      <c r="D2541">
        <v>2</v>
      </c>
      <c r="E2541">
        <f t="shared" si="79"/>
        <v>5.4488474052736408E-2</v>
      </c>
    </row>
    <row r="2542" spans="1:5" x14ac:dyDescent="0.25">
      <c r="A2542">
        <v>0</v>
      </c>
      <c r="B2542">
        <v>-2.4E-2</v>
      </c>
      <c r="C2542">
        <f t="shared" si="78"/>
        <v>1.6050919093556877</v>
      </c>
      <c r="D2542">
        <v>2</v>
      </c>
      <c r="E2542">
        <f t="shared" si="79"/>
        <v>5.4488474052736408E-2</v>
      </c>
    </row>
    <row r="2543" spans="1:5" x14ac:dyDescent="0.25">
      <c r="A2543">
        <v>0</v>
      </c>
      <c r="B2543">
        <v>-2.4E-2</v>
      </c>
      <c r="C2543">
        <f t="shared" si="78"/>
        <v>1.6050919093556877</v>
      </c>
      <c r="D2543">
        <v>2</v>
      </c>
      <c r="E2543">
        <f t="shared" si="79"/>
        <v>5.4488474052736408E-2</v>
      </c>
    </row>
    <row r="2544" spans="1:5" x14ac:dyDescent="0.25">
      <c r="A2544">
        <v>0</v>
      </c>
      <c r="B2544">
        <v>-2.4E-2</v>
      </c>
      <c r="C2544">
        <f t="shared" si="78"/>
        <v>1.6050919093556877</v>
      </c>
      <c r="D2544">
        <v>2</v>
      </c>
      <c r="E2544">
        <f t="shared" si="79"/>
        <v>5.4488474052736408E-2</v>
      </c>
    </row>
    <row r="2545" spans="1:5" x14ac:dyDescent="0.25">
      <c r="A2545">
        <v>0</v>
      </c>
      <c r="B2545">
        <v>-2.4E-2</v>
      </c>
      <c r="C2545">
        <f t="shared" si="78"/>
        <v>1.6050919093556877</v>
      </c>
      <c r="D2545">
        <v>2</v>
      </c>
      <c r="E2545">
        <f t="shared" si="79"/>
        <v>5.4488474052736408E-2</v>
      </c>
    </row>
    <row r="2546" spans="1:5" x14ac:dyDescent="0.25">
      <c r="A2546">
        <v>0</v>
      </c>
      <c r="B2546">
        <v>-2.4E-2</v>
      </c>
      <c r="C2546">
        <f t="shared" si="78"/>
        <v>1.6050919093556877</v>
      </c>
      <c r="D2546">
        <v>2</v>
      </c>
      <c r="E2546">
        <f t="shared" si="79"/>
        <v>5.4488474052736408E-2</v>
      </c>
    </row>
    <row r="2547" spans="1:5" x14ac:dyDescent="0.25">
      <c r="A2547">
        <v>0</v>
      </c>
      <c r="B2547">
        <v>-2.4E-2</v>
      </c>
      <c r="C2547">
        <f t="shared" si="78"/>
        <v>1.6050919093556877</v>
      </c>
      <c r="D2547">
        <v>2</v>
      </c>
      <c r="E2547">
        <f t="shared" si="79"/>
        <v>5.4488474052736408E-2</v>
      </c>
    </row>
    <row r="2548" spans="1:5" x14ac:dyDescent="0.25">
      <c r="A2548">
        <v>0</v>
      </c>
      <c r="B2548">
        <v>-2.4E-2</v>
      </c>
      <c r="C2548">
        <f t="shared" si="78"/>
        <v>1.6050919093556877</v>
      </c>
      <c r="D2548">
        <v>2</v>
      </c>
      <c r="E2548">
        <f t="shared" si="79"/>
        <v>5.4488474052736408E-2</v>
      </c>
    </row>
    <row r="2549" spans="1:5" x14ac:dyDescent="0.25">
      <c r="A2549">
        <v>0</v>
      </c>
      <c r="B2549">
        <v>-2.4E-2</v>
      </c>
      <c r="C2549">
        <f t="shared" si="78"/>
        <v>1.6050919093556877</v>
      </c>
      <c r="D2549">
        <v>2</v>
      </c>
      <c r="E2549">
        <f t="shared" si="79"/>
        <v>5.4488474052736408E-2</v>
      </c>
    </row>
    <row r="2550" spans="1:5" x14ac:dyDescent="0.25">
      <c r="A2550">
        <v>0</v>
      </c>
      <c r="B2550">
        <v>-2.4E-2</v>
      </c>
      <c r="C2550">
        <f t="shared" si="78"/>
        <v>1.6050919093556877</v>
      </c>
      <c r="D2550">
        <v>2</v>
      </c>
      <c r="E2550">
        <f t="shared" si="79"/>
        <v>5.4488474052736408E-2</v>
      </c>
    </row>
    <row r="2551" spans="1:5" x14ac:dyDescent="0.25">
      <c r="A2551">
        <v>0</v>
      </c>
      <c r="B2551">
        <v>-2.4E-2</v>
      </c>
      <c r="C2551">
        <f t="shared" si="78"/>
        <v>1.6050919093556877</v>
      </c>
      <c r="D2551">
        <v>2</v>
      </c>
      <c r="E2551">
        <f t="shared" si="79"/>
        <v>5.4488474052736408E-2</v>
      </c>
    </row>
    <row r="2552" spans="1:5" x14ac:dyDescent="0.25">
      <c r="A2552">
        <v>0</v>
      </c>
      <c r="B2552">
        <v>-2.4E-2</v>
      </c>
      <c r="C2552">
        <f t="shared" si="78"/>
        <v>1.6050919093556877</v>
      </c>
      <c r="D2552">
        <v>2</v>
      </c>
      <c r="E2552">
        <f t="shared" si="79"/>
        <v>5.4488474052736408E-2</v>
      </c>
    </row>
    <row r="2553" spans="1:5" x14ac:dyDescent="0.25">
      <c r="A2553">
        <v>0</v>
      </c>
      <c r="B2553">
        <v>-2.39520958083832E-2</v>
      </c>
      <c r="C2553">
        <f t="shared" si="78"/>
        <v>1.605157326281289</v>
      </c>
      <c r="D2553">
        <v>2</v>
      </c>
      <c r="E2553">
        <f t="shared" si="79"/>
        <v>5.4488474052736408E-2</v>
      </c>
    </row>
    <row r="2554" spans="1:5" x14ac:dyDescent="0.25">
      <c r="A2554">
        <v>0</v>
      </c>
      <c r="B2554">
        <v>-2.39520958083832E-2</v>
      </c>
      <c r="C2554">
        <f t="shared" si="78"/>
        <v>1.605157326281289</v>
      </c>
      <c r="D2554">
        <v>2</v>
      </c>
      <c r="E2554">
        <f t="shared" si="79"/>
        <v>5.4488474052736408E-2</v>
      </c>
    </row>
    <row r="2555" spans="1:5" x14ac:dyDescent="0.25">
      <c r="A2555">
        <v>0</v>
      </c>
      <c r="B2555">
        <v>-2.39520958083832E-2</v>
      </c>
      <c r="C2555">
        <f t="shared" si="78"/>
        <v>1.605157326281289</v>
      </c>
      <c r="D2555">
        <v>2</v>
      </c>
      <c r="E2555">
        <f t="shared" si="79"/>
        <v>5.4488474052736408E-2</v>
      </c>
    </row>
    <row r="2556" spans="1:5" x14ac:dyDescent="0.25">
      <c r="A2556">
        <v>0</v>
      </c>
      <c r="B2556">
        <v>-2.39520958083832E-2</v>
      </c>
      <c r="C2556">
        <f t="shared" si="78"/>
        <v>1.605157326281289</v>
      </c>
      <c r="D2556">
        <v>2</v>
      </c>
      <c r="E2556">
        <f t="shared" si="79"/>
        <v>5.4488474052736408E-2</v>
      </c>
    </row>
    <row r="2557" spans="1:5" x14ac:dyDescent="0.25">
      <c r="A2557">
        <v>0</v>
      </c>
      <c r="B2557">
        <v>-2.39520958083832E-2</v>
      </c>
      <c r="C2557">
        <f t="shared" si="78"/>
        <v>1.605157326281289</v>
      </c>
      <c r="D2557">
        <v>2</v>
      </c>
      <c r="E2557">
        <f t="shared" si="79"/>
        <v>5.4488474052736408E-2</v>
      </c>
    </row>
    <row r="2558" spans="1:5" x14ac:dyDescent="0.25">
      <c r="A2558">
        <v>0</v>
      </c>
      <c r="B2558">
        <v>-2.39520958083832E-2</v>
      </c>
      <c r="C2558">
        <f t="shared" si="78"/>
        <v>1.605157326281289</v>
      </c>
      <c r="D2558">
        <v>2</v>
      </c>
      <c r="E2558">
        <f t="shared" si="79"/>
        <v>5.4488474052736408E-2</v>
      </c>
    </row>
    <row r="2559" spans="1:5" x14ac:dyDescent="0.25">
      <c r="A2559">
        <v>0</v>
      </c>
      <c r="B2559">
        <v>-2.36666666666667E-2</v>
      </c>
      <c r="C2559">
        <f t="shared" si="78"/>
        <v>1.6055458668635667</v>
      </c>
      <c r="D2559">
        <v>2</v>
      </c>
      <c r="E2559">
        <f t="shared" si="79"/>
        <v>5.4488474052736408E-2</v>
      </c>
    </row>
    <row r="2560" spans="1:5" x14ac:dyDescent="0.25">
      <c r="A2560">
        <v>0</v>
      </c>
      <c r="B2560">
        <v>-2.33644859813084E-2</v>
      </c>
      <c r="C2560">
        <f t="shared" si="78"/>
        <v>1.6059549038539052</v>
      </c>
      <c r="D2560">
        <v>2</v>
      </c>
      <c r="E2560">
        <f t="shared" si="79"/>
        <v>5.4488474052736408E-2</v>
      </c>
    </row>
    <row r="2561" spans="1:5" x14ac:dyDescent="0.25">
      <c r="A2561">
        <v>0</v>
      </c>
      <c r="B2561">
        <v>-2.33644859813084E-2</v>
      </c>
      <c r="C2561">
        <f t="shared" si="78"/>
        <v>1.6059549038539052</v>
      </c>
      <c r="D2561">
        <v>2</v>
      </c>
      <c r="E2561">
        <f t="shared" si="79"/>
        <v>5.4488474052736408E-2</v>
      </c>
    </row>
    <row r="2562" spans="1:5" x14ac:dyDescent="0.25">
      <c r="A2562">
        <v>0</v>
      </c>
      <c r="B2562">
        <v>-2.33644859813084E-2</v>
      </c>
      <c r="C2562">
        <f t="shared" ref="C2562:C2625" si="80">_xlfn.NORM.DIST(B2562,I$10,I$13,FALSE)</f>
        <v>1.6059549038539052</v>
      </c>
      <c r="D2562">
        <v>2</v>
      </c>
      <c r="E2562">
        <f t="shared" si="79"/>
        <v>5.4488474052736408E-2</v>
      </c>
    </row>
    <row r="2563" spans="1:5" x14ac:dyDescent="0.25">
      <c r="A2563">
        <v>0</v>
      </c>
      <c r="B2563">
        <v>-2.33644859813084E-2</v>
      </c>
      <c r="C2563">
        <f t="shared" si="80"/>
        <v>1.6059549038539052</v>
      </c>
      <c r="D2563">
        <v>2</v>
      </c>
      <c r="E2563">
        <f t="shared" ref="E2563:E2626" si="81">_xlfn.NORM.DIST(D2563,I$4,I$7,FALSE)</f>
        <v>5.4488474052736408E-2</v>
      </c>
    </row>
    <row r="2564" spans="1:5" x14ac:dyDescent="0.25">
      <c r="A2564">
        <v>0</v>
      </c>
      <c r="B2564">
        <v>-2.3310023310023301E-2</v>
      </c>
      <c r="C2564">
        <f t="shared" si="80"/>
        <v>1.6060283730016198</v>
      </c>
      <c r="D2564">
        <v>2</v>
      </c>
      <c r="E2564">
        <f t="shared" si="81"/>
        <v>5.4488474052736408E-2</v>
      </c>
    </row>
    <row r="2565" spans="1:5" x14ac:dyDescent="0.25">
      <c r="A2565">
        <v>0</v>
      </c>
      <c r="B2565">
        <v>-2.3310023310023301E-2</v>
      </c>
      <c r="C2565">
        <f t="shared" si="80"/>
        <v>1.6060283730016198</v>
      </c>
      <c r="D2565">
        <v>2</v>
      </c>
      <c r="E2565">
        <f t="shared" si="81"/>
        <v>5.4488474052736408E-2</v>
      </c>
    </row>
    <row r="2566" spans="1:5" x14ac:dyDescent="0.25">
      <c r="A2566">
        <v>0</v>
      </c>
      <c r="B2566">
        <v>-2.3310023310023301E-2</v>
      </c>
      <c r="C2566">
        <f t="shared" si="80"/>
        <v>1.6060283730016198</v>
      </c>
      <c r="D2566">
        <v>2</v>
      </c>
      <c r="E2566">
        <f t="shared" si="81"/>
        <v>5.4488474052736408E-2</v>
      </c>
    </row>
    <row r="2567" spans="1:5" x14ac:dyDescent="0.25">
      <c r="A2567">
        <v>0</v>
      </c>
      <c r="B2567">
        <v>-2.3310023310023301E-2</v>
      </c>
      <c r="C2567">
        <f t="shared" si="80"/>
        <v>1.6060283730016198</v>
      </c>
      <c r="D2567">
        <v>2</v>
      </c>
      <c r="E2567">
        <f t="shared" si="81"/>
        <v>5.4488474052736408E-2</v>
      </c>
    </row>
    <row r="2568" spans="1:5" x14ac:dyDescent="0.25">
      <c r="A2568">
        <v>0</v>
      </c>
      <c r="B2568">
        <v>-2.3310023310023301E-2</v>
      </c>
      <c r="C2568">
        <f t="shared" si="80"/>
        <v>1.6060283730016198</v>
      </c>
      <c r="D2568">
        <v>2</v>
      </c>
      <c r="E2568">
        <f t="shared" si="81"/>
        <v>5.4488474052736408E-2</v>
      </c>
    </row>
    <row r="2569" spans="1:5" x14ac:dyDescent="0.25">
      <c r="A2569">
        <v>0</v>
      </c>
      <c r="B2569">
        <v>-2.3E-2</v>
      </c>
      <c r="C2569">
        <f t="shared" si="80"/>
        <v>1.6064451192029865</v>
      </c>
      <c r="D2569">
        <v>2</v>
      </c>
      <c r="E2569">
        <f t="shared" si="81"/>
        <v>5.4488474052736408E-2</v>
      </c>
    </row>
    <row r="2570" spans="1:5" x14ac:dyDescent="0.25">
      <c r="A2570">
        <v>0</v>
      </c>
      <c r="B2570">
        <v>-2.26666666666667E-2</v>
      </c>
      <c r="C2570">
        <f t="shared" si="80"/>
        <v>1.6068904090402296</v>
      </c>
      <c r="D2570">
        <v>2</v>
      </c>
      <c r="E2570">
        <f t="shared" si="81"/>
        <v>5.4488474052736408E-2</v>
      </c>
    </row>
    <row r="2571" spans="1:5" x14ac:dyDescent="0.25">
      <c r="A2571">
        <v>0</v>
      </c>
      <c r="B2571">
        <v>-2.26666666666667E-2</v>
      </c>
      <c r="C2571">
        <f t="shared" si="80"/>
        <v>1.6068904090402296</v>
      </c>
      <c r="D2571">
        <v>2</v>
      </c>
      <c r="E2571">
        <f t="shared" si="81"/>
        <v>5.4488474052736408E-2</v>
      </c>
    </row>
    <row r="2572" spans="1:5" x14ac:dyDescent="0.25">
      <c r="A2572">
        <v>0</v>
      </c>
      <c r="B2572">
        <v>-2.26666666666667E-2</v>
      </c>
      <c r="C2572">
        <f t="shared" si="80"/>
        <v>1.6068904090402296</v>
      </c>
      <c r="D2572">
        <v>2</v>
      </c>
      <c r="E2572">
        <f t="shared" si="81"/>
        <v>5.4488474052736408E-2</v>
      </c>
    </row>
    <row r="2573" spans="1:5" x14ac:dyDescent="0.25">
      <c r="A2573">
        <v>0</v>
      </c>
      <c r="B2573">
        <v>-2.26666666666667E-2</v>
      </c>
      <c r="C2573">
        <f t="shared" si="80"/>
        <v>1.6068904090402296</v>
      </c>
      <c r="D2573">
        <v>2</v>
      </c>
      <c r="E2573">
        <f t="shared" si="81"/>
        <v>5.4488474052736408E-2</v>
      </c>
    </row>
    <row r="2574" spans="1:5" x14ac:dyDescent="0.25">
      <c r="A2574">
        <v>0</v>
      </c>
      <c r="B2574">
        <v>-2.1999999999999999E-2</v>
      </c>
      <c r="C2574">
        <f t="shared" si="80"/>
        <v>1.6077723036809783</v>
      </c>
      <c r="D2574">
        <v>2</v>
      </c>
      <c r="E2574">
        <f t="shared" si="81"/>
        <v>5.4488474052736408E-2</v>
      </c>
    </row>
    <row r="2575" spans="1:5" x14ac:dyDescent="0.25">
      <c r="A2575">
        <v>0</v>
      </c>
      <c r="B2575">
        <v>-2.1999999999999999E-2</v>
      </c>
      <c r="C2575">
        <f t="shared" si="80"/>
        <v>1.6077723036809783</v>
      </c>
      <c r="D2575">
        <v>2</v>
      </c>
      <c r="E2575">
        <f t="shared" si="81"/>
        <v>5.4488474052736408E-2</v>
      </c>
    </row>
    <row r="2576" spans="1:5" x14ac:dyDescent="0.25">
      <c r="A2576">
        <v>0</v>
      </c>
      <c r="B2576">
        <v>-2.1999999999999999E-2</v>
      </c>
      <c r="C2576">
        <f t="shared" si="80"/>
        <v>1.6077723036809783</v>
      </c>
      <c r="D2576">
        <v>2</v>
      </c>
      <c r="E2576">
        <f t="shared" si="81"/>
        <v>5.4488474052736408E-2</v>
      </c>
    </row>
    <row r="2577" spans="1:5" x14ac:dyDescent="0.25">
      <c r="A2577">
        <v>0</v>
      </c>
      <c r="B2577">
        <v>-2.1999999999999999E-2</v>
      </c>
      <c r="C2577">
        <f t="shared" si="80"/>
        <v>1.6077723036809783</v>
      </c>
      <c r="D2577">
        <v>2</v>
      </c>
      <c r="E2577">
        <f t="shared" si="81"/>
        <v>5.4488474052736408E-2</v>
      </c>
    </row>
    <row r="2578" spans="1:5" x14ac:dyDescent="0.25">
      <c r="A2578">
        <v>0</v>
      </c>
      <c r="B2578">
        <v>-2.1999999999999999E-2</v>
      </c>
      <c r="C2578">
        <f t="shared" si="80"/>
        <v>1.6077723036809783</v>
      </c>
      <c r="D2578">
        <v>2</v>
      </c>
      <c r="E2578">
        <f t="shared" si="81"/>
        <v>5.4488474052736408E-2</v>
      </c>
    </row>
    <row r="2579" spans="1:5" x14ac:dyDescent="0.25">
      <c r="A2579">
        <v>0</v>
      </c>
      <c r="B2579">
        <v>-2.1999999999999999E-2</v>
      </c>
      <c r="C2579">
        <f t="shared" si="80"/>
        <v>1.6077723036809783</v>
      </c>
      <c r="D2579">
        <v>2</v>
      </c>
      <c r="E2579">
        <f t="shared" si="81"/>
        <v>5.4488474052736408E-2</v>
      </c>
    </row>
    <row r="2580" spans="1:5" x14ac:dyDescent="0.25">
      <c r="A2580">
        <v>0</v>
      </c>
      <c r="B2580">
        <v>-2.1999999999999999E-2</v>
      </c>
      <c r="C2580">
        <f t="shared" si="80"/>
        <v>1.6077723036809783</v>
      </c>
      <c r="D2580">
        <v>2</v>
      </c>
      <c r="E2580">
        <f t="shared" si="81"/>
        <v>5.4488474052736408E-2</v>
      </c>
    </row>
    <row r="2581" spans="1:5" x14ac:dyDescent="0.25">
      <c r="A2581">
        <v>0</v>
      </c>
      <c r="B2581">
        <v>-2.1999999999999999E-2</v>
      </c>
      <c r="C2581">
        <f t="shared" si="80"/>
        <v>1.6077723036809783</v>
      </c>
      <c r="D2581">
        <v>2</v>
      </c>
      <c r="E2581">
        <f t="shared" si="81"/>
        <v>5.4488474052736408E-2</v>
      </c>
    </row>
    <row r="2582" spans="1:5" x14ac:dyDescent="0.25">
      <c r="A2582">
        <v>0</v>
      </c>
      <c r="B2582">
        <v>-2.1999999999999999E-2</v>
      </c>
      <c r="C2582">
        <f t="shared" si="80"/>
        <v>1.6077723036809783</v>
      </c>
      <c r="D2582">
        <v>2</v>
      </c>
      <c r="E2582">
        <f t="shared" si="81"/>
        <v>5.4488474052736408E-2</v>
      </c>
    </row>
    <row r="2583" spans="1:5" x14ac:dyDescent="0.25">
      <c r="A2583">
        <v>0</v>
      </c>
      <c r="B2583">
        <v>-2.1666666666666699E-2</v>
      </c>
      <c r="C2583">
        <f t="shared" si="80"/>
        <v>1.6082089035838349</v>
      </c>
      <c r="D2583">
        <v>2</v>
      </c>
      <c r="E2583">
        <f t="shared" si="81"/>
        <v>5.4488474052736408E-2</v>
      </c>
    </row>
    <row r="2584" spans="1:5" x14ac:dyDescent="0.25">
      <c r="A2584">
        <v>0</v>
      </c>
      <c r="B2584">
        <v>-2.1666666666666699E-2</v>
      </c>
      <c r="C2584">
        <f t="shared" si="80"/>
        <v>1.6082089035838349</v>
      </c>
      <c r="D2584">
        <v>2</v>
      </c>
      <c r="E2584">
        <f t="shared" si="81"/>
        <v>5.4488474052736408E-2</v>
      </c>
    </row>
    <row r="2585" spans="1:5" x14ac:dyDescent="0.25">
      <c r="A2585">
        <v>0</v>
      </c>
      <c r="B2585">
        <v>-2.1666666666666699E-2</v>
      </c>
      <c r="C2585">
        <f t="shared" si="80"/>
        <v>1.6082089035838349</v>
      </c>
      <c r="D2585">
        <v>2</v>
      </c>
      <c r="E2585">
        <f t="shared" si="81"/>
        <v>5.4488474052736408E-2</v>
      </c>
    </row>
    <row r="2586" spans="1:5" x14ac:dyDescent="0.25">
      <c r="A2586">
        <v>0</v>
      </c>
      <c r="B2586">
        <v>-2.1666666666666699E-2</v>
      </c>
      <c r="C2586">
        <f t="shared" si="80"/>
        <v>1.6082089035838349</v>
      </c>
      <c r="D2586">
        <v>2</v>
      </c>
      <c r="E2586">
        <f t="shared" si="81"/>
        <v>5.4488474052736408E-2</v>
      </c>
    </row>
    <row r="2587" spans="1:5" x14ac:dyDescent="0.25">
      <c r="A2587">
        <v>0</v>
      </c>
      <c r="B2587">
        <v>-2.1666666666666699E-2</v>
      </c>
      <c r="C2587">
        <f t="shared" si="80"/>
        <v>1.6082089035838349</v>
      </c>
      <c r="D2587">
        <v>2</v>
      </c>
      <c r="E2587">
        <f t="shared" si="81"/>
        <v>5.4488474052736408E-2</v>
      </c>
    </row>
    <row r="2588" spans="1:5" x14ac:dyDescent="0.25">
      <c r="A2588">
        <v>0</v>
      </c>
      <c r="B2588">
        <v>-2.1333333333333301E-2</v>
      </c>
      <c r="C2588">
        <f t="shared" si="80"/>
        <v>1.608642601967341</v>
      </c>
      <c r="D2588">
        <v>2</v>
      </c>
      <c r="E2588">
        <f t="shared" si="81"/>
        <v>5.4488474052736408E-2</v>
      </c>
    </row>
    <row r="2589" spans="1:5" x14ac:dyDescent="0.25">
      <c r="A2589">
        <v>0</v>
      </c>
      <c r="B2589">
        <v>-2.1333333333333301E-2</v>
      </c>
      <c r="C2589">
        <f t="shared" si="80"/>
        <v>1.608642601967341</v>
      </c>
      <c r="D2589">
        <v>2</v>
      </c>
      <c r="E2589">
        <f t="shared" si="81"/>
        <v>5.4488474052736408E-2</v>
      </c>
    </row>
    <row r="2590" spans="1:5" x14ac:dyDescent="0.25">
      <c r="A2590">
        <v>0</v>
      </c>
      <c r="B2590">
        <v>-2.1333333333333301E-2</v>
      </c>
      <c r="C2590">
        <f t="shared" si="80"/>
        <v>1.608642601967341</v>
      </c>
      <c r="D2590">
        <v>2</v>
      </c>
      <c r="E2590">
        <f t="shared" si="81"/>
        <v>5.4488474052736408E-2</v>
      </c>
    </row>
    <row r="2591" spans="1:5" x14ac:dyDescent="0.25">
      <c r="A2591">
        <v>0</v>
      </c>
      <c r="B2591">
        <v>-2.1333333333333301E-2</v>
      </c>
      <c r="C2591">
        <f t="shared" si="80"/>
        <v>1.608642601967341</v>
      </c>
      <c r="D2591">
        <v>2</v>
      </c>
      <c r="E2591">
        <f t="shared" si="81"/>
        <v>5.4488474052736408E-2</v>
      </c>
    </row>
    <row r="2592" spans="1:5" x14ac:dyDescent="0.25">
      <c r="A2592">
        <v>0</v>
      </c>
      <c r="B2592">
        <v>-2.1333333333333301E-2</v>
      </c>
      <c r="C2592">
        <f t="shared" si="80"/>
        <v>1.608642601967341</v>
      </c>
      <c r="D2592">
        <v>2</v>
      </c>
      <c r="E2592">
        <f t="shared" si="81"/>
        <v>5.4488474052736408E-2</v>
      </c>
    </row>
    <row r="2593" spans="1:5" x14ac:dyDescent="0.25">
      <c r="A2593">
        <v>0</v>
      </c>
      <c r="B2593">
        <v>-2.1333333333333301E-2</v>
      </c>
      <c r="C2593">
        <f t="shared" si="80"/>
        <v>1.608642601967341</v>
      </c>
      <c r="D2593">
        <v>2</v>
      </c>
      <c r="E2593">
        <f t="shared" si="81"/>
        <v>5.4488474052736408E-2</v>
      </c>
    </row>
    <row r="2594" spans="1:5" x14ac:dyDescent="0.25">
      <c r="A2594">
        <v>0</v>
      </c>
      <c r="B2594">
        <v>-2.1333333333333301E-2</v>
      </c>
      <c r="C2594">
        <f t="shared" si="80"/>
        <v>1.608642601967341</v>
      </c>
      <c r="D2594">
        <v>2</v>
      </c>
      <c r="E2594">
        <f t="shared" si="81"/>
        <v>5.4488474052736408E-2</v>
      </c>
    </row>
    <row r="2595" spans="1:5" x14ac:dyDescent="0.25">
      <c r="A2595">
        <v>0</v>
      </c>
      <c r="B2595">
        <v>-2.1333333333333301E-2</v>
      </c>
      <c r="C2595">
        <f t="shared" si="80"/>
        <v>1.608642601967341</v>
      </c>
      <c r="D2595">
        <v>2</v>
      </c>
      <c r="E2595">
        <f t="shared" si="81"/>
        <v>5.4488474052736408E-2</v>
      </c>
    </row>
    <row r="2596" spans="1:5" x14ac:dyDescent="0.25">
      <c r="A2596">
        <v>0</v>
      </c>
      <c r="B2596">
        <v>-2.1333333333333301E-2</v>
      </c>
      <c r="C2596">
        <f t="shared" si="80"/>
        <v>1.608642601967341</v>
      </c>
      <c r="D2596">
        <v>2</v>
      </c>
      <c r="E2596">
        <f t="shared" si="81"/>
        <v>5.4488474052736408E-2</v>
      </c>
    </row>
    <row r="2597" spans="1:5" x14ac:dyDescent="0.25">
      <c r="A2597">
        <v>0</v>
      </c>
      <c r="B2597">
        <v>-2.1333333333333301E-2</v>
      </c>
      <c r="C2597">
        <f t="shared" si="80"/>
        <v>1.608642601967341</v>
      </c>
      <c r="D2597">
        <v>2</v>
      </c>
      <c r="E2597">
        <f t="shared" si="81"/>
        <v>5.4488474052736408E-2</v>
      </c>
    </row>
    <row r="2598" spans="1:5" x14ac:dyDescent="0.25">
      <c r="A2598">
        <v>0</v>
      </c>
      <c r="B2598">
        <v>-2.1333333333333301E-2</v>
      </c>
      <c r="C2598">
        <f t="shared" si="80"/>
        <v>1.608642601967341</v>
      </c>
      <c r="D2598">
        <v>2</v>
      </c>
      <c r="E2598">
        <f t="shared" si="81"/>
        <v>5.4488474052736408E-2</v>
      </c>
    </row>
    <row r="2599" spans="1:5" x14ac:dyDescent="0.25">
      <c r="A2599">
        <v>0</v>
      </c>
      <c r="B2599">
        <v>-2.10280373831776E-2</v>
      </c>
      <c r="C2599">
        <f t="shared" si="80"/>
        <v>1.6090372732874025</v>
      </c>
      <c r="D2599">
        <v>2</v>
      </c>
      <c r="E2599">
        <f t="shared" si="81"/>
        <v>5.4488474052736408E-2</v>
      </c>
    </row>
    <row r="2600" spans="1:5" x14ac:dyDescent="0.25">
      <c r="A2600">
        <v>0</v>
      </c>
      <c r="B2600">
        <v>-2.10280373831776E-2</v>
      </c>
      <c r="C2600">
        <f t="shared" si="80"/>
        <v>1.6090372732874025</v>
      </c>
      <c r="D2600">
        <v>2</v>
      </c>
      <c r="E2600">
        <f t="shared" si="81"/>
        <v>5.4488474052736408E-2</v>
      </c>
    </row>
    <row r="2601" spans="1:5" x14ac:dyDescent="0.25">
      <c r="A2601">
        <v>0</v>
      </c>
      <c r="B2601">
        <v>-2.10280373831776E-2</v>
      </c>
      <c r="C2601">
        <f t="shared" si="80"/>
        <v>1.6090372732874025</v>
      </c>
      <c r="D2601">
        <v>2</v>
      </c>
      <c r="E2601">
        <f t="shared" si="81"/>
        <v>5.4488474052736408E-2</v>
      </c>
    </row>
    <row r="2602" spans="1:5" x14ac:dyDescent="0.25">
      <c r="A2602">
        <v>0</v>
      </c>
      <c r="B2602">
        <v>-2.10280373831776E-2</v>
      </c>
      <c r="C2602">
        <f t="shared" si="80"/>
        <v>1.6090372732874025</v>
      </c>
      <c r="D2602">
        <v>2</v>
      </c>
      <c r="E2602">
        <f t="shared" si="81"/>
        <v>5.4488474052736408E-2</v>
      </c>
    </row>
    <row r="2603" spans="1:5" x14ac:dyDescent="0.25">
      <c r="A2603">
        <v>0</v>
      </c>
      <c r="B2603">
        <v>-2.1021021021020998E-2</v>
      </c>
      <c r="C2603">
        <f t="shared" si="80"/>
        <v>1.6090463150393415</v>
      </c>
      <c r="D2603">
        <v>2</v>
      </c>
      <c r="E2603">
        <f t="shared" si="81"/>
        <v>5.4488474052736408E-2</v>
      </c>
    </row>
    <row r="2604" spans="1:5" x14ac:dyDescent="0.25">
      <c r="A2604">
        <v>0</v>
      </c>
      <c r="B2604">
        <v>-2.1021021021020998E-2</v>
      </c>
      <c r="C2604">
        <f t="shared" si="80"/>
        <v>1.6090463150393415</v>
      </c>
      <c r="D2604">
        <v>2</v>
      </c>
      <c r="E2604">
        <f t="shared" si="81"/>
        <v>5.4488474052736408E-2</v>
      </c>
    </row>
    <row r="2605" spans="1:5" x14ac:dyDescent="0.25">
      <c r="A2605">
        <v>0</v>
      </c>
      <c r="B2605">
        <v>-2.1021021021020998E-2</v>
      </c>
      <c r="C2605">
        <f t="shared" si="80"/>
        <v>1.6090463150393415</v>
      </c>
      <c r="D2605">
        <v>2</v>
      </c>
      <c r="E2605">
        <f t="shared" si="81"/>
        <v>5.4488474052736408E-2</v>
      </c>
    </row>
    <row r="2606" spans="1:5" x14ac:dyDescent="0.25">
      <c r="A2606">
        <v>0</v>
      </c>
      <c r="B2606">
        <v>-2.1021021021020998E-2</v>
      </c>
      <c r="C2606">
        <f t="shared" si="80"/>
        <v>1.6090463150393415</v>
      </c>
      <c r="D2606">
        <v>2</v>
      </c>
      <c r="E2606">
        <f t="shared" si="81"/>
        <v>5.4488474052736408E-2</v>
      </c>
    </row>
    <row r="2607" spans="1:5" x14ac:dyDescent="0.25">
      <c r="A2607">
        <v>0</v>
      </c>
      <c r="B2607">
        <v>-2.1021021021020998E-2</v>
      </c>
      <c r="C2607">
        <f t="shared" si="80"/>
        <v>1.6090463150393415</v>
      </c>
      <c r="D2607">
        <v>2</v>
      </c>
      <c r="E2607">
        <f t="shared" si="81"/>
        <v>5.4488474052736408E-2</v>
      </c>
    </row>
    <row r="2608" spans="1:5" x14ac:dyDescent="0.25">
      <c r="A2608">
        <v>0</v>
      </c>
      <c r="B2608">
        <v>-2.1021021021020998E-2</v>
      </c>
      <c r="C2608">
        <f t="shared" si="80"/>
        <v>1.6090463150393415</v>
      </c>
      <c r="D2608">
        <v>2</v>
      </c>
      <c r="E2608">
        <f t="shared" si="81"/>
        <v>5.4488474052736408E-2</v>
      </c>
    </row>
    <row r="2609" spans="1:5" x14ac:dyDescent="0.25">
      <c r="A2609">
        <v>0</v>
      </c>
      <c r="B2609">
        <v>-2.1000000000000001E-2</v>
      </c>
      <c r="C2609">
        <f t="shared" si="80"/>
        <v>1.6090733964203443</v>
      </c>
      <c r="D2609">
        <v>2</v>
      </c>
      <c r="E2609">
        <f t="shared" si="81"/>
        <v>5.4488474052736408E-2</v>
      </c>
    </row>
    <row r="2610" spans="1:5" x14ac:dyDescent="0.25">
      <c r="A2610">
        <v>0</v>
      </c>
      <c r="B2610">
        <v>-2.1000000000000001E-2</v>
      </c>
      <c r="C2610">
        <f t="shared" si="80"/>
        <v>1.6090733964203443</v>
      </c>
      <c r="D2610">
        <v>2</v>
      </c>
      <c r="E2610">
        <f t="shared" si="81"/>
        <v>5.4488474052736408E-2</v>
      </c>
    </row>
    <row r="2611" spans="1:5" x14ac:dyDescent="0.25">
      <c r="A2611">
        <v>0</v>
      </c>
      <c r="B2611">
        <v>-2.1000000000000001E-2</v>
      </c>
      <c r="C2611">
        <f t="shared" si="80"/>
        <v>1.6090733964203443</v>
      </c>
      <c r="D2611">
        <v>2</v>
      </c>
      <c r="E2611">
        <f t="shared" si="81"/>
        <v>5.4488474052736408E-2</v>
      </c>
    </row>
    <row r="2612" spans="1:5" x14ac:dyDescent="0.25">
      <c r="A2612">
        <v>0</v>
      </c>
      <c r="B2612">
        <v>-2.0979020979021001E-2</v>
      </c>
      <c r="C2612">
        <f t="shared" si="80"/>
        <v>1.6091004121689934</v>
      </c>
      <c r="D2612">
        <v>2</v>
      </c>
      <c r="E2612">
        <f t="shared" si="81"/>
        <v>5.4488474052736408E-2</v>
      </c>
    </row>
    <row r="2613" spans="1:5" x14ac:dyDescent="0.25">
      <c r="A2613">
        <v>0</v>
      </c>
      <c r="B2613">
        <v>-2.0979020979021001E-2</v>
      </c>
      <c r="C2613">
        <f t="shared" si="80"/>
        <v>1.6091004121689934</v>
      </c>
      <c r="D2613">
        <v>2</v>
      </c>
      <c r="E2613">
        <f t="shared" si="81"/>
        <v>5.4488474052736408E-2</v>
      </c>
    </row>
    <row r="2614" spans="1:5" x14ac:dyDescent="0.25">
      <c r="A2614">
        <v>0</v>
      </c>
      <c r="B2614">
        <v>-2.0979020979021001E-2</v>
      </c>
      <c r="C2614">
        <f t="shared" si="80"/>
        <v>1.6091004121689934</v>
      </c>
      <c r="D2614">
        <v>2</v>
      </c>
      <c r="E2614">
        <f t="shared" si="81"/>
        <v>5.4488474052736408E-2</v>
      </c>
    </row>
    <row r="2615" spans="1:5" x14ac:dyDescent="0.25">
      <c r="A2615">
        <v>0</v>
      </c>
      <c r="B2615">
        <v>-2.0979020979021001E-2</v>
      </c>
      <c r="C2615">
        <f t="shared" si="80"/>
        <v>1.6091004121689934</v>
      </c>
      <c r="D2615">
        <v>2</v>
      </c>
      <c r="E2615">
        <f t="shared" si="81"/>
        <v>5.4488474052736408E-2</v>
      </c>
    </row>
    <row r="2616" spans="1:5" x14ac:dyDescent="0.25">
      <c r="A2616">
        <v>0</v>
      </c>
      <c r="B2616">
        <v>-2.0979020979021001E-2</v>
      </c>
      <c r="C2616">
        <f t="shared" si="80"/>
        <v>1.6091004121689934</v>
      </c>
      <c r="D2616">
        <v>2</v>
      </c>
      <c r="E2616">
        <f t="shared" si="81"/>
        <v>5.4488474052736408E-2</v>
      </c>
    </row>
    <row r="2617" spans="1:5" x14ac:dyDescent="0.25">
      <c r="A2617">
        <v>0</v>
      </c>
      <c r="B2617">
        <v>-2.0979020979021001E-2</v>
      </c>
      <c r="C2617">
        <f t="shared" si="80"/>
        <v>1.6091004121689934</v>
      </c>
      <c r="D2617">
        <v>2</v>
      </c>
      <c r="E2617">
        <f t="shared" si="81"/>
        <v>5.4488474052736408E-2</v>
      </c>
    </row>
    <row r="2618" spans="1:5" x14ac:dyDescent="0.25">
      <c r="A2618">
        <v>0</v>
      </c>
      <c r="B2618">
        <v>-2.0979020979021001E-2</v>
      </c>
      <c r="C2618">
        <f t="shared" si="80"/>
        <v>1.6091004121689934</v>
      </c>
      <c r="D2618">
        <v>2</v>
      </c>
      <c r="E2618">
        <f t="shared" si="81"/>
        <v>5.4488474052736408E-2</v>
      </c>
    </row>
    <row r="2619" spans="1:5" x14ac:dyDescent="0.25">
      <c r="A2619">
        <v>0</v>
      </c>
      <c r="B2619">
        <v>-2.0979020979021001E-2</v>
      </c>
      <c r="C2619">
        <f t="shared" si="80"/>
        <v>1.6091004121689934</v>
      </c>
      <c r="D2619">
        <v>2</v>
      </c>
      <c r="E2619">
        <f t="shared" si="81"/>
        <v>5.4488474052736408E-2</v>
      </c>
    </row>
    <row r="2620" spans="1:5" x14ac:dyDescent="0.25">
      <c r="A2620">
        <v>0</v>
      </c>
      <c r="B2620">
        <v>-2.09580838323353E-2</v>
      </c>
      <c r="C2620">
        <f t="shared" si="80"/>
        <v>1.6091273625156675</v>
      </c>
      <c r="D2620">
        <v>2</v>
      </c>
      <c r="E2620">
        <f t="shared" si="81"/>
        <v>5.4488474052736408E-2</v>
      </c>
    </row>
    <row r="2621" spans="1:5" x14ac:dyDescent="0.25">
      <c r="A2621">
        <v>0</v>
      </c>
      <c r="B2621">
        <v>-2.09580838323353E-2</v>
      </c>
      <c r="C2621">
        <f t="shared" si="80"/>
        <v>1.6091273625156675</v>
      </c>
      <c r="D2621">
        <v>2</v>
      </c>
      <c r="E2621">
        <f t="shared" si="81"/>
        <v>5.4488474052736408E-2</v>
      </c>
    </row>
    <row r="2622" spans="1:5" x14ac:dyDescent="0.25">
      <c r="A2622">
        <v>0</v>
      </c>
      <c r="B2622">
        <v>-0.02</v>
      </c>
      <c r="C2622">
        <f t="shared" si="80"/>
        <v>1.6103483323206138</v>
      </c>
      <c r="D2622">
        <v>2</v>
      </c>
      <c r="E2622">
        <f t="shared" si="81"/>
        <v>5.4488474052736408E-2</v>
      </c>
    </row>
    <row r="2623" spans="1:5" x14ac:dyDescent="0.25">
      <c r="A2623">
        <v>0</v>
      </c>
      <c r="B2623">
        <v>-0.02</v>
      </c>
      <c r="C2623">
        <f t="shared" si="80"/>
        <v>1.6103483323206138</v>
      </c>
      <c r="D2623">
        <v>2</v>
      </c>
      <c r="E2623">
        <f t="shared" si="81"/>
        <v>5.4488474052736408E-2</v>
      </c>
    </row>
    <row r="2624" spans="1:5" x14ac:dyDescent="0.25">
      <c r="A2624">
        <v>0</v>
      </c>
      <c r="B2624">
        <v>-0.02</v>
      </c>
      <c r="C2624">
        <f t="shared" si="80"/>
        <v>1.6103483323206138</v>
      </c>
      <c r="D2624">
        <v>2</v>
      </c>
      <c r="E2624">
        <f t="shared" si="81"/>
        <v>5.4488474052736408E-2</v>
      </c>
    </row>
    <row r="2625" spans="1:5" x14ac:dyDescent="0.25">
      <c r="A2625">
        <v>0</v>
      </c>
      <c r="B2625">
        <v>-0.02</v>
      </c>
      <c r="C2625">
        <f t="shared" si="80"/>
        <v>1.6103483323206138</v>
      </c>
      <c r="D2625">
        <v>2</v>
      </c>
      <c r="E2625">
        <f t="shared" si="81"/>
        <v>5.4488474052736408E-2</v>
      </c>
    </row>
    <row r="2626" spans="1:5" x14ac:dyDescent="0.25">
      <c r="A2626">
        <v>0</v>
      </c>
      <c r="B2626">
        <v>-0.02</v>
      </c>
      <c r="C2626">
        <f t="shared" ref="C2626:C2689" si="82">_xlfn.NORM.DIST(B2626,I$10,I$13,FALSE)</f>
        <v>1.6103483323206138</v>
      </c>
      <c r="D2626">
        <v>2</v>
      </c>
      <c r="E2626">
        <f t="shared" si="81"/>
        <v>5.4488474052736408E-2</v>
      </c>
    </row>
    <row r="2627" spans="1:5" x14ac:dyDescent="0.25">
      <c r="A2627">
        <v>0</v>
      </c>
      <c r="B2627">
        <v>-0.02</v>
      </c>
      <c r="C2627">
        <f t="shared" si="82"/>
        <v>1.6103483323206138</v>
      </c>
      <c r="D2627">
        <v>2</v>
      </c>
      <c r="E2627">
        <f t="shared" ref="E2627:E2690" si="83">_xlfn.NORM.DIST(D2627,I$4,I$7,FALSE)</f>
        <v>5.4488474052736408E-2</v>
      </c>
    </row>
    <row r="2628" spans="1:5" x14ac:dyDescent="0.25">
      <c r="A2628">
        <v>0</v>
      </c>
      <c r="B2628">
        <v>-0.02</v>
      </c>
      <c r="C2628">
        <f t="shared" si="82"/>
        <v>1.6103483323206138</v>
      </c>
      <c r="D2628">
        <v>2</v>
      </c>
      <c r="E2628">
        <f t="shared" si="83"/>
        <v>5.4488474052736408E-2</v>
      </c>
    </row>
    <row r="2629" spans="1:5" x14ac:dyDescent="0.25">
      <c r="A2629">
        <v>0</v>
      </c>
      <c r="B2629">
        <v>-1.86915887850467E-2</v>
      </c>
      <c r="C2629">
        <f t="shared" si="82"/>
        <v>1.6119768651980453</v>
      </c>
      <c r="D2629">
        <v>2</v>
      </c>
      <c r="E2629">
        <f t="shared" si="83"/>
        <v>5.4488474052736408E-2</v>
      </c>
    </row>
    <row r="2630" spans="1:5" x14ac:dyDescent="0.25">
      <c r="A2630">
        <v>0</v>
      </c>
      <c r="B2630">
        <v>-1.86915887850467E-2</v>
      </c>
      <c r="C2630">
        <f t="shared" si="82"/>
        <v>1.6119768651980453</v>
      </c>
      <c r="D2630">
        <v>2</v>
      </c>
      <c r="E2630">
        <f t="shared" si="83"/>
        <v>5.4488474052736408E-2</v>
      </c>
    </row>
    <row r="2631" spans="1:5" x14ac:dyDescent="0.25">
      <c r="A2631">
        <v>0</v>
      </c>
      <c r="B2631">
        <v>-1.86915887850467E-2</v>
      </c>
      <c r="C2631">
        <f t="shared" si="82"/>
        <v>1.6119768651980453</v>
      </c>
      <c r="D2631">
        <v>2</v>
      </c>
      <c r="E2631">
        <f t="shared" si="83"/>
        <v>5.4488474052736408E-2</v>
      </c>
    </row>
    <row r="2632" spans="1:5" x14ac:dyDescent="0.25">
      <c r="A2632">
        <v>0</v>
      </c>
      <c r="B2632">
        <v>-1.86915887850467E-2</v>
      </c>
      <c r="C2632">
        <f t="shared" si="82"/>
        <v>1.6119768651980453</v>
      </c>
      <c r="D2632">
        <v>2</v>
      </c>
      <c r="E2632">
        <f t="shared" si="83"/>
        <v>5.4488474052736408E-2</v>
      </c>
    </row>
    <row r="2633" spans="1:5" x14ac:dyDescent="0.25">
      <c r="A2633">
        <v>0</v>
      </c>
      <c r="B2633">
        <v>-1.8666666666666699E-2</v>
      </c>
      <c r="C2633">
        <f t="shared" si="82"/>
        <v>1.6120074483052569</v>
      </c>
      <c r="D2633">
        <v>2</v>
      </c>
      <c r="E2633">
        <f t="shared" si="83"/>
        <v>5.4488474052736408E-2</v>
      </c>
    </row>
    <row r="2634" spans="1:5" x14ac:dyDescent="0.25">
      <c r="A2634">
        <v>0</v>
      </c>
      <c r="B2634">
        <v>-1.8666666666666699E-2</v>
      </c>
      <c r="C2634">
        <f t="shared" si="82"/>
        <v>1.6120074483052569</v>
      </c>
      <c r="D2634">
        <v>2</v>
      </c>
      <c r="E2634">
        <f t="shared" si="83"/>
        <v>5.4488474052736408E-2</v>
      </c>
    </row>
    <row r="2635" spans="1:5" x14ac:dyDescent="0.25">
      <c r="A2635">
        <v>0</v>
      </c>
      <c r="B2635">
        <v>-1.8666666666666699E-2</v>
      </c>
      <c r="C2635">
        <f t="shared" si="82"/>
        <v>1.6120074483052569</v>
      </c>
      <c r="D2635">
        <v>2</v>
      </c>
      <c r="E2635">
        <f t="shared" si="83"/>
        <v>5.4488474052736408E-2</v>
      </c>
    </row>
    <row r="2636" spans="1:5" x14ac:dyDescent="0.25">
      <c r="A2636">
        <v>0</v>
      </c>
      <c r="B2636">
        <v>-1.8666666666666699E-2</v>
      </c>
      <c r="C2636">
        <f t="shared" si="82"/>
        <v>1.6120074483052569</v>
      </c>
      <c r="D2636">
        <v>2</v>
      </c>
      <c r="E2636">
        <f t="shared" si="83"/>
        <v>5.4488474052736408E-2</v>
      </c>
    </row>
    <row r="2637" spans="1:5" x14ac:dyDescent="0.25">
      <c r="A2637">
        <v>0</v>
      </c>
      <c r="B2637">
        <v>-1.8666666666666699E-2</v>
      </c>
      <c r="C2637">
        <f t="shared" si="82"/>
        <v>1.6120074483052569</v>
      </c>
      <c r="D2637">
        <v>2</v>
      </c>
      <c r="E2637">
        <f t="shared" si="83"/>
        <v>5.4488474052736408E-2</v>
      </c>
    </row>
    <row r="2638" spans="1:5" x14ac:dyDescent="0.25">
      <c r="A2638">
        <v>0</v>
      </c>
      <c r="B2638">
        <v>-1.8666666666666699E-2</v>
      </c>
      <c r="C2638">
        <f t="shared" si="82"/>
        <v>1.6120074483052569</v>
      </c>
      <c r="D2638">
        <v>2</v>
      </c>
      <c r="E2638">
        <f t="shared" si="83"/>
        <v>5.4488474052736408E-2</v>
      </c>
    </row>
    <row r="2639" spans="1:5" x14ac:dyDescent="0.25">
      <c r="A2639">
        <v>0</v>
      </c>
      <c r="B2639">
        <v>-1.8666666666666699E-2</v>
      </c>
      <c r="C2639">
        <f t="shared" si="82"/>
        <v>1.6120074483052569</v>
      </c>
      <c r="D2639">
        <v>2</v>
      </c>
      <c r="E2639">
        <f t="shared" si="83"/>
        <v>5.4488474052736408E-2</v>
      </c>
    </row>
    <row r="2640" spans="1:5" x14ac:dyDescent="0.25">
      <c r="A2640">
        <v>0</v>
      </c>
      <c r="B2640">
        <v>-1.8666666666666699E-2</v>
      </c>
      <c r="C2640">
        <f t="shared" si="82"/>
        <v>1.6120074483052569</v>
      </c>
      <c r="D2640">
        <v>2</v>
      </c>
      <c r="E2640">
        <f t="shared" si="83"/>
        <v>5.4488474052736408E-2</v>
      </c>
    </row>
    <row r="2641" spans="1:5" x14ac:dyDescent="0.25">
      <c r="A2641">
        <v>0</v>
      </c>
      <c r="B2641">
        <v>-1.8666666666666699E-2</v>
      </c>
      <c r="C2641">
        <f t="shared" si="82"/>
        <v>1.6120074483052569</v>
      </c>
      <c r="D2641">
        <v>2</v>
      </c>
      <c r="E2641">
        <f t="shared" si="83"/>
        <v>5.4488474052736408E-2</v>
      </c>
    </row>
    <row r="2642" spans="1:5" x14ac:dyDescent="0.25">
      <c r="A2642">
        <v>0</v>
      </c>
      <c r="B2642">
        <v>-1.8666666666666699E-2</v>
      </c>
      <c r="C2642">
        <f t="shared" si="82"/>
        <v>1.6120074483052569</v>
      </c>
      <c r="D2642">
        <v>2</v>
      </c>
      <c r="E2642">
        <f t="shared" si="83"/>
        <v>5.4488474052736408E-2</v>
      </c>
    </row>
    <row r="2643" spans="1:5" x14ac:dyDescent="0.25">
      <c r="A2643">
        <v>0</v>
      </c>
      <c r="B2643">
        <v>-1.8666666666666699E-2</v>
      </c>
      <c r="C2643">
        <f t="shared" si="82"/>
        <v>1.6120074483052569</v>
      </c>
      <c r="D2643">
        <v>2</v>
      </c>
      <c r="E2643">
        <f t="shared" si="83"/>
        <v>5.4488474052736408E-2</v>
      </c>
    </row>
    <row r="2644" spans="1:5" x14ac:dyDescent="0.25">
      <c r="A2644">
        <v>0</v>
      </c>
      <c r="B2644">
        <v>-1.8666666666666699E-2</v>
      </c>
      <c r="C2644">
        <f t="shared" si="82"/>
        <v>1.6120074483052569</v>
      </c>
      <c r="D2644">
        <v>2</v>
      </c>
      <c r="E2644">
        <f t="shared" si="83"/>
        <v>5.4488474052736408E-2</v>
      </c>
    </row>
    <row r="2645" spans="1:5" x14ac:dyDescent="0.25">
      <c r="A2645">
        <v>0</v>
      </c>
      <c r="B2645">
        <v>-1.8648018648018599E-2</v>
      </c>
      <c r="C2645">
        <f t="shared" si="82"/>
        <v>1.6120303214828378</v>
      </c>
      <c r="D2645">
        <v>2</v>
      </c>
      <c r="E2645">
        <f t="shared" si="83"/>
        <v>5.4488474052736408E-2</v>
      </c>
    </row>
    <row r="2646" spans="1:5" x14ac:dyDescent="0.25">
      <c r="A2646">
        <v>0</v>
      </c>
      <c r="B2646">
        <v>-1.8648018648018599E-2</v>
      </c>
      <c r="C2646">
        <f t="shared" si="82"/>
        <v>1.6120303214828378</v>
      </c>
      <c r="D2646">
        <v>2</v>
      </c>
      <c r="E2646">
        <f t="shared" si="83"/>
        <v>5.4488474052736408E-2</v>
      </c>
    </row>
    <row r="2647" spans="1:5" x14ac:dyDescent="0.25">
      <c r="A2647">
        <v>0</v>
      </c>
      <c r="B2647">
        <v>-1.8648018648018599E-2</v>
      </c>
      <c r="C2647">
        <f t="shared" si="82"/>
        <v>1.6120303214828378</v>
      </c>
      <c r="D2647">
        <v>2</v>
      </c>
      <c r="E2647">
        <f t="shared" si="83"/>
        <v>5.4488474052736408E-2</v>
      </c>
    </row>
    <row r="2648" spans="1:5" x14ac:dyDescent="0.25">
      <c r="A2648">
        <v>0</v>
      </c>
      <c r="B2648">
        <v>-1.8648018648018599E-2</v>
      </c>
      <c r="C2648">
        <f t="shared" si="82"/>
        <v>1.6120303214828378</v>
      </c>
      <c r="D2648">
        <v>2</v>
      </c>
      <c r="E2648">
        <f t="shared" si="83"/>
        <v>5.4488474052736408E-2</v>
      </c>
    </row>
    <row r="2649" spans="1:5" x14ac:dyDescent="0.25">
      <c r="A2649">
        <v>0</v>
      </c>
      <c r="B2649">
        <v>-1.8648018648018599E-2</v>
      </c>
      <c r="C2649">
        <f t="shared" si="82"/>
        <v>1.6120303214828378</v>
      </c>
      <c r="D2649">
        <v>2</v>
      </c>
      <c r="E2649">
        <f t="shared" si="83"/>
        <v>5.4488474052736408E-2</v>
      </c>
    </row>
    <row r="2650" spans="1:5" x14ac:dyDescent="0.25">
      <c r="A2650">
        <v>0</v>
      </c>
      <c r="B2650">
        <v>-1.8648018648018599E-2</v>
      </c>
      <c r="C2650">
        <f t="shared" si="82"/>
        <v>1.6120303214828378</v>
      </c>
      <c r="D2650">
        <v>2</v>
      </c>
      <c r="E2650">
        <f t="shared" si="83"/>
        <v>5.4488474052736408E-2</v>
      </c>
    </row>
    <row r="2651" spans="1:5" x14ac:dyDescent="0.25">
      <c r="A2651">
        <v>0</v>
      </c>
      <c r="B2651">
        <v>-1.8648018648018599E-2</v>
      </c>
      <c r="C2651">
        <f t="shared" si="82"/>
        <v>1.6120303214828378</v>
      </c>
      <c r="D2651">
        <v>2</v>
      </c>
      <c r="E2651">
        <f t="shared" si="83"/>
        <v>5.4488474052736408E-2</v>
      </c>
    </row>
    <row r="2652" spans="1:5" x14ac:dyDescent="0.25">
      <c r="A2652">
        <v>0</v>
      </c>
      <c r="B2652">
        <v>-1.8648018648018599E-2</v>
      </c>
      <c r="C2652">
        <f t="shared" si="82"/>
        <v>1.6120303214828378</v>
      </c>
      <c r="D2652">
        <v>2</v>
      </c>
      <c r="E2652">
        <f t="shared" si="83"/>
        <v>5.4488474052736408E-2</v>
      </c>
    </row>
    <row r="2653" spans="1:5" x14ac:dyDescent="0.25">
      <c r="A2653">
        <v>0</v>
      </c>
      <c r="B2653">
        <v>-1.8333333333333299E-2</v>
      </c>
      <c r="C2653">
        <f t="shared" si="82"/>
        <v>1.6124149264026126</v>
      </c>
      <c r="D2653">
        <v>2</v>
      </c>
      <c r="E2653">
        <f t="shared" si="83"/>
        <v>5.4488474052736408E-2</v>
      </c>
    </row>
    <row r="2654" spans="1:5" x14ac:dyDescent="0.25">
      <c r="A2654">
        <v>0</v>
      </c>
      <c r="B2654">
        <v>-1.8333333333333299E-2</v>
      </c>
      <c r="C2654">
        <f t="shared" si="82"/>
        <v>1.6124149264026126</v>
      </c>
      <c r="D2654">
        <v>2</v>
      </c>
      <c r="E2654">
        <f t="shared" si="83"/>
        <v>5.4488474052736408E-2</v>
      </c>
    </row>
    <row r="2655" spans="1:5" x14ac:dyDescent="0.25">
      <c r="A2655">
        <v>0</v>
      </c>
      <c r="B2655">
        <v>-1.8333333333333299E-2</v>
      </c>
      <c r="C2655">
        <f t="shared" si="82"/>
        <v>1.6124149264026126</v>
      </c>
      <c r="D2655">
        <v>2</v>
      </c>
      <c r="E2655">
        <f t="shared" si="83"/>
        <v>5.4488474052736408E-2</v>
      </c>
    </row>
    <row r="2656" spans="1:5" x14ac:dyDescent="0.25">
      <c r="A2656">
        <v>0</v>
      </c>
      <c r="B2656">
        <v>-1.8018018018018001E-2</v>
      </c>
      <c r="C2656">
        <f t="shared" si="82"/>
        <v>1.6127976866557185</v>
      </c>
      <c r="D2656">
        <v>2</v>
      </c>
      <c r="E2656">
        <f t="shared" si="83"/>
        <v>5.4488474052736408E-2</v>
      </c>
    </row>
    <row r="2657" spans="1:5" x14ac:dyDescent="0.25">
      <c r="A2657">
        <v>0</v>
      </c>
      <c r="B2657">
        <v>-1.8018018018018001E-2</v>
      </c>
      <c r="C2657">
        <f t="shared" si="82"/>
        <v>1.6127976866557185</v>
      </c>
      <c r="D2657">
        <v>2</v>
      </c>
      <c r="E2657">
        <f t="shared" si="83"/>
        <v>5.4488474052736408E-2</v>
      </c>
    </row>
    <row r="2658" spans="1:5" x14ac:dyDescent="0.25">
      <c r="A2658">
        <v>0</v>
      </c>
      <c r="B2658">
        <v>-1.8018018018018001E-2</v>
      </c>
      <c r="C2658">
        <f t="shared" si="82"/>
        <v>1.6127976866557185</v>
      </c>
      <c r="D2658">
        <v>2</v>
      </c>
      <c r="E2658">
        <f t="shared" si="83"/>
        <v>5.4488474052736408E-2</v>
      </c>
    </row>
    <row r="2659" spans="1:5" x14ac:dyDescent="0.25">
      <c r="A2659">
        <v>0</v>
      </c>
      <c r="B2659">
        <v>-1.8018018018018001E-2</v>
      </c>
      <c r="C2659">
        <f t="shared" si="82"/>
        <v>1.6127976866557185</v>
      </c>
      <c r="D2659">
        <v>2</v>
      </c>
      <c r="E2659">
        <f t="shared" si="83"/>
        <v>5.4488474052736408E-2</v>
      </c>
    </row>
    <row r="2660" spans="1:5" x14ac:dyDescent="0.25">
      <c r="A2660">
        <v>0</v>
      </c>
      <c r="B2660">
        <v>-1.8018018018018001E-2</v>
      </c>
      <c r="C2660">
        <f t="shared" si="82"/>
        <v>1.6127976866557185</v>
      </c>
      <c r="D2660">
        <v>2</v>
      </c>
      <c r="E2660">
        <f t="shared" si="83"/>
        <v>5.4488474052736408E-2</v>
      </c>
    </row>
    <row r="2661" spans="1:5" x14ac:dyDescent="0.25">
      <c r="A2661">
        <v>0</v>
      </c>
      <c r="B2661">
        <v>-1.8018018018018001E-2</v>
      </c>
      <c r="C2661">
        <f t="shared" si="82"/>
        <v>1.6127976866557185</v>
      </c>
      <c r="D2661">
        <v>2</v>
      </c>
      <c r="E2661">
        <f t="shared" si="83"/>
        <v>5.4488474052736408E-2</v>
      </c>
    </row>
    <row r="2662" spans="1:5" x14ac:dyDescent="0.25">
      <c r="A2662">
        <v>0</v>
      </c>
      <c r="B2662">
        <v>-1.8018018018018001E-2</v>
      </c>
      <c r="C2662">
        <f t="shared" si="82"/>
        <v>1.6127976866557185</v>
      </c>
      <c r="D2662">
        <v>2</v>
      </c>
      <c r="E2662">
        <f t="shared" si="83"/>
        <v>5.4488474052736408E-2</v>
      </c>
    </row>
    <row r="2663" spans="1:5" x14ac:dyDescent="0.25">
      <c r="A2663">
        <v>0</v>
      </c>
      <c r="B2663">
        <v>-1.8018018018018001E-2</v>
      </c>
      <c r="C2663">
        <f t="shared" si="82"/>
        <v>1.6127976866557185</v>
      </c>
      <c r="D2663">
        <v>2</v>
      </c>
      <c r="E2663">
        <f t="shared" si="83"/>
        <v>5.4488474052736408E-2</v>
      </c>
    </row>
    <row r="2664" spans="1:5" x14ac:dyDescent="0.25">
      <c r="A2664">
        <v>0</v>
      </c>
      <c r="B2664">
        <v>-1.8018018018018001E-2</v>
      </c>
      <c r="C2664">
        <f t="shared" si="82"/>
        <v>1.6127976866557185</v>
      </c>
      <c r="D2664">
        <v>2</v>
      </c>
      <c r="E2664">
        <f t="shared" si="83"/>
        <v>5.4488474052736408E-2</v>
      </c>
    </row>
    <row r="2665" spans="1:5" x14ac:dyDescent="0.25">
      <c r="A2665">
        <v>0</v>
      </c>
      <c r="B2665">
        <v>-1.8018018018018001E-2</v>
      </c>
      <c r="C2665">
        <f t="shared" si="82"/>
        <v>1.6127976866557185</v>
      </c>
      <c r="D2665">
        <v>2</v>
      </c>
      <c r="E2665">
        <f t="shared" si="83"/>
        <v>5.4488474052736408E-2</v>
      </c>
    </row>
    <row r="2666" spans="1:5" x14ac:dyDescent="0.25">
      <c r="A2666">
        <v>0</v>
      </c>
      <c r="B2666">
        <v>-1.8018018018018001E-2</v>
      </c>
      <c r="C2666">
        <f t="shared" si="82"/>
        <v>1.6127976866557185</v>
      </c>
      <c r="D2666">
        <v>2</v>
      </c>
      <c r="E2666">
        <f t="shared" si="83"/>
        <v>5.4488474052736408E-2</v>
      </c>
    </row>
    <row r="2667" spans="1:5" x14ac:dyDescent="0.25">
      <c r="A2667">
        <v>0</v>
      </c>
      <c r="B2667">
        <v>-1.8018018018018001E-2</v>
      </c>
      <c r="C2667">
        <f t="shared" si="82"/>
        <v>1.6127976866557185</v>
      </c>
      <c r="D2667">
        <v>2</v>
      </c>
      <c r="E2667">
        <f t="shared" si="83"/>
        <v>5.4488474052736408E-2</v>
      </c>
    </row>
    <row r="2668" spans="1:5" x14ac:dyDescent="0.25">
      <c r="A2668">
        <v>0</v>
      </c>
      <c r="B2668">
        <v>-1.8018018018018001E-2</v>
      </c>
      <c r="C2668">
        <f t="shared" si="82"/>
        <v>1.6127976866557185</v>
      </c>
      <c r="D2668">
        <v>2</v>
      </c>
      <c r="E2668">
        <f t="shared" si="83"/>
        <v>5.4488474052736408E-2</v>
      </c>
    </row>
    <row r="2669" spans="1:5" x14ac:dyDescent="0.25">
      <c r="A2669">
        <v>0</v>
      </c>
      <c r="B2669">
        <v>-1.7999999999999999E-2</v>
      </c>
      <c r="C2669">
        <f t="shared" si="82"/>
        <v>1.6128194795786825</v>
      </c>
      <c r="D2669">
        <v>2</v>
      </c>
      <c r="E2669">
        <f t="shared" si="83"/>
        <v>5.4488474052736408E-2</v>
      </c>
    </row>
    <row r="2670" spans="1:5" x14ac:dyDescent="0.25">
      <c r="A2670">
        <v>0</v>
      </c>
      <c r="B2670">
        <v>-1.7999999999999999E-2</v>
      </c>
      <c r="C2670">
        <f t="shared" si="82"/>
        <v>1.6128194795786825</v>
      </c>
      <c r="D2670">
        <v>2</v>
      </c>
      <c r="E2670">
        <f t="shared" si="83"/>
        <v>5.4488474052736408E-2</v>
      </c>
    </row>
    <row r="2671" spans="1:5" x14ac:dyDescent="0.25">
      <c r="A2671">
        <v>0</v>
      </c>
      <c r="B2671">
        <v>-1.7999999999999999E-2</v>
      </c>
      <c r="C2671">
        <f t="shared" si="82"/>
        <v>1.6128194795786825</v>
      </c>
      <c r="D2671">
        <v>2</v>
      </c>
      <c r="E2671">
        <f t="shared" si="83"/>
        <v>5.4488474052736408E-2</v>
      </c>
    </row>
    <row r="2672" spans="1:5" x14ac:dyDescent="0.25">
      <c r="A2672">
        <v>0</v>
      </c>
      <c r="B2672">
        <v>-1.79640718562874E-2</v>
      </c>
      <c r="C2672">
        <f t="shared" si="82"/>
        <v>1.6128629093973741</v>
      </c>
      <c r="D2672">
        <v>2</v>
      </c>
      <c r="E2672">
        <f t="shared" si="83"/>
        <v>5.4488474052736408E-2</v>
      </c>
    </row>
    <row r="2673" spans="1:5" x14ac:dyDescent="0.25">
      <c r="A2673">
        <v>0</v>
      </c>
      <c r="B2673">
        <v>-1.79640718562874E-2</v>
      </c>
      <c r="C2673">
        <f t="shared" si="82"/>
        <v>1.6128629093973741</v>
      </c>
      <c r="D2673">
        <v>2</v>
      </c>
      <c r="E2673">
        <f t="shared" si="83"/>
        <v>5.4488474052736408E-2</v>
      </c>
    </row>
    <row r="2674" spans="1:5" x14ac:dyDescent="0.25">
      <c r="A2674">
        <v>0</v>
      </c>
      <c r="B2674">
        <v>-1.79640718562874E-2</v>
      </c>
      <c r="C2674">
        <f t="shared" si="82"/>
        <v>1.6128629093973741</v>
      </c>
      <c r="D2674">
        <v>2</v>
      </c>
      <c r="E2674">
        <f t="shared" si="83"/>
        <v>5.4488474052736408E-2</v>
      </c>
    </row>
    <row r="2675" spans="1:5" x14ac:dyDescent="0.25">
      <c r="A2675">
        <v>0</v>
      </c>
      <c r="B2675">
        <v>-1.7333333333333301E-2</v>
      </c>
      <c r="C2675">
        <f t="shared" si="82"/>
        <v>1.6136198021706076</v>
      </c>
      <c r="D2675">
        <v>2</v>
      </c>
      <c r="E2675">
        <f t="shared" si="83"/>
        <v>5.4488474052736408E-2</v>
      </c>
    </row>
    <row r="2676" spans="1:5" x14ac:dyDescent="0.25">
      <c r="A2676">
        <v>0</v>
      </c>
      <c r="B2676">
        <v>-1.7333333333333301E-2</v>
      </c>
      <c r="C2676">
        <f t="shared" si="82"/>
        <v>1.6136198021706076</v>
      </c>
      <c r="D2676">
        <v>2</v>
      </c>
      <c r="E2676">
        <f t="shared" si="83"/>
        <v>5.4488474052736408E-2</v>
      </c>
    </row>
    <row r="2677" spans="1:5" x14ac:dyDescent="0.25">
      <c r="A2677">
        <v>0</v>
      </c>
      <c r="B2677">
        <v>-1.72413793103448E-2</v>
      </c>
      <c r="C2677">
        <f t="shared" si="82"/>
        <v>1.6137292716192579</v>
      </c>
      <c r="D2677">
        <v>2</v>
      </c>
      <c r="E2677">
        <f t="shared" si="83"/>
        <v>5.4488474052736408E-2</v>
      </c>
    </row>
    <row r="2678" spans="1:5" x14ac:dyDescent="0.25">
      <c r="A2678">
        <v>0</v>
      </c>
      <c r="B2678">
        <v>-1.6666666666666701E-2</v>
      </c>
      <c r="C2678">
        <f t="shared" si="82"/>
        <v>1.6144083982476904</v>
      </c>
      <c r="D2678">
        <v>2</v>
      </c>
      <c r="E2678">
        <f t="shared" si="83"/>
        <v>5.4488474052736408E-2</v>
      </c>
    </row>
    <row r="2679" spans="1:5" x14ac:dyDescent="0.25">
      <c r="A2679">
        <v>0</v>
      </c>
      <c r="B2679">
        <v>-1.6666666666666701E-2</v>
      </c>
      <c r="C2679">
        <f t="shared" si="82"/>
        <v>1.6144083982476904</v>
      </c>
      <c r="D2679">
        <v>2</v>
      </c>
      <c r="E2679">
        <f t="shared" si="83"/>
        <v>5.4488474052736408E-2</v>
      </c>
    </row>
    <row r="2680" spans="1:5" x14ac:dyDescent="0.25">
      <c r="A2680">
        <v>0</v>
      </c>
      <c r="B2680">
        <v>-1.6666666666666701E-2</v>
      </c>
      <c r="C2680">
        <f t="shared" si="82"/>
        <v>1.6144083982476904</v>
      </c>
      <c r="D2680">
        <v>2</v>
      </c>
      <c r="E2680">
        <f t="shared" si="83"/>
        <v>5.4488474052736408E-2</v>
      </c>
    </row>
    <row r="2681" spans="1:5" x14ac:dyDescent="0.25">
      <c r="A2681">
        <v>0</v>
      </c>
      <c r="B2681">
        <v>-1.63551401869159E-2</v>
      </c>
      <c r="C2681">
        <f t="shared" si="82"/>
        <v>1.6147728759828281</v>
      </c>
      <c r="D2681">
        <v>2</v>
      </c>
      <c r="E2681">
        <f t="shared" si="83"/>
        <v>5.4488474052736408E-2</v>
      </c>
    </row>
    <row r="2682" spans="1:5" x14ac:dyDescent="0.25">
      <c r="A2682">
        <v>0</v>
      </c>
      <c r="B2682">
        <v>-1.63551401869159E-2</v>
      </c>
      <c r="C2682">
        <f t="shared" si="82"/>
        <v>1.6147728759828281</v>
      </c>
      <c r="D2682">
        <v>2</v>
      </c>
      <c r="E2682">
        <f t="shared" si="83"/>
        <v>5.4488474052736408E-2</v>
      </c>
    </row>
    <row r="2683" spans="1:5" x14ac:dyDescent="0.25">
      <c r="A2683">
        <v>0</v>
      </c>
      <c r="B2683">
        <v>-1.63551401869159E-2</v>
      </c>
      <c r="C2683">
        <f t="shared" si="82"/>
        <v>1.6147728759828281</v>
      </c>
      <c r="D2683">
        <v>2</v>
      </c>
      <c r="E2683">
        <f t="shared" si="83"/>
        <v>5.4488474052736408E-2</v>
      </c>
    </row>
    <row r="2684" spans="1:5" x14ac:dyDescent="0.25">
      <c r="A2684">
        <v>0</v>
      </c>
      <c r="B2684">
        <v>-1.63551401869159E-2</v>
      </c>
      <c r="C2684">
        <f t="shared" si="82"/>
        <v>1.6147728759828281</v>
      </c>
      <c r="D2684">
        <v>2</v>
      </c>
      <c r="E2684">
        <f t="shared" si="83"/>
        <v>5.4488474052736408E-2</v>
      </c>
    </row>
    <row r="2685" spans="1:5" x14ac:dyDescent="0.25">
      <c r="A2685">
        <v>0</v>
      </c>
      <c r="B2685">
        <v>-1.63551401869159E-2</v>
      </c>
      <c r="C2685">
        <f t="shared" si="82"/>
        <v>1.6147728759828281</v>
      </c>
      <c r="D2685">
        <v>2</v>
      </c>
      <c r="E2685">
        <f t="shared" si="83"/>
        <v>5.4488474052736408E-2</v>
      </c>
    </row>
    <row r="2686" spans="1:5" x14ac:dyDescent="0.25">
      <c r="A2686">
        <v>0</v>
      </c>
      <c r="B2686">
        <v>-1.63551401869159E-2</v>
      </c>
      <c r="C2686">
        <f t="shared" si="82"/>
        <v>1.6147728759828281</v>
      </c>
      <c r="D2686">
        <v>2</v>
      </c>
      <c r="E2686">
        <f t="shared" si="83"/>
        <v>5.4488474052736408E-2</v>
      </c>
    </row>
    <row r="2687" spans="1:5" x14ac:dyDescent="0.25">
      <c r="A2687">
        <v>0</v>
      </c>
      <c r="B2687">
        <v>-1.63551401869159E-2</v>
      </c>
      <c r="C2687">
        <f t="shared" si="82"/>
        <v>1.6147728759828281</v>
      </c>
      <c r="D2687">
        <v>2</v>
      </c>
      <c r="E2687">
        <f t="shared" si="83"/>
        <v>5.4488474052736408E-2</v>
      </c>
    </row>
    <row r="2688" spans="1:5" x14ac:dyDescent="0.25">
      <c r="A2688">
        <v>0</v>
      </c>
      <c r="B2688">
        <v>-1.6317016317016299E-2</v>
      </c>
      <c r="C2688">
        <f t="shared" si="82"/>
        <v>1.6148173036971971</v>
      </c>
      <c r="D2688">
        <v>2</v>
      </c>
      <c r="E2688">
        <f t="shared" si="83"/>
        <v>5.4488474052736408E-2</v>
      </c>
    </row>
    <row r="2689" spans="1:5" x14ac:dyDescent="0.25">
      <c r="A2689">
        <v>0</v>
      </c>
      <c r="B2689">
        <v>-1.6317016317016299E-2</v>
      </c>
      <c r="C2689">
        <f t="shared" si="82"/>
        <v>1.6148173036971971</v>
      </c>
      <c r="D2689">
        <v>2</v>
      </c>
      <c r="E2689">
        <f t="shared" si="83"/>
        <v>5.4488474052736408E-2</v>
      </c>
    </row>
    <row r="2690" spans="1:5" x14ac:dyDescent="0.25">
      <c r="A2690">
        <v>0</v>
      </c>
      <c r="B2690">
        <v>-1.6317016317016299E-2</v>
      </c>
      <c r="C2690">
        <f t="shared" ref="C2690:C2753" si="84">_xlfn.NORM.DIST(B2690,I$10,I$13,FALSE)</f>
        <v>1.6148173036971971</v>
      </c>
      <c r="D2690">
        <v>2</v>
      </c>
      <c r="E2690">
        <f t="shared" si="83"/>
        <v>5.4488474052736408E-2</v>
      </c>
    </row>
    <row r="2691" spans="1:5" x14ac:dyDescent="0.25">
      <c r="A2691">
        <v>0</v>
      </c>
      <c r="B2691">
        <v>-1.6317016317016299E-2</v>
      </c>
      <c r="C2691">
        <f t="shared" si="84"/>
        <v>1.6148173036971971</v>
      </c>
      <c r="D2691">
        <v>2</v>
      </c>
      <c r="E2691">
        <f t="shared" ref="E2691:E2754" si="85">_xlfn.NORM.DIST(D2691,I$4,I$7,FALSE)</f>
        <v>5.4488474052736408E-2</v>
      </c>
    </row>
    <row r="2692" spans="1:5" x14ac:dyDescent="0.25">
      <c r="A2692">
        <v>0</v>
      </c>
      <c r="B2692">
        <v>-1.6317016317016299E-2</v>
      </c>
      <c r="C2692">
        <f t="shared" si="84"/>
        <v>1.6148173036971971</v>
      </c>
      <c r="D2692">
        <v>2</v>
      </c>
      <c r="E2692">
        <f t="shared" si="85"/>
        <v>5.4488474052736408E-2</v>
      </c>
    </row>
    <row r="2693" spans="1:5" x14ac:dyDescent="0.25">
      <c r="A2693">
        <v>0</v>
      </c>
      <c r="B2693">
        <v>-1.6317016317016299E-2</v>
      </c>
      <c r="C2693">
        <f t="shared" si="84"/>
        <v>1.6148173036971971</v>
      </c>
      <c r="D2693">
        <v>2</v>
      </c>
      <c r="E2693">
        <f t="shared" si="85"/>
        <v>5.4488474052736408E-2</v>
      </c>
    </row>
    <row r="2694" spans="1:5" x14ac:dyDescent="0.25">
      <c r="A2694">
        <v>0</v>
      </c>
      <c r="B2694">
        <v>-1.6E-2</v>
      </c>
      <c r="C2694">
        <f t="shared" si="84"/>
        <v>1.6151852502320594</v>
      </c>
      <c r="D2694">
        <v>2</v>
      </c>
      <c r="E2694">
        <f t="shared" si="85"/>
        <v>5.4488474052736408E-2</v>
      </c>
    </row>
    <row r="2695" spans="1:5" x14ac:dyDescent="0.25">
      <c r="A2695">
        <v>0</v>
      </c>
      <c r="B2695">
        <v>-1.6E-2</v>
      </c>
      <c r="C2695">
        <f t="shared" si="84"/>
        <v>1.6151852502320594</v>
      </c>
      <c r="D2695">
        <v>2</v>
      </c>
      <c r="E2695">
        <f t="shared" si="85"/>
        <v>5.4488474052736408E-2</v>
      </c>
    </row>
    <row r="2696" spans="1:5" x14ac:dyDescent="0.25">
      <c r="A2696">
        <v>0</v>
      </c>
      <c r="B2696">
        <v>-1.6E-2</v>
      </c>
      <c r="C2696">
        <f t="shared" si="84"/>
        <v>1.6151852502320594</v>
      </c>
      <c r="D2696">
        <v>2</v>
      </c>
      <c r="E2696">
        <f t="shared" si="85"/>
        <v>5.4488474052736408E-2</v>
      </c>
    </row>
    <row r="2697" spans="1:5" x14ac:dyDescent="0.25">
      <c r="A2697">
        <v>0</v>
      </c>
      <c r="B2697">
        <v>-1.6E-2</v>
      </c>
      <c r="C2697">
        <f t="shared" si="84"/>
        <v>1.6151852502320594</v>
      </c>
      <c r="D2697">
        <v>2</v>
      </c>
      <c r="E2697">
        <f t="shared" si="85"/>
        <v>5.4488474052736408E-2</v>
      </c>
    </row>
    <row r="2698" spans="1:5" x14ac:dyDescent="0.25">
      <c r="A2698">
        <v>0</v>
      </c>
      <c r="B2698">
        <v>-1.6E-2</v>
      </c>
      <c r="C2698">
        <f t="shared" si="84"/>
        <v>1.6151852502320594</v>
      </c>
      <c r="D2698">
        <v>2</v>
      </c>
      <c r="E2698">
        <f t="shared" si="85"/>
        <v>5.4488474052736408E-2</v>
      </c>
    </row>
    <row r="2699" spans="1:5" x14ac:dyDescent="0.25">
      <c r="A2699">
        <v>0</v>
      </c>
      <c r="B2699">
        <v>-1.6E-2</v>
      </c>
      <c r="C2699">
        <f t="shared" si="84"/>
        <v>1.6151852502320594</v>
      </c>
      <c r="D2699">
        <v>2</v>
      </c>
      <c r="E2699">
        <f t="shared" si="85"/>
        <v>5.4488474052736408E-2</v>
      </c>
    </row>
    <row r="2700" spans="1:5" x14ac:dyDescent="0.25">
      <c r="A2700">
        <v>0</v>
      </c>
      <c r="B2700">
        <v>-1.6E-2</v>
      </c>
      <c r="C2700">
        <f t="shared" si="84"/>
        <v>1.6151852502320594</v>
      </c>
      <c r="D2700">
        <v>2</v>
      </c>
      <c r="E2700">
        <f t="shared" si="85"/>
        <v>5.4488474052736408E-2</v>
      </c>
    </row>
    <row r="2701" spans="1:5" x14ac:dyDescent="0.25">
      <c r="A2701">
        <v>0</v>
      </c>
      <c r="B2701">
        <v>-1.6E-2</v>
      </c>
      <c r="C2701">
        <f t="shared" si="84"/>
        <v>1.6151852502320594</v>
      </c>
      <c r="D2701">
        <v>2</v>
      </c>
      <c r="E2701">
        <f t="shared" si="85"/>
        <v>5.4488474052736408E-2</v>
      </c>
    </row>
    <row r="2702" spans="1:5" x14ac:dyDescent="0.25">
      <c r="A2702">
        <v>0</v>
      </c>
      <c r="B2702">
        <v>-1.6E-2</v>
      </c>
      <c r="C2702">
        <f t="shared" si="84"/>
        <v>1.6151852502320594</v>
      </c>
      <c r="D2702">
        <v>2</v>
      </c>
      <c r="E2702">
        <f t="shared" si="85"/>
        <v>5.4488474052736408E-2</v>
      </c>
    </row>
    <row r="2703" spans="1:5" x14ac:dyDescent="0.25">
      <c r="A2703">
        <v>0</v>
      </c>
      <c r="B2703">
        <v>-1.6E-2</v>
      </c>
      <c r="C2703">
        <f t="shared" si="84"/>
        <v>1.6151852502320594</v>
      </c>
      <c r="D2703">
        <v>2</v>
      </c>
      <c r="E2703">
        <f t="shared" si="85"/>
        <v>5.4488474052736408E-2</v>
      </c>
    </row>
    <row r="2704" spans="1:5" x14ac:dyDescent="0.25">
      <c r="A2704">
        <v>0</v>
      </c>
      <c r="B2704">
        <v>-1.6E-2</v>
      </c>
      <c r="C2704">
        <f t="shared" si="84"/>
        <v>1.6151852502320594</v>
      </c>
      <c r="D2704">
        <v>2</v>
      </c>
      <c r="E2704">
        <f t="shared" si="85"/>
        <v>5.4488474052736408E-2</v>
      </c>
    </row>
    <row r="2705" spans="1:5" x14ac:dyDescent="0.25">
      <c r="A2705">
        <v>0</v>
      </c>
      <c r="B2705">
        <v>-1.6E-2</v>
      </c>
      <c r="C2705">
        <f t="shared" si="84"/>
        <v>1.6151852502320594</v>
      </c>
      <c r="D2705">
        <v>2</v>
      </c>
      <c r="E2705">
        <f t="shared" si="85"/>
        <v>5.4488474052736408E-2</v>
      </c>
    </row>
    <row r="2706" spans="1:5" x14ac:dyDescent="0.25">
      <c r="A2706">
        <v>0</v>
      </c>
      <c r="B2706">
        <v>-1.6E-2</v>
      </c>
      <c r="C2706">
        <f t="shared" si="84"/>
        <v>1.6151852502320594</v>
      </c>
      <c r="D2706">
        <v>2</v>
      </c>
      <c r="E2706">
        <f t="shared" si="85"/>
        <v>5.4488474052736408E-2</v>
      </c>
    </row>
    <row r="2707" spans="1:5" x14ac:dyDescent="0.25">
      <c r="A2707">
        <v>0</v>
      </c>
      <c r="B2707">
        <v>-1.6E-2</v>
      </c>
      <c r="C2707">
        <f t="shared" si="84"/>
        <v>1.6151852502320594</v>
      </c>
      <c r="D2707">
        <v>2</v>
      </c>
      <c r="E2707">
        <f t="shared" si="85"/>
        <v>5.4488474052736408E-2</v>
      </c>
    </row>
    <row r="2708" spans="1:5" x14ac:dyDescent="0.25">
      <c r="A2708">
        <v>0</v>
      </c>
      <c r="B2708">
        <v>-1.6E-2</v>
      </c>
      <c r="C2708">
        <f t="shared" si="84"/>
        <v>1.6151852502320594</v>
      </c>
      <c r="D2708">
        <v>2</v>
      </c>
      <c r="E2708">
        <f t="shared" si="85"/>
        <v>5.4488474052736408E-2</v>
      </c>
    </row>
    <row r="2709" spans="1:5" x14ac:dyDescent="0.25">
      <c r="A2709">
        <v>0</v>
      </c>
      <c r="B2709">
        <v>-1.5015015015014999E-2</v>
      </c>
      <c r="C2709">
        <f t="shared" si="84"/>
        <v>1.6163115007198199</v>
      </c>
      <c r="D2709">
        <v>2</v>
      </c>
      <c r="E2709">
        <f t="shared" si="85"/>
        <v>5.4488474052736408E-2</v>
      </c>
    </row>
    <row r="2710" spans="1:5" x14ac:dyDescent="0.25">
      <c r="A2710">
        <v>0</v>
      </c>
      <c r="B2710">
        <v>-1.5015015015014999E-2</v>
      </c>
      <c r="C2710">
        <f t="shared" si="84"/>
        <v>1.6163115007198199</v>
      </c>
      <c r="D2710">
        <v>2</v>
      </c>
      <c r="E2710">
        <f t="shared" si="85"/>
        <v>5.4488474052736408E-2</v>
      </c>
    </row>
    <row r="2711" spans="1:5" x14ac:dyDescent="0.25">
      <c r="A2711">
        <v>0</v>
      </c>
      <c r="B2711">
        <v>-1.5015015015014999E-2</v>
      </c>
      <c r="C2711">
        <f t="shared" si="84"/>
        <v>1.6163115007198199</v>
      </c>
      <c r="D2711">
        <v>2</v>
      </c>
      <c r="E2711">
        <f t="shared" si="85"/>
        <v>5.4488474052736408E-2</v>
      </c>
    </row>
    <row r="2712" spans="1:5" x14ac:dyDescent="0.25">
      <c r="A2712">
        <v>0</v>
      </c>
      <c r="B2712">
        <v>-1.5015015015014999E-2</v>
      </c>
      <c r="C2712">
        <f t="shared" si="84"/>
        <v>1.6163115007198199</v>
      </c>
      <c r="D2712">
        <v>2</v>
      </c>
      <c r="E2712">
        <f t="shared" si="85"/>
        <v>5.4488474052736408E-2</v>
      </c>
    </row>
    <row r="2713" spans="1:5" x14ac:dyDescent="0.25">
      <c r="A2713">
        <v>0</v>
      </c>
      <c r="B2713">
        <v>-1.5015015015014999E-2</v>
      </c>
      <c r="C2713">
        <f t="shared" si="84"/>
        <v>1.6163115007198199</v>
      </c>
      <c r="D2713">
        <v>2</v>
      </c>
      <c r="E2713">
        <f t="shared" si="85"/>
        <v>5.4488474052736408E-2</v>
      </c>
    </row>
    <row r="2714" spans="1:5" x14ac:dyDescent="0.25">
      <c r="A2714">
        <v>0</v>
      </c>
      <c r="B2714">
        <v>-1.5015015015014999E-2</v>
      </c>
      <c r="C2714">
        <f t="shared" si="84"/>
        <v>1.6163115007198199</v>
      </c>
      <c r="D2714">
        <v>2</v>
      </c>
      <c r="E2714">
        <f t="shared" si="85"/>
        <v>5.4488474052736408E-2</v>
      </c>
    </row>
    <row r="2715" spans="1:5" x14ac:dyDescent="0.25">
      <c r="A2715">
        <v>0</v>
      </c>
      <c r="B2715">
        <v>-1.5015015015014999E-2</v>
      </c>
      <c r="C2715">
        <f t="shared" si="84"/>
        <v>1.6163115007198199</v>
      </c>
      <c r="D2715">
        <v>2</v>
      </c>
      <c r="E2715">
        <f t="shared" si="85"/>
        <v>5.4488474052736408E-2</v>
      </c>
    </row>
    <row r="2716" spans="1:5" x14ac:dyDescent="0.25">
      <c r="A2716">
        <v>0</v>
      </c>
      <c r="B2716">
        <v>-1.4999999999999999E-2</v>
      </c>
      <c r="C2716">
        <f t="shared" si="84"/>
        <v>1.6163284702136287</v>
      </c>
      <c r="D2716">
        <v>2</v>
      </c>
      <c r="E2716">
        <f t="shared" si="85"/>
        <v>5.4488474052736408E-2</v>
      </c>
    </row>
    <row r="2717" spans="1:5" x14ac:dyDescent="0.25">
      <c r="A2717">
        <v>0</v>
      </c>
      <c r="B2717">
        <v>-1.4999999999999999E-2</v>
      </c>
      <c r="C2717">
        <f t="shared" si="84"/>
        <v>1.6163284702136287</v>
      </c>
      <c r="D2717">
        <v>2</v>
      </c>
      <c r="E2717">
        <f t="shared" si="85"/>
        <v>5.4488474052736408E-2</v>
      </c>
    </row>
    <row r="2718" spans="1:5" x14ac:dyDescent="0.25">
      <c r="A2718">
        <v>0</v>
      </c>
      <c r="B2718">
        <v>-1.49700598802395E-2</v>
      </c>
      <c r="C2718">
        <f t="shared" si="84"/>
        <v>1.6163622897394547</v>
      </c>
      <c r="D2718">
        <v>2</v>
      </c>
      <c r="E2718">
        <f t="shared" si="85"/>
        <v>5.4488474052736408E-2</v>
      </c>
    </row>
    <row r="2719" spans="1:5" x14ac:dyDescent="0.25">
      <c r="A2719">
        <v>0</v>
      </c>
      <c r="B2719">
        <v>-1.49700598802395E-2</v>
      </c>
      <c r="C2719">
        <f t="shared" si="84"/>
        <v>1.6163622897394547</v>
      </c>
      <c r="D2719">
        <v>2</v>
      </c>
      <c r="E2719">
        <f t="shared" si="85"/>
        <v>5.4488474052736408E-2</v>
      </c>
    </row>
    <row r="2720" spans="1:5" x14ac:dyDescent="0.25">
      <c r="A2720">
        <v>0</v>
      </c>
      <c r="B2720">
        <v>-1.49700598802395E-2</v>
      </c>
      <c r="C2720">
        <f t="shared" si="84"/>
        <v>1.6163622897394547</v>
      </c>
      <c r="D2720">
        <v>2</v>
      </c>
      <c r="E2720">
        <f t="shared" si="85"/>
        <v>5.4488474052736408E-2</v>
      </c>
    </row>
    <row r="2721" spans="1:5" x14ac:dyDescent="0.25">
      <c r="A2721">
        <v>0</v>
      </c>
      <c r="B2721">
        <v>-1.49700598802395E-2</v>
      </c>
      <c r="C2721">
        <f t="shared" si="84"/>
        <v>1.6163622897394547</v>
      </c>
      <c r="D2721">
        <v>2</v>
      </c>
      <c r="E2721">
        <f t="shared" si="85"/>
        <v>5.4488474052736408E-2</v>
      </c>
    </row>
    <row r="2722" spans="1:5" x14ac:dyDescent="0.25">
      <c r="A2722">
        <v>0</v>
      </c>
      <c r="B2722">
        <v>-1.49253731343284E-2</v>
      </c>
      <c r="C2722">
        <f t="shared" si="84"/>
        <v>1.6164127224194933</v>
      </c>
      <c r="D2722">
        <v>2</v>
      </c>
      <c r="E2722">
        <f t="shared" si="85"/>
        <v>5.4488474052736408E-2</v>
      </c>
    </row>
    <row r="2723" spans="1:5" x14ac:dyDescent="0.25">
      <c r="A2723">
        <v>0</v>
      </c>
      <c r="B2723">
        <v>-1.4666666666666699E-2</v>
      </c>
      <c r="C2723">
        <f t="shared" si="84"/>
        <v>1.6167036528924035</v>
      </c>
      <c r="D2723">
        <v>2</v>
      </c>
      <c r="E2723">
        <f t="shared" si="85"/>
        <v>5.4488474052736408E-2</v>
      </c>
    </row>
    <row r="2724" spans="1:5" x14ac:dyDescent="0.25">
      <c r="A2724">
        <v>0</v>
      </c>
      <c r="B2724">
        <v>-1.4666666666666699E-2</v>
      </c>
      <c r="C2724">
        <f t="shared" si="84"/>
        <v>1.6167036528924035</v>
      </c>
      <c r="D2724">
        <v>2</v>
      </c>
      <c r="E2724">
        <f t="shared" si="85"/>
        <v>5.4488474052736408E-2</v>
      </c>
    </row>
    <row r="2725" spans="1:5" x14ac:dyDescent="0.25">
      <c r="A2725">
        <v>0</v>
      </c>
      <c r="B2725">
        <v>-1.4084507042253501E-2</v>
      </c>
      <c r="C2725">
        <f t="shared" si="84"/>
        <v>1.6173518280063548</v>
      </c>
      <c r="D2725">
        <v>2</v>
      </c>
      <c r="E2725">
        <f t="shared" si="85"/>
        <v>5.4488474052736408E-2</v>
      </c>
    </row>
    <row r="2726" spans="1:5" x14ac:dyDescent="0.25">
      <c r="A2726">
        <v>0</v>
      </c>
      <c r="B2726">
        <v>-1.4018691588785E-2</v>
      </c>
      <c r="C2726">
        <f t="shared" si="84"/>
        <v>1.6174245403722523</v>
      </c>
      <c r="D2726">
        <v>2</v>
      </c>
      <c r="E2726">
        <f t="shared" si="85"/>
        <v>5.4488474052736408E-2</v>
      </c>
    </row>
    <row r="2727" spans="1:5" x14ac:dyDescent="0.25">
      <c r="A2727">
        <v>0</v>
      </c>
      <c r="B2727">
        <v>-1.4018691588785E-2</v>
      </c>
      <c r="C2727">
        <f t="shared" si="84"/>
        <v>1.6174245403722523</v>
      </c>
      <c r="D2727">
        <v>2</v>
      </c>
      <c r="E2727">
        <f t="shared" si="85"/>
        <v>5.4488474052736408E-2</v>
      </c>
    </row>
    <row r="2728" spans="1:5" x14ac:dyDescent="0.25">
      <c r="A2728">
        <v>0</v>
      </c>
      <c r="B2728">
        <v>-1.4018691588785E-2</v>
      </c>
      <c r="C2728">
        <f t="shared" si="84"/>
        <v>1.6174245403722523</v>
      </c>
      <c r="D2728">
        <v>2</v>
      </c>
      <c r="E2728">
        <f t="shared" si="85"/>
        <v>5.4488474052736408E-2</v>
      </c>
    </row>
    <row r="2729" spans="1:5" x14ac:dyDescent="0.25">
      <c r="A2729">
        <v>0</v>
      </c>
      <c r="B2729">
        <v>-1.4018691588785E-2</v>
      </c>
      <c r="C2729">
        <f t="shared" si="84"/>
        <v>1.6174245403722523</v>
      </c>
      <c r="D2729">
        <v>2</v>
      </c>
      <c r="E2729">
        <f t="shared" si="85"/>
        <v>5.4488474052736408E-2</v>
      </c>
    </row>
    <row r="2730" spans="1:5" x14ac:dyDescent="0.25">
      <c r="A2730">
        <v>0</v>
      </c>
      <c r="B2730">
        <v>-1.4018691588785E-2</v>
      </c>
      <c r="C2730">
        <f t="shared" si="84"/>
        <v>1.6174245403722523</v>
      </c>
      <c r="D2730">
        <v>2</v>
      </c>
      <c r="E2730">
        <f t="shared" si="85"/>
        <v>5.4488474052736408E-2</v>
      </c>
    </row>
    <row r="2731" spans="1:5" x14ac:dyDescent="0.25">
      <c r="A2731">
        <v>0</v>
      </c>
      <c r="B2731">
        <v>-1.4018691588785E-2</v>
      </c>
      <c r="C2731">
        <f t="shared" si="84"/>
        <v>1.6174245403722523</v>
      </c>
      <c r="D2731">
        <v>2</v>
      </c>
      <c r="E2731">
        <f t="shared" si="85"/>
        <v>5.4488474052736408E-2</v>
      </c>
    </row>
    <row r="2732" spans="1:5" x14ac:dyDescent="0.25">
      <c r="A2732">
        <v>0</v>
      </c>
      <c r="B2732">
        <v>-1.4018691588785E-2</v>
      </c>
      <c r="C2732">
        <f t="shared" si="84"/>
        <v>1.6174245403722523</v>
      </c>
      <c r="D2732">
        <v>2</v>
      </c>
      <c r="E2732">
        <f t="shared" si="85"/>
        <v>5.4488474052736408E-2</v>
      </c>
    </row>
    <row r="2733" spans="1:5" x14ac:dyDescent="0.25">
      <c r="A2733">
        <v>0</v>
      </c>
      <c r="B2733">
        <v>-1.4018691588785E-2</v>
      </c>
      <c r="C2733">
        <f t="shared" si="84"/>
        <v>1.6174245403722523</v>
      </c>
      <c r="D2733">
        <v>2</v>
      </c>
      <c r="E2733">
        <f t="shared" si="85"/>
        <v>5.4488474052736408E-2</v>
      </c>
    </row>
    <row r="2734" spans="1:5" x14ac:dyDescent="0.25">
      <c r="A2734">
        <v>0</v>
      </c>
      <c r="B2734">
        <v>-1.4E-2</v>
      </c>
      <c r="C2734">
        <f t="shared" si="84"/>
        <v>1.6174451696957977</v>
      </c>
      <c r="D2734">
        <v>2</v>
      </c>
      <c r="E2734">
        <f t="shared" si="85"/>
        <v>5.4488474052736408E-2</v>
      </c>
    </row>
    <row r="2735" spans="1:5" x14ac:dyDescent="0.25">
      <c r="A2735">
        <v>0</v>
      </c>
      <c r="B2735">
        <v>-1.4E-2</v>
      </c>
      <c r="C2735">
        <f t="shared" si="84"/>
        <v>1.6174451696957977</v>
      </c>
      <c r="D2735">
        <v>2</v>
      </c>
      <c r="E2735">
        <f t="shared" si="85"/>
        <v>5.4488474052736408E-2</v>
      </c>
    </row>
    <row r="2736" spans="1:5" x14ac:dyDescent="0.25">
      <c r="A2736">
        <v>0</v>
      </c>
      <c r="B2736">
        <v>-1.4E-2</v>
      </c>
      <c r="C2736">
        <f t="shared" si="84"/>
        <v>1.6174451696957977</v>
      </c>
      <c r="D2736">
        <v>2</v>
      </c>
      <c r="E2736">
        <f t="shared" si="85"/>
        <v>5.4488474052736408E-2</v>
      </c>
    </row>
    <row r="2737" spans="1:5" x14ac:dyDescent="0.25">
      <c r="A2737">
        <v>0</v>
      </c>
      <c r="B2737">
        <v>-1.4E-2</v>
      </c>
      <c r="C2737">
        <f t="shared" si="84"/>
        <v>1.6174451696957977</v>
      </c>
      <c r="D2737">
        <v>2</v>
      </c>
      <c r="E2737">
        <f t="shared" si="85"/>
        <v>5.4488474052736408E-2</v>
      </c>
    </row>
    <row r="2738" spans="1:5" x14ac:dyDescent="0.25">
      <c r="A2738">
        <v>0</v>
      </c>
      <c r="B2738">
        <v>-1.4E-2</v>
      </c>
      <c r="C2738">
        <f t="shared" si="84"/>
        <v>1.6174451696957977</v>
      </c>
      <c r="D2738">
        <v>2</v>
      </c>
      <c r="E2738">
        <f t="shared" si="85"/>
        <v>5.4488474052736408E-2</v>
      </c>
    </row>
    <row r="2739" spans="1:5" x14ac:dyDescent="0.25">
      <c r="A2739">
        <v>0</v>
      </c>
      <c r="B2739">
        <v>-1.4E-2</v>
      </c>
      <c r="C2739">
        <f t="shared" si="84"/>
        <v>1.6174451696957977</v>
      </c>
      <c r="D2739">
        <v>2</v>
      </c>
      <c r="E2739">
        <f t="shared" si="85"/>
        <v>5.4488474052736408E-2</v>
      </c>
    </row>
    <row r="2740" spans="1:5" x14ac:dyDescent="0.25">
      <c r="A2740">
        <v>0</v>
      </c>
      <c r="B2740">
        <v>-1.4E-2</v>
      </c>
      <c r="C2740">
        <f t="shared" si="84"/>
        <v>1.6174451696957977</v>
      </c>
      <c r="D2740">
        <v>2</v>
      </c>
      <c r="E2740">
        <f t="shared" si="85"/>
        <v>5.4488474052736408E-2</v>
      </c>
    </row>
    <row r="2741" spans="1:5" x14ac:dyDescent="0.25">
      <c r="A2741">
        <v>0</v>
      </c>
      <c r="B2741">
        <v>-1.4E-2</v>
      </c>
      <c r="C2741">
        <f t="shared" si="84"/>
        <v>1.6174451696957977</v>
      </c>
      <c r="D2741">
        <v>2</v>
      </c>
      <c r="E2741">
        <f t="shared" si="85"/>
        <v>5.4488474052736408E-2</v>
      </c>
    </row>
    <row r="2742" spans="1:5" x14ac:dyDescent="0.25">
      <c r="A2742">
        <v>0</v>
      </c>
      <c r="B2742">
        <v>-1.4E-2</v>
      </c>
      <c r="C2742">
        <f t="shared" si="84"/>
        <v>1.6174451696957977</v>
      </c>
      <c r="D2742">
        <v>2</v>
      </c>
      <c r="E2742">
        <f t="shared" si="85"/>
        <v>5.4488474052736408E-2</v>
      </c>
    </row>
    <row r="2743" spans="1:5" x14ac:dyDescent="0.25">
      <c r="A2743">
        <v>0</v>
      </c>
      <c r="B2743">
        <v>-1.3986013986014E-2</v>
      </c>
      <c r="C2743">
        <f t="shared" si="84"/>
        <v>1.6174605995500633</v>
      </c>
      <c r="D2743">
        <v>2</v>
      </c>
      <c r="E2743">
        <f t="shared" si="85"/>
        <v>5.4488474052736408E-2</v>
      </c>
    </row>
    <row r="2744" spans="1:5" x14ac:dyDescent="0.25">
      <c r="A2744">
        <v>0</v>
      </c>
      <c r="B2744">
        <v>-1.3986013986014E-2</v>
      </c>
      <c r="C2744">
        <f t="shared" si="84"/>
        <v>1.6174605995500633</v>
      </c>
      <c r="D2744">
        <v>2</v>
      </c>
      <c r="E2744">
        <f t="shared" si="85"/>
        <v>5.4488474052736408E-2</v>
      </c>
    </row>
    <row r="2745" spans="1:5" x14ac:dyDescent="0.25">
      <c r="A2745">
        <v>0</v>
      </c>
      <c r="B2745">
        <v>-1.3986013986014E-2</v>
      </c>
      <c r="C2745">
        <f t="shared" si="84"/>
        <v>1.6174605995500633</v>
      </c>
      <c r="D2745">
        <v>2</v>
      </c>
      <c r="E2745">
        <f t="shared" si="85"/>
        <v>5.4488474052736408E-2</v>
      </c>
    </row>
    <row r="2746" spans="1:5" x14ac:dyDescent="0.25">
      <c r="A2746">
        <v>0</v>
      </c>
      <c r="B2746">
        <v>-1.3986013986014E-2</v>
      </c>
      <c r="C2746">
        <f t="shared" si="84"/>
        <v>1.6174605995500633</v>
      </c>
      <c r="D2746">
        <v>2</v>
      </c>
      <c r="E2746">
        <f t="shared" si="85"/>
        <v>5.4488474052736408E-2</v>
      </c>
    </row>
    <row r="2747" spans="1:5" x14ac:dyDescent="0.25">
      <c r="A2747">
        <v>0</v>
      </c>
      <c r="B2747">
        <v>-1.3333333333333299E-2</v>
      </c>
      <c r="C2747">
        <f t="shared" si="84"/>
        <v>1.618174874662573</v>
      </c>
      <c r="D2747">
        <v>2</v>
      </c>
      <c r="E2747">
        <f t="shared" si="85"/>
        <v>5.4488474052736408E-2</v>
      </c>
    </row>
    <row r="2748" spans="1:5" x14ac:dyDescent="0.25">
      <c r="A2748">
        <v>0</v>
      </c>
      <c r="B2748">
        <v>-1.3333333333333299E-2</v>
      </c>
      <c r="C2748">
        <f t="shared" si="84"/>
        <v>1.618174874662573</v>
      </c>
      <c r="D2748">
        <v>2</v>
      </c>
      <c r="E2748">
        <f t="shared" si="85"/>
        <v>5.4488474052736408E-2</v>
      </c>
    </row>
    <row r="2749" spans="1:5" x14ac:dyDescent="0.25">
      <c r="A2749">
        <v>0</v>
      </c>
      <c r="B2749">
        <v>-1.3333333333333299E-2</v>
      </c>
      <c r="C2749">
        <f t="shared" si="84"/>
        <v>1.618174874662573</v>
      </c>
      <c r="D2749">
        <v>2</v>
      </c>
      <c r="E2749">
        <f t="shared" si="85"/>
        <v>5.4488474052736408E-2</v>
      </c>
    </row>
    <row r="2750" spans="1:5" x14ac:dyDescent="0.25">
      <c r="A2750">
        <v>0</v>
      </c>
      <c r="B2750">
        <v>-1.3333333333333299E-2</v>
      </c>
      <c r="C2750">
        <f t="shared" si="84"/>
        <v>1.618174874662573</v>
      </c>
      <c r="D2750">
        <v>2</v>
      </c>
      <c r="E2750">
        <f t="shared" si="85"/>
        <v>5.4488474052736408E-2</v>
      </c>
    </row>
    <row r="2751" spans="1:5" x14ac:dyDescent="0.25">
      <c r="A2751">
        <v>0</v>
      </c>
      <c r="B2751">
        <v>-1.3333333333333299E-2</v>
      </c>
      <c r="C2751">
        <f t="shared" si="84"/>
        <v>1.618174874662573</v>
      </c>
      <c r="D2751">
        <v>2</v>
      </c>
      <c r="E2751">
        <f t="shared" si="85"/>
        <v>5.4488474052736408E-2</v>
      </c>
    </row>
    <row r="2752" spans="1:5" x14ac:dyDescent="0.25">
      <c r="A2752">
        <v>0</v>
      </c>
      <c r="B2752">
        <v>-1.3333333333333299E-2</v>
      </c>
      <c r="C2752">
        <f t="shared" si="84"/>
        <v>1.618174874662573</v>
      </c>
      <c r="D2752">
        <v>2</v>
      </c>
      <c r="E2752">
        <f t="shared" si="85"/>
        <v>5.4488474052736408E-2</v>
      </c>
    </row>
    <row r="2753" spans="1:5" x14ac:dyDescent="0.25">
      <c r="A2753">
        <v>0</v>
      </c>
      <c r="B2753">
        <v>-1.3333333333333299E-2</v>
      </c>
      <c r="C2753">
        <f t="shared" si="84"/>
        <v>1.618174874662573</v>
      </c>
      <c r="D2753">
        <v>2</v>
      </c>
      <c r="E2753">
        <f t="shared" si="85"/>
        <v>5.4488474052736408E-2</v>
      </c>
    </row>
    <row r="2754" spans="1:5" x14ac:dyDescent="0.25">
      <c r="A2754">
        <v>0</v>
      </c>
      <c r="B2754">
        <v>-1.3333333333333299E-2</v>
      </c>
      <c r="C2754">
        <f t="shared" ref="C2754:C2817" si="86">_xlfn.NORM.DIST(B2754,I$10,I$13,FALSE)</f>
        <v>1.618174874662573</v>
      </c>
      <c r="D2754">
        <v>2</v>
      </c>
      <c r="E2754">
        <f t="shared" si="85"/>
        <v>5.4488474052736408E-2</v>
      </c>
    </row>
    <row r="2755" spans="1:5" x14ac:dyDescent="0.25">
      <c r="A2755">
        <v>0</v>
      </c>
      <c r="B2755">
        <v>-1.3333333333333299E-2</v>
      </c>
      <c r="C2755">
        <f t="shared" si="86"/>
        <v>1.618174874662573</v>
      </c>
      <c r="D2755">
        <v>2</v>
      </c>
      <c r="E2755">
        <f t="shared" ref="E2755:E2818" si="87">_xlfn.NORM.DIST(D2755,I$4,I$7,FALSE)</f>
        <v>5.4488474052736408E-2</v>
      </c>
    </row>
    <row r="2756" spans="1:5" x14ac:dyDescent="0.25">
      <c r="A2756">
        <v>0</v>
      </c>
      <c r="B2756">
        <v>-1.3333333333333299E-2</v>
      </c>
      <c r="C2756">
        <f t="shared" si="86"/>
        <v>1.618174874662573</v>
      </c>
      <c r="D2756">
        <v>2</v>
      </c>
      <c r="E2756">
        <f t="shared" si="87"/>
        <v>5.4488474052736408E-2</v>
      </c>
    </row>
    <row r="2757" spans="1:5" x14ac:dyDescent="0.25">
      <c r="A2757">
        <v>0</v>
      </c>
      <c r="B2757">
        <v>-1.3333333333333299E-2</v>
      </c>
      <c r="C2757">
        <f t="shared" si="86"/>
        <v>1.618174874662573</v>
      </c>
      <c r="D2757">
        <v>2</v>
      </c>
      <c r="E2757">
        <f t="shared" si="87"/>
        <v>5.4488474052736408E-2</v>
      </c>
    </row>
    <row r="2758" spans="1:5" x14ac:dyDescent="0.25">
      <c r="A2758">
        <v>0</v>
      </c>
      <c r="B2758">
        <v>-1.3333333333333299E-2</v>
      </c>
      <c r="C2758">
        <f t="shared" si="86"/>
        <v>1.618174874662573</v>
      </c>
      <c r="D2758">
        <v>2</v>
      </c>
      <c r="E2758">
        <f t="shared" si="87"/>
        <v>5.4488474052736408E-2</v>
      </c>
    </row>
    <row r="2759" spans="1:5" x14ac:dyDescent="0.25">
      <c r="A2759">
        <v>0</v>
      </c>
      <c r="B2759">
        <v>-1.3333333333333299E-2</v>
      </c>
      <c r="C2759">
        <f t="shared" si="86"/>
        <v>1.618174874662573</v>
      </c>
      <c r="D2759">
        <v>2</v>
      </c>
      <c r="E2759">
        <f t="shared" si="87"/>
        <v>5.4488474052736408E-2</v>
      </c>
    </row>
    <row r="2760" spans="1:5" x14ac:dyDescent="0.25">
      <c r="A2760">
        <v>0</v>
      </c>
      <c r="B2760">
        <v>-1.3333333333333299E-2</v>
      </c>
      <c r="C2760">
        <f t="shared" si="86"/>
        <v>1.618174874662573</v>
      </c>
      <c r="D2760">
        <v>2</v>
      </c>
      <c r="E2760">
        <f t="shared" si="87"/>
        <v>5.4488474052736408E-2</v>
      </c>
    </row>
    <row r="2761" spans="1:5" x14ac:dyDescent="0.25">
      <c r="A2761">
        <v>0</v>
      </c>
      <c r="B2761">
        <v>-1.2999999999999999E-2</v>
      </c>
      <c r="C2761">
        <f t="shared" si="86"/>
        <v>1.6185352926061936</v>
      </c>
      <c r="D2761">
        <v>2</v>
      </c>
      <c r="E2761">
        <f t="shared" si="87"/>
        <v>5.4488474052736408E-2</v>
      </c>
    </row>
    <row r="2762" spans="1:5" x14ac:dyDescent="0.25">
      <c r="A2762">
        <v>0</v>
      </c>
      <c r="B2762">
        <v>-1.2987012987013E-2</v>
      </c>
      <c r="C2762">
        <f t="shared" si="86"/>
        <v>1.6185492749870747</v>
      </c>
      <c r="D2762">
        <v>2</v>
      </c>
      <c r="E2762">
        <f t="shared" si="87"/>
        <v>5.4488474052736408E-2</v>
      </c>
    </row>
    <row r="2763" spans="1:5" x14ac:dyDescent="0.25">
      <c r="A2763">
        <v>0</v>
      </c>
      <c r="B2763">
        <v>-1.2666666666666699E-2</v>
      </c>
      <c r="C2763">
        <f t="shared" si="86"/>
        <v>1.6188927515017999</v>
      </c>
      <c r="D2763">
        <v>2</v>
      </c>
      <c r="E2763">
        <f t="shared" si="87"/>
        <v>5.4488474052736408E-2</v>
      </c>
    </row>
    <row r="2764" spans="1:5" x14ac:dyDescent="0.25">
      <c r="A2764">
        <v>0</v>
      </c>
      <c r="B2764">
        <v>-1.2666666666666699E-2</v>
      </c>
      <c r="C2764">
        <f t="shared" si="86"/>
        <v>1.6188927515017999</v>
      </c>
      <c r="D2764">
        <v>2</v>
      </c>
      <c r="E2764">
        <f t="shared" si="87"/>
        <v>5.4488474052736408E-2</v>
      </c>
    </row>
    <row r="2765" spans="1:5" x14ac:dyDescent="0.25">
      <c r="A2765">
        <v>0</v>
      </c>
      <c r="B2765">
        <v>-1.2012012012012E-2</v>
      </c>
      <c r="C2765">
        <f t="shared" si="86"/>
        <v>1.619586167746351</v>
      </c>
      <c r="D2765">
        <v>2</v>
      </c>
      <c r="E2765">
        <f t="shared" si="87"/>
        <v>5.4488474052736408E-2</v>
      </c>
    </row>
    <row r="2766" spans="1:5" x14ac:dyDescent="0.25">
      <c r="A2766">
        <v>0</v>
      </c>
      <c r="B2766">
        <v>-1.2012012012012E-2</v>
      </c>
      <c r="C2766">
        <f t="shared" si="86"/>
        <v>1.619586167746351</v>
      </c>
      <c r="D2766">
        <v>2</v>
      </c>
      <c r="E2766">
        <f t="shared" si="87"/>
        <v>5.4488474052736408E-2</v>
      </c>
    </row>
    <row r="2767" spans="1:5" x14ac:dyDescent="0.25">
      <c r="A2767">
        <v>0</v>
      </c>
      <c r="B2767">
        <v>-1.2012012012012E-2</v>
      </c>
      <c r="C2767">
        <f t="shared" si="86"/>
        <v>1.619586167746351</v>
      </c>
      <c r="D2767">
        <v>2</v>
      </c>
      <c r="E2767">
        <f t="shared" si="87"/>
        <v>5.4488474052736408E-2</v>
      </c>
    </row>
    <row r="2768" spans="1:5" x14ac:dyDescent="0.25">
      <c r="A2768">
        <v>0</v>
      </c>
      <c r="B2768">
        <v>-1.2012012012012E-2</v>
      </c>
      <c r="C2768">
        <f t="shared" si="86"/>
        <v>1.619586167746351</v>
      </c>
      <c r="D2768">
        <v>2</v>
      </c>
      <c r="E2768">
        <f t="shared" si="87"/>
        <v>5.4488474052736408E-2</v>
      </c>
    </row>
    <row r="2769" spans="1:5" x14ac:dyDescent="0.25">
      <c r="A2769">
        <v>0</v>
      </c>
      <c r="B2769">
        <v>-1.2012012012012E-2</v>
      </c>
      <c r="C2769">
        <f t="shared" si="86"/>
        <v>1.619586167746351</v>
      </c>
      <c r="D2769">
        <v>2</v>
      </c>
      <c r="E2769">
        <f t="shared" si="87"/>
        <v>5.4488474052736408E-2</v>
      </c>
    </row>
    <row r="2770" spans="1:5" x14ac:dyDescent="0.25">
      <c r="A2770">
        <v>0</v>
      </c>
      <c r="B2770">
        <v>-1.2012012012012E-2</v>
      </c>
      <c r="C2770">
        <f t="shared" si="86"/>
        <v>1.619586167746351</v>
      </c>
      <c r="D2770">
        <v>2</v>
      </c>
      <c r="E2770">
        <f t="shared" si="87"/>
        <v>5.4488474052736408E-2</v>
      </c>
    </row>
    <row r="2771" spans="1:5" x14ac:dyDescent="0.25">
      <c r="A2771">
        <v>0</v>
      </c>
      <c r="B2771">
        <v>-1.2012012012012E-2</v>
      </c>
      <c r="C2771">
        <f t="shared" si="86"/>
        <v>1.619586167746351</v>
      </c>
      <c r="D2771">
        <v>2</v>
      </c>
      <c r="E2771">
        <f t="shared" si="87"/>
        <v>5.4488474052736408E-2</v>
      </c>
    </row>
    <row r="2772" spans="1:5" x14ac:dyDescent="0.25">
      <c r="A2772">
        <v>0</v>
      </c>
      <c r="B2772">
        <v>-1.2012012012012E-2</v>
      </c>
      <c r="C2772">
        <f t="shared" si="86"/>
        <v>1.619586167746351</v>
      </c>
      <c r="D2772">
        <v>2</v>
      </c>
      <c r="E2772">
        <f t="shared" si="87"/>
        <v>5.4488474052736408E-2</v>
      </c>
    </row>
    <row r="2773" spans="1:5" x14ac:dyDescent="0.25">
      <c r="A2773">
        <v>0</v>
      </c>
      <c r="B2773">
        <v>-1.2012012012012E-2</v>
      </c>
      <c r="C2773">
        <f t="shared" si="86"/>
        <v>1.619586167746351</v>
      </c>
      <c r="D2773">
        <v>2</v>
      </c>
      <c r="E2773">
        <f t="shared" si="87"/>
        <v>5.4488474052736408E-2</v>
      </c>
    </row>
    <row r="2774" spans="1:5" x14ac:dyDescent="0.25">
      <c r="A2774">
        <v>0</v>
      </c>
      <c r="B2774">
        <v>-1.2E-2</v>
      </c>
      <c r="C2774">
        <f t="shared" si="86"/>
        <v>1.6195987841817923</v>
      </c>
      <c r="D2774">
        <v>2</v>
      </c>
      <c r="E2774">
        <f t="shared" si="87"/>
        <v>5.4488474052736408E-2</v>
      </c>
    </row>
    <row r="2775" spans="1:5" x14ac:dyDescent="0.25">
      <c r="A2775">
        <v>0</v>
      </c>
      <c r="B2775">
        <v>-1.2E-2</v>
      </c>
      <c r="C2775">
        <f t="shared" si="86"/>
        <v>1.6195987841817923</v>
      </c>
      <c r="D2775">
        <v>2</v>
      </c>
      <c r="E2775">
        <f t="shared" si="87"/>
        <v>5.4488474052736408E-2</v>
      </c>
    </row>
    <row r="2776" spans="1:5" x14ac:dyDescent="0.25">
      <c r="A2776">
        <v>0</v>
      </c>
      <c r="B2776">
        <v>-1.2E-2</v>
      </c>
      <c r="C2776">
        <f t="shared" si="86"/>
        <v>1.6195987841817923</v>
      </c>
      <c r="D2776">
        <v>2</v>
      </c>
      <c r="E2776">
        <f t="shared" si="87"/>
        <v>5.4488474052736408E-2</v>
      </c>
    </row>
    <row r="2777" spans="1:5" x14ac:dyDescent="0.25">
      <c r="A2777">
        <v>0</v>
      </c>
      <c r="B2777">
        <v>-1.2E-2</v>
      </c>
      <c r="C2777">
        <f t="shared" si="86"/>
        <v>1.6195987841817923</v>
      </c>
      <c r="D2777">
        <v>2</v>
      </c>
      <c r="E2777">
        <f t="shared" si="87"/>
        <v>5.4488474052736408E-2</v>
      </c>
    </row>
    <row r="2778" spans="1:5" x14ac:dyDescent="0.25">
      <c r="A2778">
        <v>0</v>
      </c>
      <c r="B2778">
        <v>-1.2E-2</v>
      </c>
      <c r="C2778">
        <f t="shared" si="86"/>
        <v>1.6195987841817923</v>
      </c>
      <c r="D2778">
        <v>2</v>
      </c>
      <c r="E2778">
        <f t="shared" si="87"/>
        <v>5.4488474052736408E-2</v>
      </c>
    </row>
    <row r="2779" spans="1:5" x14ac:dyDescent="0.25">
      <c r="A2779">
        <v>0</v>
      </c>
      <c r="B2779">
        <v>-1.2E-2</v>
      </c>
      <c r="C2779">
        <f t="shared" si="86"/>
        <v>1.6195987841817923</v>
      </c>
      <c r="D2779">
        <v>2</v>
      </c>
      <c r="E2779">
        <f t="shared" si="87"/>
        <v>5.4488474052736408E-2</v>
      </c>
    </row>
    <row r="2780" spans="1:5" x14ac:dyDescent="0.25">
      <c r="A2780">
        <v>0</v>
      </c>
      <c r="B2780">
        <v>-1.2E-2</v>
      </c>
      <c r="C2780">
        <f t="shared" si="86"/>
        <v>1.6195987841817923</v>
      </c>
      <c r="D2780">
        <v>2</v>
      </c>
      <c r="E2780">
        <f t="shared" si="87"/>
        <v>5.4488474052736408E-2</v>
      </c>
    </row>
    <row r="2781" spans="1:5" x14ac:dyDescent="0.25">
      <c r="A2781">
        <v>0</v>
      </c>
      <c r="B2781">
        <v>-1.2E-2</v>
      </c>
      <c r="C2781">
        <f t="shared" si="86"/>
        <v>1.6195987841817923</v>
      </c>
      <c r="D2781">
        <v>2</v>
      </c>
      <c r="E2781">
        <f t="shared" si="87"/>
        <v>5.4488474052736408E-2</v>
      </c>
    </row>
    <row r="2782" spans="1:5" x14ac:dyDescent="0.25">
      <c r="A2782">
        <v>0</v>
      </c>
      <c r="B2782">
        <v>-1.2E-2</v>
      </c>
      <c r="C2782">
        <f t="shared" si="86"/>
        <v>1.6195987841817923</v>
      </c>
      <c r="D2782">
        <v>2</v>
      </c>
      <c r="E2782">
        <f t="shared" si="87"/>
        <v>5.4488474052736408E-2</v>
      </c>
    </row>
    <row r="2783" spans="1:5" x14ac:dyDescent="0.25">
      <c r="A2783">
        <v>0</v>
      </c>
      <c r="B2783">
        <v>-1.19760479041916E-2</v>
      </c>
      <c r="C2783">
        <f t="shared" si="86"/>
        <v>1.6196239300116724</v>
      </c>
      <c r="D2783">
        <v>2</v>
      </c>
      <c r="E2783">
        <f t="shared" si="87"/>
        <v>5.4488474052736408E-2</v>
      </c>
    </row>
    <row r="2784" spans="1:5" x14ac:dyDescent="0.25">
      <c r="A2784">
        <v>0</v>
      </c>
      <c r="B2784">
        <v>-1.19760479041916E-2</v>
      </c>
      <c r="C2784">
        <f t="shared" si="86"/>
        <v>1.6196239300116724</v>
      </c>
      <c r="D2784">
        <v>2</v>
      </c>
      <c r="E2784">
        <f t="shared" si="87"/>
        <v>5.4488474052736408E-2</v>
      </c>
    </row>
    <row r="2785" spans="1:5" x14ac:dyDescent="0.25">
      <c r="A2785">
        <v>0</v>
      </c>
      <c r="B2785">
        <v>-1.19760479041916E-2</v>
      </c>
      <c r="C2785">
        <f t="shared" si="86"/>
        <v>1.6196239300116724</v>
      </c>
      <c r="D2785">
        <v>2</v>
      </c>
      <c r="E2785">
        <f t="shared" si="87"/>
        <v>5.4488474052736408E-2</v>
      </c>
    </row>
    <row r="2786" spans="1:5" x14ac:dyDescent="0.25">
      <c r="A2786">
        <v>0</v>
      </c>
      <c r="B2786">
        <v>-1.16822429906542E-2</v>
      </c>
      <c r="C2786">
        <f t="shared" si="86"/>
        <v>1.6199311317793843</v>
      </c>
      <c r="D2786">
        <v>2</v>
      </c>
      <c r="E2786">
        <f t="shared" si="87"/>
        <v>5.4488474052736408E-2</v>
      </c>
    </row>
    <row r="2787" spans="1:5" x14ac:dyDescent="0.25">
      <c r="A2787">
        <v>0</v>
      </c>
      <c r="B2787">
        <v>-1.16822429906542E-2</v>
      </c>
      <c r="C2787">
        <f t="shared" si="86"/>
        <v>1.6199311317793843</v>
      </c>
      <c r="D2787">
        <v>2</v>
      </c>
      <c r="E2787">
        <f t="shared" si="87"/>
        <v>5.4488474052736408E-2</v>
      </c>
    </row>
    <row r="2788" spans="1:5" x14ac:dyDescent="0.25">
      <c r="A2788">
        <v>0</v>
      </c>
      <c r="B2788">
        <v>-1.16666666666667E-2</v>
      </c>
      <c r="C2788">
        <f t="shared" si="86"/>
        <v>1.6199473540232079</v>
      </c>
      <c r="D2788">
        <v>2</v>
      </c>
      <c r="E2788">
        <f t="shared" si="87"/>
        <v>5.4488474052736408E-2</v>
      </c>
    </row>
    <row r="2789" spans="1:5" x14ac:dyDescent="0.25">
      <c r="A2789">
        <v>0</v>
      </c>
      <c r="B2789">
        <v>-1.16666666666667E-2</v>
      </c>
      <c r="C2789">
        <f t="shared" si="86"/>
        <v>1.6199473540232079</v>
      </c>
      <c r="D2789">
        <v>2</v>
      </c>
      <c r="E2789">
        <f t="shared" si="87"/>
        <v>5.4488474052736408E-2</v>
      </c>
    </row>
    <row r="2790" spans="1:5" x14ac:dyDescent="0.25">
      <c r="A2790">
        <v>0</v>
      </c>
      <c r="B2790">
        <v>-1.16666666666667E-2</v>
      </c>
      <c r="C2790">
        <f t="shared" si="86"/>
        <v>1.6199473540232079</v>
      </c>
      <c r="D2790">
        <v>2</v>
      </c>
      <c r="E2790">
        <f t="shared" si="87"/>
        <v>5.4488474052736408E-2</v>
      </c>
    </row>
    <row r="2791" spans="1:5" x14ac:dyDescent="0.25">
      <c r="A2791">
        <v>0</v>
      </c>
      <c r="B2791">
        <v>-1.1655011655011699E-2</v>
      </c>
      <c r="C2791">
        <f t="shared" si="86"/>
        <v>1.619959488108093</v>
      </c>
      <c r="D2791">
        <v>2</v>
      </c>
      <c r="E2791">
        <f t="shared" si="87"/>
        <v>5.4488474052736408E-2</v>
      </c>
    </row>
    <row r="2792" spans="1:5" x14ac:dyDescent="0.25">
      <c r="A2792">
        <v>0</v>
      </c>
      <c r="B2792">
        <v>-1.1655011655011699E-2</v>
      </c>
      <c r="C2792">
        <f t="shared" si="86"/>
        <v>1.619959488108093</v>
      </c>
      <c r="D2792">
        <v>2</v>
      </c>
      <c r="E2792">
        <f t="shared" si="87"/>
        <v>5.4488474052736408E-2</v>
      </c>
    </row>
    <row r="2793" spans="1:5" x14ac:dyDescent="0.25">
      <c r="A2793">
        <v>0</v>
      </c>
      <c r="B2793">
        <v>-1.1655011655011699E-2</v>
      </c>
      <c r="C2793">
        <f t="shared" si="86"/>
        <v>1.619959488108093</v>
      </c>
      <c r="D2793">
        <v>2</v>
      </c>
      <c r="E2793">
        <f t="shared" si="87"/>
        <v>5.4488474052736408E-2</v>
      </c>
    </row>
    <row r="2794" spans="1:5" x14ac:dyDescent="0.25">
      <c r="A2794">
        <v>0</v>
      </c>
      <c r="B2794">
        <v>-1.1655011655011699E-2</v>
      </c>
      <c r="C2794">
        <f t="shared" si="86"/>
        <v>1.619959488108093</v>
      </c>
      <c r="D2794">
        <v>2</v>
      </c>
      <c r="E2794">
        <f t="shared" si="87"/>
        <v>5.4488474052736408E-2</v>
      </c>
    </row>
    <row r="2795" spans="1:5" x14ac:dyDescent="0.25">
      <c r="A2795">
        <v>0</v>
      </c>
      <c r="B2795">
        <v>-1.1655011655011699E-2</v>
      </c>
      <c r="C2795">
        <f t="shared" si="86"/>
        <v>1.619959488108093</v>
      </c>
      <c r="D2795">
        <v>2</v>
      </c>
      <c r="E2795">
        <f t="shared" si="87"/>
        <v>5.4488474052736408E-2</v>
      </c>
    </row>
    <row r="2796" spans="1:5" x14ac:dyDescent="0.25">
      <c r="A2796">
        <v>0</v>
      </c>
      <c r="B2796">
        <v>-1.1655011655011699E-2</v>
      </c>
      <c r="C2796">
        <f t="shared" si="86"/>
        <v>1.619959488108093</v>
      </c>
      <c r="D2796">
        <v>2</v>
      </c>
      <c r="E2796">
        <f t="shared" si="87"/>
        <v>5.4488474052736408E-2</v>
      </c>
    </row>
    <row r="2797" spans="1:5" x14ac:dyDescent="0.25">
      <c r="A2797">
        <v>0</v>
      </c>
      <c r="B2797">
        <v>-1.1655011655011699E-2</v>
      </c>
      <c r="C2797">
        <f t="shared" si="86"/>
        <v>1.619959488108093</v>
      </c>
      <c r="D2797">
        <v>2</v>
      </c>
      <c r="E2797">
        <f t="shared" si="87"/>
        <v>5.4488474052736408E-2</v>
      </c>
    </row>
    <row r="2798" spans="1:5" x14ac:dyDescent="0.25">
      <c r="A2798">
        <v>0</v>
      </c>
      <c r="B2798">
        <v>-1.0999999999999999E-2</v>
      </c>
      <c r="C2798">
        <f t="shared" si="86"/>
        <v>1.6206355909735015</v>
      </c>
      <c r="D2798">
        <v>2</v>
      </c>
      <c r="E2798">
        <f t="shared" si="87"/>
        <v>5.4488474052736408E-2</v>
      </c>
    </row>
    <row r="2799" spans="1:5" x14ac:dyDescent="0.25">
      <c r="A2799">
        <v>0</v>
      </c>
      <c r="B2799">
        <v>-1.0666666666666699E-2</v>
      </c>
      <c r="C2799">
        <f t="shared" si="86"/>
        <v>1.6209752542371241</v>
      </c>
      <c r="D2799">
        <v>2</v>
      </c>
      <c r="E2799">
        <f t="shared" si="87"/>
        <v>5.4488474052736408E-2</v>
      </c>
    </row>
    <row r="2800" spans="1:5" x14ac:dyDescent="0.25">
      <c r="A2800">
        <v>0</v>
      </c>
      <c r="B2800">
        <v>-1.0666666666666699E-2</v>
      </c>
      <c r="C2800">
        <f t="shared" si="86"/>
        <v>1.6209752542371241</v>
      </c>
      <c r="D2800">
        <v>2</v>
      </c>
      <c r="E2800">
        <f t="shared" si="87"/>
        <v>5.4488474052736408E-2</v>
      </c>
    </row>
    <row r="2801" spans="1:5" x14ac:dyDescent="0.25">
      <c r="A2801">
        <v>0</v>
      </c>
      <c r="B2801">
        <v>-1.0666666666666699E-2</v>
      </c>
      <c r="C2801">
        <f t="shared" si="86"/>
        <v>1.6209752542371241</v>
      </c>
      <c r="D2801">
        <v>2</v>
      </c>
      <c r="E2801">
        <f t="shared" si="87"/>
        <v>5.4488474052736408E-2</v>
      </c>
    </row>
    <row r="2802" spans="1:5" x14ac:dyDescent="0.25">
      <c r="A2802">
        <v>0</v>
      </c>
      <c r="B2802">
        <v>-1.0666666666666699E-2</v>
      </c>
      <c r="C2802">
        <f t="shared" si="86"/>
        <v>1.6209752542371241</v>
      </c>
      <c r="D2802">
        <v>2</v>
      </c>
      <c r="E2802">
        <f t="shared" si="87"/>
        <v>5.4488474052736408E-2</v>
      </c>
    </row>
    <row r="2803" spans="1:5" x14ac:dyDescent="0.25">
      <c r="A2803">
        <v>0</v>
      </c>
      <c r="B2803">
        <v>-1.0666666666666699E-2</v>
      </c>
      <c r="C2803">
        <f t="shared" si="86"/>
        <v>1.6209752542371241</v>
      </c>
      <c r="D2803">
        <v>2</v>
      </c>
      <c r="E2803">
        <f t="shared" si="87"/>
        <v>5.4488474052736408E-2</v>
      </c>
    </row>
    <row r="2804" spans="1:5" x14ac:dyDescent="0.25">
      <c r="A2804">
        <v>0</v>
      </c>
      <c r="B2804">
        <v>-1.0666666666666699E-2</v>
      </c>
      <c r="C2804">
        <f t="shared" si="86"/>
        <v>1.6209752542371241</v>
      </c>
      <c r="D2804">
        <v>2</v>
      </c>
      <c r="E2804">
        <f t="shared" si="87"/>
        <v>5.4488474052736408E-2</v>
      </c>
    </row>
    <row r="2805" spans="1:5" x14ac:dyDescent="0.25">
      <c r="A2805">
        <v>0</v>
      </c>
      <c r="B2805">
        <v>-1.0666666666666699E-2</v>
      </c>
      <c r="C2805">
        <f t="shared" si="86"/>
        <v>1.6209752542371241</v>
      </c>
      <c r="D2805">
        <v>2</v>
      </c>
      <c r="E2805">
        <f t="shared" si="87"/>
        <v>5.4488474052736408E-2</v>
      </c>
    </row>
    <row r="2806" spans="1:5" x14ac:dyDescent="0.25">
      <c r="A2806">
        <v>0</v>
      </c>
      <c r="B2806">
        <v>-1.0666666666666699E-2</v>
      </c>
      <c r="C2806">
        <f t="shared" si="86"/>
        <v>1.6209752542371241</v>
      </c>
      <c r="D2806">
        <v>2</v>
      </c>
      <c r="E2806">
        <f t="shared" si="87"/>
        <v>5.4488474052736408E-2</v>
      </c>
    </row>
    <row r="2807" spans="1:5" x14ac:dyDescent="0.25">
      <c r="A2807">
        <v>0</v>
      </c>
      <c r="B2807">
        <v>-1.0666666666666699E-2</v>
      </c>
      <c r="C2807">
        <f t="shared" si="86"/>
        <v>1.6209752542371241</v>
      </c>
      <c r="D2807">
        <v>2</v>
      </c>
      <c r="E2807">
        <f t="shared" si="87"/>
        <v>5.4488474052736408E-2</v>
      </c>
    </row>
    <row r="2808" spans="1:5" x14ac:dyDescent="0.25">
      <c r="A2808">
        <v>0</v>
      </c>
      <c r="B2808">
        <v>-1.0666666666666699E-2</v>
      </c>
      <c r="C2808">
        <f t="shared" si="86"/>
        <v>1.6209752542371241</v>
      </c>
      <c r="D2808">
        <v>2</v>
      </c>
      <c r="E2808">
        <f t="shared" si="87"/>
        <v>5.4488474052736408E-2</v>
      </c>
    </row>
    <row r="2809" spans="1:5" x14ac:dyDescent="0.25">
      <c r="A2809">
        <v>0</v>
      </c>
      <c r="B2809">
        <v>-1.0666666666666699E-2</v>
      </c>
      <c r="C2809">
        <f t="shared" si="86"/>
        <v>1.6209752542371241</v>
      </c>
      <c r="D2809">
        <v>2</v>
      </c>
      <c r="E2809">
        <f t="shared" si="87"/>
        <v>5.4488474052736408E-2</v>
      </c>
    </row>
    <row r="2810" spans="1:5" x14ac:dyDescent="0.25">
      <c r="A2810">
        <v>0</v>
      </c>
      <c r="B2810">
        <v>-1.0666666666666699E-2</v>
      </c>
      <c r="C2810">
        <f t="shared" si="86"/>
        <v>1.6209752542371241</v>
      </c>
      <c r="D2810">
        <v>2</v>
      </c>
      <c r="E2810">
        <f t="shared" si="87"/>
        <v>5.4488474052736408E-2</v>
      </c>
    </row>
    <row r="2811" spans="1:5" x14ac:dyDescent="0.25">
      <c r="A2811">
        <v>0</v>
      </c>
      <c r="B2811">
        <v>-1.0666666666666699E-2</v>
      </c>
      <c r="C2811">
        <f t="shared" si="86"/>
        <v>1.6209752542371241</v>
      </c>
      <c r="D2811">
        <v>2</v>
      </c>
      <c r="E2811">
        <f t="shared" si="87"/>
        <v>5.4488474052736408E-2</v>
      </c>
    </row>
    <row r="2812" spans="1:5" x14ac:dyDescent="0.25">
      <c r="A2812">
        <v>0</v>
      </c>
      <c r="B2812">
        <v>-1.0666666666666699E-2</v>
      </c>
      <c r="C2812">
        <f t="shared" si="86"/>
        <v>1.6209752542371241</v>
      </c>
      <c r="D2812">
        <v>2</v>
      </c>
      <c r="E2812">
        <f t="shared" si="87"/>
        <v>5.4488474052736408E-2</v>
      </c>
    </row>
    <row r="2813" spans="1:5" x14ac:dyDescent="0.25">
      <c r="A2813">
        <v>0</v>
      </c>
      <c r="B2813">
        <v>-1.0666666666666699E-2</v>
      </c>
      <c r="C2813">
        <f t="shared" si="86"/>
        <v>1.6209752542371241</v>
      </c>
      <c r="D2813">
        <v>2</v>
      </c>
      <c r="E2813">
        <f t="shared" si="87"/>
        <v>5.4488474052736408E-2</v>
      </c>
    </row>
    <row r="2814" spans="1:5" x14ac:dyDescent="0.25">
      <c r="A2814">
        <v>0</v>
      </c>
      <c r="B2814">
        <v>-1.0666666666666699E-2</v>
      </c>
      <c r="C2814">
        <f t="shared" si="86"/>
        <v>1.6209752542371241</v>
      </c>
      <c r="D2814">
        <v>2</v>
      </c>
      <c r="E2814">
        <f t="shared" si="87"/>
        <v>5.4488474052736408E-2</v>
      </c>
    </row>
    <row r="2815" spans="1:5" x14ac:dyDescent="0.25">
      <c r="A2815">
        <v>0</v>
      </c>
      <c r="B2815">
        <v>-1.0666666666666699E-2</v>
      </c>
      <c r="C2815">
        <f t="shared" si="86"/>
        <v>1.6209752542371241</v>
      </c>
      <c r="D2815">
        <v>2</v>
      </c>
      <c r="E2815">
        <f t="shared" si="87"/>
        <v>5.4488474052736408E-2</v>
      </c>
    </row>
    <row r="2816" spans="1:5" x14ac:dyDescent="0.25">
      <c r="A2816">
        <v>0</v>
      </c>
      <c r="B2816">
        <v>-1.0638297872340399E-2</v>
      </c>
      <c r="C2816">
        <f t="shared" si="86"/>
        <v>1.6210040245129298</v>
      </c>
      <c r="D2816">
        <v>2</v>
      </c>
      <c r="E2816">
        <f t="shared" si="87"/>
        <v>5.4488474052736408E-2</v>
      </c>
    </row>
    <row r="2817" spans="1:5" x14ac:dyDescent="0.25">
      <c r="A2817">
        <v>0</v>
      </c>
      <c r="B2817">
        <v>-0.01</v>
      </c>
      <c r="C2817">
        <f t="shared" si="86"/>
        <v>1.621645660850638</v>
      </c>
      <c r="D2817">
        <v>2</v>
      </c>
      <c r="E2817">
        <f t="shared" si="87"/>
        <v>5.4488474052736408E-2</v>
      </c>
    </row>
    <row r="2818" spans="1:5" x14ac:dyDescent="0.25">
      <c r="A2818">
        <v>0</v>
      </c>
      <c r="B2818">
        <v>-0.01</v>
      </c>
      <c r="C2818">
        <f t="shared" ref="C2818:C2881" si="88">_xlfn.NORM.DIST(B2818,I$10,I$13,FALSE)</f>
        <v>1.621645660850638</v>
      </c>
      <c r="D2818">
        <v>2</v>
      </c>
      <c r="E2818">
        <f t="shared" si="87"/>
        <v>5.4488474052736408E-2</v>
      </c>
    </row>
    <row r="2819" spans="1:5" x14ac:dyDescent="0.25">
      <c r="A2819">
        <v>0</v>
      </c>
      <c r="B2819">
        <v>-0.01</v>
      </c>
      <c r="C2819">
        <f t="shared" si="88"/>
        <v>1.621645660850638</v>
      </c>
      <c r="D2819">
        <v>2</v>
      </c>
      <c r="E2819">
        <f t="shared" ref="E2819:E2882" si="89">_xlfn.NORM.DIST(D2819,I$4,I$7,FALSE)</f>
        <v>5.4488474052736408E-2</v>
      </c>
    </row>
    <row r="2820" spans="1:5" x14ac:dyDescent="0.25">
      <c r="A2820">
        <v>0</v>
      </c>
      <c r="B2820">
        <v>-0.01</v>
      </c>
      <c r="C2820">
        <f t="shared" si="88"/>
        <v>1.621645660850638</v>
      </c>
      <c r="D2820">
        <v>2</v>
      </c>
      <c r="E2820">
        <f t="shared" si="89"/>
        <v>5.4488474052736408E-2</v>
      </c>
    </row>
    <row r="2821" spans="1:5" x14ac:dyDescent="0.25">
      <c r="A2821">
        <v>0</v>
      </c>
      <c r="B2821">
        <v>-0.01</v>
      </c>
      <c r="C2821">
        <f t="shared" si="88"/>
        <v>1.621645660850638</v>
      </c>
      <c r="D2821">
        <v>2</v>
      </c>
      <c r="E2821">
        <f t="shared" si="89"/>
        <v>5.4488474052736408E-2</v>
      </c>
    </row>
    <row r="2822" spans="1:5" x14ac:dyDescent="0.25">
      <c r="A2822">
        <v>0</v>
      </c>
      <c r="B2822">
        <v>-0.01</v>
      </c>
      <c r="C2822">
        <f t="shared" si="88"/>
        <v>1.621645660850638</v>
      </c>
      <c r="D2822">
        <v>2</v>
      </c>
      <c r="E2822">
        <f t="shared" si="89"/>
        <v>5.4488474052736408E-2</v>
      </c>
    </row>
    <row r="2823" spans="1:5" x14ac:dyDescent="0.25">
      <c r="A2823">
        <v>0</v>
      </c>
      <c r="B2823">
        <v>-0.01</v>
      </c>
      <c r="C2823">
        <f t="shared" si="88"/>
        <v>1.621645660850638</v>
      </c>
      <c r="D2823">
        <v>2</v>
      </c>
      <c r="E2823">
        <f t="shared" si="89"/>
        <v>5.4488474052736408E-2</v>
      </c>
    </row>
    <row r="2824" spans="1:5" x14ac:dyDescent="0.25">
      <c r="A2824">
        <v>0</v>
      </c>
      <c r="B2824">
        <v>-0.01</v>
      </c>
      <c r="C2824">
        <f t="shared" si="88"/>
        <v>1.621645660850638</v>
      </c>
      <c r="D2824">
        <v>2</v>
      </c>
      <c r="E2824">
        <f t="shared" si="89"/>
        <v>5.4488474052736408E-2</v>
      </c>
    </row>
    <row r="2825" spans="1:5" x14ac:dyDescent="0.25">
      <c r="A2825">
        <v>0</v>
      </c>
      <c r="B2825">
        <v>-0.01</v>
      </c>
      <c r="C2825">
        <f t="shared" si="88"/>
        <v>1.621645660850638</v>
      </c>
      <c r="D2825">
        <v>2</v>
      </c>
      <c r="E2825">
        <f t="shared" si="89"/>
        <v>5.4488474052736408E-2</v>
      </c>
    </row>
    <row r="2826" spans="1:5" x14ac:dyDescent="0.25">
      <c r="A2826">
        <v>0</v>
      </c>
      <c r="B2826">
        <v>-0.01</v>
      </c>
      <c r="C2826">
        <f t="shared" si="88"/>
        <v>1.621645660850638</v>
      </c>
      <c r="D2826">
        <v>2</v>
      </c>
      <c r="E2826">
        <f t="shared" si="89"/>
        <v>5.4488474052736408E-2</v>
      </c>
    </row>
    <row r="2827" spans="1:5" x14ac:dyDescent="0.25">
      <c r="A2827">
        <v>0</v>
      </c>
      <c r="B2827">
        <v>-0.01</v>
      </c>
      <c r="C2827">
        <f t="shared" si="88"/>
        <v>1.621645660850638</v>
      </c>
      <c r="D2827">
        <v>2</v>
      </c>
      <c r="E2827">
        <f t="shared" si="89"/>
        <v>5.4488474052736408E-2</v>
      </c>
    </row>
    <row r="2828" spans="1:5" x14ac:dyDescent="0.25">
      <c r="A2828">
        <v>0</v>
      </c>
      <c r="B2828">
        <v>-0.01</v>
      </c>
      <c r="C2828">
        <f t="shared" si="88"/>
        <v>1.621645660850638</v>
      </c>
      <c r="D2828">
        <v>2</v>
      </c>
      <c r="E2828">
        <f t="shared" si="89"/>
        <v>5.4488474052736408E-2</v>
      </c>
    </row>
    <row r="2829" spans="1:5" x14ac:dyDescent="0.25">
      <c r="A2829">
        <v>0</v>
      </c>
      <c r="B2829">
        <v>-0.01</v>
      </c>
      <c r="C2829">
        <f t="shared" si="88"/>
        <v>1.621645660850638</v>
      </c>
      <c r="D2829">
        <v>2</v>
      </c>
      <c r="E2829">
        <f t="shared" si="89"/>
        <v>5.4488474052736408E-2</v>
      </c>
    </row>
    <row r="2830" spans="1:5" x14ac:dyDescent="0.25">
      <c r="A2830">
        <v>0</v>
      </c>
      <c r="B2830">
        <v>-0.01</v>
      </c>
      <c r="C2830">
        <f t="shared" si="88"/>
        <v>1.621645660850638</v>
      </c>
      <c r="D2830">
        <v>2</v>
      </c>
      <c r="E2830">
        <f t="shared" si="89"/>
        <v>5.4488474052736408E-2</v>
      </c>
    </row>
    <row r="2831" spans="1:5" x14ac:dyDescent="0.25">
      <c r="A2831">
        <v>0</v>
      </c>
      <c r="B2831">
        <v>-0.01</v>
      </c>
      <c r="C2831">
        <f t="shared" si="88"/>
        <v>1.621645660850638</v>
      </c>
      <c r="D2831">
        <v>2</v>
      </c>
      <c r="E2831">
        <f t="shared" si="89"/>
        <v>5.4488474052736408E-2</v>
      </c>
    </row>
    <row r="2832" spans="1:5" x14ac:dyDescent="0.25">
      <c r="A2832">
        <v>0</v>
      </c>
      <c r="B2832">
        <v>-0.01</v>
      </c>
      <c r="C2832">
        <f t="shared" si="88"/>
        <v>1.621645660850638</v>
      </c>
      <c r="D2832">
        <v>2</v>
      </c>
      <c r="E2832">
        <f t="shared" si="89"/>
        <v>5.4488474052736408E-2</v>
      </c>
    </row>
    <row r="2833" spans="1:5" x14ac:dyDescent="0.25">
      <c r="A2833">
        <v>0</v>
      </c>
      <c r="B2833">
        <v>-0.01</v>
      </c>
      <c r="C2833">
        <f t="shared" si="88"/>
        <v>1.621645660850638</v>
      </c>
      <c r="D2833">
        <v>2</v>
      </c>
      <c r="E2833">
        <f t="shared" si="89"/>
        <v>5.4488474052736408E-2</v>
      </c>
    </row>
    <row r="2834" spans="1:5" x14ac:dyDescent="0.25">
      <c r="A2834">
        <v>0</v>
      </c>
      <c r="B2834">
        <v>-9.3457943925233603E-3</v>
      </c>
      <c r="C2834">
        <f t="shared" si="88"/>
        <v>1.6222919626316608</v>
      </c>
      <c r="D2834">
        <v>2</v>
      </c>
      <c r="E2834">
        <f t="shared" si="89"/>
        <v>5.4488474052736408E-2</v>
      </c>
    </row>
    <row r="2835" spans="1:5" x14ac:dyDescent="0.25">
      <c r="A2835">
        <v>0</v>
      </c>
      <c r="B2835">
        <v>-9.3457943925233603E-3</v>
      </c>
      <c r="C2835">
        <f t="shared" si="88"/>
        <v>1.6222919626316608</v>
      </c>
      <c r="D2835">
        <v>2</v>
      </c>
      <c r="E2835">
        <f t="shared" si="89"/>
        <v>5.4488474052736408E-2</v>
      </c>
    </row>
    <row r="2836" spans="1:5" x14ac:dyDescent="0.25">
      <c r="A2836">
        <v>0</v>
      </c>
      <c r="B2836">
        <v>-9.3457943925233603E-3</v>
      </c>
      <c r="C2836">
        <f t="shared" si="88"/>
        <v>1.6222919626316608</v>
      </c>
      <c r="D2836">
        <v>2</v>
      </c>
      <c r="E2836">
        <f t="shared" si="89"/>
        <v>5.4488474052736408E-2</v>
      </c>
    </row>
    <row r="2837" spans="1:5" x14ac:dyDescent="0.25">
      <c r="A2837">
        <v>0</v>
      </c>
      <c r="B2837">
        <v>-9.3457943925233603E-3</v>
      </c>
      <c r="C2837">
        <f t="shared" si="88"/>
        <v>1.6222919626316608</v>
      </c>
      <c r="D2837">
        <v>2</v>
      </c>
      <c r="E2837">
        <f t="shared" si="89"/>
        <v>5.4488474052736408E-2</v>
      </c>
    </row>
    <row r="2838" spans="1:5" x14ac:dyDescent="0.25">
      <c r="A2838">
        <v>0</v>
      </c>
      <c r="B2838">
        <v>-9.3240093240093205E-3</v>
      </c>
      <c r="C2838">
        <f t="shared" si="88"/>
        <v>1.6223132870942996</v>
      </c>
      <c r="D2838">
        <v>2</v>
      </c>
      <c r="E2838">
        <f t="shared" si="89"/>
        <v>5.4488474052736408E-2</v>
      </c>
    </row>
    <row r="2839" spans="1:5" x14ac:dyDescent="0.25">
      <c r="A2839">
        <v>0</v>
      </c>
      <c r="B2839">
        <v>-9.3240093240093205E-3</v>
      </c>
      <c r="C2839">
        <f t="shared" si="88"/>
        <v>1.6223132870942996</v>
      </c>
      <c r="D2839">
        <v>2</v>
      </c>
      <c r="E2839">
        <f t="shared" si="89"/>
        <v>5.4488474052736408E-2</v>
      </c>
    </row>
    <row r="2840" spans="1:5" x14ac:dyDescent="0.25">
      <c r="A2840">
        <v>0</v>
      </c>
      <c r="B2840">
        <v>-9.3240093240093205E-3</v>
      </c>
      <c r="C2840">
        <f t="shared" si="88"/>
        <v>1.6223132870942996</v>
      </c>
      <c r="D2840">
        <v>2</v>
      </c>
      <c r="E2840">
        <f t="shared" si="89"/>
        <v>5.4488474052736408E-2</v>
      </c>
    </row>
    <row r="2841" spans="1:5" x14ac:dyDescent="0.25">
      <c r="A2841">
        <v>0</v>
      </c>
      <c r="B2841">
        <v>-9.3240093240093205E-3</v>
      </c>
      <c r="C2841">
        <f t="shared" si="88"/>
        <v>1.6223132870942996</v>
      </c>
      <c r="D2841">
        <v>2</v>
      </c>
      <c r="E2841">
        <f t="shared" si="89"/>
        <v>5.4488474052736408E-2</v>
      </c>
    </row>
    <row r="2842" spans="1:5" x14ac:dyDescent="0.25">
      <c r="A2842">
        <v>0</v>
      </c>
      <c r="B2842">
        <v>-9.3240093240093205E-3</v>
      </c>
      <c r="C2842">
        <f t="shared" si="88"/>
        <v>1.6223132870942996</v>
      </c>
      <c r="D2842">
        <v>2</v>
      </c>
      <c r="E2842">
        <f t="shared" si="89"/>
        <v>5.4488474052736408E-2</v>
      </c>
    </row>
    <row r="2843" spans="1:5" x14ac:dyDescent="0.25">
      <c r="A2843">
        <v>0</v>
      </c>
      <c r="B2843">
        <v>-9.0090090090090107E-3</v>
      </c>
      <c r="C2843">
        <f t="shared" si="88"/>
        <v>1.6226202043334306</v>
      </c>
      <c r="D2843">
        <v>2</v>
      </c>
      <c r="E2843">
        <f t="shared" si="89"/>
        <v>5.4488474052736408E-2</v>
      </c>
    </row>
    <row r="2844" spans="1:5" x14ac:dyDescent="0.25">
      <c r="A2844">
        <v>0</v>
      </c>
      <c r="B2844">
        <v>-9.0090090090090107E-3</v>
      </c>
      <c r="C2844">
        <f t="shared" si="88"/>
        <v>1.6226202043334306</v>
      </c>
      <c r="D2844">
        <v>2</v>
      </c>
      <c r="E2844">
        <f t="shared" si="89"/>
        <v>5.4488474052736408E-2</v>
      </c>
    </row>
    <row r="2845" spans="1:5" x14ac:dyDescent="0.25">
      <c r="A2845">
        <v>0</v>
      </c>
      <c r="B2845">
        <v>-9.0090090090090107E-3</v>
      </c>
      <c r="C2845">
        <f t="shared" si="88"/>
        <v>1.6226202043334306</v>
      </c>
      <c r="D2845">
        <v>2</v>
      </c>
      <c r="E2845">
        <f t="shared" si="89"/>
        <v>5.4488474052736408E-2</v>
      </c>
    </row>
    <row r="2846" spans="1:5" x14ac:dyDescent="0.25">
      <c r="A2846">
        <v>0</v>
      </c>
      <c r="B2846">
        <v>-9.0090090090090107E-3</v>
      </c>
      <c r="C2846">
        <f t="shared" si="88"/>
        <v>1.6226202043334306</v>
      </c>
      <c r="D2846">
        <v>2</v>
      </c>
      <c r="E2846">
        <f t="shared" si="89"/>
        <v>5.4488474052736408E-2</v>
      </c>
    </row>
    <row r="2847" spans="1:5" x14ac:dyDescent="0.25">
      <c r="A2847">
        <v>0</v>
      </c>
      <c r="B2847">
        <v>-9.0090090090090107E-3</v>
      </c>
      <c r="C2847">
        <f t="shared" si="88"/>
        <v>1.6226202043334306</v>
      </c>
      <c r="D2847">
        <v>2</v>
      </c>
      <c r="E2847">
        <f t="shared" si="89"/>
        <v>5.4488474052736408E-2</v>
      </c>
    </row>
    <row r="2848" spans="1:5" x14ac:dyDescent="0.25">
      <c r="A2848">
        <v>0</v>
      </c>
      <c r="B2848">
        <v>-9.0090090090090107E-3</v>
      </c>
      <c r="C2848">
        <f t="shared" si="88"/>
        <v>1.6226202043334306</v>
      </c>
      <c r="D2848">
        <v>2</v>
      </c>
      <c r="E2848">
        <f t="shared" si="89"/>
        <v>5.4488474052736408E-2</v>
      </c>
    </row>
    <row r="2849" spans="1:5" x14ac:dyDescent="0.25">
      <c r="A2849">
        <v>0</v>
      </c>
      <c r="B2849">
        <v>-9.0090090090090107E-3</v>
      </c>
      <c r="C2849">
        <f t="shared" si="88"/>
        <v>1.6226202043334306</v>
      </c>
      <c r="D2849">
        <v>2</v>
      </c>
      <c r="E2849">
        <f t="shared" si="89"/>
        <v>5.4488474052736408E-2</v>
      </c>
    </row>
    <row r="2850" spans="1:5" x14ac:dyDescent="0.25">
      <c r="A2850">
        <v>0</v>
      </c>
      <c r="B2850">
        <v>-9.0090090090090107E-3</v>
      </c>
      <c r="C2850">
        <f t="shared" si="88"/>
        <v>1.6226202043334306</v>
      </c>
      <c r="D2850">
        <v>2</v>
      </c>
      <c r="E2850">
        <f t="shared" si="89"/>
        <v>5.4488474052736408E-2</v>
      </c>
    </row>
    <row r="2851" spans="1:5" x14ac:dyDescent="0.25">
      <c r="A2851">
        <v>0</v>
      </c>
      <c r="B2851">
        <v>-9.0090090090090107E-3</v>
      </c>
      <c r="C2851">
        <f t="shared" si="88"/>
        <v>1.6226202043334306</v>
      </c>
      <c r="D2851">
        <v>2</v>
      </c>
      <c r="E2851">
        <f t="shared" si="89"/>
        <v>5.4488474052736408E-2</v>
      </c>
    </row>
    <row r="2852" spans="1:5" x14ac:dyDescent="0.25">
      <c r="A2852">
        <v>0</v>
      </c>
      <c r="B2852">
        <v>-8.9999999999999993E-3</v>
      </c>
      <c r="C2852">
        <f t="shared" si="88"/>
        <v>1.6226289430052967</v>
      </c>
      <c r="D2852">
        <v>2</v>
      </c>
      <c r="E2852">
        <f t="shared" si="89"/>
        <v>5.4488474052736408E-2</v>
      </c>
    </row>
    <row r="2853" spans="1:5" x14ac:dyDescent="0.25">
      <c r="A2853">
        <v>0</v>
      </c>
      <c r="B2853">
        <v>-8.3333333333333297E-3</v>
      </c>
      <c r="C2853">
        <f t="shared" si="88"/>
        <v>1.6232695578839591</v>
      </c>
      <c r="D2853">
        <v>2</v>
      </c>
      <c r="E2853">
        <f t="shared" si="89"/>
        <v>5.4488474052736408E-2</v>
      </c>
    </row>
    <row r="2854" spans="1:5" x14ac:dyDescent="0.25">
      <c r="A2854">
        <v>0</v>
      </c>
      <c r="B2854">
        <v>-8.3333333333333297E-3</v>
      </c>
      <c r="C2854">
        <f t="shared" si="88"/>
        <v>1.6232695578839591</v>
      </c>
      <c r="D2854">
        <v>2</v>
      </c>
      <c r="E2854">
        <f t="shared" si="89"/>
        <v>5.4488474052736408E-2</v>
      </c>
    </row>
    <row r="2855" spans="1:5" x14ac:dyDescent="0.25">
      <c r="A2855">
        <v>0</v>
      </c>
      <c r="B2855">
        <v>-8.0000000000000002E-3</v>
      </c>
      <c r="C2855">
        <f t="shared" si="88"/>
        <v>1.6235853879566091</v>
      </c>
      <c r="D2855">
        <v>2</v>
      </c>
      <c r="E2855">
        <f t="shared" si="89"/>
        <v>5.4488474052736408E-2</v>
      </c>
    </row>
    <row r="2856" spans="1:5" x14ac:dyDescent="0.25">
      <c r="A2856">
        <v>0</v>
      </c>
      <c r="B2856">
        <v>-8.0000000000000002E-3</v>
      </c>
      <c r="C2856">
        <f t="shared" si="88"/>
        <v>1.6235853879566091</v>
      </c>
      <c r="D2856">
        <v>2</v>
      </c>
      <c r="E2856">
        <f t="shared" si="89"/>
        <v>5.4488474052736408E-2</v>
      </c>
    </row>
    <row r="2857" spans="1:5" x14ac:dyDescent="0.25">
      <c r="A2857">
        <v>0</v>
      </c>
      <c r="B2857">
        <v>-8.0000000000000002E-3</v>
      </c>
      <c r="C2857">
        <f t="shared" si="88"/>
        <v>1.6235853879566091</v>
      </c>
      <c r="D2857">
        <v>2</v>
      </c>
      <c r="E2857">
        <f t="shared" si="89"/>
        <v>5.4488474052736408E-2</v>
      </c>
    </row>
    <row r="2858" spans="1:5" x14ac:dyDescent="0.25">
      <c r="A2858">
        <v>0</v>
      </c>
      <c r="B2858">
        <v>-8.0000000000000002E-3</v>
      </c>
      <c r="C2858">
        <f t="shared" si="88"/>
        <v>1.6235853879566091</v>
      </c>
      <c r="D2858">
        <v>2</v>
      </c>
      <c r="E2858">
        <f t="shared" si="89"/>
        <v>5.4488474052736408E-2</v>
      </c>
    </row>
    <row r="2859" spans="1:5" x14ac:dyDescent="0.25">
      <c r="A2859">
        <v>0</v>
      </c>
      <c r="B2859">
        <v>-8.0000000000000002E-3</v>
      </c>
      <c r="C2859">
        <f t="shared" si="88"/>
        <v>1.6235853879566091</v>
      </c>
      <c r="D2859">
        <v>2</v>
      </c>
      <c r="E2859">
        <f t="shared" si="89"/>
        <v>5.4488474052736408E-2</v>
      </c>
    </row>
    <row r="2860" spans="1:5" x14ac:dyDescent="0.25">
      <c r="A2860">
        <v>0</v>
      </c>
      <c r="B2860">
        <v>-8.0000000000000002E-3</v>
      </c>
      <c r="C2860">
        <f t="shared" si="88"/>
        <v>1.6235853879566091</v>
      </c>
      <c r="D2860">
        <v>2</v>
      </c>
      <c r="E2860">
        <f t="shared" si="89"/>
        <v>5.4488474052736408E-2</v>
      </c>
    </row>
    <row r="2861" spans="1:5" x14ac:dyDescent="0.25">
      <c r="A2861">
        <v>0</v>
      </c>
      <c r="B2861">
        <v>-8.0000000000000002E-3</v>
      </c>
      <c r="C2861">
        <f t="shared" si="88"/>
        <v>1.6235853879566091</v>
      </c>
      <c r="D2861">
        <v>2</v>
      </c>
      <c r="E2861">
        <f t="shared" si="89"/>
        <v>5.4488474052736408E-2</v>
      </c>
    </row>
    <row r="2862" spans="1:5" x14ac:dyDescent="0.25">
      <c r="A2862">
        <v>0</v>
      </c>
      <c r="B2862">
        <v>-8.0000000000000002E-3</v>
      </c>
      <c r="C2862">
        <f t="shared" si="88"/>
        <v>1.6235853879566091</v>
      </c>
      <c r="D2862">
        <v>2</v>
      </c>
      <c r="E2862">
        <f t="shared" si="89"/>
        <v>5.4488474052736408E-2</v>
      </c>
    </row>
    <row r="2863" spans="1:5" x14ac:dyDescent="0.25">
      <c r="A2863">
        <v>0</v>
      </c>
      <c r="B2863">
        <v>-8.0000000000000002E-3</v>
      </c>
      <c r="C2863">
        <f t="shared" si="88"/>
        <v>1.6235853879566091</v>
      </c>
      <c r="D2863">
        <v>2</v>
      </c>
      <c r="E2863">
        <f t="shared" si="89"/>
        <v>5.4488474052736408E-2</v>
      </c>
    </row>
    <row r="2864" spans="1:5" x14ac:dyDescent="0.25">
      <c r="A2864">
        <v>0</v>
      </c>
      <c r="B2864">
        <v>-8.0000000000000002E-3</v>
      </c>
      <c r="C2864">
        <f t="shared" si="88"/>
        <v>1.6235853879566091</v>
      </c>
      <c r="D2864">
        <v>2</v>
      </c>
      <c r="E2864">
        <f t="shared" si="89"/>
        <v>5.4488474052736408E-2</v>
      </c>
    </row>
    <row r="2865" spans="1:5" x14ac:dyDescent="0.25">
      <c r="A2865">
        <v>0</v>
      </c>
      <c r="B2865">
        <v>-8.0000000000000002E-3</v>
      </c>
      <c r="C2865">
        <f t="shared" si="88"/>
        <v>1.6235853879566091</v>
      </c>
      <c r="D2865">
        <v>2</v>
      </c>
      <c r="E2865">
        <f t="shared" si="89"/>
        <v>5.4488474052736408E-2</v>
      </c>
    </row>
    <row r="2866" spans="1:5" x14ac:dyDescent="0.25">
      <c r="A2866">
        <v>0</v>
      </c>
      <c r="B2866">
        <v>-8.0000000000000002E-3</v>
      </c>
      <c r="C2866">
        <f t="shared" si="88"/>
        <v>1.6235853879566091</v>
      </c>
      <c r="D2866">
        <v>2</v>
      </c>
      <c r="E2866">
        <f t="shared" si="89"/>
        <v>5.4488474052736408E-2</v>
      </c>
    </row>
    <row r="2867" spans="1:5" x14ac:dyDescent="0.25">
      <c r="A2867">
        <v>0</v>
      </c>
      <c r="B2867">
        <v>-8.0000000000000002E-3</v>
      </c>
      <c r="C2867">
        <f t="shared" si="88"/>
        <v>1.6235853879566091</v>
      </c>
      <c r="D2867">
        <v>2</v>
      </c>
      <c r="E2867">
        <f t="shared" si="89"/>
        <v>5.4488474052736408E-2</v>
      </c>
    </row>
    <row r="2868" spans="1:5" x14ac:dyDescent="0.25">
      <c r="A2868">
        <v>0</v>
      </c>
      <c r="B2868">
        <v>-8.0000000000000002E-3</v>
      </c>
      <c r="C2868">
        <f t="shared" si="88"/>
        <v>1.6235853879566091</v>
      </c>
      <c r="D2868">
        <v>2</v>
      </c>
      <c r="E2868">
        <f t="shared" si="89"/>
        <v>5.4488474052736408E-2</v>
      </c>
    </row>
    <row r="2869" spans="1:5" x14ac:dyDescent="0.25">
      <c r="A2869">
        <v>0</v>
      </c>
      <c r="B2869">
        <v>-8.0000000000000002E-3</v>
      </c>
      <c r="C2869">
        <f t="shared" si="88"/>
        <v>1.6235853879566091</v>
      </c>
      <c r="D2869">
        <v>2</v>
      </c>
      <c r="E2869">
        <f t="shared" si="89"/>
        <v>5.4488474052736408E-2</v>
      </c>
    </row>
    <row r="2870" spans="1:5" x14ac:dyDescent="0.25">
      <c r="A2870">
        <v>0</v>
      </c>
      <c r="B2870">
        <v>-8.0000000000000002E-3</v>
      </c>
      <c r="C2870">
        <f t="shared" si="88"/>
        <v>1.6235853879566091</v>
      </c>
      <c r="D2870">
        <v>2</v>
      </c>
      <c r="E2870">
        <f t="shared" si="89"/>
        <v>5.4488474052736408E-2</v>
      </c>
    </row>
    <row r="2871" spans="1:5" x14ac:dyDescent="0.25">
      <c r="A2871">
        <v>0</v>
      </c>
      <c r="B2871">
        <v>-8.0000000000000002E-3</v>
      </c>
      <c r="C2871">
        <f t="shared" si="88"/>
        <v>1.6235853879566091</v>
      </c>
      <c r="D2871">
        <v>2</v>
      </c>
      <c r="E2871">
        <f t="shared" si="89"/>
        <v>5.4488474052736408E-2</v>
      </c>
    </row>
    <row r="2872" spans="1:5" x14ac:dyDescent="0.25">
      <c r="A2872">
        <v>0</v>
      </c>
      <c r="B2872">
        <v>-8.0000000000000002E-3</v>
      </c>
      <c r="C2872">
        <f t="shared" si="88"/>
        <v>1.6235853879566091</v>
      </c>
      <c r="D2872">
        <v>2</v>
      </c>
      <c r="E2872">
        <f t="shared" si="89"/>
        <v>5.4488474052736408E-2</v>
      </c>
    </row>
    <row r="2873" spans="1:5" x14ac:dyDescent="0.25">
      <c r="A2873">
        <v>0</v>
      </c>
      <c r="B2873">
        <v>-8.0000000000000002E-3</v>
      </c>
      <c r="C2873">
        <f t="shared" si="88"/>
        <v>1.6235853879566091</v>
      </c>
      <c r="D2873">
        <v>2</v>
      </c>
      <c r="E2873">
        <f t="shared" si="89"/>
        <v>5.4488474052736408E-2</v>
      </c>
    </row>
    <row r="2874" spans="1:5" x14ac:dyDescent="0.25">
      <c r="A2874">
        <v>0</v>
      </c>
      <c r="B2874">
        <v>-8.0000000000000002E-3</v>
      </c>
      <c r="C2874">
        <f t="shared" si="88"/>
        <v>1.6235853879566091</v>
      </c>
      <c r="D2874">
        <v>2</v>
      </c>
      <c r="E2874">
        <f t="shared" si="89"/>
        <v>5.4488474052736408E-2</v>
      </c>
    </row>
    <row r="2875" spans="1:5" x14ac:dyDescent="0.25">
      <c r="A2875">
        <v>0</v>
      </c>
      <c r="B2875">
        <v>-8.0000000000000002E-3</v>
      </c>
      <c r="C2875">
        <f t="shared" si="88"/>
        <v>1.6235853879566091</v>
      </c>
      <c r="D2875">
        <v>2</v>
      </c>
      <c r="E2875">
        <f t="shared" si="89"/>
        <v>5.4488474052736408E-2</v>
      </c>
    </row>
    <row r="2876" spans="1:5" x14ac:dyDescent="0.25">
      <c r="A2876">
        <v>0</v>
      </c>
      <c r="B2876">
        <v>-8.0000000000000002E-3</v>
      </c>
      <c r="C2876">
        <f t="shared" si="88"/>
        <v>1.6235853879566091</v>
      </c>
      <c r="D2876">
        <v>2</v>
      </c>
      <c r="E2876">
        <f t="shared" si="89"/>
        <v>5.4488474052736408E-2</v>
      </c>
    </row>
    <row r="2877" spans="1:5" x14ac:dyDescent="0.25">
      <c r="A2877">
        <v>0</v>
      </c>
      <c r="B2877">
        <v>-8.0000000000000002E-3</v>
      </c>
      <c r="C2877">
        <f t="shared" si="88"/>
        <v>1.6235853879566091</v>
      </c>
      <c r="D2877">
        <v>2</v>
      </c>
      <c r="E2877">
        <f t="shared" si="89"/>
        <v>5.4488474052736408E-2</v>
      </c>
    </row>
    <row r="2878" spans="1:5" x14ac:dyDescent="0.25">
      <c r="A2878">
        <v>0</v>
      </c>
      <c r="B2878">
        <v>-8.0000000000000002E-3</v>
      </c>
      <c r="C2878">
        <f t="shared" si="88"/>
        <v>1.6235853879566091</v>
      </c>
      <c r="D2878">
        <v>2</v>
      </c>
      <c r="E2878">
        <f t="shared" si="89"/>
        <v>5.4488474052736408E-2</v>
      </c>
    </row>
    <row r="2879" spans="1:5" x14ac:dyDescent="0.25">
      <c r="A2879">
        <v>0</v>
      </c>
      <c r="B2879">
        <v>-8.0000000000000002E-3</v>
      </c>
      <c r="C2879">
        <f t="shared" si="88"/>
        <v>1.6235853879566091</v>
      </c>
      <c r="D2879">
        <v>2</v>
      </c>
      <c r="E2879">
        <f t="shared" si="89"/>
        <v>5.4488474052736408E-2</v>
      </c>
    </row>
    <row r="2880" spans="1:5" x14ac:dyDescent="0.25">
      <c r="A2880">
        <v>0</v>
      </c>
      <c r="B2880">
        <v>-8.0000000000000002E-3</v>
      </c>
      <c r="C2880">
        <f t="shared" si="88"/>
        <v>1.6235853879566091</v>
      </c>
      <c r="D2880">
        <v>2</v>
      </c>
      <c r="E2880">
        <f t="shared" si="89"/>
        <v>5.4488474052736408E-2</v>
      </c>
    </row>
    <row r="2881" spans="1:5" x14ac:dyDescent="0.25">
      <c r="A2881">
        <v>0</v>
      </c>
      <c r="B2881">
        <v>-8.0000000000000002E-3</v>
      </c>
      <c r="C2881">
        <f t="shared" si="88"/>
        <v>1.6235853879566091</v>
      </c>
      <c r="D2881">
        <v>2</v>
      </c>
      <c r="E2881">
        <f t="shared" si="89"/>
        <v>5.4488474052736408E-2</v>
      </c>
    </row>
    <row r="2882" spans="1:5" x14ac:dyDescent="0.25">
      <c r="A2882">
        <v>0</v>
      </c>
      <c r="B2882">
        <v>-8.0000000000000002E-3</v>
      </c>
      <c r="C2882">
        <f t="shared" ref="C2882:C2945" si="90">_xlfn.NORM.DIST(B2882,I$10,I$13,FALSE)</f>
        <v>1.6235853879566091</v>
      </c>
      <c r="D2882">
        <v>2</v>
      </c>
      <c r="E2882">
        <f t="shared" si="89"/>
        <v>5.4488474052736408E-2</v>
      </c>
    </row>
    <row r="2883" spans="1:5" x14ac:dyDescent="0.25">
      <c r="A2883">
        <v>0</v>
      </c>
      <c r="B2883">
        <v>-8.0000000000000002E-3</v>
      </c>
      <c r="C2883">
        <f t="shared" si="90"/>
        <v>1.6235853879566091</v>
      </c>
      <c r="D2883">
        <v>2</v>
      </c>
      <c r="E2883">
        <f t="shared" ref="E2883:E2946" si="91">_xlfn.NORM.DIST(D2883,I$4,I$7,FALSE)</f>
        <v>5.4488474052736408E-2</v>
      </c>
    </row>
    <row r="2884" spans="1:5" x14ac:dyDescent="0.25">
      <c r="A2884">
        <v>0</v>
      </c>
      <c r="B2884">
        <v>-8.0000000000000002E-3</v>
      </c>
      <c r="C2884">
        <f t="shared" si="90"/>
        <v>1.6235853879566091</v>
      </c>
      <c r="D2884">
        <v>2</v>
      </c>
      <c r="E2884">
        <f t="shared" si="91"/>
        <v>5.4488474052736408E-2</v>
      </c>
    </row>
    <row r="2885" spans="1:5" x14ac:dyDescent="0.25">
      <c r="A2885">
        <v>0</v>
      </c>
      <c r="B2885">
        <v>-8.0000000000000002E-3</v>
      </c>
      <c r="C2885">
        <f t="shared" si="90"/>
        <v>1.6235853879566091</v>
      </c>
      <c r="D2885">
        <v>2</v>
      </c>
      <c r="E2885">
        <f t="shared" si="91"/>
        <v>5.4488474052736408E-2</v>
      </c>
    </row>
    <row r="2886" spans="1:5" x14ac:dyDescent="0.25">
      <c r="A2886">
        <v>0</v>
      </c>
      <c r="B2886">
        <v>-8.0000000000000002E-3</v>
      </c>
      <c r="C2886">
        <f t="shared" si="90"/>
        <v>1.6235853879566091</v>
      </c>
      <c r="D2886">
        <v>2</v>
      </c>
      <c r="E2886">
        <f t="shared" si="91"/>
        <v>5.4488474052736408E-2</v>
      </c>
    </row>
    <row r="2887" spans="1:5" x14ac:dyDescent="0.25">
      <c r="A2887">
        <v>0</v>
      </c>
      <c r="B2887">
        <v>-7.0093457943925198E-3</v>
      </c>
      <c r="C2887">
        <f t="shared" si="90"/>
        <v>1.6245063846852066</v>
      </c>
      <c r="D2887">
        <v>2</v>
      </c>
      <c r="E2887">
        <f t="shared" si="91"/>
        <v>5.4488474052736408E-2</v>
      </c>
    </row>
    <row r="2888" spans="1:5" x14ac:dyDescent="0.25">
      <c r="A2888">
        <v>0</v>
      </c>
      <c r="B2888">
        <v>-7.0000000000000001E-3</v>
      </c>
      <c r="C2888">
        <f t="shared" si="90"/>
        <v>1.6245149475548943</v>
      </c>
      <c r="D2888">
        <v>2</v>
      </c>
      <c r="E2888">
        <f t="shared" si="91"/>
        <v>5.4488474052736408E-2</v>
      </c>
    </row>
    <row r="2889" spans="1:5" x14ac:dyDescent="0.25">
      <c r="A2889">
        <v>0</v>
      </c>
      <c r="B2889">
        <v>-6.9930069930069904E-3</v>
      </c>
      <c r="C2889">
        <f t="shared" si="90"/>
        <v>1.624521353198505</v>
      </c>
      <c r="D2889">
        <v>2</v>
      </c>
      <c r="E2889">
        <f t="shared" si="91"/>
        <v>5.4488474052736408E-2</v>
      </c>
    </row>
    <row r="2890" spans="1:5" x14ac:dyDescent="0.25">
      <c r="A2890">
        <v>0</v>
      </c>
      <c r="B2890">
        <v>-6.9930069930069904E-3</v>
      </c>
      <c r="C2890">
        <f t="shared" si="90"/>
        <v>1.624521353198505</v>
      </c>
      <c r="D2890">
        <v>2</v>
      </c>
      <c r="E2890">
        <f t="shared" si="91"/>
        <v>5.4488474052736408E-2</v>
      </c>
    </row>
    <row r="2891" spans="1:5" x14ac:dyDescent="0.25">
      <c r="A2891">
        <v>0</v>
      </c>
      <c r="B2891">
        <v>-6.6666666666666697E-3</v>
      </c>
      <c r="C2891">
        <f t="shared" si="90"/>
        <v>1.6248188181015013</v>
      </c>
      <c r="D2891">
        <v>2</v>
      </c>
      <c r="E2891">
        <f t="shared" si="91"/>
        <v>5.4488474052736408E-2</v>
      </c>
    </row>
    <row r="2892" spans="1:5" x14ac:dyDescent="0.25">
      <c r="A2892">
        <v>0</v>
      </c>
      <c r="B2892">
        <v>-6.6666666666666697E-3</v>
      </c>
      <c r="C2892">
        <f t="shared" si="90"/>
        <v>1.6248188181015013</v>
      </c>
      <c r="D2892">
        <v>2</v>
      </c>
      <c r="E2892">
        <f t="shared" si="91"/>
        <v>5.4488474052736408E-2</v>
      </c>
    </row>
    <row r="2893" spans="1:5" x14ac:dyDescent="0.25">
      <c r="A2893">
        <v>0</v>
      </c>
      <c r="B2893">
        <v>-6.6666666666666697E-3</v>
      </c>
      <c r="C2893">
        <f t="shared" si="90"/>
        <v>1.6248188181015013</v>
      </c>
      <c r="D2893">
        <v>2</v>
      </c>
      <c r="E2893">
        <f t="shared" si="91"/>
        <v>5.4488474052736408E-2</v>
      </c>
    </row>
    <row r="2894" spans="1:5" x14ac:dyDescent="0.25">
      <c r="A2894">
        <v>0</v>
      </c>
      <c r="B2894">
        <v>-6.6666666666666697E-3</v>
      </c>
      <c r="C2894">
        <f t="shared" si="90"/>
        <v>1.6248188181015013</v>
      </c>
      <c r="D2894">
        <v>2</v>
      </c>
      <c r="E2894">
        <f t="shared" si="91"/>
        <v>5.4488474052736408E-2</v>
      </c>
    </row>
    <row r="2895" spans="1:5" x14ac:dyDescent="0.25">
      <c r="A2895">
        <v>0</v>
      </c>
      <c r="B2895">
        <v>-6.6666666666666697E-3</v>
      </c>
      <c r="C2895">
        <f t="shared" si="90"/>
        <v>1.6248188181015013</v>
      </c>
      <c r="D2895">
        <v>2</v>
      </c>
      <c r="E2895">
        <f t="shared" si="91"/>
        <v>5.4488474052736408E-2</v>
      </c>
    </row>
    <row r="2896" spans="1:5" x14ac:dyDescent="0.25">
      <c r="A2896">
        <v>0</v>
      </c>
      <c r="B2896">
        <v>-6.6666666666666697E-3</v>
      </c>
      <c r="C2896">
        <f t="shared" si="90"/>
        <v>1.6248188181015013</v>
      </c>
      <c r="D2896">
        <v>2</v>
      </c>
      <c r="E2896">
        <f t="shared" si="91"/>
        <v>5.4488474052736408E-2</v>
      </c>
    </row>
    <row r="2897" spans="1:5" x14ac:dyDescent="0.25">
      <c r="A2897">
        <v>0</v>
      </c>
      <c r="B2897">
        <v>-6.0060060060060103E-3</v>
      </c>
      <c r="C2897">
        <f t="shared" si="90"/>
        <v>1.6254122342824493</v>
      </c>
      <c r="D2897">
        <v>2</v>
      </c>
      <c r="E2897">
        <f t="shared" si="91"/>
        <v>5.4488474052736408E-2</v>
      </c>
    </row>
    <row r="2898" spans="1:5" x14ac:dyDescent="0.25">
      <c r="A2898">
        <v>0</v>
      </c>
      <c r="B2898">
        <v>-6.0060060060060103E-3</v>
      </c>
      <c r="C2898">
        <f t="shared" si="90"/>
        <v>1.6254122342824493</v>
      </c>
      <c r="D2898">
        <v>2</v>
      </c>
      <c r="E2898">
        <f t="shared" si="91"/>
        <v>5.4488474052736408E-2</v>
      </c>
    </row>
    <row r="2899" spans="1:5" x14ac:dyDescent="0.25">
      <c r="A2899">
        <v>0</v>
      </c>
      <c r="B2899">
        <v>-6.0060060060060103E-3</v>
      </c>
      <c r="C2899">
        <f t="shared" si="90"/>
        <v>1.6254122342824493</v>
      </c>
      <c r="D2899">
        <v>2</v>
      </c>
      <c r="E2899">
        <f t="shared" si="91"/>
        <v>5.4488474052736408E-2</v>
      </c>
    </row>
    <row r="2900" spans="1:5" x14ac:dyDescent="0.25">
      <c r="A2900">
        <v>0</v>
      </c>
      <c r="B2900">
        <v>-6.0060060060060103E-3</v>
      </c>
      <c r="C2900">
        <f t="shared" si="90"/>
        <v>1.6254122342824493</v>
      </c>
      <c r="D2900">
        <v>2</v>
      </c>
      <c r="E2900">
        <f t="shared" si="91"/>
        <v>5.4488474052736408E-2</v>
      </c>
    </row>
    <row r="2901" spans="1:5" x14ac:dyDescent="0.25">
      <c r="A2901">
        <v>0</v>
      </c>
      <c r="B2901">
        <v>-6.0060060060060103E-3</v>
      </c>
      <c r="C2901">
        <f t="shared" si="90"/>
        <v>1.6254122342824493</v>
      </c>
      <c r="D2901">
        <v>2</v>
      </c>
      <c r="E2901">
        <f t="shared" si="91"/>
        <v>5.4488474052736408E-2</v>
      </c>
    </row>
    <row r="2902" spans="1:5" x14ac:dyDescent="0.25">
      <c r="A2902">
        <v>0</v>
      </c>
      <c r="B2902">
        <v>-6.0060060060060103E-3</v>
      </c>
      <c r="C2902">
        <f t="shared" si="90"/>
        <v>1.6254122342824493</v>
      </c>
      <c r="D2902">
        <v>2</v>
      </c>
      <c r="E2902">
        <f t="shared" si="91"/>
        <v>5.4488474052736408E-2</v>
      </c>
    </row>
    <row r="2903" spans="1:5" x14ac:dyDescent="0.25">
      <c r="A2903">
        <v>0</v>
      </c>
      <c r="B2903">
        <v>-6.0060060060060103E-3</v>
      </c>
      <c r="C2903">
        <f t="shared" si="90"/>
        <v>1.6254122342824493</v>
      </c>
      <c r="D2903">
        <v>2</v>
      </c>
      <c r="E2903">
        <f t="shared" si="91"/>
        <v>5.4488474052736408E-2</v>
      </c>
    </row>
    <row r="2904" spans="1:5" x14ac:dyDescent="0.25">
      <c r="A2904">
        <v>0</v>
      </c>
      <c r="B2904">
        <v>-6.0000000000000001E-3</v>
      </c>
      <c r="C2904">
        <f t="shared" si="90"/>
        <v>1.6254175749856978</v>
      </c>
      <c r="D2904">
        <v>2</v>
      </c>
      <c r="E2904">
        <f t="shared" si="91"/>
        <v>5.4488474052736408E-2</v>
      </c>
    </row>
    <row r="2905" spans="1:5" x14ac:dyDescent="0.25">
      <c r="A2905">
        <v>0</v>
      </c>
      <c r="B2905">
        <v>-6.0000000000000001E-3</v>
      </c>
      <c r="C2905">
        <f t="shared" si="90"/>
        <v>1.6254175749856978</v>
      </c>
      <c r="D2905">
        <v>2</v>
      </c>
      <c r="E2905">
        <f t="shared" si="91"/>
        <v>5.4488474052736408E-2</v>
      </c>
    </row>
    <row r="2906" spans="1:5" x14ac:dyDescent="0.25">
      <c r="A2906">
        <v>0</v>
      </c>
      <c r="B2906">
        <v>-6.0000000000000001E-3</v>
      </c>
      <c r="C2906">
        <f t="shared" si="90"/>
        <v>1.6254175749856978</v>
      </c>
      <c r="D2906">
        <v>2</v>
      </c>
      <c r="E2906">
        <f t="shared" si="91"/>
        <v>5.4488474052736408E-2</v>
      </c>
    </row>
    <row r="2907" spans="1:5" x14ac:dyDescent="0.25">
      <c r="A2907">
        <v>0</v>
      </c>
      <c r="B2907">
        <v>-6.0000000000000001E-3</v>
      </c>
      <c r="C2907">
        <f t="shared" si="90"/>
        <v>1.6254175749856978</v>
      </c>
      <c r="D2907">
        <v>2</v>
      </c>
      <c r="E2907">
        <f t="shared" si="91"/>
        <v>5.4488474052736408E-2</v>
      </c>
    </row>
    <row r="2908" spans="1:5" x14ac:dyDescent="0.25">
      <c r="A2908">
        <v>0</v>
      </c>
      <c r="B2908">
        <v>-6.0000000000000001E-3</v>
      </c>
      <c r="C2908">
        <f t="shared" si="90"/>
        <v>1.6254175749856978</v>
      </c>
      <c r="D2908">
        <v>2</v>
      </c>
      <c r="E2908">
        <f t="shared" si="91"/>
        <v>5.4488474052736408E-2</v>
      </c>
    </row>
    <row r="2909" spans="1:5" x14ac:dyDescent="0.25">
      <c r="A2909">
        <v>0</v>
      </c>
      <c r="B2909">
        <v>-6.0000000000000001E-3</v>
      </c>
      <c r="C2909">
        <f t="shared" si="90"/>
        <v>1.6254175749856978</v>
      </c>
      <c r="D2909">
        <v>2</v>
      </c>
      <c r="E2909">
        <f t="shared" si="91"/>
        <v>5.4488474052736408E-2</v>
      </c>
    </row>
    <row r="2910" spans="1:5" x14ac:dyDescent="0.25">
      <c r="A2910">
        <v>0</v>
      </c>
      <c r="B2910">
        <v>-5.9880239520958096E-3</v>
      </c>
      <c r="C2910">
        <f t="shared" si="90"/>
        <v>1.6254282215070428</v>
      </c>
      <c r="D2910">
        <v>2</v>
      </c>
      <c r="E2910">
        <f t="shared" si="91"/>
        <v>5.4488474052736408E-2</v>
      </c>
    </row>
    <row r="2911" spans="1:5" x14ac:dyDescent="0.25">
      <c r="A2911">
        <v>0</v>
      </c>
      <c r="B2911">
        <v>-5.9880239520958096E-3</v>
      </c>
      <c r="C2911">
        <f t="shared" si="90"/>
        <v>1.6254282215070428</v>
      </c>
      <c r="D2911">
        <v>2</v>
      </c>
      <c r="E2911">
        <f t="shared" si="91"/>
        <v>5.4488474052736408E-2</v>
      </c>
    </row>
    <row r="2912" spans="1:5" x14ac:dyDescent="0.25">
      <c r="A2912">
        <v>0</v>
      </c>
      <c r="B2912">
        <v>-5.9880239520958096E-3</v>
      </c>
      <c r="C2912">
        <f t="shared" si="90"/>
        <v>1.6254282215070428</v>
      </c>
      <c r="D2912">
        <v>2</v>
      </c>
      <c r="E2912">
        <f t="shared" si="91"/>
        <v>5.4488474052736408E-2</v>
      </c>
    </row>
    <row r="2913" spans="1:5" x14ac:dyDescent="0.25">
      <c r="A2913">
        <v>0</v>
      </c>
      <c r="B2913">
        <v>-5.9880239520958096E-3</v>
      </c>
      <c r="C2913">
        <f t="shared" si="90"/>
        <v>1.6254282215070428</v>
      </c>
      <c r="D2913">
        <v>2</v>
      </c>
      <c r="E2913">
        <f t="shared" si="91"/>
        <v>5.4488474052736408E-2</v>
      </c>
    </row>
    <row r="2914" spans="1:5" x14ac:dyDescent="0.25">
      <c r="A2914">
        <v>0</v>
      </c>
      <c r="B2914">
        <v>-5.9880239520958096E-3</v>
      </c>
      <c r="C2914">
        <f t="shared" si="90"/>
        <v>1.6254282215070428</v>
      </c>
      <c r="D2914">
        <v>2</v>
      </c>
      <c r="E2914">
        <f t="shared" si="91"/>
        <v>5.4488474052736408E-2</v>
      </c>
    </row>
    <row r="2915" spans="1:5" x14ac:dyDescent="0.25">
      <c r="A2915">
        <v>0</v>
      </c>
      <c r="B2915">
        <v>-5.9880239520958096E-3</v>
      </c>
      <c r="C2915">
        <f t="shared" si="90"/>
        <v>1.6254282215070428</v>
      </c>
      <c r="D2915">
        <v>2</v>
      </c>
      <c r="E2915">
        <f t="shared" si="91"/>
        <v>5.4488474052736408E-2</v>
      </c>
    </row>
    <row r="2916" spans="1:5" x14ac:dyDescent="0.25">
      <c r="A2916">
        <v>0</v>
      </c>
      <c r="B2916">
        <v>-5.3475935828877002E-3</v>
      </c>
      <c r="C2916">
        <f t="shared" si="90"/>
        <v>1.6259919162018914</v>
      </c>
      <c r="D2916">
        <v>2</v>
      </c>
      <c r="E2916">
        <f t="shared" si="91"/>
        <v>5.4488474052736408E-2</v>
      </c>
    </row>
    <row r="2917" spans="1:5" x14ac:dyDescent="0.25">
      <c r="A2917">
        <v>0</v>
      </c>
      <c r="B2917">
        <v>-5.3333333333333297E-3</v>
      </c>
      <c r="C2917">
        <f t="shared" si="90"/>
        <v>1.6260043417788026</v>
      </c>
      <c r="D2917">
        <v>2</v>
      </c>
      <c r="E2917">
        <f t="shared" si="91"/>
        <v>5.4488474052736408E-2</v>
      </c>
    </row>
    <row r="2918" spans="1:5" x14ac:dyDescent="0.25">
      <c r="A2918">
        <v>0</v>
      </c>
      <c r="B2918">
        <v>-5.3333333333333297E-3</v>
      </c>
      <c r="C2918">
        <f t="shared" si="90"/>
        <v>1.6260043417788026</v>
      </c>
      <c r="D2918">
        <v>2</v>
      </c>
      <c r="E2918">
        <f t="shared" si="91"/>
        <v>5.4488474052736408E-2</v>
      </c>
    </row>
    <row r="2919" spans="1:5" x14ac:dyDescent="0.25">
      <c r="A2919">
        <v>0</v>
      </c>
      <c r="B2919">
        <v>-5.3333333333333297E-3</v>
      </c>
      <c r="C2919">
        <f t="shared" si="90"/>
        <v>1.6260043417788026</v>
      </c>
      <c r="D2919">
        <v>2</v>
      </c>
      <c r="E2919">
        <f t="shared" si="91"/>
        <v>5.4488474052736408E-2</v>
      </c>
    </row>
    <row r="2920" spans="1:5" x14ac:dyDescent="0.25">
      <c r="A2920">
        <v>0</v>
      </c>
      <c r="B2920">
        <v>-5.3333333333333297E-3</v>
      </c>
      <c r="C2920">
        <f t="shared" si="90"/>
        <v>1.6260043417788026</v>
      </c>
      <c r="D2920">
        <v>2</v>
      </c>
      <c r="E2920">
        <f t="shared" si="91"/>
        <v>5.4488474052736408E-2</v>
      </c>
    </row>
    <row r="2921" spans="1:5" x14ac:dyDescent="0.25">
      <c r="A2921">
        <v>0</v>
      </c>
      <c r="B2921">
        <v>-5.3333333333333297E-3</v>
      </c>
      <c r="C2921">
        <f t="shared" si="90"/>
        <v>1.6260043417788026</v>
      </c>
      <c r="D2921">
        <v>2</v>
      </c>
      <c r="E2921">
        <f t="shared" si="91"/>
        <v>5.4488474052736408E-2</v>
      </c>
    </row>
    <row r="2922" spans="1:5" x14ac:dyDescent="0.25">
      <c r="A2922">
        <v>0</v>
      </c>
      <c r="B2922">
        <v>-5.3333333333333297E-3</v>
      </c>
      <c r="C2922">
        <f t="shared" si="90"/>
        <v>1.6260043417788026</v>
      </c>
      <c r="D2922">
        <v>2</v>
      </c>
      <c r="E2922">
        <f t="shared" si="91"/>
        <v>5.4488474052736408E-2</v>
      </c>
    </row>
    <row r="2923" spans="1:5" x14ac:dyDescent="0.25">
      <c r="A2923">
        <v>0</v>
      </c>
      <c r="B2923">
        <v>-5.3333333333333297E-3</v>
      </c>
      <c r="C2923">
        <f t="shared" si="90"/>
        <v>1.6260043417788026</v>
      </c>
      <c r="D2923">
        <v>2</v>
      </c>
      <c r="E2923">
        <f t="shared" si="91"/>
        <v>5.4488474052736408E-2</v>
      </c>
    </row>
    <row r="2924" spans="1:5" x14ac:dyDescent="0.25">
      <c r="A2924">
        <v>0</v>
      </c>
      <c r="B2924">
        <v>-5.3333333333333297E-3</v>
      </c>
      <c r="C2924">
        <f t="shared" si="90"/>
        <v>1.6260043417788026</v>
      </c>
      <c r="D2924">
        <v>2</v>
      </c>
      <c r="E2924">
        <f t="shared" si="91"/>
        <v>5.4488474052736408E-2</v>
      </c>
    </row>
    <row r="2925" spans="1:5" x14ac:dyDescent="0.25">
      <c r="A2925">
        <v>0</v>
      </c>
      <c r="B2925">
        <v>-5.3333333333333297E-3</v>
      </c>
      <c r="C2925">
        <f t="shared" si="90"/>
        <v>1.6260043417788026</v>
      </c>
      <c r="D2925">
        <v>2</v>
      </c>
      <c r="E2925">
        <f t="shared" si="91"/>
        <v>5.4488474052736408E-2</v>
      </c>
    </row>
    <row r="2926" spans="1:5" x14ac:dyDescent="0.25">
      <c r="A2926">
        <v>0</v>
      </c>
      <c r="B2926">
        <v>-5.3333333333333297E-3</v>
      </c>
      <c r="C2926">
        <f t="shared" si="90"/>
        <v>1.6260043417788026</v>
      </c>
      <c r="D2926">
        <v>2</v>
      </c>
      <c r="E2926">
        <f t="shared" si="91"/>
        <v>5.4488474052736408E-2</v>
      </c>
    </row>
    <row r="2927" spans="1:5" x14ac:dyDescent="0.25">
      <c r="A2927">
        <v>0</v>
      </c>
      <c r="B2927">
        <v>-5.3333333333333297E-3</v>
      </c>
      <c r="C2927">
        <f t="shared" si="90"/>
        <v>1.6260043417788026</v>
      </c>
      <c r="D2927">
        <v>2</v>
      </c>
      <c r="E2927">
        <f t="shared" si="91"/>
        <v>5.4488474052736408E-2</v>
      </c>
    </row>
    <row r="2928" spans="1:5" x14ac:dyDescent="0.25">
      <c r="A2928">
        <v>0</v>
      </c>
      <c r="B2928">
        <v>-5.3333333333333297E-3</v>
      </c>
      <c r="C2928">
        <f t="shared" si="90"/>
        <v>1.6260043417788026</v>
      </c>
      <c r="D2928">
        <v>2</v>
      </c>
      <c r="E2928">
        <f t="shared" si="91"/>
        <v>5.4488474052736408E-2</v>
      </c>
    </row>
    <row r="2929" spans="1:5" x14ac:dyDescent="0.25">
      <c r="A2929">
        <v>0</v>
      </c>
      <c r="B2929">
        <v>-5.3333333333333297E-3</v>
      </c>
      <c r="C2929">
        <f t="shared" si="90"/>
        <v>1.6260043417788026</v>
      </c>
      <c r="D2929">
        <v>2</v>
      </c>
      <c r="E2929">
        <f t="shared" si="91"/>
        <v>5.4488474052736408E-2</v>
      </c>
    </row>
    <row r="2930" spans="1:5" x14ac:dyDescent="0.25">
      <c r="A2930">
        <v>0</v>
      </c>
      <c r="B2930">
        <v>-5.3333333333333297E-3</v>
      </c>
      <c r="C2930">
        <f t="shared" si="90"/>
        <v>1.6260043417788026</v>
      </c>
      <c r="D2930">
        <v>2</v>
      </c>
      <c r="E2930">
        <f t="shared" si="91"/>
        <v>5.4488474052736408E-2</v>
      </c>
    </row>
    <row r="2931" spans="1:5" x14ac:dyDescent="0.25">
      <c r="A2931">
        <v>0</v>
      </c>
      <c r="B2931">
        <v>-5.3333333333333297E-3</v>
      </c>
      <c r="C2931">
        <f t="shared" si="90"/>
        <v>1.6260043417788026</v>
      </c>
      <c r="D2931">
        <v>2</v>
      </c>
      <c r="E2931">
        <f t="shared" si="91"/>
        <v>5.4488474052736408E-2</v>
      </c>
    </row>
    <row r="2932" spans="1:5" x14ac:dyDescent="0.25">
      <c r="A2932">
        <v>0</v>
      </c>
      <c r="B2932">
        <v>-5.3333333333333297E-3</v>
      </c>
      <c r="C2932">
        <f t="shared" si="90"/>
        <v>1.6260043417788026</v>
      </c>
      <c r="D2932">
        <v>2</v>
      </c>
      <c r="E2932">
        <f t="shared" si="91"/>
        <v>5.4488474052736408E-2</v>
      </c>
    </row>
    <row r="2933" spans="1:5" x14ac:dyDescent="0.25">
      <c r="A2933">
        <v>0</v>
      </c>
      <c r="B2933">
        <v>-5.3333333333333297E-3</v>
      </c>
      <c r="C2933">
        <f t="shared" si="90"/>
        <v>1.6260043417788026</v>
      </c>
      <c r="D2933">
        <v>2</v>
      </c>
      <c r="E2933">
        <f t="shared" si="91"/>
        <v>5.4488474052736408E-2</v>
      </c>
    </row>
    <row r="2934" spans="1:5" x14ac:dyDescent="0.25">
      <c r="A2934">
        <v>0</v>
      </c>
      <c r="B2934">
        <v>-5.3333333333333297E-3</v>
      </c>
      <c r="C2934">
        <f t="shared" si="90"/>
        <v>1.6260043417788026</v>
      </c>
      <c r="D2934">
        <v>2</v>
      </c>
      <c r="E2934">
        <f t="shared" si="91"/>
        <v>5.4488474052736408E-2</v>
      </c>
    </row>
    <row r="2935" spans="1:5" x14ac:dyDescent="0.25">
      <c r="A2935">
        <v>0</v>
      </c>
      <c r="B2935">
        <v>-5.3333333333333297E-3</v>
      </c>
      <c r="C2935">
        <f t="shared" si="90"/>
        <v>1.6260043417788026</v>
      </c>
      <c r="D2935">
        <v>2</v>
      </c>
      <c r="E2935">
        <f t="shared" si="91"/>
        <v>5.4488474052736408E-2</v>
      </c>
    </row>
    <row r="2936" spans="1:5" x14ac:dyDescent="0.25">
      <c r="A2936">
        <v>0</v>
      </c>
      <c r="B2936">
        <v>-5.0000000000000001E-3</v>
      </c>
      <c r="C2936">
        <f t="shared" si="90"/>
        <v>1.6262932247737205</v>
      </c>
      <c r="D2936">
        <v>2</v>
      </c>
      <c r="E2936">
        <f t="shared" si="91"/>
        <v>5.4488474052736408E-2</v>
      </c>
    </row>
    <row r="2937" spans="1:5" x14ac:dyDescent="0.25">
      <c r="A2937">
        <v>0</v>
      </c>
      <c r="B2937">
        <v>-5.0000000000000001E-3</v>
      </c>
      <c r="C2937">
        <f t="shared" si="90"/>
        <v>1.6262932247737205</v>
      </c>
      <c r="D2937">
        <v>2</v>
      </c>
      <c r="E2937">
        <f t="shared" si="91"/>
        <v>5.4488474052736408E-2</v>
      </c>
    </row>
    <row r="2938" spans="1:5" x14ac:dyDescent="0.25">
      <c r="A2938">
        <v>0</v>
      </c>
      <c r="B2938">
        <v>-5.0000000000000001E-3</v>
      </c>
      <c r="C2938">
        <f t="shared" si="90"/>
        <v>1.6262932247737205</v>
      </c>
      <c r="D2938">
        <v>2</v>
      </c>
      <c r="E2938">
        <f t="shared" si="91"/>
        <v>5.4488474052736408E-2</v>
      </c>
    </row>
    <row r="2939" spans="1:5" x14ac:dyDescent="0.25">
      <c r="A2939">
        <v>0</v>
      </c>
      <c r="B2939">
        <v>-4.6728971962616802E-3</v>
      </c>
      <c r="C2939">
        <f t="shared" si="90"/>
        <v>1.6265737893214831</v>
      </c>
      <c r="D2939">
        <v>2</v>
      </c>
      <c r="E2939">
        <f t="shared" si="91"/>
        <v>5.4488474052736408E-2</v>
      </c>
    </row>
    <row r="2940" spans="1:5" x14ac:dyDescent="0.25">
      <c r="A2940">
        <v>0</v>
      </c>
      <c r="B2940">
        <v>-4.6728971962616802E-3</v>
      </c>
      <c r="C2940">
        <f t="shared" si="90"/>
        <v>1.6265737893214831</v>
      </c>
      <c r="D2940">
        <v>2</v>
      </c>
      <c r="E2940">
        <f t="shared" si="91"/>
        <v>5.4488474052736408E-2</v>
      </c>
    </row>
    <row r="2941" spans="1:5" x14ac:dyDescent="0.25">
      <c r="A2941">
        <v>0</v>
      </c>
      <c r="B2941">
        <v>-4.6620046620046603E-3</v>
      </c>
      <c r="C2941">
        <f t="shared" si="90"/>
        <v>1.6265830823703598</v>
      </c>
      <c r="D2941">
        <v>2</v>
      </c>
      <c r="E2941">
        <f t="shared" si="91"/>
        <v>5.4488474052736408E-2</v>
      </c>
    </row>
    <row r="2942" spans="1:5" x14ac:dyDescent="0.25">
      <c r="A2942">
        <v>0</v>
      </c>
      <c r="B2942">
        <v>-4.6620046620046603E-3</v>
      </c>
      <c r="C2942">
        <f t="shared" si="90"/>
        <v>1.6265830823703598</v>
      </c>
      <c r="D2942">
        <v>2</v>
      </c>
      <c r="E2942">
        <f t="shared" si="91"/>
        <v>5.4488474052736408E-2</v>
      </c>
    </row>
    <row r="2943" spans="1:5" x14ac:dyDescent="0.25">
      <c r="A2943">
        <v>0</v>
      </c>
      <c r="B2943">
        <v>-4.6620046620046603E-3</v>
      </c>
      <c r="C2943">
        <f t="shared" si="90"/>
        <v>1.6265830823703598</v>
      </c>
      <c r="D2943">
        <v>2</v>
      </c>
      <c r="E2943">
        <f t="shared" si="91"/>
        <v>5.4488474052736408E-2</v>
      </c>
    </row>
    <row r="2944" spans="1:5" x14ac:dyDescent="0.25">
      <c r="A2944">
        <v>0</v>
      </c>
      <c r="B2944">
        <v>-4.6620046620046603E-3</v>
      </c>
      <c r="C2944">
        <f t="shared" si="90"/>
        <v>1.6265830823703598</v>
      </c>
      <c r="D2944">
        <v>2</v>
      </c>
      <c r="E2944">
        <f t="shared" si="91"/>
        <v>5.4488474052736408E-2</v>
      </c>
    </row>
    <row r="2945" spans="1:5" x14ac:dyDescent="0.25">
      <c r="A2945">
        <v>0</v>
      </c>
      <c r="B2945">
        <v>-4.0000000000000001E-3</v>
      </c>
      <c r="C2945">
        <f t="shared" si="90"/>
        <v>1.6271418527866393</v>
      </c>
      <c r="D2945">
        <v>2</v>
      </c>
      <c r="E2945">
        <f t="shared" si="91"/>
        <v>5.4488474052736408E-2</v>
      </c>
    </row>
    <row r="2946" spans="1:5" x14ac:dyDescent="0.25">
      <c r="A2946">
        <v>0</v>
      </c>
      <c r="B2946">
        <v>-4.0000000000000001E-3</v>
      </c>
      <c r="C2946">
        <f t="shared" ref="C2946:C3009" si="92">_xlfn.NORM.DIST(B2946,I$10,I$13,FALSE)</f>
        <v>1.6271418527866393</v>
      </c>
      <c r="D2946">
        <v>2</v>
      </c>
      <c r="E2946">
        <f t="shared" si="91"/>
        <v>5.4488474052736408E-2</v>
      </c>
    </row>
    <row r="2947" spans="1:5" x14ac:dyDescent="0.25">
      <c r="A2947">
        <v>0</v>
      </c>
      <c r="B2947">
        <v>-4.0000000000000001E-3</v>
      </c>
      <c r="C2947">
        <f t="shared" si="92"/>
        <v>1.6271418527866393</v>
      </c>
      <c r="D2947">
        <v>2</v>
      </c>
      <c r="E2947">
        <f t="shared" ref="E2947:E3010" si="93">_xlfn.NORM.DIST(D2947,I$4,I$7,FALSE)</f>
        <v>5.4488474052736408E-2</v>
      </c>
    </row>
    <row r="2948" spans="1:5" x14ac:dyDescent="0.25">
      <c r="A2948">
        <v>0</v>
      </c>
      <c r="B2948">
        <v>-4.0000000000000001E-3</v>
      </c>
      <c r="C2948">
        <f t="shared" si="92"/>
        <v>1.6271418527866393</v>
      </c>
      <c r="D2948">
        <v>2</v>
      </c>
      <c r="E2948">
        <f t="shared" si="93"/>
        <v>5.4488474052736408E-2</v>
      </c>
    </row>
    <row r="2949" spans="1:5" x14ac:dyDescent="0.25">
      <c r="A2949">
        <v>0</v>
      </c>
      <c r="B2949">
        <v>-4.0000000000000001E-3</v>
      </c>
      <c r="C2949">
        <f t="shared" si="92"/>
        <v>1.6271418527866393</v>
      </c>
      <c r="D2949">
        <v>2</v>
      </c>
      <c r="E2949">
        <f t="shared" si="93"/>
        <v>5.4488474052736408E-2</v>
      </c>
    </row>
    <row r="2950" spans="1:5" x14ac:dyDescent="0.25">
      <c r="A2950">
        <v>0</v>
      </c>
      <c r="B2950">
        <v>-4.0000000000000001E-3</v>
      </c>
      <c r="C2950">
        <f t="shared" si="92"/>
        <v>1.6271418527866393</v>
      </c>
      <c r="D2950">
        <v>2</v>
      </c>
      <c r="E2950">
        <f t="shared" si="93"/>
        <v>5.4488474052736408E-2</v>
      </c>
    </row>
    <row r="2951" spans="1:5" x14ac:dyDescent="0.25">
      <c r="A2951">
        <v>0</v>
      </c>
      <c r="B2951">
        <v>-4.0000000000000001E-3</v>
      </c>
      <c r="C2951">
        <f t="shared" si="92"/>
        <v>1.6271418527866393</v>
      </c>
      <c r="D2951">
        <v>2</v>
      </c>
      <c r="E2951">
        <f t="shared" si="93"/>
        <v>5.4488474052736408E-2</v>
      </c>
    </row>
    <row r="2952" spans="1:5" x14ac:dyDescent="0.25">
      <c r="A2952">
        <v>0</v>
      </c>
      <c r="B2952">
        <v>-4.0000000000000001E-3</v>
      </c>
      <c r="C2952">
        <f t="shared" si="92"/>
        <v>1.6271418527866393</v>
      </c>
      <c r="D2952">
        <v>2</v>
      </c>
      <c r="E2952">
        <f t="shared" si="93"/>
        <v>5.4488474052736408E-2</v>
      </c>
    </row>
    <row r="2953" spans="1:5" x14ac:dyDescent="0.25">
      <c r="A2953">
        <v>0</v>
      </c>
      <c r="B2953">
        <v>-4.0000000000000001E-3</v>
      </c>
      <c r="C2953">
        <f t="shared" si="92"/>
        <v>1.6271418527866393</v>
      </c>
      <c r="D2953">
        <v>2</v>
      </c>
      <c r="E2953">
        <f t="shared" si="93"/>
        <v>5.4488474052736408E-2</v>
      </c>
    </row>
    <row r="2954" spans="1:5" x14ac:dyDescent="0.25">
      <c r="A2954">
        <v>0</v>
      </c>
      <c r="B2954">
        <v>-3.6666666666666701E-3</v>
      </c>
      <c r="C2954">
        <f t="shared" si="92"/>
        <v>1.6274187165181211</v>
      </c>
      <c r="D2954">
        <v>2</v>
      </c>
      <c r="E2954">
        <f t="shared" si="93"/>
        <v>5.4488474052736408E-2</v>
      </c>
    </row>
    <row r="2955" spans="1:5" x14ac:dyDescent="0.25">
      <c r="A2955">
        <v>0</v>
      </c>
      <c r="B2955">
        <v>-3.3333333333333301E-3</v>
      </c>
      <c r="C2955">
        <f t="shared" si="92"/>
        <v>1.6276925715137307</v>
      </c>
      <c r="D2955">
        <v>2</v>
      </c>
      <c r="E2955">
        <f t="shared" si="93"/>
        <v>5.4488474052736408E-2</v>
      </c>
    </row>
    <row r="2956" spans="1:5" x14ac:dyDescent="0.25">
      <c r="A2956">
        <v>0</v>
      </c>
      <c r="B2956">
        <v>-3.3333333333333301E-3</v>
      </c>
      <c r="C2956">
        <f t="shared" si="92"/>
        <v>1.6276925715137307</v>
      </c>
      <c r="D2956">
        <v>2</v>
      </c>
      <c r="E2956">
        <f t="shared" si="93"/>
        <v>5.4488474052736408E-2</v>
      </c>
    </row>
    <row r="2957" spans="1:5" x14ac:dyDescent="0.25">
      <c r="A2957">
        <v>0</v>
      </c>
      <c r="B2957">
        <v>-3.3333333333333301E-3</v>
      </c>
      <c r="C2957">
        <f t="shared" si="92"/>
        <v>1.6276925715137307</v>
      </c>
      <c r="D2957">
        <v>2</v>
      </c>
      <c r="E2957">
        <f t="shared" si="93"/>
        <v>5.4488474052736408E-2</v>
      </c>
    </row>
    <row r="2958" spans="1:5" x14ac:dyDescent="0.25">
      <c r="A2958">
        <v>0</v>
      </c>
      <c r="B2958">
        <v>-3.3333333333333301E-3</v>
      </c>
      <c r="C2958">
        <f t="shared" si="92"/>
        <v>1.6276925715137307</v>
      </c>
      <c r="D2958">
        <v>2</v>
      </c>
      <c r="E2958">
        <f t="shared" si="93"/>
        <v>5.4488474052736408E-2</v>
      </c>
    </row>
    <row r="2959" spans="1:5" x14ac:dyDescent="0.25">
      <c r="A2959">
        <v>0</v>
      </c>
      <c r="B2959">
        <v>-3.3333333333333301E-3</v>
      </c>
      <c r="C2959">
        <f t="shared" si="92"/>
        <v>1.6276925715137307</v>
      </c>
      <c r="D2959">
        <v>2</v>
      </c>
      <c r="E2959">
        <f t="shared" si="93"/>
        <v>5.4488474052736408E-2</v>
      </c>
    </row>
    <row r="2960" spans="1:5" x14ac:dyDescent="0.25">
      <c r="A2960">
        <v>0</v>
      </c>
      <c r="B2960">
        <v>-3.3333333333333301E-3</v>
      </c>
      <c r="C2960">
        <f t="shared" si="92"/>
        <v>1.6276925715137307</v>
      </c>
      <c r="D2960">
        <v>2</v>
      </c>
      <c r="E2960">
        <f t="shared" si="93"/>
        <v>5.4488474052736408E-2</v>
      </c>
    </row>
    <row r="2961" spans="1:5" x14ac:dyDescent="0.25">
      <c r="A2961">
        <v>0</v>
      </c>
      <c r="B2961">
        <v>-3.0030030030029999E-3</v>
      </c>
      <c r="C2961">
        <f t="shared" si="92"/>
        <v>1.6279609896383691</v>
      </c>
      <c r="D2961">
        <v>2</v>
      </c>
      <c r="E2961">
        <f t="shared" si="93"/>
        <v>5.4488474052736408E-2</v>
      </c>
    </row>
    <row r="2962" spans="1:5" x14ac:dyDescent="0.25">
      <c r="A2962">
        <v>0</v>
      </c>
      <c r="B2962">
        <v>-3.0030030030029999E-3</v>
      </c>
      <c r="C2962">
        <f t="shared" si="92"/>
        <v>1.6279609896383691</v>
      </c>
      <c r="D2962">
        <v>2</v>
      </c>
      <c r="E2962">
        <f t="shared" si="93"/>
        <v>5.4488474052736408E-2</v>
      </c>
    </row>
    <row r="2963" spans="1:5" x14ac:dyDescent="0.25">
      <c r="A2963">
        <v>0</v>
      </c>
      <c r="B2963">
        <v>-3.0030030030029999E-3</v>
      </c>
      <c r="C2963">
        <f t="shared" si="92"/>
        <v>1.6279609896383691</v>
      </c>
      <c r="D2963">
        <v>2</v>
      </c>
      <c r="E2963">
        <f t="shared" si="93"/>
        <v>5.4488474052736408E-2</v>
      </c>
    </row>
    <row r="2964" spans="1:5" x14ac:dyDescent="0.25">
      <c r="A2964">
        <v>0</v>
      </c>
      <c r="B2964">
        <v>-3.0000000000000001E-3</v>
      </c>
      <c r="C2964">
        <f t="shared" si="92"/>
        <v>1.627963416238811</v>
      </c>
      <c r="D2964">
        <v>2</v>
      </c>
      <c r="E2964">
        <f t="shared" si="93"/>
        <v>5.4488474052736408E-2</v>
      </c>
    </row>
    <row r="2965" spans="1:5" x14ac:dyDescent="0.25">
      <c r="A2965">
        <v>0</v>
      </c>
      <c r="B2965">
        <v>-2.9940119760479E-3</v>
      </c>
      <c r="C2965">
        <f t="shared" si="92"/>
        <v>1.627968254179476</v>
      </c>
      <c r="D2965">
        <v>2</v>
      </c>
      <c r="E2965">
        <f t="shared" si="93"/>
        <v>5.4488474052736408E-2</v>
      </c>
    </row>
    <row r="2966" spans="1:5" x14ac:dyDescent="0.25">
      <c r="A2966">
        <v>0</v>
      </c>
      <c r="B2966">
        <v>-2.9940119760479E-3</v>
      </c>
      <c r="C2966">
        <f t="shared" si="92"/>
        <v>1.627968254179476</v>
      </c>
      <c r="D2966">
        <v>2</v>
      </c>
      <c r="E2966">
        <f t="shared" si="93"/>
        <v>5.4488474052736408E-2</v>
      </c>
    </row>
    <row r="2967" spans="1:5" x14ac:dyDescent="0.25">
      <c r="A2967">
        <v>0</v>
      </c>
      <c r="B2967">
        <v>-2.9940119760479E-3</v>
      </c>
      <c r="C2967">
        <f t="shared" si="92"/>
        <v>1.627968254179476</v>
      </c>
      <c r="D2967">
        <v>2</v>
      </c>
      <c r="E2967">
        <f t="shared" si="93"/>
        <v>5.4488474052736408E-2</v>
      </c>
    </row>
    <row r="2968" spans="1:5" x14ac:dyDescent="0.25">
      <c r="A2968">
        <v>0</v>
      </c>
      <c r="B2968">
        <v>-2.9940119760479E-3</v>
      </c>
      <c r="C2968">
        <f t="shared" si="92"/>
        <v>1.627968254179476</v>
      </c>
      <c r="D2968">
        <v>2</v>
      </c>
      <c r="E2968">
        <f t="shared" si="93"/>
        <v>5.4488474052736408E-2</v>
      </c>
    </row>
    <row r="2969" spans="1:5" x14ac:dyDescent="0.25">
      <c r="A2969">
        <v>0</v>
      </c>
      <c r="B2969">
        <v>-2.9940119760479E-3</v>
      </c>
      <c r="C2969">
        <f t="shared" si="92"/>
        <v>1.627968254179476</v>
      </c>
      <c r="D2969">
        <v>2</v>
      </c>
      <c r="E2969">
        <f t="shared" si="93"/>
        <v>5.4488474052736408E-2</v>
      </c>
    </row>
    <row r="2970" spans="1:5" x14ac:dyDescent="0.25">
      <c r="A2970">
        <v>0</v>
      </c>
      <c r="B2970">
        <v>-2.66666666666667E-3</v>
      </c>
      <c r="C2970">
        <f t="shared" si="92"/>
        <v>1.6282312491754034</v>
      </c>
      <c r="D2970">
        <v>2</v>
      </c>
      <c r="E2970">
        <f t="shared" si="93"/>
        <v>5.4488474052736408E-2</v>
      </c>
    </row>
    <row r="2971" spans="1:5" x14ac:dyDescent="0.25">
      <c r="A2971">
        <v>0</v>
      </c>
      <c r="B2971">
        <v>-2.66666666666667E-3</v>
      </c>
      <c r="C2971">
        <f t="shared" si="92"/>
        <v>1.6282312491754034</v>
      </c>
      <c r="D2971">
        <v>2</v>
      </c>
      <c r="E2971">
        <f t="shared" si="93"/>
        <v>5.4488474052736408E-2</v>
      </c>
    </row>
    <row r="2972" spans="1:5" x14ac:dyDescent="0.25">
      <c r="A2972">
        <v>0</v>
      </c>
      <c r="B2972">
        <v>-2.66666666666667E-3</v>
      </c>
      <c r="C2972">
        <f t="shared" si="92"/>
        <v>1.6282312491754034</v>
      </c>
      <c r="D2972">
        <v>2</v>
      </c>
      <c r="E2972">
        <f t="shared" si="93"/>
        <v>5.4488474052736408E-2</v>
      </c>
    </row>
    <row r="2973" spans="1:5" x14ac:dyDescent="0.25">
      <c r="A2973">
        <v>0</v>
      </c>
      <c r="B2973">
        <v>-2.66666666666667E-3</v>
      </c>
      <c r="C2973">
        <f t="shared" si="92"/>
        <v>1.6282312491754034</v>
      </c>
      <c r="D2973">
        <v>2</v>
      </c>
      <c r="E2973">
        <f t="shared" si="93"/>
        <v>5.4488474052736408E-2</v>
      </c>
    </row>
    <row r="2974" spans="1:5" x14ac:dyDescent="0.25">
      <c r="A2974">
        <v>0</v>
      </c>
      <c r="B2974">
        <v>-2.66666666666667E-3</v>
      </c>
      <c r="C2974">
        <f t="shared" si="92"/>
        <v>1.6282312491754034</v>
      </c>
      <c r="D2974">
        <v>2</v>
      </c>
      <c r="E2974">
        <f t="shared" si="93"/>
        <v>5.4488474052736408E-2</v>
      </c>
    </row>
    <row r="2975" spans="1:5" x14ac:dyDescent="0.25">
      <c r="A2975">
        <v>0</v>
      </c>
      <c r="B2975">
        <v>-2.66666666666667E-3</v>
      </c>
      <c r="C2975">
        <f t="shared" si="92"/>
        <v>1.6282312491754034</v>
      </c>
      <c r="D2975">
        <v>2</v>
      </c>
      <c r="E2975">
        <f t="shared" si="93"/>
        <v>5.4488474052736408E-2</v>
      </c>
    </row>
    <row r="2976" spans="1:5" x14ac:dyDescent="0.25">
      <c r="A2976">
        <v>0</v>
      </c>
      <c r="B2976">
        <v>-2.66666666666667E-3</v>
      </c>
      <c r="C2976">
        <f t="shared" si="92"/>
        <v>1.6282312491754034</v>
      </c>
      <c r="D2976">
        <v>2</v>
      </c>
      <c r="E2976">
        <f t="shared" si="93"/>
        <v>5.4488474052736408E-2</v>
      </c>
    </row>
    <row r="2977" spans="1:5" x14ac:dyDescent="0.25">
      <c r="A2977">
        <v>0</v>
      </c>
      <c r="B2977">
        <v>-2.66666666666667E-3</v>
      </c>
      <c r="C2977">
        <f t="shared" si="92"/>
        <v>1.6282312491754034</v>
      </c>
      <c r="D2977">
        <v>2</v>
      </c>
      <c r="E2977">
        <f t="shared" si="93"/>
        <v>5.4488474052736408E-2</v>
      </c>
    </row>
    <row r="2978" spans="1:5" x14ac:dyDescent="0.25">
      <c r="A2978">
        <v>0</v>
      </c>
      <c r="B2978">
        <v>-2.66666666666667E-3</v>
      </c>
      <c r="C2978">
        <f t="shared" si="92"/>
        <v>1.6282312491754034</v>
      </c>
      <c r="D2978">
        <v>2</v>
      </c>
      <c r="E2978">
        <f t="shared" si="93"/>
        <v>5.4488474052736408E-2</v>
      </c>
    </row>
    <row r="2979" spans="1:5" x14ac:dyDescent="0.25">
      <c r="A2979">
        <v>0</v>
      </c>
      <c r="B2979">
        <v>-2.66666666666667E-3</v>
      </c>
      <c r="C2979">
        <f t="shared" si="92"/>
        <v>1.6282312491754034</v>
      </c>
      <c r="D2979">
        <v>2</v>
      </c>
      <c r="E2979">
        <f t="shared" si="93"/>
        <v>5.4488474052736408E-2</v>
      </c>
    </row>
    <row r="2980" spans="1:5" x14ac:dyDescent="0.25">
      <c r="A2980">
        <v>0</v>
      </c>
      <c r="B2980">
        <v>-2.66666666666667E-3</v>
      </c>
      <c r="C2980">
        <f t="shared" si="92"/>
        <v>1.6282312491754034</v>
      </c>
      <c r="D2980">
        <v>2</v>
      </c>
      <c r="E2980">
        <f t="shared" si="93"/>
        <v>5.4488474052736408E-2</v>
      </c>
    </row>
    <row r="2981" spans="1:5" x14ac:dyDescent="0.25">
      <c r="A2981">
        <v>0</v>
      </c>
      <c r="B2981">
        <v>-2.3364485981308401E-3</v>
      </c>
      <c r="C2981">
        <f t="shared" si="92"/>
        <v>1.6284936078260619</v>
      </c>
      <c r="D2981">
        <v>2</v>
      </c>
      <c r="E2981">
        <f t="shared" si="93"/>
        <v>5.4488474052736408E-2</v>
      </c>
    </row>
    <row r="2982" spans="1:5" x14ac:dyDescent="0.25">
      <c r="A2982">
        <v>0</v>
      </c>
      <c r="B2982">
        <v>-2.3364485981308401E-3</v>
      </c>
      <c r="C2982">
        <f t="shared" si="92"/>
        <v>1.6284936078260619</v>
      </c>
      <c r="D2982">
        <v>2</v>
      </c>
      <c r="E2982">
        <f t="shared" si="93"/>
        <v>5.4488474052736408E-2</v>
      </c>
    </row>
    <row r="2983" spans="1:5" x14ac:dyDescent="0.25">
      <c r="A2983">
        <v>0</v>
      </c>
      <c r="B2983">
        <v>-2.3364485981308401E-3</v>
      </c>
      <c r="C2983">
        <f t="shared" si="92"/>
        <v>1.6284936078260619</v>
      </c>
      <c r="D2983">
        <v>2</v>
      </c>
      <c r="E2983">
        <f t="shared" si="93"/>
        <v>5.4488474052736408E-2</v>
      </c>
    </row>
    <row r="2984" spans="1:5" x14ac:dyDescent="0.25">
      <c r="A2984">
        <v>0</v>
      </c>
      <c r="B2984">
        <v>-2.3364485981308401E-3</v>
      </c>
      <c r="C2984">
        <f t="shared" si="92"/>
        <v>1.6284936078260619</v>
      </c>
      <c r="D2984">
        <v>2</v>
      </c>
      <c r="E2984">
        <f t="shared" si="93"/>
        <v>5.4488474052736408E-2</v>
      </c>
    </row>
    <row r="2985" spans="1:5" x14ac:dyDescent="0.25">
      <c r="A2985">
        <v>0</v>
      </c>
      <c r="B2985">
        <v>-2.3364485981308401E-3</v>
      </c>
      <c r="C2985">
        <f t="shared" si="92"/>
        <v>1.6284936078260619</v>
      </c>
      <c r="D2985">
        <v>2</v>
      </c>
      <c r="E2985">
        <f t="shared" si="93"/>
        <v>5.4488474052736408E-2</v>
      </c>
    </row>
    <row r="2986" spans="1:5" x14ac:dyDescent="0.25">
      <c r="A2986">
        <v>0</v>
      </c>
      <c r="B2986">
        <v>-2.3364485981308401E-3</v>
      </c>
      <c r="C2986">
        <f t="shared" si="92"/>
        <v>1.6284936078260619</v>
      </c>
      <c r="D2986">
        <v>2</v>
      </c>
      <c r="E2986">
        <f t="shared" si="93"/>
        <v>5.4488474052736408E-2</v>
      </c>
    </row>
    <row r="2987" spans="1:5" x14ac:dyDescent="0.25">
      <c r="A2987">
        <v>0</v>
      </c>
      <c r="B2987">
        <v>-2.3364485981308401E-3</v>
      </c>
      <c r="C2987">
        <f t="shared" si="92"/>
        <v>1.6284936078260619</v>
      </c>
      <c r="D2987">
        <v>2</v>
      </c>
      <c r="E2987">
        <f t="shared" si="93"/>
        <v>5.4488474052736408E-2</v>
      </c>
    </row>
    <row r="2988" spans="1:5" x14ac:dyDescent="0.25">
      <c r="A2988">
        <v>0</v>
      </c>
      <c r="B2988">
        <v>-2.3364485981308401E-3</v>
      </c>
      <c r="C2988">
        <f t="shared" si="92"/>
        <v>1.6284936078260619</v>
      </c>
      <c r="D2988">
        <v>2</v>
      </c>
      <c r="E2988">
        <f t="shared" si="93"/>
        <v>5.4488474052736408E-2</v>
      </c>
    </row>
    <row r="2989" spans="1:5" x14ac:dyDescent="0.25">
      <c r="A2989">
        <v>0</v>
      </c>
      <c r="B2989">
        <v>-2.3310023310023301E-3</v>
      </c>
      <c r="C2989">
        <f t="shared" si="92"/>
        <v>1.6284979100947423</v>
      </c>
      <c r="D2989">
        <v>2</v>
      </c>
      <c r="E2989">
        <f t="shared" si="93"/>
        <v>5.4488474052736408E-2</v>
      </c>
    </row>
    <row r="2990" spans="1:5" x14ac:dyDescent="0.25">
      <c r="A2990">
        <v>0</v>
      </c>
      <c r="B2990">
        <v>-2.3310023310023301E-3</v>
      </c>
      <c r="C2990">
        <f t="shared" si="92"/>
        <v>1.6284979100947423</v>
      </c>
      <c r="D2990">
        <v>2</v>
      </c>
      <c r="E2990">
        <f t="shared" si="93"/>
        <v>5.4488474052736408E-2</v>
      </c>
    </row>
    <row r="2991" spans="1:5" x14ac:dyDescent="0.25">
      <c r="A2991">
        <v>0</v>
      </c>
      <c r="B2991">
        <v>-2.3310023310023301E-3</v>
      </c>
      <c r="C2991">
        <f t="shared" si="92"/>
        <v>1.6284979100947423</v>
      </c>
      <c r="D2991">
        <v>2</v>
      </c>
      <c r="E2991">
        <f t="shared" si="93"/>
        <v>5.4488474052736408E-2</v>
      </c>
    </row>
    <row r="2992" spans="1:5" x14ac:dyDescent="0.25">
      <c r="A2992">
        <v>0</v>
      </c>
      <c r="B2992">
        <v>-2.3310023310023301E-3</v>
      </c>
      <c r="C2992">
        <f t="shared" si="92"/>
        <v>1.6284979100947423</v>
      </c>
      <c r="D2992">
        <v>2</v>
      </c>
      <c r="E2992">
        <f t="shared" si="93"/>
        <v>5.4488474052736408E-2</v>
      </c>
    </row>
    <row r="2993" spans="1:5" x14ac:dyDescent="0.25">
      <c r="A2993">
        <v>0</v>
      </c>
      <c r="B2993">
        <v>-2.3310023310023301E-3</v>
      </c>
      <c r="C2993">
        <f t="shared" si="92"/>
        <v>1.6284979100947423</v>
      </c>
      <c r="D2993">
        <v>2</v>
      </c>
      <c r="E2993">
        <f t="shared" si="93"/>
        <v>5.4488474052736408E-2</v>
      </c>
    </row>
    <row r="2994" spans="1:5" x14ac:dyDescent="0.25">
      <c r="A2994">
        <v>0</v>
      </c>
      <c r="B2994">
        <v>-2.3310023310023301E-3</v>
      </c>
      <c r="C2994">
        <f t="shared" si="92"/>
        <v>1.6284979100947423</v>
      </c>
      <c r="D2994">
        <v>2</v>
      </c>
      <c r="E2994">
        <f t="shared" si="93"/>
        <v>5.4488474052736408E-2</v>
      </c>
    </row>
    <row r="2995" spans="1:5" x14ac:dyDescent="0.25">
      <c r="A2995">
        <v>0</v>
      </c>
      <c r="B2995">
        <v>-2E-3</v>
      </c>
      <c r="C2995">
        <f t="shared" si="92"/>
        <v>1.6287578736948711</v>
      </c>
      <c r="D2995">
        <v>2</v>
      </c>
      <c r="E2995">
        <f t="shared" si="93"/>
        <v>5.4488474052736408E-2</v>
      </c>
    </row>
    <row r="2996" spans="1:5" x14ac:dyDescent="0.25">
      <c r="A2996">
        <v>0</v>
      </c>
      <c r="B2996">
        <v>-2E-3</v>
      </c>
      <c r="C2996">
        <f t="shared" si="92"/>
        <v>1.6287578736948711</v>
      </c>
      <c r="D2996">
        <v>2</v>
      </c>
      <c r="E2996">
        <f t="shared" si="93"/>
        <v>5.4488474052736408E-2</v>
      </c>
    </row>
    <row r="2997" spans="1:5" x14ac:dyDescent="0.25">
      <c r="A2997">
        <v>0</v>
      </c>
      <c r="B2997">
        <v>-2E-3</v>
      </c>
      <c r="C2997">
        <f t="shared" si="92"/>
        <v>1.6287578736948711</v>
      </c>
      <c r="D2997">
        <v>2</v>
      </c>
      <c r="E2997">
        <f t="shared" si="93"/>
        <v>5.4488474052736408E-2</v>
      </c>
    </row>
    <row r="2998" spans="1:5" x14ac:dyDescent="0.25">
      <c r="A2998">
        <v>0</v>
      </c>
      <c r="B2998">
        <v>-1.66666666666667E-3</v>
      </c>
      <c r="C2998">
        <f t="shared" si="92"/>
        <v>1.6290166623254516</v>
      </c>
      <c r="D2998">
        <v>2</v>
      </c>
      <c r="E2998">
        <f t="shared" si="93"/>
        <v>5.4488474052736408E-2</v>
      </c>
    </row>
    <row r="2999" spans="1:5" x14ac:dyDescent="0.25">
      <c r="A2999">
        <v>0</v>
      </c>
      <c r="B2999">
        <v>-1.66666666666667E-3</v>
      </c>
      <c r="C2999">
        <f t="shared" si="92"/>
        <v>1.6290166623254516</v>
      </c>
      <c r="D2999">
        <v>2</v>
      </c>
      <c r="E2999">
        <f t="shared" si="93"/>
        <v>5.4488474052736408E-2</v>
      </c>
    </row>
    <row r="3000" spans="1:5" x14ac:dyDescent="0.25">
      <c r="A3000">
        <v>0</v>
      </c>
      <c r="B3000">
        <v>-1.33333333333333E-3</v>
      </c>
      <c r="C3000">
        <f t="shared" si="92"/>
        <v>1.6292724332629835</v>
      </c>
      <c r="D3000">
        <v>2</v>
      </c>
      <c r="E3000">
        <f t="shared" si="93"/>
        <v>5.4488474052736408E-2</v>
      </c>
    </row>
    <row r="3001" spans="1:5" x14ac:dyDescent="0.25">
      <c r="A3001">
        <v>0</v>
      </c>
      <c r="B3001">
        <v>-1.33333333333333E-3</v>
      </c>
      <c r="C3001">
        <f t="shared" si="92"/>
        <v>1.6292724332629835</v>
      </c>
      <c r="D3001">
        <v>2</v>
      </c>
      <c r="E3001">
        <f t="shared" si="93"/>
        <v>5.4488474052736408E-2</v>
      </c>
    </row>
    <row r="3002" spans="1:5" x14ac:dyDescent="0.25">
      <c r="A3002">
        <v>0</v>
      </c>
      <c r="B3002">
        <v>-1.33333333333333E-3</v>
      </c>
      <c r="C3002">
        <f t="shared" si="92"/>
        <v>1.6292724332629835</v>
      </c>
      <c r="D3002">
        <v>2</v>
      </c>
      <c r="E3002">
        <f t="shared" si="93"/>
        <v>5.4488474052736408E-2</v>
      </c>
    </row>
    <row r="3003" spans="1:5" x14ac:dyDescent="0.25">
      <c r="A3003">
        <v>0</v>
      </c>
      <c r="B3003">
        <v>-1E-3</v>
      </c>
      <c r="C3003">
        <f t="shared" si="92"/>
        <v>1.6295251850732126</v>
      </c>
      <c r="D3003">
        <v>2</v>
      </c>
      <c r="E3003">
        <f t="shared" si="93"/>
        <v>5.4488474052736408E-2</v>
      </c>
    </row>
    <row r="3004" spans="1:5" x14ac:dyDescent="0.25">
      <c r="A3004">
        <v>0</v>
      </c>
      <c r="B3004">
        <v>-1E-3</v>
      </c>
      <c r="C3004">
        <f t="shared" si="92"/>
        <v>1.6295251850732126</v>
      </c>
      <c r="D3004">
        <v>2</v>
      </c>
      <c r="E3004">
        <f t="shared" si="93"/>
        <v>5.4488474052736408E-2</v>
      </c>
    </row>
    <row r="3005" spans="1:5" x14ac:dyDescent="0.25">
      <c r="A3005">
        <v>0</v>
      </c>
      <c r="B3005">
        <v>0</v>
      </c>
      <c r="C3005">
        <f t="shared" si="92"/>
        <v>1.6302653116493602</v>
      </c>
      <c r="D3005">
        <v>2</v>
      </c>
      <c r="E3005">
        <f t="shared" si="93"/>
        <v>5.4488474052736408E-2</v>
      </c>
    </row>
    <row r="3006" spans="1:5" x14ac:dyDescent="0.25">
      <c r="A3006">
        <v>0</v>
      </c>
      <c r="B3006">
        <v>0</v>
      </c>
      <c r="C3006">
        <f t="shared" si="92"/>
        <v>1.6302653116493602</v>
      </c>
      <c r="D3006">
        <v>2</v>
      </c>
      <c r="E3006">
        <f t="shared" si="93"/>
        <v>5.4488474052736408E-2</v>
      </c>
    </row>
    <row r="3007" spans="1:5" x14ac:dyDescent="0.25">
      <c r="A3007">
        <v>0</v>
      </c>
      <c r="B3007">
        <v>0</v>
      </c>
      <c r="C3007">
        <f t="shared" si="92"/>
        <v>1.6302653116493602</v>
      </c>
      <c r="D3007">
        <v>2</v>
      </c>
      <c r="E3007">
        <f t="shared" si="93"/>
        <v>5.4488474052736408E-2</v>
      </c>
    </row>
    <row r="3008" spans="1:5" x14ac:dyDescent="0.25">
      <c r="A3008">
        <v>0</v>
      </c>
      <c r="B3008">
        <v>0</v>
      </c>
      <c r="C3008">
        <f t="shared" si="92"/>
        <v>1.6302653116493602</v>
      </c>
      <c r="D3008">
        <v>2</v>
      </c>
      <c r="E3008">
        <f t="shared" si="93"/>
        <v>5.4488474052736408E-2</v>
      </c>
    </row>
    <row r="3009" spans="1:5" x14ac:dyDescent="0.25">
      <c r="A3009">
        <v>0</v>
      </c>
      <c r="B3009">
        <v>0</v>
      </c>
      <c r="C3009">
        <f t="shared" si="92"/>
        <v>1.6302653116493602</v>
      </c>
      <c r="D3009">
        <v>2</v>
      </c>
      <c r="E3009">
        <f t="shared" si="93"/>
        <v>5.4488474052736408E-2</v>
      </c>
    </row>
    <row r="3010" spans="1:5" x14ac:dyDescent="0.25">
      <c r="A3010">
        <v>0</v>
      </c>
      <c r="B3010">
        <v>0</v>
      </c>
      <c r="C3010">
        <f t="shared" ref="C3010:C3073" si="94">_xlfn.NORM.DIST(B3010,I$10,I$13,FALSE)</f>
        <v>1.6302653116493602</v>
      </c>
      <c r="D3010">
        <v>2</v>
      </c>
      <c r="E3010">
        <f t="shared" si="93"/>
        <v>5.4488474052736408E-2</v>
      </c>
    </row>
    <row r="3011" spans="1:5" x14ac:dyDescent="0.25">
      <c r="A3011">
        <v>0</v>
      </c>
      <c r="B3011">
        <v>0</v>
      </c>
      <c r="C3011">
        <f t="shared" si="94"/>
        <v>1.6302653116493602</v>
      </c>
      <c r="D3011">
        <v>2</v>
      </c>
      <c r="E3011">
        <f t="shared" ref="E3011:E3074" si="95">_xlfn.NORM.DIST(D3011,I$4,I$7,FALSE)</f>
        <v>5.4488474052736408E-2</v>
      </c>
    </row>
    <row r="3012" spans="1:5" x14ac:dyDescent="0.25">
      <c r="A3012">
        <v>0</v>
      </c>
      <c r="B3012">
        <v>0</v>
      </c>
      <c r="C3012">
        <f t="shared" si="94"/>
        <v>1.6302653116493602</v>
      </c>
      <c r="D3012">
        <v>2</v>
      </c>
      <c r="E3012">
        <f t="shared" si="95"/>
        <v>5.4488474052736408E-2</v>
      </c>
    </row>
    <row r="3013" spans="1:5" x14ac:dyDescent="0.25">
      <c r="A3013">
        <v>0</v>
      </c>
      <c r="B3013">
        <v>0</v>
      </c>
      <c r="C3013">
        <f t="shared" si="94"/>
        <v>1.6302653116493602</v>
      </c>
      <c r="D3013">
        <v>2</v>
      </c>
      <c r="E3013">
        <f t="shared" si="95"/>
        <v>5.4488474052736408E-2</v>
      </c>
    </row>
    <row r="3014" spans="1:5" x14ac:dyDescent="0.25">
      <c r="A3014">
        <v>0</v>
      </c>
      <c r="B3014">
        <v>0</v>
      </c>
      <c r="C3014">
        <f t="shared" si="94"/>
        <v>1.6302653116493602</v>
      </c>
      <c r="D3014">
        <v>2</v>
      </c>
      <c r="E3014">
        <f t="shared" si="95"/>
        <v>5.4488474052736408E-2</v>
      </c>
    </row>
    <row r="3015" spans="1:5" x14ac:dyDescent="0.25">
      <c r="A3015">
        <v>0</v>
      </c>
      <c r="B3015">
        <v>0</v>
      </c>
      <c r="C3015">
        <f t="shared" si="94"/>
        <v>1.6302653116493602</v>
      </c>
      <c r="D3015">
        <v>2</v>
      </c>
      <c r="E3015">
        <f t="shared" si="95"/>
        <v>5.4488474052736408E-2</v>
      </c>
    </row>
    <row r="3016" spans="1:5" x14ac:dyDescent="0.25">
      <c r="A3016">
        <v>0</v>
      </c>
      <c r="B3016">
        <v>0</v>
      </c>
      <c r="C3016">
        <f t="shared" si="94"/>
        <v>1.6302653116493602</v>
      </c>
      <c r="D3016">
        <v>2</v>
      </c>
      <c r="E3016">
        <f t="shared" si="95"/>
        <v>5.4488474052736408E-2</v>
      </c>
    </row>
    <row r="3017" spans="1:5" x14ac:dyDescent="0.25">
      <c r="A3017">
        <v>0</v>
      </c>
      <c r="B3017">
        <v>0</v>
      </c>
      <c r="C3017">
        <f t="shared" si="94"/>
        <v>1.6302653116493602</v>
      </c>
      <c r="D3017">
        <v>2</v>
      </c>
      <c r="E3017">
        <f t="shared" si="95"/>
        <v>5.4488474052736408E-2</v>
      </c>
    </row>
    <row r="3018" spans="1:5" x14ac:dyDescent="0.25">
      <c r="A3018">
        <v>0</v>
      </c>
      <c r="B3018">
        <v>0</v>
      </c>
      <c r="C3018">
        <f t="shared" si="94"/>
        <v>1.6302653116493602</v>
      </c>
      <c r="D3018">
        <v>2</v>
      </c>
      <c r="E3018">
        <f t="shared" si="95"/>
        <v>5.4488474052736408E-2</v>
      </c>
    </row>
    <row r="3019" spans="1:5" x14ac:dyDescent="0.25">
      <c r="A3019">
        <v>0</v>
      </c>
      <c r="B3019">
        <v>0</v>
      </c>
      <c r="C3019">
        <f t="shared" si="94"/>
        <v>1.6302653116493602</v>
      </c>
      <c r="D3019">
        <v>2</v>
      </c>
      <c r="E3019">
        <f t="shared" si="95"/>
        <v>5.4488474052736408E-2</v>
      </c>
    </row>
    <row r="3020" spans="1:5" x14ac:dyDescent="0.25">
      <c r="A3020">
        <v>0</v>
      </c>
      <c r="B3020">
        <v>0</v>
      </c>
      <c r="C3020">
        <f t="shared" si="94"/>
        <v>1.6302653116493602</v>
      </c>
      <c r="D3020">
        <v>2</v>
      </c>
      <c r="E3020">
        <f t="shared" si="95"/>
        <v>5.4488474052736408E-2</v>
      </c>
    </row>
    <row r="3021" spans="1:5" x14ac:dyDescent="0.25">
      <c r="A3021">
        <v>0</v>
      </c>
      <c r="B3021">
        <v>0</v>
      </c>
      <c r="C3021">
        <f t="shared" si="94"/>
        <v>1.6302653116493602</v>
      </c>
      <c r="D3021">
        <v>2</v>
      </c>
      <c r="E3021">
        <f t="shared" si="95"/>
        <v>5.4488474052736408E-2</v>
      </c>
    </row>
    <row r="3022" spans="1:5" x14ac:dyDescent="0.25">
      <c r="A3022">
        <v>0</v>
      </c>
      <c r="B3022">
        <v>0</v>
      </c>
      <c r="C3022">
        <f t="shared" si="94"/>
        <v>1.6302653116493602</v>
      </c>
      <c r="D3022">
        <v>2</v>
      </c>
      <c r="E3022">
        <f t="shared" si="95"/>
        <v>5.4488474052736408E-2</v>
      </c>
    </row>
    <row r="3023" spans="1:5" x14ac:dyDescent="0.25">
      <c r="A3023">
        <v>0</v>
      </c>
      <c r="B3023">
        <v>0</v>
      </c>
      <c r="C3023">
        <f t="shared" si="94"/>
        <v>1.6302653116493602</v>
      </c>
      <c r="D3023">
        <v>2</v>
      </c>
      <c r="E3023">
        <f t="shared" si="95"/>
        <v>5.4488474052736408E-2</v>
      </c>
    </row>
    <row r="3024" spans="1:5" x14ac:dyDescent="0.25">
      <c r="A3024">
        <v>0</v>
      </c>
      <c r="B3024">
        <v>0</v>
      </c>
      <c r="C3024">
        <f t="shared" si="94"/>
        <v>1.6302653116493602</v>
      </c>
      <c r="D3024">
        <v>2</v>
      </c>
      <c r="E3024">
        <f t="shared" si="95"/>
        <v>5.4488474052736408E-2</v>
      </c>
    </row>
    <row r="3025" spans="1:5" x14ac:dyDescent="0.25">
      <c r="A3025">
        <v>0</v>
      </c>
      <c r="B3025">
        <v>0</v>
      </c>
      <c r="C3025">
        <f t="shared" si="94"/>
        <v>1.6302653116493602</v>
      </c>
      <c r="D3025">
        <v>2</v>
      </c>
      <c r="E3025">
        <f t="shared" si="95"/>
        <v>5.4488474052736408E-2</v>
      </c>
    </row>
    <row r="3026" spans="1:5" x14ac:dyDescent="0.25">
      <c r="A3026">
        <v>0</v>
      </c>
      <c r="B3026">
        <v>0</v>
      </c>
      <c r="C3026">
        <f t="shared" si="94"/>
        <v>1.6302653116493602</v>
      </c>
      <c r="D3026">
        <v>2</v>
      </c>
      <c r="E3026">
        <f t="shared" si="95"/>
        <v>5.4488474052736408E-2</v>
      </c>
    </row>
    <row r="3027" spans="1:5" x14ac:dyDescent="0.25">
      <c r="A3027">
        <v>0</v>
      </c>
      <c r="B3027">
        <v>0</v>
      </c>
      <c r="C3027">
        <f t="shared" si="94"/>
        <v>1.6302653116493602</v>
      </c>
      <c r="D3027">
        <v>2</v>
      </c>
      <c r="E3027">
        <f t="shared" si="95"/>
        <v>5.4488474052736408E-2</v>
      </c>
    </row>
    <row r="3028" spans="1:5" x14ac:dyDescent="0.25">
      <c r="A3028">
        <v>0</v>
      </c>
      <c r="B3028">
        <v>0</v>
      </c>
      <c r="C3028">
        <f t="shared" si="94"/>
        <v>1.6302653116493602</v>
      </c>
      <c r="D3028">
        <v>2</v>
      </c>
      <c r="E3028">
        <f t="shared" si="95"/>
        <v>5.4488474052736408E-2</v>
      </c>
    </row>
    <row r="3029" spans="1:5" x14ac:dyDescent="0.25">
      <c r="A3029">
        <v>0</v>
      </c>
      <c r="B3029">
        <v>0</v>
      </c>
      <c r="C3029">
        <f t="shared" si="94"/>
        <v>1.6302653116493602</v>
      </c>
      <c r="D3029">
        <v>2</v>
      </c>
      <c r="E3029">
        <f t="shared" si="95"/>
        <v>5.4488474052736408E-2</v>
      </c>
    </row>
    <row r="3030" spans="1:5" x14ac:dyDescent="0.25">
      <c r="A3030">
        <v>0</v>
      </c>
      <c r="B3030">
        <v>0</v>
      </c>
      <c r="C3030">
        <f t="shared" si="94"/>
        <v>1.6302653116493602</v>
      </c>
      <c r="D3030">
        <v>2</v>
      </c>
      <c r="E3030">
        <f t="shared" si="95"/>
        <v>5.4488474052736408E-2</v>
      </c>
    </row>
    <row r="3031" spans="1:5" x14ac:dyDescent="0.25">
      <c r="A3031">
        <v>0</v>
      </c>
      <c r="B3031">
        <v>0</v>
      </c>
      <c r="C3031">
        <f t="shared" si="94"/>
        <v>1.6302653116493602</v>
      </c>
      <c r="D3031">
        <v>2</v>
      </c>
      <c r="E3031">
        <f t="shared" si="95"/>
        <v>5.4488474052736408E-2</v>
      </c>
    </row>
    <row r="3032" spans="1:5" x14ac:dyDescent="0.25">
      <c r="A3032">
        <v>0</v>
      </c>
      <c r="B3032">
        <v>0</v>
      </c>
      <c r="C3032">
        <f t="shared" si="94"/>
        <v>1.6302653116493602</v>
      </c>
      <c r="D3032">
        <v>2</v>
      </c>
      <c r="E3032">
        <f t="shared" si="95"/>
        <v>5.4488474052736408E-2</v>
      </c>
    </row>
    <row r="3033" spans="1:5" x14ac:dyDescent="0.25">
      <c r="A3033">
        <v>0</v>
      </c>
      <c r="B3033">
        <v>0</v>
      </c>
      <c r="C3033">
        <f t="shared" si="94"/>
        <v>1.6302653116493602</v>
      </c>
      <c r="D3033">
        <v>2</v>
      </c>
      <c r="E3033">
        <f t="shared" si="95"/>
        <v>5.4488474052736408E-2</v>
      </c>
    </row>
    <row r="3034" spans="1:5" x14ac:dyDescent="0.25">
      <c r="A3034">
        <v>0</v>
      </c>
      <c r="B3034">
        <v>0</v>
      </c>
      <c r="C3034">
        <f t="shared" si="94"/>
        <v>1.6302653116493602</v>
      </c>
      <c r="D3034">
        <v>2</v>
      </c>
      <c r="E3034">
        <f t="shared" si="95"/>
        <v>5.4488474052736408E-2</v>
      </c>
    </row>
    <row r="3035" spans="1:5" x14ac:dyDescent="0.25">
      <c r="A3035">
        <v>0</v>
      </c>
      <c r="B3035">
        <v>0</v>
      </c>
      <c r="C3035">
        <f t="shared" si="94"/>
        <v>1.6302653116493602</v>
      </c>
      <c r="D3035">
        <v>2</v>
      </c>
      <c r="E3035">
        <f t="shared" si="95"/>
        <v>5.4488474052736408E-2</v>
      </c>
    </row>
    <row r="3036" spans="1:5" x14ac:dyDescent="0.25">
      <c r="A3036">
        <v>0</v>
      </c>
      <c r="B3036">
        <v>0</v>
      </c>
      <c r="C3036">
        <f t="shared" si="94"/>
        <v>1.6302653116493602</v>
      </c>
      <c r="D3036">
        <v>2</v>
      </c>
      <c r="E3036">
        <f t="shared" si="95"/>
        <v>5.4488474052736408E-2</v>
      </c>
    </row>
    <row r="3037" spans="1:5" x14ac:dyDescent="0.25">
      <c r="A3037">
        <v>0</v>
      </c>
      <c r="B3037">
        <v>0</v>
      </c>
      <c r="C3037">
        <f t="shared" si="94"/>
        <v>1.6302653116493602</v>
      </c>
      <c r="D3037">
        <v>2</v>
      </c>
      <c r="E3037">
        <f t="shared" si="95"/>
        <v>5.4488474052736408E-2</v>
      </c>
    </row>
    <row r="3038" spans="1:5" x14ac:dyDescent="0.25">
      <c r="A3038">
        <v>0</v>
      </c>
      <c r="B3038">
        <v>0</v>
      </c>
      <c r="C3038">
        <f t="shared" si="94"/>
        <v>1.6302653116493602</v>
      </c>
      <c r="D3038">
        <v>2</v>
      </c>
      <c r="E3038">
        <f t="shared" si="95"/>
        <v>5.4488474052736408E-2</v>
      </c>
    </row>
    <row r="3039" spans="1:5" x14ac:dyDescent="0.25">
      <c r="A3039">
        <v>0</v>
      </c>
      <c r="B3039">
        <v>0</v>
      </c>
      <c r="C3039">
        <f t="shared" si="94"/>
        <v>1.6302653116493602</v>
      </c>
      <c r="D3039">
        <v>2</v>
      </c>
      <c r="E3039">
        <f t="shared" si="95"/>
        <v>5.4488474052736408E-2</v>
      </c>
    </row>
    <row r="3040" spans="1:5" x14ac:dyDescent="0.25">
      <c r="A3040">
        <v>0</v>
      </c>
      <c r="B3040">
        <v>0</v>
      </c>
      <c r="C3040">
        <f t="shared" si="94"/>
        <v>1.6302653116493602</v>
      </c>
      <c r="D3040">
        <v>2</v>
      </c>
      <c r="E3040">
        <f t="shared" si="95"/>
        <v>5.4488474052736408E-2</v>
      </c>
    </row>
    <row r="3041" spans="1:5" x14ac:dyDescent="0.25">
      <c r="A3041">
        <v>0</v>
      </c>
      <c r="B3041">
        <v>0</v>
      </c>
      <c r="C3041">
        <f t="shared" si="94"/>
        <v>1.6302653116493602</v>
      </c>
      <c r="D3041">
        <v>2</v>
      </c>
      <c r="E3041">
        <f t="shared" si="95"/>
        <v>5.4488474052736408E-2</v>
      </c>
    </row>
    <row r="3042" spans="1:5" x14ac:dyDescent="0.25">
      <c r="A3042">
        <v>0</v>
      </c>
      <c r="B3042">
        <v>0</v>
      </c>
      <c r="C3042">
        <f t="shared" si="94"/>
        <v>1.6302653116493602</v>
      </c>
      <c r="D3042">
        <v>2</v>
      </c>
      <c r="E3042">
        <f t="shared" si="95"/>
        <v>5.4488474052736408E-2</v>
      </c>
    </row>
    <row r="3043" spans="1:5" x14ac:dyDescent="0.25">
      <c r="A3043">
        <v>0</v>
      </c>
      <c r="B3043">
        <v>0</v>
      </c>
      <c r="C3043">
        <f t="shared" si="94"/>
        <v>1.6302653116493602</v>
      </c>
      <c r="D3043">
        <v>2</v>
      </c>
      <c r="E3043">
        <f t="shared" si="95"/>
        <v>5.4488474052736408E-2</v>
      </c>
    </row>
    <row r="3044" spans="1:5" x14ac:dyDescent="0.25">
      <c r="A3044">
        <v>0</v>
      </c>
      <c r="B3044">
        <v>0</v>
      </c>
      <c r="C3044">
        <f t="shared" si="94"/>
        <v>1.6302653116493602</v>
      </c>
      <c r="D3044">
        <v>2</v>
      </c>
      <c r="E3044">
        <f t="shared" si="95"/>
        <v>5.4488474052736408E-2</v>
      </c>
    </row>
    <row r="3045" spans="1:5" x14ac:dyDescent="0.25">
      <c r="A3045">
        <v>0</v>
      </c>
      <c r="B3045">
        <v>0</v>
      </c>
      <c r="C3045">
        <f t="shared" si="94"/>
        <v>1.6302653116493602</v>
      </c>
      <c r="D3045">
        <v>2</v>
      </c>
      <c r="E3045">
        <f t="shared" si="95"/>
        <v>5.4488474052736408E-2</v>
      </c>
    </row>
    <row r="3046" spans="1:5" x14ac:dyDescent="0.25">
      <c r="A3046">
        <v>0</v>
      </c>
      <c r="B3046">
        <v>0</v>
      </c>
      <c r="C3046">
        <f t="shared" si="94"/>
        <v>1.6302653116493602</v>
      </c>
      <c r="D3046">
        <v>2</v>
      </c>
      <c r="E3046">
        <f t="shared" si="95"/>
        <v>5.4488474052736408E-2</v>
      </c>
    </row>
    <row r="3047" spans="1:5" x14ac:dyDescent="0.25">
      <c r="A3047">
        <v>0</v>
      </c>
      <c r="B3047">
        <v>0</v>
      </c>
      <c r="C3047">
        <f t="shared" si="94"/>
        <v>1.6302653116493602</v>
      </c>
      <c r="D3047">
        <v>2</v>
      </c>
      <c r="E3047">
        <f t="shared" si="95"/>
        <v>5.4488474052736408E-2</v>
      </c>
    </row>
    <row r="3048" spans="1:5" x14ac:dyDescent="0.25">
      <c r="A3048">
        <v>0</v>
      </c>
      <c r="B3048">
        <v>0</v>
      </c>
      <c r="C3048">
        <f t="shared" si="94"/>
        <v>1.6302653116493602</v>
      </c>
      <c r="D3048">
        <v>3</v>
      </c>
      <c r="E3048">
        <f t="shared" si="95"/>
        <v>5.6146788746696277E-2</v>
      </c>
    </row>
    <row r="3049" spans="1:5" x14ac:dyDescent="0.25">
      <c r="A3049">
        <v>0</v>
      </c>
      <c r="B3049">
        <v>0</v>
      </c>
      <c r="C3049">
        <f t="shared" si="94"/>
        <v>1.6302653116493602</v>
      </c>
      <c r="D3049">
        <v>3</v>
      </c>
      <c r="E3049">
        <f t="shared" si="95"/>
        <v>5.6146788746696277E-2</v>
      </c>
    </row>
    <row r="3050" spans="1:5" x14ac:dyDescent="0.25">
      <c r="A3050">
        <v>0</v>
      </c>
      <c r="B3050">
        <v>0</v>
      </c>
      <c r="C3050">
        <f t="shared" si="94"/>
        <v>1.6302653116493602</v>
      </c>
      <c r="D3050">
        <v>3</v>
      </c>
      <c r="E3050">
        <f t="shared" si="95"/>
        <v>5.6146788746696277E-2</v>
      </c>
    </row>
    <row r="3051" spans="1:5" x14ac:dyDescent="0.25">
      <c r="A3051">
        <v>0</v>
      </c>
      <c r="B3051">
        <v>0</v>
      </c>
      <c r="C3051">
        <f t="shared" si="94"/>
        <v>1.6302653116493602</v>
      </c>
      <c r="D3051">
        <v>3</v>
      </c>
      <c r="E3051">
        <f t="shared" si="95"/>
        <v>5.6146788746696277E-2</v>
      </c>
    </row>
    <row r="3052" spans="1:5" x14ac:dyDescent="0.25">
      <c r="A3052">
        <v>0</v>
      </c>
      <c r="B3052">
        <v>0</v>
      </c>
      <c r="C3052">
        <f t="shared" si="94"/>
        <v>1.6302653116493602</v>
      </c>
      <c r="D3052">
        <v>3</v>
      </c>
      <c r="E3052">
        <f t="shared" si="95"/>
        <v>5.6146788746696277E-2</v>
      </c>
    </row>
    <row r="3053" spans="1:5" x14ac:dyDescent="0.25">
      <c r="A3053">
        <v>0</v>
      </c>
      <c r="B3053">
        <v>0</v>
      </c>
      <c r="C3053">
        <f t="shared" si="94"/>
        <v>1.6302653116493602</v>
      </c>
      <c r="D3053">
        <v>3</v>
      </c>
      <c r="E3053">
        <f t="shared" si="95"/>
        <v>5.6146788746696277E-2</v>
      </c>
    </row>
    <row r="3054" spans="1:5" x14ac:dyDescent="0.25">
      <c r="A3054">
        <v>0</v>
      </c>
      <c r="B3054">
        <v>0</v>
      </c>
      <c r="C3054">
        <f t="shared" si="94"/>
        <v>1.6302653116493602</v>
      </c>
      <c r="D3054">
        <v>3</v>
      </c>
      <c r="E3054">
        <f t="shared" si="95"/>
        <v>5.6146788746696277E-2</v>
      </c>
    </row>
    <row r="3055" spans="1:5" x14ac:dyDescent="0.25">
      <c r="A3055">
        <v>0</v>
      </c>
      <c r="B3055">
        <v>0</v>
      </c>
      <c r="C3055">
        <f t="shared" si="94"/>
        <v>1.6302653116493602</v>
      </c>
      <c r="D3055">
        <v>3</v>
      </c>
      <c r="E3055">
        <f t="shared" si="95"/>
        <v>5.6146788746696277E-2</v>
      </c>
    </row>
    <row r="3056" spans="1:5" x14ac:dyDescent="0.25">
      <c r="A3056">
        <v>0</v>
      </c>
      <c r="B3056">
        <v>0</v>
      </c>
      <c r="C3056">
        <f t="shared" si="94"/>
        <v>1.6302653116493602</v>
      </c>
      <c r="D3056">
        <v>3</v>
      </c>
      <c r="E3056">
        <f t="shared" si="95"/>
        <v>5.6146788746696277E-2</v>
      </c>
    </row>
    <row r="3057" spans="1:5" x14ac:dyDescent="0.25">
      <c r="A3057">
        <v>0</v>
      </c>
      <c r="B3057">
        <v>0</v>
      </c>
      <c r="C3057">
        <f t="shared" si="94"/>
        <v>1.6302653116493602</v>
      </c>
      <c r="D3057">
        <v>3</v>
      </c>
      <c r="E3057">
        <f t="shared" si="95"/>
        <v>5.6146788746696277E-2</v>
      </c>
    </row>
    <row r="3058" spans="1:5" x14ac:dyDescent="0.25">
      <c r="A3058">
        <v>0</v>
      </c>
      <c r="B3058">
        <v>0</v>
      </c>
      <c r="C3058">
        <f t="shared" si="94"/>
        <v>1.6302653116493602</v>
      </c>
      <c r="D3058">
        <v>3</v>
      </c>
      <c r="E3058">
        <f t="shared" si="95"/>
        <v>5.6146788746696277E-2</v>
      </c>
    </row>
    <row r="3059" spans="1:5" x14ac:dyDescent="0.25">
      <c r="A3059">
        <v>0</v>
      </c>
      <c r="B3059">
        <v>0</v>
      </c>
      <c r="C3059">
        <f t="shared" si="94"/>
        <v>1.6302653116493602</v>
      </c>
      <c r="D3059">
        <v>3</v>
      </c>
      <c r="E3059">
        <f t="shared" si="95"/>
        <v>5.6146788746696277E-2</v>
      </c>
    </row>
    <row r="3060" spans="1:5" x14ac:dyDescent="0.25">
      <c r="A3060">
        <v>0</v>
      </c>
      <c r="B3060">
        <v>0</v>
      </c>
      <c r="C3060">
        <f t="shared" si="94"/>
        <v>1.6302653116493602</v>
      </c>
      <c r="D3060">
        <v>3</v>
      </c>
      <c r="E3060">
        <f t="shared" si="95"/>
        <v>5.6146788746696277E-2</v>
      </c>
    </row>
    <row r="3061" spans="1:5" x14ac:dyDescent="0.25">
      <c r="A3061">
        <v>0</v>
      </c>
      <c r="B3061">
        <v>0</v>
      </c>
      <c r="C3061">
        <f t="shared" si="94"/>
        <v>1.6302653116493602</v>
      </c>
      <c r="D3061">
        <v>3</v>
      </c>
      <c r="E3061">
        <f t="shared" si="95"/>
        <v>5.6146788746696277E-2</v>
      </c>
    </row>
    <row r="3062" spans="1:5" x14ac:dyDescent="0.25">
      <c r="A3062">
        <v>0</v>
      </c>
      <c r="B3062">
        <v>0</v>
      </c>
      <c r="C3062">
        <f t="shared" si="94"/>
        <v>1.6302653116493602</v>
      </c>
      <c r="D3062">
        <v>3</v>
      </c>
      <c r="E3062">
        <f t="shared" si="95"/>
        <v>5.6146788746696277E-2</v>
      </c>
    </row>
    <row r="3063" spans="1:5" x14ac:dyDescent="0.25">
      <c r="A3063">
        <v>0</v>
      </c>
      <c r="B3063">
        <v>0</v>
      </c>
      <c r="C3063">
        <f t="shared" si="94"/>
        <v>1.6302653116493602</v>
      </c>
      <c r="D3063">
        <v>3</v>
      </c>
      <c r="E3063">
        <f t="shared" si="95"/>
        <v>5.6146788746696277E-2</v>
      </c>
    </row>
    <row r="3064" spans="1:5" x14ac:dyDescent="0.25">
      <c r="A3064">
        <v>0</v>
      </c>
      <c r="B3064">
        <v>0</v>
      </c>
      <c r="C3064">
        <f t="shared" si="94"/>
        <v>1.6302653116493602</v>
      </c>
      <c r="D3064">
        <v>3</v>
      </c>
      <c r="E3064">
        <f t="shared" si="95"/>
        <v>5.6146788746696277E-2</v>
      </c>
    </row>
    <row r="3065" spans="1:5" x14ac:dyDescent="0.25">
      <c r="A3065">
        <v>0</v>
      </c>
      <c r="B3065">
        <v>0</v>
      </c>
      <c r="C3065">
        <f t="shared" si="94"/>
        <v>1.6302653116493602</v>
      </c>
      <c r="D3065">
        <v>3</v>
      </c>
      <c r="E3065">
        <f t="shared" si="95"/>
        <v>5.6146788746696277E-2</v>
      </c>
    </row>
    <row r="3066" spans="1:5" x14ac:dyDescent="0.25">
      <c r="A3066">
        <v>0</v>
      </c>
      <c r="B3066">
        <v>0</v>
      </c>
      <c r="C3066">
        <f t="shared" si="94"/>
        <v>1.6302653116493602</v>
      </c>
      <c r="D3066">
        <v>3</v>
      </c>
      <c r="E3066">
        <f t="shared" si="95"/>
        <v>5.6146788746696277E-2</v>
      </c>
    </row>
    <row r="3067" spans="1:5" x14ac:dyDescent="0.25">
      <c r="A3067">
        <v>0</v>
      </c>
      <c r="B3067">
        <v>0</v>
      </c>
      <c r="C3067">
        <f t="shared" si="94"/>
        <v>1.6302653116493602</v>
      </c>
      <c r="D3067">
        <v>3</v>
      </c>
      <c r="E3067">
        <f t="shared" si="95"/>
        <v>5.6146788746696277E-2</v>
      </c>
    </row>
    <row r="3068" spans="1:5" x14ac:dyDescent="0.25">
      <c r="A3068">
        <v>0</v>
      </c>
      <c r="B3068">
        <v>0</v>
      </c>
      <c r="C3068">
        <f t="shared" si="94"/>
        <v>1.6302653116493602</v>
      </c>
      <c r="D3068">
        <v>3</v>
      </c>
      <c r="E3068">
        <f t="shared" si="95"/>
        <v>5.6146788746696277E-2</v>
      </c>
    </row>
    <row r="3069" spans="1:5" x14ac:dyDescent="0.25">
      <c r="A3069">
        <v>0</v>
      </c>
      <c r="B3069">
        <v>0</v>
      </c>
      <c r="C3069">
        <f t="shared" si="94"/>
        <v>1.6302653116493602</v>
      </c>
      <c r="D3069">
        <v>3</v>
      </c>
      <c r="E3069">
        <f t="shared" si="95"/>
        <v>5.6146788746696277E-2</v>
      </c>
    </row>
    <row r="3070" spans="1:5" x14ac:dyDescent="0.25">
      <c r="A3070">
        <v>0</v>
      </c>
      <c r="B3070">
        <v>0</v>
      </c>
      <c r="C3070">
        <f t="shared" si="94"/>
        <v>1.6302653116493602</v>
      </c>
      <c r="D3070">
        <v>3</v>
      </c>
      <c r="E3070">
        <f t="shared" si="95"/>
        <v>5.6146788746696277E-2</v>
      </c>
    </row>
    <row r="3071" spans="1:5" x14ac:dyDescent="0.25">
      <c r="A3071">
        <v>0</v>
      </c>
      <c r="B3071">
        <v>0</v>
      </c>
      <c r="C3071">
        <f t="shared" si="94"/>
        <v>1.6302653116493602</v>
      </c>
      <c r="D3071">
        <v>3</v>
      </c>
      <c r="E3071">
        <f t="shared" si="95"/>
        <v>5.6146788746696277E-2</v>
      </c>
    </row>
    <row r="3072" spans="1:5" x14ac:dyDescent="0.25">
      <c r="A3072">
        <v>0</v>
      </c>
      <c r="B3072">
        <v>0</v>
      </c>
      <c r="C3072">
        <f t="shared" si="94"/>
        <v>1.6302653116493602</v>
      </c>
      <c r="D3072">
        <v>3</v>
      </c>
      <c r="E3072">
        <f t="shared" si="95"/>
        <v>5.6146788746696277E-2</v>
      </c>
    </row>
    <row r="3073" spans="1:5" x14ac:dyDescent="0.25">
      <c r="A3073">
        <v>0</v>
      </c>
      <c r="B3073">
        <v>0</v>
      </c>
      <c r="C3073">
        <f t="shared" si="94"/>
        <v>1.6302653116493602</v>
      </c>
      <c r="D3073">
        <v>3</v>
      </c>
      <c r="E3073">
        <f t="shared" si="95"/>
        <v>5.6146788746696277E-2</v>
      </c>
    </row>
    <row r="3074" spans="1:5" x14ac:dyDescent="0.25">
      <c r="A3074">
        <v>0</v>
      </c>
      <c r="B3074">
        <v>0</v>
      </c>
      <c r="C3074">
        <f t="shared" ref="C3074:C3137" si="96">_xlfn.NORM.DIST(B3074,I$10,I$13,FALSE)</f>
        <v>1.6302653116493602</v>
      </c>
      <c r="D3074">
        <v>3</v>
      </c>
      <c r="E3074">
        <f t="shared" si="95"/>
        <v>5.6146788746696277E-2</v>
      </c>
    </row>
    <row r="3075" spans="1:5" x14ac:dyDescent="0.25">
      <c r="A3075">
        <v>0</v>
      </c>
      <c r="B3075">
        <v>0</v>
      </c>
      <c r="C3075">
        <f t="shared" si="96"/>
        <v>1.6302653116493602</v>
      </c>
      <c r="D3075">
        <v>3</v>
      </c>
      <c r="E3075">
        <f t="shared" ref="E3075:E3138" si="97">_xlfn.NORM.DIST(D3075,I$4,I$7,FALSE)</f>
        <v>5.6146788746696277E-2</v>
      </c>
    </row>
    <row r="3076" spans="1:5" x14ac:dyDescent="0.25">
      <c r="A3076">
        <v>0</v>
      </c>
      <c r="B3076">
        <v>0</v>
      </c>
      <c r="C3076">
        <f t="shared" si="96"/>
        <v>1.6302653116493602</v>
      </c>
      <c r="D3076">
        <v>3</v>
      </c>
      <c r="E3076">
        <f t="shared" si="97"/>
        <v>5.6146788746696277E-2</v>
      </c>
    </row>
    <row r="3077" spans="1:5" x14ac:dyDescent="0.25">
      <c r="A3077">
        <v>0</v>
      </c>
      <c r="B3077">
        <v>0</v>
      </c>
      <c r="C3077">
        <f t="shared" si="96"/>
        <v>1.6302653116493602</v>
      </c>
      <c r="D3077">
        <v>3</v>
      </c>
      <c r="E3077">
        <f t="shared" si="97"/>
        <v>5.6146788746696277E-2</v>
      </c>
    </row>
    <row r="3078" spans="1:5" x14ac:dyDescent="0.25">
      <c r="A3078">
        <v>0</v>
      </c>
      <c r="B3078">
        <v>0</v>
      </c>
      <c r="C3078">
        <f t="shared" si="96"/>
        <v>1.6302653116493602</v>
      </c>
      <c r="D3078">
        <v>3</v>
      </c>
      <c r="E3078">
        <f t="shared" si="97"/>
        <v>5.6146788746696277E-2</v>
      </c>
    </row>
    <row r="3079" spans="1:5" x14ac:dyDescent="0.25">
      <c r="A3079">
        <v>0</v>
      </c>
      <c r="B3079">
        <v>0</v>
      </c>
      <c r="C3079">
        <f t="shared" si="96"/>
        <v>1.6302653116493602</v>
      </c>
      <c r="D3079">
        <v>3</v>
      </c>
      <c r="E3079">
        <f t="shared" si="97"/>
        <v>5.6146788746696277E-2</v>
      </c>
    </row>
    <row r="3080" spans="1:5" x14ac:dyDescent="0.25">
      <c r="A3080">
        <v>0</v>
      </c>
      <c r="B3080">
        <v>0</v>
      </c>
      <c r="C3080">
        <f t="shared" si="96"/>
        <v>1.6302653116493602</v>
      </c>
      <c r="D3080">
        <v>3</v>
      </c>
      <c r="E3080">
        <f t="shared" si="97"/>
        <v>5.6146788746696277E-2</v>
      </c>
    </row>
    <row r="3081" spans="1:5" x14ac:dyDescent="0.25">
      <c r="A3081">
        <v>0</v>
      </c>
      <c r="B3081">
        <v>0</v>
      </c>
      <c r="C3081">
        <f t="shared" si="96"/>
        <v>1.6302653116493602</v>
      </c>
      <c r="D3081">
        <v>3</v>
      </c>
      <c r="E3081">
        <f t="shared" si="97"/>
        <v>5.6146788746696277E-2</v>
      </c>
    </row>
    <row r="3082" spans="1:5" x14ac:dyDescent="0.25">
      <c r="A3082">
        <v>0</v>
      </c>
      <c r="B3082">
        <v>0</v>
      </c>
      <c r="C3082">
        <f t="shared" si="96"/>
        <v>1.6302653116493602</v>
      </c>
      <c r="D3082">
        <v>3</v>
      </c>
      <c r="E3082">
        <f t="shared" si="97"/>
        <v>5.6146788746696277E-2</v>
      </c>
    </row>
    <row r="3083" spans="1:5" x14ac:dyDescent="0.25">
      <c r="A3083">
        <v>0</v>
      </c>
      <c r="B3083">
        <v>0</v>
      </c>
      <c r="C3083">
        <f t="shared" si="96"/>
        <v>1.6302653116493602</v>
      </c>
      <c r="D3083">
        <v>3</v>
      </c>
      <c r="E3083">
        <f t="shared" si="97"/>
        <v>5.6146788746696277E-2</v>
      </c>
    </row>
    <row r="3084" spans="1:5" x14ac:dyDescent="0.25">
      <c r="A3084">
        <v>0</v>
      </c>
      <c r="B3084">
        <v>0</v>
      </c>
      <c r="C3084">
        <f t="shared" si="96"/>
        <v>1.6302653116493602</v>
      </c>
      <c r="D3084">
        <v>3</v>
      </c>
      <c r="E3084">
        <f t="shared" si="97"/>
        <v>5.6146788746696277E-2</v>
      </c>
    </row>
    <row r="3085" spans="1:5" x14ac:dyDescent="0.25">
      <c r="A3085">
        <v>0</v>
      </c>
      <c r="B3085">
        <v>0</v>
      </c>
      <c r="C3085">
        <f t="shared" si="96"/>
        <v>1.6302653116493602</v>
      </c>
      <c r="D3085">
        <v>3</v>
      </c>
      <c r="E3085">
        <f t="shared" si="97"/>
        <v>5.6146788746696277E-2</v>
      </c>
    </row>
    <row r="3086" spans="1:5" x14ac:dyDescent="0.25">
      <c r="A3086">
        <v>0</v>
      </c>
      <c r="B3086">
        <v>0</v>
      </c>
      <c r="C3086">
        <f t="shared" si="96"/>
        <v>1.6302653116493602</v>
      </c>
      <c r="D3086">
        <v>3</v>
      </c>
      <c r="E3086">
        <f t="shared" si="97"/>
        <v>5.6146788746696277E-2</v>
      </c>
    </row>
    <row r="3087" spans="1:5" x14ac:dyDescent="0.25">
      <c r="A3087">
        <v>0</v>
      </c>
      <c r="B3087">
        <v>0</v>
      </c>
      <c r="C3087">
        <f t="shared" si="96"/>
        <v>1.6302653116493602</v>
      </c>
      <c r="D3087">
        <v>3</v>
      </c>
      <c r="E3087">
        <f t="shared" si="97"/>
        <v>5.6146788746696277E-2</v>
      </c>
    </row>
    <row r="3088" spans="1:5" x14ac:dyDescent="0.25">
      <c r="A3088">
        <v>0</v>
      </c>
      <c r="B3088">
        <v>0</v>
      </c>
      <c r="C3088">
        <f t="shared" si="96"/>
        <v>1.6302653116493602</v>
      </c>
      <c r="D3088">
        <v>3</v>
      </c>
      <c r="E3088">
        <f t="shared" si="97"/>
        <v>5.6146788746696277E-2</v>
      </c>
    </row>
    <row r="3089" spans="1:5" x14ac:dyDescent="0.25">
      <c r="A3089">
        <v>0</v>
      </c>
      <c r="B3089">
        <v>0</v>
      </c>
      <c r="C3089">
        <f t="shared" si="96"/>
        <v>1.6302653116493602</v>
      </c>
      <c r="D3089">
        <v>3</v>
      </c>
      <c r="E3089">
        <f t="shared" si="97"/>
        <v>5.6146788746696277E-2</v>
      </c>
    </row>
    <row r="3090" spans="1:5" x14ac:dyDescent="0.25">
      <c r="A3090">
        <v>0</v>
      </c>
      <c r="B3090">
        <v>0</v>
      </c>
      <c r="C3090">
        <f t="shared" si="96"/>
        <v>1.6302653116493602</v>
      </c>
      <c r="D3090">
        <v>3</v>
      </c>
      <c r="E3090">
        <f t="shared" si="97"/>
        <v>5.6146788746696277E-2</v>
      </c>
    </row>
    <row r="3091" spans="1:5" x14ac:dyDescent="0.25">
      <c r="A3091">
        <v>0</v>
      </c>
      <c r="B3091">
        <v>0</v>
      </c>
      <c r="C3091">
        <f t="shared" si="96"/>
        <v>1.6302653116493602</v>
      </c>
      <c r="D3091">
        <v>3</v>
      </c>
      <c r="E3091">
        <f t="shared" si="97"/>
        <v>5.6146788746696277E-2</v>
      </c>
    </row>
    <row r="3092" spans="1:5" x14ac:dyDescent="0.25">
      <c r="A3092">
        <v>0</v>
      </c>
      <c r="B3092">
        <v>0</v>
      </c>
      <c r="C3092">
        <f t="shared" si="96"/>
        <v>1.6302653116493602</v>
      </c>
      <c r="D3092">
        <v>3</v>
      </c>
      <c r="E3092">
        <f t="shared" si="97"/>
        <v>5.6146788746696277E-2</v>
      </c>
    </row>
    <row r="3093" spans="1:5" x14ac:dyDescent="0.25">
      <c r="A3093">
        <v>0</v>
      </c>
      <c r="B3093">
        <v>0</v>
      </c>
      <c r="C3093">
        <f t="shared" si="96"/>
        <v>1.6302653116493602</v>
      </c>
      <c r="D3093">
        <v>3</v>
      </c>
      <c r="E3093">
        <f t="shared" si="97"/>
        <v>5.6146788746696277E-2</v>
      </c>
    </row>
    <row r="3094" spans="1:5" x14ac:dyDescent="0.25">
      <c r="A3094">
        <v>0</v>
      </c>
      <c r="B3094">
        <v>0</v>
      </c>
      <c r="C3094">
        <f t="shared" si="96"/>
        <v>1.6302653116493602</v>
      </c>
      <c r="D3094">
        <v>3</v>
      </c>
      <c r="E3094">
        <f t="shared" si="97"/>
        <v>5.6146788746696277E-2</v>
      </c>
    </row>
    <row r="3095" spans="1:5" x14ac:dyDescent="0.25">
      <c r="A3095">
        <v>0</v>
      </c>
      <c r="B3095">
        <v>0</v>
      </c>
      <c r="C3095">
        <f t="shared" si="96"/>
        <v>1.6302653116493602</v>
      </c>
      <c r="D3095">
        <v>3</v>
      </c>
      <c r="E3095">
        <f t="shared" si="97"/>
        <v>5.6146788746696277E-2</v>
      </c>
    </row>
    <row r="3096" spans="1:5" x14ac:dyDescent="0.25">
      <c r="A3096">
        <v>0</v>
      </c>
      <c r="B3096">
        <v>0</v>
      </c>
      <c r="C3096">
        <f t="shared" si="96"/>
        <v>1.6302653116493602</v>
      </c>
      <c r="D3096">
        <v>3</v>
      </c>
      <c r="E3096">
        <f t="shared" si="97"/>
        <v>5.6146788746696277E-2</v>
      </c>
    </row>
    <row r="3097" spans="1:5" x14ac:dyDescent="0.25">
      <c r="A3097">
        <v>0</v>
      </c>
      <c r="B3097">
        <v>0</v>
      </c>
      <c r="C3097">
        <f t="shared" si="96"/>
        <v>1.6302653116493602</v>
      </c>
      <c r="D3097">
        <v>3</v>
      </c>
      <c r="E3097">
        <f t="shared" si="97"/>
        <v>5.6146788746696277E-2</v>
      </c>
    </row>
    <row r="3098" spans="1:5" x14ac:dyDescent="0.25">
      <c r="A3098">
        <v>0</v>
      </c>
      <c r="B3098">
        <v>0</v>
      </c>
      <c r="C3098">
        <f t="shared" si="96"/>
        <v>1.6302653116493602</v>
      </c>
      <c r="D3098">
        <v>3</v>
      </c>
      <c r="E3098">
        <f t="shared" si="97"/>
        <v>5.6146788746696277E-2</v>
      </c>
    </row>
    <row r="3099" spans="1:5" x14ac:dyDescent="0.25">
      <c r="A3099">
        <v>0</v>
      </c>
      <c r="B3099">
        <v>0</v>
      </c>
      <c r="C3099">
        <f t="shared" si="96"/>
        <v>1.6302653116493602</v>
      </c>
      <c r="D3099">
        <v>3</v>
      </c>
      <c r="E3099">
        <f t="shared" si="97"/>
        <v>5.6146788746696277E-2</v>
      </c>
    </row>
    <row r="3100" spans="1:5" x14ac:dyDescent="0.25">
      <c r="A3100">
        <v>0</v>
      </c>
      <c r="B3100">
        <v>0</v>
      </c>
      <c r="C3100">
        <f t="shared" si="96"/>
        <v>1.6302653116493602</v>
      </c>
      <c r="D3100">
        <v>3</v>
      </c>
      <c r="E3100">
        <f t="shared" si="97"/>
        <v>5.6146788746696277E-2</v>
      </c>
    </row>
    <row r="3101" spans="1:5" x14ac:dyDescent="0.25">
      <c r="A3101">
        <v>0</v>
      </c>
      <c r="B3101">
        <v>0</v>
      </c>
      <c r="C3101">
        <f t="shared" si="96"/>
        <v>1.6302653116493602</v>
      </c>
      <c r="D3101">
        <v>3</v>
      </c>
      <c r="E3101">
        <f t="shared" si="97"/>
        <v>5.6146788746696277E-2</v>
      </c>
    </row>
    <row r="3102" spans="1:5" x14ac:dyDescent="0.25">
      <c r="A3102">
        <v>0</v>
      </c>
      <c r="B3102">
        <v>0</v>
      </c>
      <c r="C3102">
        <f t="shared" si="96"/>
        <v>1.6302653116493602</v>
      </c>
      <c r="D3102">
        <v>3</v>
      </c>
      <c r="E3102">
        <f t="shared" si="97"/>
        <v>5.6146788746696277E-2</v>
      </c>
    </row>
    <row r="3103" spans="1:5" x14ac:dyDescent="0.25">
      <c r="A3103">
        <v>0</v>
      </c>
      <c r="B3103">
        <v>0</v>
      </c>
      <c r="C3103">
        <f t="shared" si="96"/>
        <v>1.6302653116493602</v>
      </c>
      <c r="D3103">
        <v>3</v>
      </c>
      <c r="E3103">
        <f t="shared" si="97"/>
        <v>5.6146788746696277E-2</v>
      </c>
    </row>
    <row r="3104" spans="1:5" x14ac:dyDescent="0.25">
      <c r="A3104">
        <v>0</v>
      </c>
      <c r="B3104">
        <v>0</v>
      </c>
      <c r="C3104">
        <f t="shared" si="96"/>
        <v>1.6302653116493602</v>
      </c>
      <c r="D3104">
        <v>3</v>
      </c>
      <c r="E3104">
        <f t="shared" si="97"/>
        <v>5.6146788746696277E-2</v>
      </c>
    </row>
    <row r="3105" spans="1:5" x14ac:dyDescent="0.25">
      <c r="A3105">
        <v>0</v>
      </c>
      <c r="B3105">
        <v>0</v>
      </c>
      <c r="C3105">
        <f t="shared" si="96"/>
        <v>1.6302653116493602</v>
      </c>
      <c r="D3105">
        <v>3</v>
      </c>
      <c r="E3105">
        <f t="shared" si="97"/>
        <v>5.6146788746696277E-2</v>
      </c>
    </row>
    <row r="3106" spans="1:5" x14ac:dyDescent="0.25">
      <c r="A3106">
        <v>0</v>
      </c>
      <c r="B3106">
        <v>0</v>
      </c>
      <c r="C3106">
        <f t="shared" si="96"/>
        <v>1.6302653116493602</v>
      </c>
      <c r="D3106">
        <v>3</v>
      </c>
      <c r="E3106">
        <f t="shared" si="97"/>
        <v>5.6146788746696277E-2</v>
      </c>
    </row>
    <row r="3107" spans="1:5" x14ac:dyDescent="0.25">
      <c r="A3107">
        <v>0</v>
      </c>
      <c r="B3107">
        <v>0</v>
      </c>
      <c r="C3107">
        <f t="shared" si="96"/>
        <v>1.6302653116493602</v>
      </c>
      <c r="D3107">
        <v>3</v>
      </c>
      <c r="E3107">
        <f t="shared" si="97"/>
        <v>5.6146788746696277E-2</v>
      </c>
    </row>
    <row r="3108" spans="1:5" x14ac:dyDescent="0.25">
      <c r="A3108">
        <v>0</v>
      </c>
      <c r="B3108">
        <v>0</v>
      </c>
      <c r="C3108">
        <f t="shared" si="96"/>
        <v>1.6302653116493602</v>
      </c>
      <c r="D3108">
        <v>3</v>
      </c>
      <c r="E3108">
        <f t="shared" si="97"/>
        <v>5.6146788746696277E-2</v>
      </c>
    </row>
    <row r="3109" spans="1:5" x14ac:dyDescent="0.25">
      <c r="A3109">
        <v>0</v>
      </c>
      <c r="B3109">
        <v>0</v>
      </c>
      <c r="C3109">
        <f t="shared" si="96"/>
        <v>1.6302653116493602</v>
      </c>
      <c r="D3109">
        <v>3</v>
      </c>
      <c r="E3109">
        <f t="shared" si="97"/>
        <v>5.6146788746696277E-2</v>
      </c>
    </row>
    <row r="3110" spans="1:5" x14ac:dyDescent="0.25">
      <c r="A3110">
        <v>0</v>
      </c>
      <c r="B3110">
        <v>0</v>
      </c>
      <c r="C3110">
        <f t="shared" si="96"/>
        <v>1.6302653116493602</v>
      </c>
      <c r="D3110">
        <v>3</v>
      </c>
      <c r="E3110">
        <f t="shared" si="97"/>
        <v>5.6146788746696277E-2</v>
      </c>
    </row>
    <row r="3111" spans="1:5" x14ac:dyDescent="0.25">
      <c r="A3111">
        <v>0</v>
      </c>
      <c r="B3111">
        <v>0</v>
      </c>
      <c r="C3111">
        <f t="shared" si="96"/>
        <v>1.6302653116493602</v>
      </c>
      <c r="D3111">
        <v>3</v>
      </c>
      <c r="E3111">
        <f t="shared" si="97"/>
        <v>5.6146788746696277E-2</v>
      </c>
    </row>
    <row r="3112" spans="1:5" x14ac:dyDescent="0.25">
      <c r="A3112">
        <v>0</v>
      </c>
      <c r="B3112">
        <v>0</v>
      </c>
      <c r="C3112">
        <f t="shared" si="96"/>
        <v>1.6302653116493602</v>
      </c>
      <c r="D3112">
        <v>3</v>
      </c>
      <c r="E3112">
        <f t="shared" si="97"/>
        <v>5.6146788746696277E-2</v>
      </c>
    </row>
    <row r="3113" spans="1:5" x14ac:dyDescent="0.25">
      <c r="A3113">
        <v>0</v>
      </c>
      <c r="B3113">
        <v>0</v>
      </c>
      <c r="C3113">
        <f t="shared" si="96"/>
        <v>1.6302653116493602</v>
      </c>
      <c r="D3113">
        <v>3</v>
      </c>
      <c r="E3113">
        <f t="shared" si="97"/>
        <v>5.6146788746696277E-2</v>
      </c>
    </row>
    <row r="3114" spans="1:5" x14ac:dyDescent="0.25">
      <c r="A3114">
        <v>0</v>
      </c>
      <c r="B3114">
        <v>0</v>
      </c>
      <c r="C3114">
        <f t="shared" si="96"/>
        <v>1.6302653116493602</v>
      </c>
      <c r="D3114">
        <v>3</v>
      </c>
      <c r="E3114">
        <f t="shared" si="97"/>
        <v>5.6146788746696277E-2</v>
      </c>
    </row>
    <row r="3115" spans="1:5" x14ac:dyDescent="0.25">
      <c r="A3115">
        <v>0</v>
      </c>
      <c r="B3115">
        <v>0</v>
      </c>
      <c r="C3115">
        <f t="shared" si="96"/>
        <v>1.6302653116493602</v>
      </c>
      <c r="D3115">
        <v>3</v>
      </c>
      <c r="E3115">
        <f t="shared" si="97"/>
        <v>5.6146788746696277E-2</v>
      </c>
    </row>
    <row r="3116" spans="1:5" x14ac:dyDescent="0.25">
      <c r="A3116">
        <v>0</v>
      </c>
      <c r="B3116">
        <v>0</v>
      </c>
      <c r="C3116">
        <f t="shared" si="96"/>
        <v>1.6302653116493602</v>
      </c>
      <c r="D3116">
        <v>3</v>
      </c>
      <c r="E3116">
        <f t="shared" si="97"/>
        <v>5.6146788746696277E-2</v>
      </c>
    </row>
    <row r="3117" spans="1:5" x14ac:dyDescent="0.25">
      <c r="A3117">
        <v>0</v>
      </c>
      <c r="B3117">
        <v>0</v>
      </c>
      <c r="C3117">
        <f t="shared" si="96"/>
        <v>1.6302653116493602</v>
      </c>
      <c r="D3117">
        <v>3</v>
      </c>
      <c r="E3117">
        <f t="shared" si="97"/>
        <v>5.6146788746696277E-2</v>
      </c>
    </row>
    <row r="3118" spans="1:5" x14ac:dyDescent="0.25">
      <c r="A3118">
        <v>0</v>
      </c>
      <c r="B3118">
        <v>0</v>
      </c>
      <c r="C3118">
        <f t="shared" si="96"/>
        <v>1.6302653116493602</v>
      </c>
      <c r="D3118">
        <v>3</v>
      </c>
      <c r="E3118">
        <f t="shared" si="97"/>
        <v>5.6146788746696277E-2</v>
      </c>
    </row>
    <row r="3119" spans="1:5" x14ac:dyDescent="0.25">
      <c r="A3119">
        <v>0</v>
      </c>
      <c r="B3119">
        <v>0</v>
      </c>
      <c r="C3119">
        <f t="shared" si="96"/>
        <v>1.6302653116493602</v>
      </c>
      <c r="D3119">
        <v>3</v>
      </c>
      <c r="E3119">
        <f t="shared" si="97"/>
        <v>5.6146788746696277E-2</v>
      </c>
    </row>
    <row r="3120" spans="1:5" x14ac:dyDescent="0.25">
      <c r="A3120">
        <v>0</v>
      </c>
      <c r="B3120">
        <v>0</v>
      </c>
      <c r="C3120">
        <f t="shared" si="96"/>
        <v>1.6302653116493602</v>
      </c>
      <c r="D3120">
        <v>3</v>
      </c>
      <c r="E3120">
        <f t="shared" si="97"/>
        <v>5.6146788746696277E-2</v>
      </c>
    </row>
    <row r="3121" spans="1:5" x14ac:dyDescent="0.25">
      <c r="A3121">
        <v>0</v>
      </c>
      <c r="B3121">
        <v>0</v>
      </c>
      <c r="C3121">
        <f t="shared" si="96"/>
        <v>1.6302653116493602</v>
      </c>
      <c r="D3121">
        <v>3</v>
      </c>
      <c r="E3121">
        <f t="shared" si="97"/>
        <v>5.6146788746696277E-2</v>
      </c>
    </row>
    <row r="3122" spans="1:5" x14ac:dyDescent="0.25">
      <c r="A3122">
        <v>0</v>
      </c>
      <c r="B3122">
        <v>0</v>
      </c>
      <c r="C3122">
        <f t="shared" si="96"/>
        <v>1.6302653116493602</v>
      </c>
      <c r="D3122">
        <v>3</v>
      </c>
      <c r="E3122">
        <f t="shared" si="97"/>
        <v>5.6146788746696277E-2</v>
      </c>
    </row>
    <row r="3123" spans="1:5" x14ac:dyDescent="0.25">
      <c r="A3123">
        <v>0</v>
      </c>
      <c r="B3123">
        <v>0</v>
      </c>
      <c r="C3123">
        <f t="shared" si="96"/>
        <v>1.6302653116493602</v>
      </c>
      <c r="D3123">
        <v>3</v>
      </c>
      <c r="E3123">
        <f t="shared" si="97"/>
        <v>5.6146788746696277E-2</v>
      </c>
    </row>
    <row r="3124" spans="1:5" x14ac:dyDescent="0.25">
      <c r="A3124">
        <v>0</v>
      </c>
      <c r="B3124">
        <v>0</v>
      </c>
      <c r="C3124">
        <f t="shared" si="96"/>
        <v>1.6302653116493602</v>
      </c>
      <c r="D3124">
        <v>3</v>
      </c>
      <c r="E3124">
        <f t="shared" si="97"/>
        <v>5.6146788746696277E-2</v>
      </c>
    </row>
    <row r="3125" spans="1:5" x14ac:dyDescent="0.25">
      <c r="A3125">
        <v>0</v>
      </c>
      <c r="B3125">
        <v>0</v>
      </c>
      <c r="C3125">
        <f t="shared" si="96"/>
        <v>1.6302653116493602</v>
      </c>
      <c r="D3125">
        <v>3</v>
      </c>
      <c r="E3125">
        <f t="shared" si="97"/>
        <v>5.6146788746696277E-2</v>
      </c>
    </row>
    <row r="3126" spans="1:5" x14ac:dyDescent="0.25">
      <c r="A3126">
        <v>0</v>
      </c>
      <c r="B3126">
        <v>0</v>
      </c>
      <c r="C3126">
        <f t="shared" si="96"/>
        <v>1.6302653116493602</v>
      </c>
      <c r="D3126">
        <v>3</v>
      </c>
      <c r="E3126">
        <f t="shared" si="97"/>
        <v>5.6146788746696277E-2</v>
      </c>
    </row>
    <row r="3127" spans="1:5" x14ac:dyDescent="0.25">
      <c r="A3127">
        <v>0</v>
      </c>
      <c r="B3127">
        <v>0</v>
      </c>
      <c r="C3127">
        <f t="shared" si="96"/>
        <v>1.6302653116493602</v>
      </c>
      <c r="D3127">
        <v>3</v>
      </c>
      <c r="E3127">
        <f t="shared" si="97"/>
        <v>5.6146788746696277E-2</v>
      </c>
    </row>
    <row r="3128" spans="1:5" x14ac:dyDescent="0.25">
      <c r="A3128">
        <v>0</v>
      </c>
      <c r="B3128">
        <v>0</v>
      </c>
      <c r="C3128">
        <f t="shared" si="96"/>
        <v>1.6302653116493602</v>
      </c>
      <c r="D3128">
        <v>3</v>
      </c>
      <c r="E3128">
        <f t="shared" si="97"/>
        <v>5.6146788746696277E-2</v>
      </c>
    </row>
    <row r="3129" spans="1:5" x14ac:dyDescent="0.25">
      <c r="A3129">
        <v>0</v>
      </c>
      <c r="B3129">
        <v>0</v>
      </c>
      <c r="C3129">
        <f t="shared" si="96"/>
        <v>1.6302653116493602</v>
      </c>
      <c r="D3129">
        <v>3</v>
      </c>
      <c r="E3129">
        <f t="shared" si="97"/>
        <v>5.6146788746696277E-2</v>
      </c>
    </row>
    <row r="3130" spans="1:5" x14ac:dyDescent="0.25">
      <c r="A3130">
        <v>0</v>
      </c>
      <c r="B3130">
        <v>0</v>
      </c>
      <c r="C3130">
        <f t="shared" si="96"/>
        <v>1.6302653116493602</v>
      </c>
      <c r="D3130">
        <v>3</v>
      </c>
      <c r="E3130">
        <f t="shared" si="97"/>
        <v>5.6146788746696277E-2</v>
      </c>
    </row>
    <row r="3131" spans="1:5" x14ac:dyDescent="0.25">
      <c r="A3131">
        <v>0</v>
      </c>
      <c r="B3131">
        <v>0</v>
      </c>
      <c r="C3131">
        <f t="shared" si="96"/>
        <v>1.6302653116493602</v>
      </c>
      <c r="D3131">
        <v>3</v>
      </c>
      <c r="E3131">
        <f t="shared" si="97"/>
        <v>5.6146788746696277E-2</v>
      </c>
    </row>
    <row r="3132" spans="1:5" x14ac:dyDescent="0.25">
      <c r="A3132">
        <v>0</v>
      </c>
      <c r="B3132">
        <v>0</v>
      </c>
      <c r="C3132">
        <f t="shared" si="96"/>
        <v>1.6302653116493602</v>
      </c>
      <c r="D3132">
        <v>3</v>
      </c>
      <c r="E3132">
        <f t="shared" si="97"/>
        <v>5.6146788746696277E-2</v>
      </c>
    </row>
    <row r="3133" spans="1:5" x14ac:dyDescent="0.25">
      <c r="A3133">
        <v>0</v>
      </c>
      <c r="B3133">
        <v>0</v>
      </c>
      <c r="C3133">
        <f t="shared" si="96"/>
        <v>1.6302653116493602</v>
      </c>
      <c r="D3133">
        <v>3</v>
      </c>
      <c r="E3133">
        <f t="shared" si="97"/>
        <v>5.6146788746696277E-2</v>
      </c>
    </row>
    <row r="3134" spans="1:5" x14ac:dyDescent="0.25">
      <c r="A3134">
        <v>0</v>
      </c>
      <c r="B3134">
        <v>0</v>
      </c>
      <c r="C3134">
        <f t="shared" si="96"/>
        <v>1.6302653116493602</v>
      </c>
      <c r="D3134">
        <v>3</v>
      </c>
      <c r="E3134">
        <f t="shared" si="97"/>
        <v>5.6146788746696277E-2</v>
      </c>
    </row>
    <row r="3135" spans="1:5" x14ac:dyDescent="0.25">
      <c r="A3135">
        <v>0</v>
      </c>
      <c r="B3135">
        <v>0</v>
      </c>
      <c r="C3135">
        <f t="shared" si="96"/>
        <v>1.6302653116493602</v>
      </c>
      <c r="D3135">
        <v>3</v>
      </c>
      <c r="E3135">
        <f t="shared" si="97"/>
        <v>5.6146788746696277E-2</v>
      </c>
    </row>
    <row r="3136" spans="1:5" x14ac:dyDescent="0.25">
      <c r="A3136">
        <v>0</v>
      </c>
      <c r="B3136">
        <v>0</v>
      </c>
      <c r="C3136">
        <f t="shared" si="96"/>
        <v>1.6302653116493602</v>
      </c>
      <c r="D3136">
        <v>3</v>
      </c>
      <c r="E3136">
        <f t="shared" si="97"/>
        <v>5.6146788746696277E-2</v>
      </c>
    </row>
    <row r="3137" spans="1:5" x14ac:dyDescent="0.25">
      <c r="A3137">
        <v>0</v>
      </c>
      <c r="B3137">
        <v>0</v>
      </c>
      <c r="C3137">
        <f t="shared" si="96"/>
        <v>1.6302653116493602</v>
      </c>
      <c r="D3137">
        <v>3</v>
      </c>
      <c r="E3137">
        <f t="shared" si="97"/>
        <v>5.6146788746696277E-2</v>
      </c>
    </row>
    <row r="3138" spans="1:5" x14ac:dyDescent="0.25">
      <c r="A3138">
        <v>0</v>
      </c>
      <c r="B3138">
        <v>0</v>
      </c>
      <c r="C3138">
        <f t="shared" ref="C3138:C3201" si="98">_xlfn.NORM.DIST(B3138,I$10,I$13,FALSE)</f>
        <v>1.6302653116493602</v>
      </c>
      <c r="D3138">
        <v>3</v>
      </c>
      <c r="E3138">
        <f t="shared" si="97"/>
        <v>5.6146788746696277E-2</v>
      </c>
    </row>
    <row r="3139" spans="1:5" x14ac:dyDescent="0.25">
      <c r="A3139">
        <v>0</v>
      </c>
      <c r="B3139">
        <v>0</v>
      </c>
      <c r="C3139">
        <f t="shared" si="98"/>
        <v>1.6302653116493602</v>
      </c>
      <c r="D3139">
        <v>3</v>
      </c>
      <c r="E3139">
        <f t="shared" ref="E3139:E3202" si="99">_xlfn.NORM.DIST(D3139,I$4,I$7,FALSE)</f>
        <v>5.6146788746696277E-2</v>
      </c>
    </row>
    <row r="3140" spans="1:5" x14ac:dyDescent="0.25">
      <c r="A3140">
        <v>0</v>
      </c>
      <c r="B3140">
        <v>0</v>
      </c>
      <c r="C3140">
        <f t="shared" si="98"/>
        <v>1.6302653116493602</v>
      </c>
      <c r="D3140">
        <v>3</v>
      </c>
      <c r="E3140">
        <f t="shared" si="99"/>
        <v>5.6146788746696277E-2</v>
      </c>
    </row>
    <row r="3141" spans="1:5" x14ac:dyDescent="0.25">
      <c r="A3141">
        <v>0</v>
      </c>
      <c r="B3141">
        <v>0</v>
      </c>
      <c r="C3141">
        <f t="shared" si="98"/>
        <v>1.6302653116493602</v>
      </c>
      <c r="D3141">
        <v>3</v>
      </c>
      <c r="E3141">
        <f t="shared" si="99"/>
        <v>5.6146788746696277E-2</v>
      </c>
    </row>
    <row r="3142" spans="1:5" x14ac:dyDescent="0.25">
      <c r="A3142">
        <v>0</v>
      </c>
      <c r="B3142">
        <v>0</v>
      </c>
      <c r="C3142">
        <f t="shared" si="98"/>
        <v>1.6302653116493602</v>
      </c>
      <c r="D3142">
        <v>3</v>
      </c>
      <c r="E3142">
        <f t="shared" si="99"/>
        <v>5.6146788746696277E-2</v>
      </c>
    </row>
    <row r="3143" spans="1:5" x14ac:dyDescent="0.25">
      <c r="A3143">
        <v>0</v>
      </c>
      <c r="B3143">
        <v>0</v>
      </c>
      <c r="C3143">
        <f t="shared" si="98"/>
        <v>1.6302653116493602</v>
      </c>
      <c r="D3143">
        <v>3</v>
      </c>
      <c r="E3143">
        <f t="shared" si="99"/>
        <v>5.6146788746696277E-2</v>
      </c>
    </row>
    <row r="3144" spans="1:5" x14ac:dyDescent="0.25">
      <c r="A3144">
        <v>0</v>
      </c>
      <c r="B3144">
        <v>0</v>
      </c>
      <c r="C3144">
        <f t="shared" si="98"/>
        <v>1.6302653116493602</v>
      </c>
      <c r="D3144">
        <v>3</v>
      </c>
      <c r="E3144">
        <f t="shared" si="99"/>
        <v>5.6146788746696277E-2</v>
      </c>
    </row>
    <row r="3145" spans="1:5" x14ac:dyDescent="0.25">
      <c r="A3145">
        <v>0</v>
      </c>
      <c r="B3145">
        <v>0</v>
      </c>
      <c r="C3145">
        <f t="shared" si="98"/>
        <v>1.6302653116493602</v>
      </c>
      <c r="D3145">
        <v>3</v>
      </c>
      <c r="E3145">
        <f t="shared" si="99"/>
        <v>5.6146788746696277E-2</v>
      </c>
    </row>
    <row r="3146" spans="1:5" x14ac:dyDescent="0.25">
      <c r="A3146">
        <v>0</v>
      </c>
      <c r="B3146">
        <v>0</v>
      </c>
      <c r="C3146">
        <f t="shared" si="98"/>
        <v>1.6302653116493602</v>
      </c>
      <c r="D3146">
        <v>3</v>
      </c>
      <c r="E3146">
        <f t="shared" si="99"/>
        <v>5.6146788746696277E-2</v>
      </c>
    </row>
    <row r="3147" spans="1:5" x14ac:dyDescent="0.25">
      <c r="A3147">
        <v>0</v>
      </c>
      <c r="B3147">
        <v>0</v>
      </c>
      <c r="C3147">
        <f t="shared" si="98"/>
        <v>1.6302653116493602</v>
      </c>
      <c r="D3147">
        <v>3</v>
      </c>
      <c r="E3147">
        <f t="shared" si="99"/>
        <v>5.6146788746696277E-2</v>
      </c>
    </row>
    <row r="3148" spans="1:5" x14ac:dyDescent="0.25">
      <c r="A3148">
        <v>0</v>
      </c>
      <c r="B3148">
        <v>0</v>
      </c>
      <c r="C3148">
        <f t="shared" si="98"/>
        <v>1.6302653116493602</v>
      </c>
      <c r="D3148">
        <v>3</v>
      </c>
      <c r="E3148">
        <f t="shared" si="99"/>
        <v>5.6146788746696277E-2</v>
      </c>
    </row>
    <row r="3149" spans="1:5" x14ac:dyDescent="0.25">
      <c r="A3149">
        <v>0</v>
      </c>
      <c r="B3149">
        <v>0</v>
      </c>
      <c r="C3149">
        <f t="shared" si="98"/>
        <v>1.6302653116493602</v>
      </c>
      <c r="D3149">
        <v>3</v>
      </c>
      <c r="E3149">
        <f t="shared" si="99"/>
        <v>5.6146788746696277E-2</v>
      </c>
    </row>
    <row r="3150" spans="1:5" x14ac:dyDescent="0.25">
      <c r="A3150">
        <v>0</v>
      </c>
      <c r="B3150">
        <v>0</v>
      </c>
      <c r="C3150">
        <f t="shared" si="98"/>
        <v>1.6302653116493602</v>
      </c>
      <c r="D3150">
        <v>3</v>
      </c>
      <c r="E3150">
        <f t="shared" si="99"/>
        <v>5.6146788746696277E-2</v>
      </c>
    </row>
    <row r="3151" spans="1:5" x14ac:dyDescent="0.25">
      <c r="A3151">
        <v>0</v>
      </c>
      <c r="B3151">
        <v>0</v>
      </c>
      <c r="C3151">
        <f t="shared" si="98"/>
        <v>1.6302653116493602</v>
      </c>
      <c r="D3151">
        <v>3</v>
      </c>
      <c r="E3151">
        <f t="shared" si="99"/>
        <v>5.6146788746696277E-2</v>
      </c>
    </row>
    <row r="3152" spans="1:5" x14ac:dyDescent="0.25">
      <c r="A3152">
        <v>0</v>
      </c>
      <c r="B3152">
        <v>0</v>
      </c>
      <c r="C3152">
        <f t="shared" si="98"/>
        <v>1.6302653116493602</v>
      </c>
      <c r="D3152">
        <v>3</v>
      </c>
      <c r="E3152">
        <f t="shared" si="99"/>
        <v>5.6146788746696277E-2</v>
      </c>
    </row>
    <row r="3153" spans="1:5" x14ac:dyDescent="0.25">
      <c r="A3153">
        <v>0</v>
      </c>
      <c r="B3153">
        <v>0</v>
      </c>
      <c r="C3153">
        <f t="shared" si="98"/>
        <v>1.6302653116493602</v>
      </c>
      <c r="D3153">
        <v>3</v>
      </c>
      <c r="E3153">
        <f t="shared" si="99"/>
        <v>5.6146788746696277E-2</v>
      </c>
    </row>
    <row r="3154" spans="1:5" x14ac:dyDescent="0.25">
      <c r="A3154">
        <v>0</v>
      </c>
      <c r="B3154">
        <v>0</v>
      </c>
      <c r="C3154">
        <f t="shared" si="98"/>
        <v>1.6302653116493602</v>
      </c>
      <c r="D3154">
        <v>3</v>
      </c>
      <c r="E3154">
        <f t="shared" si="99"/>
        <v>5.6146788746696277E-2</v>
      </c>
    </row>
    <row r="3155" spans="1:5" x14ac:dyDescent="0.25">
      <c r="A3155">
        <v>0</v>
      </c>
      <c r="B3155">
        <v>0</v>
      </c>
      <c r="C3155">
        <f t="shared" si="98"/>
        <v>1.6302653116493602</v>
      </c>
      <c r="D3155">
        <v>3</v>
      </c>
      <c r="E3155">
        <f t="shared" si="99"/>
        <v>5.6146788746696277E-2</v>
      </c>
    </row>
    <row r="3156" spans="1:5" x14ac:dyDescent="0.25">
      <c r="A3156">
        <v>0</v>
      </c>
      <c r="B3156">
        <v>0</v>
      </c>
      <c r="C3156">
        <f t="shared" si="98"/>
        <v>1.6302653116493602</v>
      </c>
      <c r="D3156">
        <v>3</v>
      </c>
      <c r="E3156">
        <f t="shared" si="99"/>
        <v>5.6146788746696277E-2</v>
      </c>
    </row>
    <row r="3157" spans="1:5" x14ac:dyDescent="0.25">
      <c r="A3157">
        <v>0</v>
      </c>
      <c r="B3157">
        <v>0</v>
      </c>
      <c r="C3157">
        <f t="shared" si="98"/>
        <v>1.6302653116493602</v>
      </c>
      <c r="D3157">
        <v>3</v>
      </c>
      <c r="E3157">
        <f t="shared" si="99"/>
        <v>5.6146788746696277E-2</v>
      </c>
    </row>
    <row r="3158" spans="1:5" x14ac:dyDescent="0.25">
      <c r="A3158">
        <v>0</v>
      </c>
      <c r="B3158">
        <v>0</v>
      </c>
      <c r="C3158">
        <f t="shared" si="98"/>
        <v>1.6302653116493602</v>
      </c>
      <c r="D3158">
        <v>3</v>
      </c>
      <c r="E3158">
        <f t="shared" si="99"/>
        <v>5.6146788746696277E-2</v>
      </c>
    </row>
    <row r="3159" spans="1:5" x14ac:dyDescent="0.25">
      <c r="A3159">
        <v>0</v>
      </c>
      <c r="B3159">
        <v>0</v>
      </c>
      <c r="C3159">
        <f t="shared" si="98"/>
        <v>1.6302653116493602</v>
      </c>
      <c r="D3159">
        <v>3</v>
      </c>
      <c r="E3159">
        <f t="shared" si="99"/>
        <v>5.6146788746696277E-2</v>
      </c>
    </row>
    <row r="3160" spans="1:5" x14ac:dyDescent="0.25">
      <c r="A3160">
        <v>0</v>
      </c>
      <c r="B3160">
        <v>0</v>
      </c>
      <c r="C3160">
        <f t="shared" si="98"/>
        <v>1.6302653116493602</v>
      </c>
      <c r="D3160">
        <v>3</v>
      </c>
      <c r="E3160">
        <f t="shared" si="99"/>
        <v>5.6146788746696277E-2</v>
      </c>
    </row>
    <row r="3161" spans="1:5" x14ac:dyDescent="0.25">
      <c r="A3161">
        <v>0</v>
      </c>
      <c r="B3161">
        <v>0</v>
      </c>
      <c r="C3161">
        <f t="shared" si="98"/>
        <v>1.6302653116493602</v>
      </c>
      <c r="D3161">
        <v>3</v>
      </c>
      <c r="E3161">
        <f t="shared" si="99"/>
        <v>5.6146788746696277E-2</v>
      </c>
    </row>
    <row r="3162" spans="1:5" x14ac:dyDescent="0.25">
      <c r="A3162">
        <v>0</v>
      </c>
      <c r="B3162">
        <v>0</v>
      </c>
      <c r="C3162">
        <f t="shared" si="98"/>
        <v>1.6302653116493602</v>
      </c>
      <c r="D3162">
        <v>3</v>
      </c>
      <c r="E3162">
        <f t="shared" si="99"/>
        <v>5.6146788746696277E-2</v>
      </c>
    </row>
    <row r="3163" spans="1:5" x14ac:dyDescent="0.25">
      <c r="A3163">
        <v>0</v>
      </c>
      <c r="B3163">
        <v>0</v>
      </c>
      <c r="C3163">
        <f t="shared" si="98"/>
        <v>1.6302653116493602</v>
      </c>
      <c r="D3163">
        <v>3</v>
      </c>
      <c r="E3163">
        <f t="shared" si="99"/>
        <v>5.6146788746696277E-2</v>
      </c>
    </row>
    <row r="3164" spans="1:5" x14ac:dyDescent="0.25">
      <c r="A3164">
        <v>0</v>
      </c>
      <c r="B3164">
        <v>0</v>
      </c>
      <c r="C3164">
        <f t="shared" si="98"/>
        <v>1.6302653116493602</v>
      </c>
      <c r="D3164">
        <v>3</v>
      </c>
      <c r="E3164">
        <f t="shared" si="99"/>
        <v>5.6146788746696277E-2</v>
      </c>
    </row>
    <row r="3165" spans="1:5" x14ac:dyDescent="0.25">
      <c r="A3165">
        <v>0</v>
      </c>
      <c r="B3165">
        <v>0</v>
      </c>
      <c r="C3165">
        <f t="shared" si="98"/>
        <v>1.6302653116493602</v>
      </c>
      <c r="D3165">
        <v>3</v>
      </c>
      <c r="E3165">
        <f t="shared" si="99"/>
        <v>5.6146788746696277E-2</v>
      </c>
    </row>
    <row r="3166" spans="1:5" x14ac:dyDescent="0.25">
      <c r="A3166">
        <v>0</v>
      </c>
      <c r="B3166">
        <v>0</v>
      </c>
      <c r="C3166">
        <f t="shared" si="98"/>
        <v>1.6302653116493602</v>
      </c>
      <c r="D3166">
        <v>3</v>
      </c>
      <c r="E3166">
        <f t="shared" si="99"/>
        <v>5.6146788746696277E-2</v>
      </c>
    </row>
    <row r="3167" spans="1:5" x14ac:dyDescent="0.25">
      <c r="A3167">
        <v>0</v>
      </c>
      <c r="B3167">
        <v>0</v>
      </c>
      <c r="C3167">
        <f t="shared" si="98"/>
        <v>1.6302653116493602</v>
      </c>
      <c r="D3167">
        <v>3</v>
      </c>
      <c r="E3167">
        <f t="shared" si="99"/>
        <v>5.6146788746696277E-2</v>
      </c>
    </row>
    <row r="3168" spans="1:5" x14ac:dyDescent="0.25">
      <c r="A3168">
        <v>0</v>
      </c>
      <c r="B3168">
        <v>0</v>
      </c>
      <c r="C3168">
        <f t="shared" si="98"/>
        <v>1.6302653116493602</v>
      </c>
      <c r="D3168">
        <v>3</v>
      </c>
      <c r="E3168">
        <f t="shared" si="99"/>
        <v>5.6146788746696277E-2</v>
      </c>
    </row>
    <row r="3169" spans="1:5" x14ac:dyDescent="0.25">
      <c r="A3169">
        <v>0</v>
      </c>
      <c r="B3169">
        <v>0</v>
      </c>
      <c r="C3169">
        <f t="shared" si="98"/>
        <v>1.6302653116493602</v>
      </c>
      <c r="D3169">
        <v>3</v>
      </c>
      <c r="E3169">
        <f t="shared" si="99"/>
        <v>5.6146788746696277E-2</v>
      </c>
    </row>
    <row r="3170" spans="1:5" x14ac:dyDescent="0.25">
      <c r="A3170">
        <v>0</v>
      </c>
      <c r="B3170">
        <v>0</v>
      </c>
      <c r="C3170">
        <f t="shared" si="98"/>
        <v>1.6302653116493602</v>
      </c>
      <c r="D3170">
        <v>3</v>
      </c>
      <c r="E3170">
        <f t="shared" si="99"/>
        <v>5.6146788746696277E-2</v>
      </c>
    </row>
    <row r="3171" spans="1:5" x14ac:dyDescent="0.25">
      <c r="A3171">
        <v>0</v>
      </c>
      <c r="B3171">
        <v>0</v>
      </c>
      <c r="C3171">
        <f t="shared" si="98"/>
        <v>1.6302653116493602</v>
      </c>
      <c r="D3171">
        <v>3</v>
      </c>
      <c r="E3171">
        <f t="shared" si="99"/>
        <v>5.6146788746696277E-2</v>
      </c>
    </row>
    <row r="3172" spans="1:5" x14ac:dyDescent="0.25">
      <c r="A3172">
        <v>0</v>
      </c>
      <c r="B3172">
        <v>0</v>
      </c>
      <c r="C3172">
        <f t="shared" si="98"/>
        <v>1.6302653116493602</v>
      </c>
      <c r="D3172">
        <v>3</v>
      </c>
      <c r="E3172">
        <f t="shared" si="99"/>
        <v>5.6146788746696277E-2</v>
      </c>
    </row>
    <row r="3173" spans="1:5" x14ac:dyDescent="0.25">
      <c r="A3173">
        <v>0</v>
      </c>
      <c r="B3173">
        <v>0</v>
      </c>
      <c r="C3173">
        <f t="shared" si="98"/>
        <v>1.6302653116493602</v>
      </c>
      <c r="D3173">
        <v>3</v>
      </c>
      <c r="E3173">
        <f t="shared" si="99"/>
        <v>5.6146788746696277E-2</v>
      </c>
    </row>
    <row r="3174" spans="1:5" x14ac:dyDescent="0.25">
      <c r="A3174">
        <v>0</v>
      </c>
      <c r="B3174">
        <v>0</v>
      </c>
      <c r="C3174">
        <f t="shared" si="98"/>
        <v>1.6302653116493602</v>
      </c>
      <c r="D3174">
        <v>3</v>
      </c>
      <c r="E3174">
        <f t="shared" si="99"/>
        <v>5.6146788746696277E-2</v>
      </c>
    </row>
    <row r="3175" spans="1:5" x14ac:dyDescent="0.25">
      <c r="A3175">
        <v>0</v>
      </c>
      <c r="B3175">
        <v>0</v>
      </c>
      <c r="C3175">
        <f t="shared" si="98"/>
        <v>1.6302653116493602</v>
      </c>
      <c r="D3175">
        <v>3</v>
      </c>
      <c r="E3175">
        <f t="shared" si="99"/>
        <v>5.6146788746696277E-2</v>
      </c>
    </row>
    <row r="3176" spans="1:5" x14ac:dyDescent="0.25">
      <c r="A3176">
        <v>0</v>
      </c>
      <c r="B3176">
        <v>0</v>
      </c>
      <c r="C3176">
        <f t="shared" si="98"/>
        <v>1.6302653116493602</v>
      </c>
      <c r="D3176">
        <v>3</v>
      </c>
      <c r="E3176">
        <f t="shared" si="99"/>
        <v>5.6146788746696277E-2</v>
      </c>
    </row>
    <row r="3177" spans="1:5" x14ac:dyDescent="0.25">
      <c r="A3177">
        <v>0</v>
      </c>
      <c r="B3177">
        <v>0</v>
      </c>
      <c r="C3177">
        <f t="shared" si="98"/>
        <v>1.6302653116493602</v>
      </c>
      <c r="D3177">
        <v>3</v>
      </c>
      <c r="E3177">
        <f t="shared" si="99"/>
        <v>5.6146788746696277E-2</v>
      </c>
    </row>
    <row r="3178" spans="1:5" x14ac:dyDescent="0.25">
      <c r="A3178">
        <v>0</v>
      </c>
      <c r="B3178">
        <v>0</v>
      </c>
      <c r="C3178">
        <f t="shared" si="98"/>
        <v>1.6302653116493602</v>
      </c>
      <c r="D3178">
        <v>3</v>
      </c>
      <c r="E3178">
        <f t="shared" si="99"/>
        <v>5.6146788746696277E-2</v>
      </c>
    </row>
    <row r="3179" spans="1:5" x14ac:dyDescent="0.25">
      <c r="A3179">
        <v>0</v>
      </c>
      <c r="B3179">
        <v>0</v>
      </c>
      <c r="C3179">
        <f t="shared" si="98"/>
        <v>1.6302653116493602</v>
      </c>
      <c r="D3179">
        <v>3</v>
      </c>
      <c r="E3179">
        <f t="shared" si="99"/>
        <v>5.6146788746696277E-2</v>
      </c>
    </row>
    <row r="3180" spans="1:5" x14ac:dyDescent="0.25">
      <c r="A3180">
        <v>0</v>
      </c>
      <c r="B3180">
        <v>0</v>
      </c>
      <c r="C3180">
        <f t="shared" si="98"/>
        <v>1.6302653116493602</v>
      </c>
      <c r="D3180">
        <v>3</v>
      </c>
      <c r="E3180">
        <f t="shared" si="99"/>
        <v>5.6146788746696277E-2</v>
      </c>
    </row>
    <row r="3181" spans="1:5" x14ac:dyDescent="0.25">
      <c r="A3181">
        <v>0</v>
      </c>
      <c r="B3181">
        <v>0</v>
      </c>
      <c r="C3181">
        <f t="shared" si="98"/>
        <v>1.6302653116493602</v>
      </c>
      <c r="D3181">
        <v>3</v>
      </c>
      <c r="E3181">
        <f t="shared" si="99"/>
        <v>5.6146788746696277E-2</v>
      </c>
    </row>
    <row r="3182" spans="1:5" x14ac:dyDescent="0.25">
      <c r="A3182">
        <v>0</v>
      </c>
      <c r="B3182">
        <v>0</v>
      </c>
      <c r="C3182">
        <f t="shared" si="98"/>
        <v>1.6302653116493602</v>
      </c>
      <c r="D3182">
        <v>3</v>
      </c>
      <c r="E3182">
        <f t="shared" si="99"/>
        <v>5.6146788746696277E-2</v>
      </c>
    </row>
    <row r="3183" spans="1:5" x14ac:dyDescent="0.25">
      <c r="A3183">
        <v>0</v>
      </c>
      <c r="B3183">
        <v>0</v>
      </c>
      <c r="C3183">
        <f t="shared" si="98"/>
        <v>1.6302653116493602</v>
      </c>
      <c r="D3183">
        <v>3</v>
      </c>
      <c r="E3183">
        <f t="shared" si="99"/>
        <v>5.6146788746696277E-2</v>
      </c>
    </row>
    <row r="3184" spans="1:5" x14ac:dyDescent="0.25">
      <c r="A3184">
        <v>0</v>
      </c>
      <c r="B3184">
        <v>0</v>
      </c>
      <c r="C3184">
        <f t="shared" si="98"/>
        <v>1.6302653116493602</v>
      </c>
      <c r="D3184">
        <v>3</v>
      </c>
      <c r="E3184">
        <f t="shared" si="99"/>
        <v>5.6146788746696277E-2</v>
      </c>
    </row>
    <row r="3185" spans="1:5" x14ac:dyDescent="0.25">
      <c r="A3185">
        <v>0</v>
      </c>
      <c r="B3185">
        <v>0</v>
      </c>
      <c r="C3185">
        <f t="shared" si="98"/>
        <v>1.6302653116493602</v>
      </c>
      <c r="D3185">
        <v>3</v>
      </c>
      <c r="E3185">
        <f t="shared" si="99"/>
        <v>5.6146788746696277E-2</v>
      </c>
    </row>
    <row r="3186" spans="1:5" x14ac:dyDescent="0.25">
      <c r="A3186">
        <v>0</v>
      </c>
      <c r="B3186">
        <v>0</v>
      </c>
      <c r="C3186">
        <f t="shared" si="98"/>
        <v>1.6302653116493602</v>
      </c>
      <c r="D3186">
        <v>3</v>
      </c>
      <c r="E3186">
        <f t="shared" si="99"/>
        <v>5.6146788746696277E-2</v>
      </c>
    </row>
    <row r="3187" spans="1:5" x14ac:dyDescent="0.25">
      <c r="A3187">
        <v>0</v>
      </c>
      <c r="B3187">
        <v>0</v>
      </c>
      <c r="C3187">
        <f t="shared" si="98"/>
        <v>1.6302653116493602</v>
      </c>
      <c r="D3187">
        <v>3</v>
      </c>
      <c r="E3187">
        <f t="shared" si="99"/>
        <v>5.6146788746696277E-2</v>
      </c>
    </row>
    <row r="3188" spans="1:5" x14ac:dyDescent="0.25">
      <c r="A3188">
        <v>0</v>
      </c>
      <c r="B3188">
        <v>0</v>
      </c>
      <c r="C3188">
        <f t="shared" si="98"/>
        <v>1.6302653116493602</v>
      </c>
      <c r="D3188">
        <v>3</v>
      </c>
      <c r="E3188">
        <f t="shared" si="99"/>
        <v>5.6146788746696277E-2</v>
      </c>
    </row>
    <row r="3189" spans="1:5" x14ac:dyDescent="0.25">
      <c r="A3189">
        <v>0</v>
      </c>
      <c r="B3189">
        <v>0</v>
      </c>
      <c r="C3189">
        <f t="shared" si="98"/>
        <v>1.6302653116493602</v>
      </c>
      <c r="D3189">
        <v>3</v>
      </c>
      <c r="E3189">
        <f t="shared" si="99"/>
        <v>5.6146788746696277E-2</v>
      </c>
    </row>
    <row r="3190" spans="1:5" x14ac:dyDescent="0.25">
      <c r="A3190">
        <v>0</v>
      </c>
      <c r="B3190">
        <v>0</v>
      </c>
      <c r="C3190">
        <f t="shared" si="98"/>
        <v>1.6302653116493602</v>
      </c>
      <c r="D3190">
        <v>3</v>
      </c>
      <c r="E3190">
        <f t="shared" si="99"/>
        <v>5.6146788746696277E-2</v>
      </c>
    </row>
    <row r="3191" spans="1:5" x14ac:dyDescent="0.25">
      <c r="A3191">
        <v>0</v>
      </c>
      <c r="B3191">
        <v>0</v>
      </c>
      <c r="C3191">
        <f t="shared" si="98"/>
        <v>1.6302653116493602</v>
      </c>
      <c r="D3191">
        <v>3</v>
      </c>
      <c r="E3191">
        <f t="shared" si="99"/>
        <v>5.6146788746696277E-2</v>
      </c>
    </row>
    <row r="3192" spans="1:5" x14ac:dyDescent="0.25">
      <c r="A3192">
        <v>0</v>
      </c>
      <c r="B3192">
        <v>0</v>
      </c>
      <c r="C3192">
        <f t="shared" si="98"/>
        <v>1.6302653116493602</v>
      </c>
      <c r="D3192">
        <v>3</v>
      </c>
      <c r="E3192">
        <f t="shared" si="99"/>
        <v>5.6146788746696277E-2</v>
      </c>
    </row>
    <row r="3193" spans="1:5" x14ac:dyDescent="0.25">
      <c r="A3193">
        <v>0</v>
      </c>
      <c r="B3193">
        <v>1.33333333333333E-3</v>
      </c>
      <c r="C3193">
        <f t="shared" si="98"/>
        <v>1.6312097952305715</v>
      </c>
      <c r="D3193">
        <v>3</v>
      </c>
      <c r="E3193">
        <f t="shared" si="99"/>
        <v>5.6146788746696277E-2</v>
      </c>
    </row>
    <row r="3194" spans="1:5" x14ac:dyDescent="0.25">
      <c r="A3194">
        <v>0</v>
      </c>
      <c r="B3194">
        <v>1.33333333333333E-3</v>
      </c>
      <c r="C3194">
        <f t="shared" si="98"/>
        <v>1.6312097952305715</v>
      </c>
      <c r="D3194">
        <v>3</v>
      </c>
      <c r="E3194">
        <f t="shared" si="99"/>
        <v>5.6146788746696277E-2</v>
      </c>
    </row>
    <row r="3195" spans="1:5" x14ac:dyDescent="0.25">
      <c r="A3195">
        <v>0</v>
      </c>
      <c r="B3195">
        <v>1.66666666666667E-3</v>
      </c>
      <c r="C3195">
        <f t="shared" si="98"/>
        <v>1.6314383444058302</v>
      </c>
      <c r="D3195">
        <v>3</v>
      </c>
      <c r="E3195">
        <f t="shared" si="99"/>
        <v>5.6146788746696277E-2</v>
      </c>
    </row>
    <row r="3196" spans="1:5" x14ac:dyDescent="0.25">
      <c r="A3196">
        <v>0</v>
      </c>
      <c r="B3196">
        <v>1.66666666666667E-3</v>
      </c>
      <c r="C3196">
        <f t="shared" si="98"/>
        <v>1.6314383444058302</v>
      </c>
      <c r="D3196">
        <v>3</v>
      </c>
      <c r="E3196">
        <f t="shared" si="99"/>
        <v>5.6146788746696277E-2</v>
      </c>
    </row>
    <row r="3197" spans="1:5" x14ac:dyDescent="0.25">
      <c r="A3197">
        <v>0</v>
      </c>
      <c r="B3197">
        <v>1.66666666666667E-3</v>
      </c>
      <c r="C3197">
        <f t="shared" si="98"/>
        <v>1.6314383444058302</v>
      </c>
      <c r="D3197">
        <v>3</v>
      </c>
      <c r="E3197">
        <f t="shared" si="99"/>
        <v>5.6146788746696277E-2</v>
      </c>
    </row>
    <row r="3198" spans="1:5" x14ac:dyDescent="0.25">
      <c r="A3198">
        <v>0</v>
      </c>
      <c r="B3198">
        <v>1.66666666666667E-3</v>
      </c>
      <c r="C3198">
        <f t="shared" si="98"/>
        <v>1.6314383444058302</v>
      </c>
      <c r="D3198">
        <v>3</v>
      </c>
      <c r="E3198">
        <f t="shared" si="99"/>
        <v>5.6146788746696277E-2</v>
      </c>
    </row>
    <row r="3199" spans="1:5" x14ac:dyDescent="0.25">
      <c r="A3199">
        <v>0</v>
      </c>
      <c r="B3199">
        <v>1.66666666666667E-3</v>
      </c>
      <c r="C3199">
        <f t="shared" si="98"/>
        <v>1.6314383444058302</v>
      </c>
      <c r="D3199">
        <v>3</v>
      </c>
      <c r="E3199">
        <f t="shared" si="99"/>
        <v>5.6146788746696277E-2</v>
      </c>
    </row>
    <row r="3200" spans="1:5" x14ac:dyDescent="0.25">
      <c r="A3200">
        <v>0</v>
      </c>
      <c r="B3200">
        <v>1.66666666666667E-3</v>
      </c>
      <c r="C3200">
        <f t="shared" si="98"/>
        <v>1.6314383444058302</v>
      </c>
      <c r="D3200">
        <v>3</v>
      </c>
      <c r="E3200">
        <f t="shared" si="99"/>
        <v>5.6146788746696277E-2</v>
      </c>
    </row>
    <row r="3201" spans="1:5" x14ac:dyDescent="0.25">
      <c r="A3201">
        <v>0</v>
      </c>
      <c r="B3201">
        <v>2E-3</v>
      </c>
      <c r="C3201">
        <f t="shared" si="98"/>
        <v>1.6316638623022479</v>
      </c>
      <c r="D3201">
        <v>3</v>
      </c>
      <c r="E3201">
        <f t="shared" si="99"/>
        <v>5.6146788746696277E-2</v>
      </c>
    </row>
    <row r="3202" spans="1:5" x14ac:dyDescent="0.25">
      <c r="A3202">
        <v>0</v>
      </c>
      <c r="B3202">
        <v>2E-3</v>
      </c>
      <c r="C3202">
        <f t="shared" ref="C3202:C3265" si="100">_xlfn.NORM.DIST(B3202,I$10,I$13,FALSE)</f>
        <v>1.6316638623022479</v>
      </c>
      <c r="D3202">
        <v>3</v>
      </c>
      <c r="E3202">
        <f t="shared" si="99"/>
        <v>5.6146788746696277E-2</v>
      </c>
    </row>
    <row r="3203" spans="1:5" x14ac:dyDescent="0.25">
      <c r="A3203">
        <v>0</v>
      </c>
      <c r="B3203">
        <v>2.3310023310023301E-3</v>
      </c>
      <c r="C3203">
        <f t="shared" si="100"/>
        <v>1.6318848023443919</v>
      </c>
      <c r="D3203">
        <v>3</v>
      </c>
      <c r="E3203">
        <f t="shared" ref="E3203:E3266" si="101">_xlfn.NORM.DIST(D3203,I$4,I$7,FALSE)</f>
        <v>5.6146788746696277E-2</v>
      </c>
    </row>
    <row r="3204" spans="1:5" x14ac:dyDescent="0.25">
      <c r="A3204">
        <v>0</v>
      </c>
      <c r="B3204">
        <v>2.3310023310023301E-3</v>
      </c>
      <c r="C3204">
        <f t="shared" si="100"/>
        <v>1.6318848023443919</v>
      </c>
      <c r="D3204">
        <v>3</v>
      </c>
      <c r="E3204">
        <f t="shared" si="101"/>
        <v>5.6146788746696277E-2</v>
      </c>
    </row>
    <row r="3205" spans="1:5" x14ac:dyDescent="0.25">
      <c r="A3205">
        <v>0</v>
      </c>
      <c r="B3205">
        <v>2.3310023310023301E-3</v>
      </c>
      <c r="C3205">
        <f t="shared" si="100"/>
        <v>1.6318848023443919</v>
      </c>
      <c r="D3205">
        <v>3</v>
      </c>
      <c r="E3205">
        <f t="shared" si="101"/>
        <v>5.6146788746696277E-2</v>
      </c>
    </row>
    <row r="3206" spans="1:5" x14ac:dyDescent="0.25">
      <c r="A3206">
        <v>0</v>
      </c>
      <c r="B3206">
        <v>2.3364485981308401E-3</v>
      </c>
      <c r="C3206">
        <f t="shared" si="100"/>
        <v>1.6318884126491546</v>
      </c>
      <c r="D3206">
        <v>3</v>
      </c>
      <c r="E3206">
        <f t="shared" si="101"/>
        <v>5.6146788746696277E-2</v>
      </c>
    </row>
    <row r="3207" spans="1:5" x14ac:dyDescent="0.25">
      <c r="A3207">
        <v>0</v>
      </c>
      <c r="B3207">
        <v>2.3364485981308401E-3</v>
      </c>
      <c r="C3207">
        <f t="shared" si="100"/>
        <v>1.6318884126491546</v>
      </c>
      <c r="D3207">
        <v>3</v>
      </c>
      <c r="E3207">
        <f t="shared" si="101"/>
        <v>5.6146788746696277E-2</v>
      </c>
    </row>
    <row r="3208" spans="1:5" x14ac:dyDescent="0.25">
      <c r="A3208">
        <v>0</v>
      </c>
      <c r="B3208">
        <v>2.3364485981308401E-3</v>
      </c>
      <c r="C3208">
        <f t="shared" si="100"/>
        <v>1.6318884126491546</v>
      </c>
      <c r="D3208">
        <v>3</v>
      </c>
      <c r="E3208">
        <f t="shared" si="101"/>
        <v>5.6146788746696277E-2</v>
      </c>
    </row>
    <row r="3209" spans="1:5" x14ac:dyDescent="0.25">
      <c r="A3209">
        <v>0</v>
      </c>
      <c r="B3209">
        <v>2.3364485981308401E-3</v>
      </c>
      <c r="C3209">
        <f t="shared" si="100"/>
        <v>1.6318884126491546</v>
      </c>
      <c r="D3209">
        <v>3</v>
      </c>
      <c r="E3209">
        <f t="shared" si="101"/>
        <v>5.6146788746696277E-2</v>
      </c>
    </row>
    <row r="3210" spans="1:5" x14ac:dyDescent="0.25">
      <c r="A3210">
        <v>0</v>
      </c>
      <c r="B3210">
        <v>2.66666666666667E-3</v>
      </c>
      <c r="C3210">
        <f t="shared" si="100"/>
        <v>1.6321057992120391</v>
      </c>
      <c r="D3210">
        <v>3</v>
      </c>
      <c r="E3210">
        <f t="shared" si="101"/>
        <v>5.6146788746696277E-2</v>
      </c>
    </row>
    <row r="3211" spans="1:5" x14ac:dyDescent="0.25">
      <c r="A3211">
        <v>0</v>
      </c>
      <c r="B3211">
        <v>2.66666666666667E-3</v>
      </c>
      <c r="C3211">
        <f t="shared" si="100"/>
        <v>1.6321057992120391</v>
      </c>
      <c r="D3211">
        <v>3</v>
      </c>
      <c r="E3211">
        <f t="shared" si="101"/>
        <v>5.6146788746696277E-2</v>
      </c>
    </row>
    <row r="3212" spans="1:5" x14ac:dyDescent="0.25">
      <c r="A3212">
        <v>0</v>
      </c>
      <c r="B3212">
        <v>2.66666666666667E-3</v>
      </c>
      <c r="C3212">
        <f t="shared" si="100"/>
        <v>1.6321057992120391</v>
      </c>
      <c r="D3212">
        <v>3</v>
      </c>
      <c r="E3212">
        <f t="shared" si="101"/>
        <v>5.6146788746696277E-2</v>
      </c>
    </row>
    <row r="3213" spans="1:5" x14ac:dyDescent="0.25">
      <c r="A3213">
        <v>0</v>
      </c>
      <c r="B3213">
        <v>2.66666666666667E-3</v>
      </c>
      <c r="C3213">
        <f t="shared" si="100"/>
        <v>1.6321057992120391</v>
      </c>
      <c r="D3213">
        <v>3</v>
      </c>
      <c r="E3213">
        <f t="shared" si="101"/>
        <v>5.6146788746696277E-2</v>
      </c>
    </row>
    <row r="3214" spans="1:5" x14ac:dyDescent="0.25">
      <c r="A3214">
        <v>0</v>
      </c>
      <c r="B3214">
        <v>2.66666666666667E-3</v>
      </c>
      <c r="C3214">
        <f t="shared" si="100"/>
        <v>1.6321057992120391</v>
      </c>
      <c r="D3214">
        <v>3</v>
      </c>
      <c r="E3214">
        <f t="shared" si="101"/>
        <v>5.6146788746696277E-2</v>
      </c>
    </row>
    <row r="3215" spans="1:5" x14ac:dyDescent="0.25">
      <c r="A3215">
        <v>0</v>
      </c>
      <c r="B3215">
        <v>2.66666666666667E-3</v>
      </c>
      <c r="C3215">
        <f t="shared" si="100"/>
        <v>1.6321057992120391</v>
      </c>
      <c r="D3215">
        <v>3</v>
      </c>
      <c r="E3215">
        <f t="shared" si="101"/>
        <v>5.6146788746696277E-2</v>
      </c>
    </row>
    <row r="3216" spans="1:5" x14ac:dyDescent="0.25">
      <c r="A3216">
        <v>0</v>
      </c>
      <c r="B3216">
        <v>2.66666666666667E-3</v>
      </c>
      <c r="C3216">
        <f t="shared" si="100"/>
        <v>1.6321057992120391</v>
      </c>
      <c r="D3216">
        <v>3</v>
      </c>
      <c r="E3216">
        <f t="shared" si="101"/>
        <v>5.6146788746696277E-2</v>
      </c>
    </row>
    <row r="3217" spans="1:5" x14ac:dyDescent="0.25">
      <c r="A3217">
        <v>0</v>
      </c>
      <c r="B3217">
        <v>2.66666666666667E-3</v>
      </c>
      <c r="C3217">
        <f t="shared" si="100"/>
        <v>1.6321057992120391</v>
      </c>
      <c r="D3217">
        <v>3</v>
      </c>
      <c r="E3217">
        <f t="shared" si="101"/>
        <v>5.6146788746696277E-2</v>
      </c>
    </row>
    <row r="3218" spans="1:5" x14ac:dyDescent="0.25">
      <c r="A3218">
        <v>0</v>
      </c>
      <c r="B3218">
        <v>2.66666666666667E-3</v>
      </c>
      <c r="C3218">
        <f t="shared" si="100"/>
        <v>1.6321057992120391</v>
      </c>
      <c r="D3218">
        <v>3</v>
      </c>
      <c r="E3218">
        <f t="shared" si="101"/>
        <v>5.6146788746696277E-2</v>
      </c>
    </row>
    <row r="3219" spans="1:5" x14ac:dyDescent="0.25">
      <c r="A3219">
        <v>0</v>
      </c>
      <c r="B3219">
        <v>2.66666666666667E-3</v>
      </c>
      <c r="C3219">
        <f t="shared" si="100"/>
        <v>1.6321057992120391</v>
      </c>
      <c r="D3219">
        <v>3</v>
      </c>
      <c r="E3219">
        <f t="shared" si="101"/>
        <v>5.6146788746696277E-2</v>
      </c>
    </row>
    <row r="3220" spans="1:5" x14ac:dyDescent="0.25">
      <c r="A3220">
        <v>0</v>
      </c>
      <c r="B3220">
        <v>2.66666666666667E-3</v>
      </c>
      <c r="C3220">
        <f t="shared" si="100"/>
        <v>1.6321057992120391</v>
      </c>
      <c r="D3220">
        <v>3</v>
      </c>
      <c r="E3220">
        <f t="shared" si="101"/>
        <v>5.6146788746696277E-2</v>
      </c>
    </row>
    <row r="3221" spans="1:5" x14ac:dyDescent="0.25">
      <c r="A3221">
        <v>0</v>
      </c>
      <c r="B3221">
        <v>2.66666666666667E-3</v>
      </c>
      <c r="C3221">
        <f t="shared" si="100"/>
        <v>1.6321057992120391</v>
      </c>
      <c r="D3221">
        <v>3</v>
      </c>
      <c r="E3221">
        <f t="shared" si="101"/>
        <v>5.6146788746696277E-2</v>
      </c>
    </row>
    <row r="3222" spans="1:5" x14ac:dyDescent="0.25">
      <c r="A3222">
        <v>0</v>
      </c>
      <c r="B3222">
        <v>2.66666666666667E-3</v>
      </c>
      <c r="C3222">
        <f t="shared" si="100"/>
        <v>1.6321057992120391</v>
      </c>
      <c r="D3222">
        <v>3</v>
      </c>
      <c r="E3222">
        <f t="shared" si="101"/>
        <v>5.6146788746696277E-2</v>
      </c>
    </row>
    <row r="3223" spans="1:5" x14ac:dyDescent="0.25">
      <c r="A3223">
        <v>0</v>
      </c>
      <c r="B3223">
        <v>2.66666666666667E-3</v>
      </c>
      <c r="C3223">
        <f t="shared" si="100"/>
        <v>1.6321057992120391</v>
      </c>
      <c r="D3223">
        <v>3</v>
      </c>
      <c r="E3223">
        <f t="shared" si="101"/>
        <v>5.6146788746696277E-2</v>
      </c>
    </row>
    <row r="3224" spans="1:5" x14ac:dyDescent="0.25">
      <c r="A3224">
        <v>0</v>
      </c>
      <c r="B3224">
        <v>2.66666666666667E-3</v>
      </c>
      <c r="C3224">
        <f t="shared" si="100"/>
        <v>1.6321057992120391</v>
      </c>
      <c r="D3224">
        <v>3</v>
      </c>
      <c r="E3224">
        <f t="shared" si="101"/>
        <v>5.6146788746696277E-2</v>
      </c>
    </row>
    <row r="3225" spans="1:5" x14ac:dyDescent="0.25">
      <c r="A3225">
        <v>0</v>
      </c>
      <c r="B3225">
        <v>2.66666666666667E-3</v>
      </c>
      <c r="C3225">
        <f t="shared" si="100"/>
        <v>1.6321057992120391</v>
      </c>
      <c r="D3225">
        <v>3</v>
      </c>
      <c r="E3225">
        <f t="shared" si="101"/>
        <v>5.6146788746696277E-2</v>
      </c>
    </row>
    <row r="3226" spans="1:5" x14ac:dyDescent="0.25">
      <c r="A3226">
        <v>0</v>
      </c>
      <c r="B3226">
        <v>2.66666666666667E-3</v>
      </c>
      <c r="C3226">
        <f t="shared" si="100"/>
        <v>1.6321057992120391</v>
      </c>
      <c r="D3226">
        <v>3</v>
      </c>
      <c r="E3226">
        <f t="shared" si="101"/>
        <v>5.6146788746696277E-2</v>
      </c>
    </row>
    <row r="3227" spans="1:5" x14ac:dyDescent="0.25">
      <c r="A3227">
        <v>0</v>
      </c>
      <c r="B3227">
        <v>2.66666666666667E-3</v>
      </c>
      <c r="C3227">
        <f t="shared" si="100"/>
        <v>1.6321057992120391</v>
      </c>
      <c r="D3227">
        <v>3</v>
      </c>
      <c r="E3227">
        <f t="shared" si="101"/>
        <v>5.6146788746696277E-2</v>
      </c>
    </row>
    <row r="3228" spans="1:5" x14ac:dyDescent="0.25">
      <c r="A3228">
        <v>0</v>
      </c>
      <c r="B3228">
        <v>2.66666666666667E-3</v>
      </c>
      <c r="C3228">
        <f t="shared" si="100"/>
        <v>1.6321057992120391</v>
      </c>
      <c r="D3228">
        <v>3</v>
      </c>
      <c r="E3228">
        <f t="shared" si="101"/>
        <v>5.6146788746696277E-2</v>
      </c>
    </row>
    <row r="3229" spans="1:5" x14ac:dyDescent="0.25">
      <c r="A3229">
        <v>0</v>
      </c>
      <c r="B3229">
        <v>2.9940119760479E-3</v>
      </c>
      <c r="C3229">
        <f t="shared" si="100"/>
        <v>1.6323183548003959</v>
      </c>
      <c r="D3229">
        <v>3</v>
      </c>
      <c r="E3229">
        <f t="shared" si="101"/>
        <v>5.6146788746696277E-2</v>
      </c>
    </row>
    <row r="3230" spans="1:5" x14ac:dyDescent="0.25">
      <c r="A3230">
        <v>0</v>
      </c>
      <c r="B3230">
        <v>2.9940119760479E-3</v>
      </c>
      <c r="C3230">
        <f t="shared" si="100"/>
        <v>1.6323183548003959</v>
      </c>
      <c r="D3230">
        <v>3</v>
      </c>
      <c r="E3230">
        <f t="shared" si="101"/>
        <v>5.6146788746696277E-2</v>
      </c>
    </row>
    <row r="3231" spans="1:5" x14ac:dyDescent="0.25">
      <c r="A3231">
        <v>0</v>
      </c>
      <c r="B3231">
        <v>2.9940119760479E-3</v>
      </c>
      <c r="C3231">
        <f t="shared" si="100"/>
        <v>1.6323183548003959</v>
      </c>
      <c r="D3231">
        <v>3</v>
      </c>
      <c r="E3231">
        <f t="shared" si="101"/>
        <v>5.6146788746696277E-2</v>
      </c>
    </row>
    <row r="3232" spans="1:5" x14ac:dyDescent="0.25">
      <c r="A3232">
        <v>0</v>
      </c>
      <c r="B3232">
        <v>2.9940119760479E-3</v>
      </c>
      <c r="C3232">
        <f t="shared" si="100"/>
        <v>1.6323183548003959</v>
      </c>
      <c r="D3232">
        <v>3</v>
      </c>
      <c r="E3232">
        <f t="shared" si="101"/>
        <v>5.6146788746696277E-2</v>
      </c>
    </row>
    <row r="3233" spans="1:5" x14ac:dyDescent="0.25">
      <c r="A3233">
        <v>0</v>
      </c>
      <c r="B3233">
        <v>3.0030030030029999E-3</v>
      </c>
      <c r="C3233">
        <f t="shared" si="100"/>
        <v>1.6323241516447597</v>
      </c>
      <c r="D3233">
        <v>3</v>
      </c>
      <c r="E3233">
        <f t="shared" si="101"/>
        <v>5.6146788746696277E-2</v>
      </c>
    </row>
    <row r="3234" spans="1:5" x14ac:dyDescent="0.25">
      <c r="A3234">
        <v>0</v>
      </c>
      <c r="B3234">
        <v>3.0030030030029999E-3</v>
      </c>
      <c r="C3234">
        <f t="shared" si="100"/>
        <v>1.6323241516447597</v>
      </c>
      <c r="D3234">
        <v>3</v>
      </c>
      <c r="E3234">
        <f t="shared" si="101"/>
        <v>5.6146788746696277E-2</v>
      </c>
    </row>
    <row r="3235" spans="1:5" x14ac:dyDescent="0.25">
      <c r="A3235">
        <v>0</v>
      </c>
      <c r="B3235">
        <v>3.0030030030029999E-3</v>
      </c>
      <c r="C3235">
        <f t="shared" si="100"/>
        <v>1.6323241516447597</v>
      </c>
      <c r="D3235">
        <v>3</v>
      </c>
      <c r="E3235">
        <f t="shared" si="101"/>
        <v>5.6146788746696277E-2</v>
      </c>
    </row>
    <row r="3236" spans="1:5" x14ac:dyDescent="0.25">
      <c r="A3236">
        <v>0</v>
      </c>
      <c r="B3236">
        <v>3.0030030030029999E-3</v>
      </c>
      <c r="C3236">
        <f t="shared" si="100"/>
        <v>1.6323241516447597</v>
      </c>
      <c r="D3236">
        <v>3</v>
      </c>
      <c r="E3236">
        <f t="shared" si="101"/>
        <v>5.6146788746696277E-2</v>
      </c>
    </row>
    <row r="3237" spans="1:5" x14ac:dyDescent="0.25">
      <c r="A3237">
        <v>0</v>
      </c>
      <c r="B3237">
        <v>3.0030030030029999E-3</v>
      </c>
      <c r="C3237">
        <f t="shared" si="100"/>
        <v>1.6323241516447597</v>
      </c>
      <c r="D3237">
        <v>3</v>
      </c>
      <c r="E3237">
        <f t="shared" si="101"/>
        <v>5.6146788746696277E-2</v>
      </c>
    </row>
    <row r="3238" spans="1:5" x14ac:dyDescent="0.25">
      <c r="A3238">
        <v>0</v>
      </c>
      <c r="B3238">
        <v>3.0030030030029999E-3</v>
      </c>
      <c r="C3238">
        <f t="shared" si="100"/>
        <v>1.6323241516447597</v>
      </c>
      <c r="D3238">
        <v>3</v>
      </c>
      <c r="E3238">
        <f t="shared" si="101"/>
        <v>5.6146788746696277E-2</v>
      </c>
    </row>
    <row r="3239" spans="1:5" x14ac:dyDescent="0.25">
      <c r="A3239">
        <v>0</v>
      </c>
      <c r="B3239">
        <v>3.0030030030029999E-3</v>
      </c>
      <c r="C3239">
        <f t="shared" si="100"/>
        <v>1.6323241516447597</v>
      </c>
      <c r="D3239">
        <v>3</v>
      </c>
      <c r="E3239">
        <f t="shared" si="101"/>
        <v>5.6146788746696277E-2</v>
      </c>
    </row>
    <row r="3240" spans="1:5" x14ac:dyDescent="0.25">
      <c r="A3240">
        <v>0</v>
      </c>
      <c r="B3240">
        <v>3.0030030030029999E-3</v>
      </c>
      <c r="C3240">
        <f t="shared" si="100"/>
        <v>1.6323241516447597</v>
      </c>
      <c r="D3240">
        <v>3</v>
      </c>
      <c r="E3240">
        <f t="shared" si="101"/>
        <v>5.6146788746696277E-2</v>
      </c>
    </row>
    <row r="3241" spans="1:5" x14ac:dyDescent="0.25">
      <c r="A3241">
        <v>0</v>
      </c>
      <c r="B3241">
        <v>3.0030030030029999E-3</v>
      </c>
      <c r="C3241">
        <f t="shared" si="100"/>
        <v>1.6323241516447597</v>
      </c>
      <c r="D3241">
        <v>3</v>
      </c>
      <c r="E3241">
        <f t="shared" si="101"/>
        <v>5.6146788746696277E-2</v>
      </c>
    </row>
    <row r="3242" spans="1:5" x14ac:dyDescent="0.25">
      <c r="A3242">
        <v>0</v>
      </c>
      <c r="B3242">
        <v>3.0030030030029999E-3</v>
      </c>
      <c r="C3242">
        <f t="shared" si="100"/>
        <v>1.6323241516447597</v>
      </c>
      <c r="D3242">
        <v>3</v>
      </c>
      <c r="E3242">
        <f t="shared" si="101"/>
        <v>5.6146788746696277E-2</v>
      </c>
    </row>
    <row r="3243" spans="1:5" x14ac:dyDescent="0.25">
      <c r="A3243">
        <v>0</v>
      </c>
      <c r="B3243">
        <v>3.0030030030029999E-3</v>
      </c>
      <c r="C3243">
        <f t="shared" si="100"/>
        <v>1.6323241516447597</v>
      </c>
      <c r="D3243">
        <v>3</v>
      </c>
      <c r="E3243">
        <f t="shared" si="101"/>
        <v>5.6146788746696277E-2</v>
      </c>
    </row>
    <row r="3244" spans="1:5" x14ac:dyDescent="0.25">
      <c r="A3244">
        <v>0</v>
      </c>
      <c r="B3244">
        <v>3.0030030030029999E-3</v>
      </c>
      <c r="C3244">
        <f t="shared" si="100"/>
        <v>1.6323241516447597</v>
      </c>
      <c r="D3244">
        <v>3</v>
      </c>
      <c r="E3244">
        <f t="shared" si="101"/>
        <v>5.6146788746696277E-2</v>
      </c>
    </row>
    <row r="3245" spans="1:5" x14ac:dyDescent="0.25">
      <c r="A3245">
        <v>0</v>
      </c>
      <c r="B3245">
        <v>3.0030030030029999E-3</v>
      </c>
      <c r="C3245">
        <f t="shared" si="100"/>
        <v>1.6323241516447597</v>
      </c>
      <c r="D3245">
        <v>3</v>
      </c>
      <c r="E3245">
        <f t="shared" si="101"/>
        <v>5.6146788746696277E-2</v>
      </c>
    </row>
    <row r="3246" spans="1:5" x14ac:dyDescent="0.25">
      <c r="A3246">
        <v>0</v>
      </c>
      <c r="B3246">
        <v>3.0030030030029999E-3</v>
      </c>
      <c r="C3246">
        <f t="shared" si="100"/>
        <v>1.6323241516447597</v>
      </c>
      <c r="D3246">
        <v>3</v>
      </c>
      <c r="E3246">
        <f t="shared" si="101"/>
        <v>5.6146788746696277E-2</v>
      </c>
    </row>
    <row r="3247" spans="1:5" x14ac:dyDescent="0.25">
      <c r="A3247">
        <v>0</v>
      </c>
      <c r="B3247">
        <v>3.0030030030029999E-3</v>
      </c>
      <c r="C3247">
        <f t="shared" si="100"/>
        <v>1.6323241516447597</v>
      </c>
      <c r="D3247">
        <v>3</v>
      </c>
      <c r="E3247">
        <f t="shared" si="101"/>
        <v>5.6146788746696277E-2</v>
      </c>
    </row>
    <row r="3248" spans="1:5" x14ac:dyDescent="0.25">
      <c r="A3248">
        <v>0</v>
      </c>
      <c r="B3248">
        <v>3.0030030030029999E-3</v>
      </c>
      <c r="C3248">
        <f t="shared" si="100"/>
        <v>1.6323241516447597</v>
      </c>
      <c r="D3248">
        <v>3</v>
      </c>
      <c r="E3248">
        <f t="shared" si="101"/>
        <v>5.6146788746696277E-2</v>
      </c>
    </row>
    <row r="3249" spans="1:5" x14ac:dyDescent="0.25">
      <c r="A3249">
        <v>0</v>
      </c>
      <c r="B3249">
        <v>3.0030030030029999E-3</v>
      </c>
      <c r="C3249">
        <f t="shared" si="100"/>
        <v>1.6323241516447597</v>
      </c>
      <c r="D3249">
        <v>3</v>
      </c>
      <c r="E3249">
        <f t="shared" si="101"/>
        <v>5.6146788746696277E-2</v>
      </c>
    </row>
    <row r="3250" spans="1:5" x14ac:dyDescent="0.25">
      <c r="A3250">
        <v>0</v>
      </c>
      <c r="B3250">
        <v>3.0030030030029999E-3</v>
      </c>
      <c r="C3250">
        <f t="shared" si="100"/>
        <v>1.6323241516447597</v>
      </c>
      <c r="D3250">
        <v>3</v>
      </c>
      <c r="E3250">
        <f t="shared" si="101"/>
        <v>5.6146788746696277E-2</v>
      </c>
    </row>
    <row r="3251" spans="1:5" x14ac:dyDescent="0.25">
      <c r="A3251">
        <v>0</v>
      </c>
      <c r="B3251">
        <v>3.3333333333333301E-3</v>
      </c>
      <c r="C3251">
        <f t="shared" si="100"/>
        <v>1.6325355960360461</v>
      </c>
      <c r="D3251">
        <v>3</v>
      </c>
      <c r="E3251">
        <f t="shared" si="101"/>
        <v>5.6146788746696277E-2</v>
      </c>
    </row>
    <row r="3252" spans="1:5" x14ac:dyDescent="0.25">
      <c r="A3252">
        <v>0</v>
      </c>
      <c r="B3252">
        <v>3.3333333333333301E-3</v>
      </c>
      <c r="C3252">
        <f t="shared" si="100"/>
        <v>1.6325355960360461</v>
      </c>
      <c r="D3252">
        <v>3</v>
      </c>
      <c r="E3252">
        <f t="shared" si="101"/>
        <v>5.6146788746696277E-2</v>
      </c>
    </row>
    <row r="3253" spans="1:5" x14ac:dyDescent="0.25">
      <c r="A3253">
        <v>0</v>
      </c>
      <c r="B3253">
        <v>3.3333333333333301E-3</v>
      </c>
      <c r="C3253">
        <f t="shared" si="100"/>
        <v>1.6325355960360461</v>
      </c>
      <c r="D3253">
        <v>3</v>
      </c>
      <c r="E3253">
        <f t="shared" si="101"/>
        <v>5.6146788746696277E-2</v>
      </c>
    </row>
    <row r="3254" spans="1:5" x14ac:dyDescent="0.25">
      <c r="A3254">
        <v>0</v>
      </c>
      <c r="B3254">
        <v>3.3333333333333301E-3</v>
      </c>
      <c r="C3254">
        <f t="shared" si="100"/>
        <v>1.6325355960360461</v>
      </c>
      <c r="D3254">
        <v>3</v>
      </c>
      <c r="E3254">
        <f t="shared" si="101"/>
        <v>5.6146788746696277E-2</v>
      </c>
    </row>
    <row r="3255" spans="1:5" x14ac:dyDescent="0.25">
      <c r="A3255">
        <v>0</v>
      </c>
      <c r="B3255">
        <v>3.3333333333333301E-3</v>
      </c>
      <c r="C3255">
        <f t="shared" si="100"/>
        <v>1.6325355960360461</v>
      </c>
      <c r="D3255">
        <v>3</v>
      </c>
      <c r="E3255">
        <f t="shared" si="101"/>
        <v>5.6146788746696277E-2</v>
      </c>
    </row>
    <row r="3256" spans="1:5" x14ac:dyDescent="0.25">
      <c r="A3256">
        <v>0</v>
      </c>
      <c r="B3256">
        <v>3.3333333333333301E-3</v>
      </c>
      <c r="C3256">
        <f t="shared" si="100"/>
        <v>1.6325355960360461</v>
      </c>
      <c r="D3256">
        <v>3</v>
      </c>
      <c r="E3256">
        <f t="shared" si="101"/>
        <v>5.6146788746696277E-2</v>
      </c>
    </row>
    <row r="3257" spans="1:5" x14ac:dyDescent="0.25">
      <c r="A3257">
        <v>0</v>
      </c>
      <c r="B3257">
        <v>3.3333333333333301E-3</v>
      </c>
      <c r="C3257">
        <f t="shared" si="100"/>
        <v>1.6325355960360461</v>
      </c>
      <c r="D3257">
        <v>3</v>
      </c>
      <c r="E3257">
        <f t="shared" si="101"/>
        <v>5.6146788746696277E-2</v>
      </c>
    </row>
    <row r="3258" spans="1:5" x14ac:dyDescent="0.25">
      <c r="A3258">
        <v>0</v>
      </c>
      <c r="B3258">
        <v>4.0000000000000001E-3</v>
      </c>
      <c r="C3258">
        <f t="shared" si="100"/>
        <v>1.6329532431212572</v>
      </c>
      <c r="D3258">
        <v>3</v>
      </c>
      <c r="E3258">
        <f t="shared" si="101"/>
        <v>5.6146788746696277E-2</v>
      </c>
    </row>
    <row r="3259" spans="1:5" x14ac:dyDescent="0.25">
      <c r="A3259">
        <v>0</v>
      </c>
      <c r="B3259">
        <v>4.0000000000000001E-3</v>
      </c>
      <c r="C3259">
        <f t="shared" si="100"/>
        <v>1.6329532431212572</v>
      </c>
      <c r="D3259">
        <v>3</v>
      </c>
      <c r="E3259">
        <f t="shared" si="101"/>
        <v>5.6146788746696277E-2</v>
      </c>
    </row>
    <row r="3260" spans="1:5" x14ac:dyDescent="0.25">
      <c r="A3260">
        <v>0</v>
      </c>
      <c r="B3260">
        <v>4.0000000000000001E-3</v>
      </c>
      <c r="C3260">
        <f t="shared" si="100"/>
        <v>1.6329532431212572</v>
      </c>
      <c r="D3260">
        <v>3</v>
      </c>
      <c r="E3260">
        <f t="shared" si="101"/>
        <v>5.6146788746696277E-2</v>
      </c>
    </row>
    <row r="3261" spans="1:5" x14ac:dyDescent="0.25">
      <c r="A3261">
        <v>0</v>
      </c>
      <c r="B3261">
        <v>4.0000000000000001E-3</v>
      </c>
      <c r="C3261">
        <f t="shared" si="100"/>
        <v>1.6329532431212572</v>
      </c>
      <c r="D3261">
        <v>3</v>
      </c>
      <c r="E3261">
        <f t="shared" si="101"/>
        <v>5.6146788746696277E-2</v>
      </c>
    </row>
    <row r="3262" spans="1:5" x14ac:dyDescent="0.25">
      <c r="A3262">
        <v>0</v>
      </c>
      <c r="B3262">
        <v>4.6620046620046603E-3</v>
      </c>
      <c r="C3262">
        <f t="shared" si="100"/>
        <v>1.6333559377440112</v>
      </c>
      <c r="D3262">
        <v>3</v>
      </c>
      <c r="E3262">
        <f t="shared" si="101"/>
        <v>5.6146788746696277E-2</v>
      </c>
    </row>
    <row r="3263" spans="1:5" x14ac:dyDescent="0.25">
      <c r="A3263">
        <v>0</v>
      </c>
      <c r="B3263">
        <v>4.6620046620046603E-3</v>
      </c>
      <c r="C3263">
        <f t="shared" si="100"/>
        <v>1.6333559377440112</v>
      </c>
      <c r="D3263">
        <v>3</v>
      </c>
      <c r="E3263">
        <f t="shared" si="101"/>
        <v>5.6146788746696277E-2</v>
      </c>
    </row>
    <row r="3264" spans="1:5" x14ac:dyDescent="0.25">
      <c r="A3264">
        <v>0</v>
      </c>
      <c r="B3264">
        <v>4.6620046620046603E-3</v>
      </c>
      <c r="C3264">
        <f t="shared" si="100"/>
        <v>1.6333559377440112</v>
      </c>
      <c r="D3264">
        <v>3</v>
      </c>
      <c r="E3264">
        <f t="shared" si="101"/>
        <v>5.6146788746696277E-2</v>
      </c>
    </row>
    <row r="3265" spans="1:5" x14ac:dyDescent="0.25">
      <c r="A3265">
        <v>0</v>
      </c>
      <c r="B3265">
        <v>4.6620046620046603E-3</v>
      </c>
      <c r="C3265">
        <f t="shared" si="100"/>
        <v>1.6333559377440112</v>
      </c>
      <c r="D3265">
        <v>3</v>
      </c>
      <c r="E3265">
        <f t="shared" si="101"/>
        <v>5.6146788746696277E-2</v>
      </c>
    </row>
    <row r="3266" spans="1:5" x14ac:dyDescent="0.25">
      <c r="A3266">
        <v>0</v>
      </c>
      <c r="B3266">
        <v>4.6620046620046603E-3</v>
      </c>
      <c r="C3266">
        <f t="shared" ref="C3266:C3329" si="102">_xlfn.NORM.DIST(B3266,I$10,I$13,FALSE)</f>
        <v>1.6333559377440112</v>
      </c>
      <c r="D3266">
        <v>3</v>
      </c>
      <c r="E3266">
        <f t="shared" si="101"/>
        <v>5.6146788746696277E-2</v>
      </c>
    </row>
    <row r="3267" spans="1:5" x14ac:dyDescent="0.25">
      <c r="A3267">
        <v>0</v>
      </c>
      <c r="B3267">
        <v>4.6620046620046603E-3</v>
      </c>
      <c r="C3267">
        <f t="shared" si="102"/>
        <v>1.6333559377440112</v>
      </c>
      <c r="D3267">
        <v>3</v>
      </c>
      <c r="E3267">
        <f t="shared" ref="E3267:E3330" si="103">_xlfn.NORM.DIST(D3267,I$4,I$7,FALSE)</f>
        <v>5.6146788746696277E-2</v>
      </c>
    </row>
    <row r="3268" spans="1:5" x14ac:dyDescent="0.25">
      <c r="A3268">
        <v>0</v>
      </c>
      <c r="B3268">
        <v>4.6620046620046603E-3</v>
      </c>
      <c r="C3268">
        <f t="shared" si="102"/>
        <v>1.6333559377440112</v>
      </c>
      <c r="D3268">
        <v>3</v>
      </c>
      <c r="E3268">
        <f t="shared" si="103"/>
        <v>5.6146788746696277E-2</v>
      </c>
    </row>
    <row r="3269" spans="1:5" x14ac:dyDescent="0.25">
      <c r="A3269">
        <v>0</v>
      </c>
      <c r="B3269">
        <v>5.0000000000000001E-3</v>
      </c>
      <c r="C3269">
        <f t="shared" si="102"/>
        <v>1.6335569125404787</v>
      </c>
      <c r="D3269">
        <v>3</v>
      </c>
      <c r="E3269">
        <f t="shared" si="103"/>
        <v>5.6146788746696277E-2</v>
      </c>
    </row>
    <row r="3270" spans="1:5" x14ac:dyDescent="0.25">
      <c r="A3270">
        <v>0</v>
      </c>
      <c r="B3270">
        <v>5.0000000000000001E-3</v>
      </c>
      <c r="C3270">
        <f t="shared" si="102"/>
        <v>1.6335569125404787</v>
      </c>
      <c r="D3270">
        <v>3</v>
      </c>
      <c r="E3270">
        <f t="shared" si="103"/>
        <v>5.6146788746696277E-2</v>
      </c>
    </row>
    <row r="3271" spans="1:5" x14ac:dyDescent="0.25">
      <c r="A3271">
        <v>0</v>
      </c>
      <c r="B3271">
        <v>5.0000000000000001E-3</v>
      </c>
      <c r="C3271">
        <f t="shared" si="102"/>
        <v>1.6335569125404787</v>
      </c>
      <c r="D3271">
        <v>3</v>
      </c>
      <c r="E3271">
        <f t="shared" si="103"/>
        <v>5.6146788746696277E-2</v>
      </c>
    </row>
    <row r="3272" spans="1:5" x14ac:dyDescent="0.25">
      <c r="A3272">
        <v>0</v>
      </c>
      <c r="B3272">
        <v>5.0000000000000001E-3</v>
      </c>
      <c r="C3272">
        <f t="shared" si="102"/>
        <v>1.6335569125404787</v>
      </c>
      <c r="D3272">
        <v>3</v>
      </c>
      <c r="E3272">
        <f t="shared" si="103"/>
        <v>5.6146788746696277E-2</v>
      </c>
    </row>
    <row r="3273" spans="1:5" x14ac:dyDescent="0.25">
      <c r="A3273">
        <v>0</v>
      </c>
      <c r="B3273">
        <v>5.3333333333333297E-3</v>
      </c>
      <c r="C3273">
        <f t="shared" si="102"/>
        <v>1.6337520508198362</v>
      </c>
      <c r="D3273">
        <v>3</v>
      </c>
      <c r="E3273">
        <f t="shared" si="103"/>
        <v>5.6146788746696277E-2</v>
      </c>
    </row>
    <row r="3274" spans="1:5" x14ac:dyDescent="0.25">
      <c r="A3274">
        <v>0</v>
      </c>
      <c r="B3274">
        <v>5.3333333333333297E-3</v>
      </c>
      <c r="C3274">
        <f t="shared" si="102"/>
        <v>1.6337520508198362</v>
      </c>
      <c r="D3274">
        <v>3</v>
      </c>
      <c r="E3274">
        <f t="shared" si="103"/>
        <v>5.6146788746696277E-2</v>
      </c>
    </row>
    <row r="3275" spans="1:5" x14ac:dyDescent="0.25">
      <c r="A3275">
        <v>0</v>
      </c>
      <c r="B3275">
        <v>5.3333333333333297E-3</v>
      </c>
      <c r="C3275">
        <f t="shared" si="102"/>
        <v>1.6337520508198362</v>
      </c>
      <c r="D3275">
        <v>3</v>
      </c>
      <c r="E3275">
        <f t="shared" si="103"/>
        <v>5.6146788746696277E-2</v>
      </c>
    </row>
    <row r="3276" spans="1:5" x14ac:dyDescent="0.25">
      <c r="A3276">
        <v>0</v>
      </c>
      <c r="B3276">
        <v>5.3333333333333297E-3</v>
      </c>
      <c r="C3276">
        <f t="shared" si="102"/>
        <v>1.6337520508198362</v>
      </c>
      <c r="D3276">
        <v>3</v>
      </c>
      <c r="E3276">
        <f t="shared" si="103"/>
        <v>5.6146788746696277E-2</v>
      </c>
    </row>
    <row r="3277" spans="1:5" x14ac:dyDescent="0.25">
      <c r="A3277">
        <v>0</v>
      </c>
      <c r="B3277">
        <v>5.3333333333333297E-3</v>
      </c>
      <c r="C3277">
        <f t="shared" si="102"/>
        <v>1.6337520508198362</v>
      </c>
      <c r="D3277">
        <v>3</v>
      </c>
      <c r="E3277">
        <f t="shared" si="103"/>
        <v>5.6146788746696277E-2</v>
      </c>
    </row>
    <row r="3278" spans="1:5" x14ac:dyDescent="0.25">
      <c r="A3278">
        <v>0</v>
      </c>
      <c r="B3278">
        <v>5.3333333333333297E-3</v>
      </c>
      <c r="C3278">
        <f t="shared" si="102"/>
        <v>1.6337520508198362</v>
      </c>
      <c r="D3278">
        <v>3</v>
      </c>
      <c r="E3278">
        <f t="shared" si="103"/>
        <v>5.6146788746696277E-2</v>
      </c>
    </row>
    <row r="3279" spans="1:5" x14ac:dyDescent="0.25">
      <c r="A3279">
        <v>0</v>
      </c>
      <c r="B3279">
        <v>5.3333333333333297E-3</v>
      </c>
      <c r="C3279">
        <f t="shared" si="102"/>
        <v>1.6337520508198362</v>
      </c>
      <c r="D3279">
        <v>3</v>
      </c>
      <c r="E3279">
        <f t="shared" si="103"/>
        <v>5.6146788746696277E-2</v>
      </c>
    </row>
    <row r="3280" spans="1:5" x14ac:dyDescent="0.25">
      <c r="A3280">
        <v>0</v>
      </c>
      <c r="B3280">
        <v>5.3333333333333297E-3</v>
      </c>
      <c r="C3280">
        <f t="shared" si="102"/>
        <v>1.6337520508198362</v>
      </c>
      <c r="D3280">
        <v>3</v>
      </c>
      <c r="E3280">
        <f t="shared" si="103"/>
        <v>5.6146788746696277E-2</v>
      </c>
    </row>
    <row r="3281" spans="1:5" x14ac:dyDescent="0.25">
      <c r="A3281">
        <v>0</v>
      </c>
      <c r="B3281">
        <v>5.3333333333333297E-3</v>
      </c>
      <c r="C3281">
        <f t="shared" si="102"/>
        <v>1.6337520508198362</v>
      </c>
      <c r="D3281">
        <v>3</v>
      </c>
      <c r="E3281">
        <f t="shared" si="103"/>
        <v>5.6146788746696277E-2</v>
      </c>
    </row>
    <row r="3282" spans="1:5" x14ac:dyDescent="0.25">
      <c r="A3282">
        <v>0</v>
      </c>
      <c r="B3282">
        <v>5.3333333333333297E-3</v>
      </c>
      <c r="C3282">
        <f t="shared" si="102"/>
        <v>1.6337520508198362</v>
      </c>
      <c r="D3282">
        <v>3</v>
      </c>
      <c r="E3282">
        <f t="shared" si="103"/>
        <v>5.6146788746696277E-2</v>
      </c>
    </row>
    <row r="3283" spans="1:5" x14ac:dyDescent="0.25">
      <c r="A3283">
        <v>0</v>
      </c>
      <c r="B3283">
        <v>5.3333333333333297E-3</v>
      </c>
      <c r="C3283">
        <f t="shared" si="102"/>
        <v>1.6337520508198362</v>
      </c>
      <c r="D3283">
        <v>3</v>
      </c>
      <c r="E3283">
        <f t="shared" si="103"/>
        <v>5.6146788746696277E-2</v>
      </c>
    </row>
    <row r="3284" spans="1:5" x14ac:dyDescent="0.25">
      <c r="A3284">
        <v>0</v>
      </c>
      <c r="B3284">
        <v>5.3333333333333297E-3</v>
      </c>
      <c r="C3284">
        <f t="shared" si="102"/>
        <v>1.6337520508198362</v>
      </c>
      <c r="D3284">
        <v>3</v>
      </c>
      <c r="E3284">
        <f t="shared" si="103"/>
        <v>5.6146788746696277E-2</v>
      </c>
    </row>
    <row r="3285" spans="1:5" x14ac:dyDescent="0.25">
      <c r="A3285">
        <v>0</v>
      </c>
      <c r="B3285">
        <v>5.3333333333333297E-3</v>
      </c>
      <c r="C3285">
        <f t="shared" si="102"/>
        <v>1.6337520508198362</v>
      </c>
      <c r="D3285">
        <v>3</v>
      </c>
      <c r="E3285">
        <f t="shared" si="103"/>
        <v>5.6146788746696277E-2</v>
      </c>
    </row>
    <row r="3286" spans="1:5" x14ac:dyDescent="0.25">
      <c r="A3286">
        <v>0</v>
      </c>
      <c r="B3286">
        <v>5.3333333333333297E-3</v>
      </c>
      <c r="C3286">
        <f t="shared" si="102"/>
        <v>1.6337520508198362</v>
      </c>
      <c r="D3286">
        <v>3</v>
      </c>
      <c r="E3286">
        <f t="shared" si="103"/>
        <v>5.6146788746696277E-2</v>
      </c>
    </row>
    <row r="3287" spans="1:5" x14ac:dyDescent="0.25">
      <c r="A3287">
        <v>0</v>
      </c>
      <c r="B3287">
        <v>5.9880239520958096E-3</v>
      </c>
      <c r="C3287">
        <f t="shared" si="102"/>
        <v>1.6341264540709735</v>
      </c>
      <c r="D3287">
        <v>3</v>
      </c>
      <c r="E3287">
        <f t="shared" si="103"/>
        <v>5.6146788746696277E-2</v>
      </c>
    </row>
    <row r="3288" spans="1:5" x14ac:dyDescent="0.25">
      <c r="A3288">
        <v>0</v>
      </c>
      <c r="B3288">
        <v>5.9880239520958096E-3</v>
      </c>
      <c r="C3288">
        <f t="shared" si="102"/>
        <v>1.6341264540709735</v>
      </c>
      <c r="D3288">
        <v>3</v>
      </c>
      <c r="E3288">
        <f t="shared" si="103"/>
        <v>5.6146788746696277E-2</v>
      </c>
    </row>
    <row r="3289" spans="1:5" x14ac:dyDescent="0.25">
      <c r="A3289">
        <v>0</v>
      </c>
      <c r="B3289">
        <v>5.9880239520958096E-3</v>
      </c>
      <c r="C3289">
        <f t="shared" si="102"/>
        <v>1.6341264540709735</v>
      </c>
      <c r="D3289">
        <v>3</v>
      </c>
      <c r="E3289">
        <f t="shared" si="103"/>
        <v>5.6146788746696277E-2</v>
      </c>
    </row>
    <row r="3290" spans="1:5" x14ac:dyDescent="0.25">
      <c r="A3290">
        <v>0</v>
      </c>
      <c r="B3290">
        <v>5.9880239520958096E-3</v>
      </c>
      <c r="C3290">
        <f t="shared" si="102"/>
        <v>1.6341264540709735</v>
      </c>
      <c r="D3290">
        <v>3</v>
      </c>
      <c r="E3290">
        <f t="shared" si="103"/>
        <v>5.6146788746696277E-2</v>
      </c>
    </row>
    <row r="3291" spans="1:5" x14ac:dyDescent="0.25">
      <c r="A3291">
        <v>0</v>
      </c>
      <c r="B3291">
        <v>5.9880239520958096E-3</v>
      </c>
      <c r="C3291">
        <f t="shared" si="102"/>
        <v>1.6341264540709735</v>
      </c>
      <c r="D3291">
        <v>3</v>
      </c>
      <c r="E3291">
        <f t="shared" si="103"/>
        <v>5.6146788746696277E-2</v>
      </c>
    </row>
    <row r="3292" spans="1:5" x14ac:dyDescent="0.25">
      <c r="A3292">
        <v>0</v>
      </c>
      <c r="B3292">
        <v>6.0000000000000001E-3</v>
      </c>
      <c r="C3292">
        <f t="shared" si="102"/>
        <v>1.6341331934848184</v>
      </c>
      <c r="D3292">
        <v>3</v>
      </c>
      <c r="E3292">
        <f t="shared" si="103"/>
        <v>5.6146788746696277E-2</v>
      </c>
    </row>
    <row r="3293" spans="1:5" x14ac:dyDescent="0.25">
      <c r="A3293">
        <v>0</v>
      </c>
      <c r="B3293">
        <v>6.0000000000000001E-3</v>
      </c>
      <c r="C3293">
        <f t="shared" si="102"/>
        <v>1.6341331934848184</v>
      </c>
      <c r="D3293">
        <v>3</v>
      </c>
      <c r="E3293">
        <f t="shared" si="103"/>
        <v>5.6146788746696277E-2</v>
      </c>
    </row>
    <row r="3294" spans="1:5" x14ac:dyDescent="0.25">
      <c r="A3294">
        <v>0</v>
      </c>
      <c r="B3294">
        <v>6.0060060060060103E-3</v>
      </c>
      <c r="C3294">
        <f t="shared" si="102"/>
        <v>1.6341365718304222</v>
      </c>
      <c r="D3294">
        <v>3</v>
      </c>
      <c r="E3294">
        <f t="shared" si="103"/>
        <v>5.6146788746696277E-2</v>
      </c>
    </row>
    <row r="3295" spans="1:5" x14ac:dyDescent="0.25">
      <c r="A3295">
        <v>0</v>
      </c>
      <c r="B3295">
        <v>6.0060060060060103E-3</v>
      </c>
      <c r="C3295">
        <f t="shared" si="102"/>
        <v>1.6341365718304222</v>
      </c>
      <c r="D3295">
        <v>3</v>
      </c>
      <c r="E3295">
        <f t="shared" si="103"/>
        <v>5.6146788746696277E-2</v>
      </c>
    </row>
    <row r="3296" spans="1:5" x14ac:dyDescent="0.25">
      <c r="A3296">
        <v>0</v>
      </c>
      <c r="B3296">
        <v>6.0060060060060103E-3</v>
      </c>
      <c r="C3296">
        <f t="shared" si="102"/>
        <v>1.6341365718304222</v>
      </c>
      <c r="D3296">
        <v>3</v>
      </c>
      <c r="E3296">
        <f t="shared" si="103"/>
        <v>5.6146788746696277E-2</v>
      </c>
    </row>
    <row r="3297" spans="1:5" x14ac:dyDescent="0.25">
      <c r="A3297">
        <v>0</v>
      </c>
      <c r="B3297">
        <v>6.0060060060060103E-3</v>
      </c>
      <c r="C3297">
        <f t="shared" si="102"/>
        <v>1.6341365718304222</v>
      </c>
      <c r="D3297">
        <v>3</v>
      </c>
      <c r="E3297">
        <f t="shared" si="103"/>
        <v>5.6146788746696277E-2</v>
      </c>
    </row>
    <row r="3298" spans="1:5" x14ac:dyDescent="0.25">
      <c r="A3298">
        <v>0</v>
      </c>
      <c r="B3298">
        <v>6.0060060060060103E-3</v>
      </c>
      <c r="C3298">
        <f t="shared" si="102"/>
        <v>1.6341365718304222</v>
      </c>
      <c r="D3298">
        <v>3</v>
      </c>
      <c r="E3298">
        <f t="shared" si="103"/>
        <v>5.6146788746696277E-2</v>
      </c>
    </row>
    <row r="3299" spans="1:5" x14ac:dyDescent="0.25">
      <c r="A3299">
        <v>0</v>
      </c>
      <c r="B3299">
        <v>6.0060060060060103E-3</v>
      </c>
      <c r="C3299">
        <f t="shared" si="102"/>
        <v>1.6341365718304222</v>
      </c>
      <c r="D3299">
        <v>3</v>
      </c>
      <c r="E3299">
        <f t="shared" si="103"/>
        <v>5.6146788746696277E-2</v>
      </c>
    </row>
    <row r="3300" spans="1:5" x14ac:dyDescent="0.25">
      <c r="A3300">
        <v>0</v>
      </c>
      <c r="B3300">
        <v>6.0060060060060103E-3</v>
      </c>
      <c r="C3300">
        <f t="shared" si="102"/>
        <v>1.6341365718304222</v>
      </c>
      <c r="D3300">
        <v>3</v>
      </c>
      <c r="E3300">
        <f t="shared" si="103"/>
        <v>5.6146788746696277E-2</v>
      </c>
    </row>
    <row r="3301" spans="1:5" x14ac:dyDescent="0.25">
      <c r="A3301">
        <v>0</v>
      </c>
      <c r="B3301">
        <v>6.6666666666666697E-3</v>
      </c>
      <c r="C3301">
        <f t="shared" si="102"/>
        <v>1.6345021505149053</v>
      </c>
      <c r="D3301">
        <v>3</v>
      </c>
      <c r="E3301">
        <f t="shared" si="103"/>
        <v>5.6146788746696277E-2</v>
      </c>
    </row>
    <row r="3302" spans="1:5" x14ac:dyDescent="0.25">
      <c r="A3302">
        <v>0</v>
      </c>
      <c r="B3302">
        <v>6.6666666666666697E-3</v>
      </c>
      <c r="C3302">
        <f t="shared" si="102"/>
        <v>1.6345021505149053</v>
      </c>
      <c r="D3302">
        <v>3</v>
      </c>
      <c r="E3302">
        <f t="shared" si="103"/>
        <v>5.6146788746696277E-2</v>
      </c>
    </row>
    <row r="3303" spans="1:5" x14ac:dyDescent="0.25">
      <c r="A3303">
        <v>0</v>
      </c>
      <c r="B3303">
        <v>6.6666666666666697E-3</v>
      </c>
      <c r="C3303">
        <f t="shared" si="102"/>
        <v>1.6345021505149053</v>
      </c>
      <c r="D3303">
        <v>3</v>
      </c>
      <c r="E3303">
        <f t="shared" si="103"/>
        <v>5.6146788746696277E-2</v>
      </c>
    </row>
    <row r="3304" spans="1:5" x14ac:dyDescent="0.25">
      <c r="A3304">
        <v>0</v>
      </c>
      <c r="B3304">
        <v>6.6666666666666697E-3</v>
      </c>
      <c r="C3304">
        <f t="shared" si="102"/>
        <v>1.6345021505149053</v>
      </c>
      <c r="D3304">
        <v>3</v>
      </c>
      <c r="E3304">
        <f t="shared" si="103"/>
        <v>5.6146788746696277E-2</v>
      </c>
    </row>
    <row r="3305" spans="1:5" x14ac:dyDescent="0.25">
      <c r="A3305">
        <v>0</v>
      </c>
      <c r="B3305">
        <v>6.9930069930069904E-3</v>
      </c>
      <c r="C3305">
        <f t="shared" si="102"/>
        <v>1.6346783138696577</v>
      </c>
      <c r="D3305">
        <v>3</v>
      </c>
      <c r="E3305">
        <f t="shared" si="103"/>
        <v>5.6146788746696277E-2</v>
      </c>
    </row>
    <row r="3306" spans="1:5" x14ac:dyDescent="0.25">
      <c r="A3306">
        <v>0</v>
      </c>
      <c r="B3306">
        <v>6.9930069930069904E-3</v>
      </c>
      <c r="C3306">
        <f t="shared" si="102"/>
        <v>1.6346783138696577</v>
      </c>
      <c r="D3306">
        <v>3</v>
      </c>
      <c r="E3306">
        <f t="shared" si="103"/>
        <v>5.6146788746696277E-2</v>
      </c>
    </row>
    <row r="3307" spans="1:5" x14ac:dyDescent="0.25">
      <c r="A3307">
        <v>0</v>
      </c>
      <c r="B3307">
        <v>7.0000000000000001E-3</v>
      </c>
      <c r="C3307">
        <f t="shared" si="102"/>
        <v>1.6346820568145322</v>
      </c>
      <c r="D3307">
        <v>3</v>
      </c>
      <c r="E3307">
        <f t="shared" si="103"/>
        <v>5.6146788746696277E-2</v>
      </c>
    </row>
    <row r="3308" spans="1:5" x14ac:dyDescent="0.25">
      <c r="A3308">
        <v>0</v>
      </c>
      <c r="B3308">
        <v>7.0000000000000001E-3</v>
      </c>
      <c r="C3308">
        <f t="shared" si="102"/>
        <v>1.6346820568145322</v>
      </c>
      <c r="D3308">
        <v>3</v>
      </c>
      <c r="E3308">
        <f t="shared" si="103"/>
        <v>5.6146788746696277E-2</v>
      </c>
    </row>
    <row r="3309" spans="1:5" x14ac:dyDescent="0.25">
      <c r="A3309">
        <v>0</v>
      </c>
      <c r="B3309">
        <v>7.0093457943925198E-3</v>
      </c>
      <c r="C3309">
        <f t="shared" si="102"/>
        <v>1.6346870569725107</v>
      </c>
      <c r="D3309">
        <v>3</v>
      </c>
      <c r="E3309">
        <f t="shared" si="103"/>
        <v>5.6146788746696277E-2</v>
      </c>
    </row>
    <row r="3310" spans="1:5" x14ac:dyDescent="0.25">
      <c r="A3310">
        <v>0</v>
      </c>
      <c r="B3310">
        <v>7.0093457943925198E-3</v>
      </c>
      <c r="C3310">
        <f t="shared" si="102"/>
        <v>1.6346870569725107</v>
      </c>
      <c r="D3310">
        <v>3</v>
      </c>
      <c r="E3310">
        <f t="shared" si="103"/>
        <v>5.6146788746696277E-2</v>
      </c>
    </row>
    <row r="3311" spans="1:5" x14ac:dyDescent="0.25">
      <c r="A3311">
        <v>0</v>
      </c>
      <c r="B3311">
        <v>7.3333333333333297E-3</v>
      </c>
      <c r="C3311">
        <f t="shared" si="102"/>
        <v>1.6348589136167395</v>
      </c>
      <c r="D3311">
        <v>3</v>
      </c>
      <c r="E3311">
        <f t="shared" si="103"/>
        <v>5.6146788746696277E-2</v>
      </c>
    </row>
    <row r="3312" spans="1:5" x14ac:dyDescent="0.25">
      <c r="A3312">
        <v>0</v>
      </c>
      <c r="B3312">
        <v>8.0000000000000002E-3</v>
      </c>
      <c r="C3312">
        <f t="shared" si="102"/>
        <v>1.6352034747698669</v>
      </c>
      <c r="D3312">
        <v>3</v>
      </c>
      <c r="E3312">
        <f t="shared" si="103"/>
        <v>5.6146788746696277E-2</v>
      </c>
    </row>
    <row r="3313" spans="1:5" x14ac:dyDescent="0.25">
      <c r="A3313">
        <v>0</v>
      </c>
      <c r="B3313">
        <v>8.0000000000000002E-3</v>
      </c>
      <c r="C3313">
        <f t="shared" si="102"/>
        <v>1.6352034747698669</v>
      </c>
      <c r="D3313">
        <v>3</v>
      </c>
      <c r="E3313">
        <f t="shared" si="103"/>
        <v>5.6146788746696277E-2</v>
      </c>
    </row>
    <row r="3314" spans="1:5" x14ac:dyDescent="0.25">
      <c r="A3314">
        <v>0</v>
      </c>
      <c r="B3314">
        <v>8.0000000000000002E-3</v>
      </c>
      <c r="C3314">
        <f t="shared" si="102"/>
        <v>1.6352034747698669</v>
      </c>
      <c r="D3314">
        <v>3</v>
      </c>
      <c r="E3314">
        <f t="shared" si="103"/>
        <v>5.6146788746696277E-2</v>
      </c>
    </row>
    <row r="3315" spans="1:5" x14ac:dyDescent="0.25">
      <c r="A3315">
        <v>0</v>
      </c>
      <c r="B3315">
        <v>8.0000000000000002E-3</v>
      </c>
      <c r="C3315">
        <f t="shared" si="102"/>
        <v>1.6352034747698669</v>
      </c>
      <c r="D3315">
        <v>3</v>
      </c>
      <c r="E3315">
        <f t="shared" si="103"/>
        <v>5.6146788746696277E-2</v>
      </c>
    </row>
    <row r="3316" spans="1:5" x14ac:dyDescent="0.25">
      <c r="A3316">
        <v>0</v>
      </c>
      <c r="B3316">
        <v>8.0000000000000002E-3</v>
      </c>
      <c r="C3316">
        <f t="shared" si="102"/>
        <v>1.6352034747698669</v>
      </c>
      <c r="D3316">
        <v>3</v>
      </c>
      <c r="E3316">
        <f t="shared" si="103"/>
        <v>5.6146788746696277E-2</v>
      </c>
    </row>
    <row r="3317" spans="1:5" x14ac:dyDescent="0.25">
      <c r="A3317">
        <v>0</v>
      </c>
      <c r="B3317">
        <v>8.0000000000000002E-3</v>
      </c>
      <c r="C3317">
        <f t="shared" si="102"/>
        <v>1.6352034747698669</v>
      </c>
      <c r="D3317">
        <v>3</v>
      </c>
      <c r="E3317">
        <f t="shared" si="103"/>
        <v>5.6146788746696277E-2</v>
      </c>
    </row>
    <row r="3318" spans="1:5" x14ac:dyDescent="0.25">
      <c r="A3318">
        <v>0</v>
      </c>
      <c r="B3318">
        <v>8.0000000000000002E-3</v>
      </c>
      <c r="C3318">
        <f t="shared" si="102"/>
        <v>1.6352034747698669</v>
      </c>
      <c r="D3318">
        <v>3</v>
      </c>
      <c r="E3318">
        <f t="shared" si="103"/>
        <v>5.6146788746696277E-2</v>
      </c>
    </row>
    <row r="3319" spans="1:5" x14ac:dyDescent="0.25">
      <c r="A3319">
        <v>0</v>
      </c>
      <c r="B3319">
        <v>8.0000000000000002E-3</v>
      </c>
      <c r="C3319">
        <f t="shared" si="102"/>
        <v>1.6352034747698669</v>
      </c>
      <c r="D3319">
        <v>3</v>
      </c>
      <c r="E3319">
        <f t="shared" si="103"/>
        <v>5.6146788746696277E-2</v>
      </c>
    </row>
    <row r="3320" spans="1:5" x14ac:dyDescent="0.25">
      <c r="A3320">
        <v>0</v>
      </c>
      <c r="B3320">
        <v>8.0000000000000002E-3</v>
      </c>
      <c r="C3320">
        <f t="shared" si="102"/>
        <v>1.6352034747698669</v>
      </c>
      <c r="D3320">
        <v>3</v>
      </c>
      <c r="E3320">
        <f t="shared" si="103"/>
        <v>5.6146788746696277E-2</v>
      </c>
    </row>
    <row r="3321" spans="1:5" x14ac:dyDescent="0.25">
      <c r="A3321">
        <v>0</v>
      </c>
      <c r="B3321">
        <v>8.0000000000000002E-3</v>
      </c>
      <c r="C3321">
        <f t="shared" si="102"/>
        <v>1.6352034747698669</v>
      </c>
      <c r="D3321">
        <v>3</v>
      </c>
      <c r="E3321">
        <f t="shared" si="103"/>
        <v>5.6146788746696277E-2</v>
      </c>
    </row>
    <row r="3322" spans="1:5" x14ac:dyDescent="0.25">
      <c r="A3322">
        <v>0</v>
      </c>
      <c r="B3322">
        <v>8.0000000000000002E-3</v>
      </c>
      <c r="C3322">
        <f t="shared" si="102"/>
        <v>1.6352034747698669</v>
      </c>
      <c r="D3322">
        <v>3</v>
      </c>
      <c r="E3322">
        <f t="shared" si="103"/>
        <v>5.6146788746696277E-2</v>
      </c>
    </row>
    <row r="3323" spans="1:5" x14ac:dyDescent="0.25">
      <c r="A3323">
        <v>0</v>
      </c>
      <c r="B3323">
        <v>8.0000000000000002E-3</v>
      </c>
      <c r="C3323">
        <f t="shared" si="102"/>
        <v>1.6352034747698669</v>
      </c>
      <c r="D3323">
        <v>3</v>
      </c>
      <c r="E3323">
        <f t="shared" si="103"/>
        <v>5.6146788746696277E-2</v>
      </c>
    </row>
    <row r="3324" spans="1:5" x14ac:dyDescent="0.25">
      <c r="A3324">
        <v>0</v>
      </c>
      <c r="B3324">
        <v>8.0000000000000002E-3</v>
      </c>
      <c r="C3324">
        <f t="shared" si="102"/>
        <v>1.6352034747698669</v>
      </c>
      <c r="D3324">
        <v>3</v>
      </c>
      <c r="E3324">
        <f t="shared" si="103"/>
        <v>5.6146788746696277E-2</v>
      </c>
    </row>
    <row r="3325" spans="1:5" x14ac:dyDescent="0.25">
      <c r="A3325">
        <v>0</v>
      </c>
      <c r="B3325">
        <v>8.0000000000000002E-3</v>
      </c>
      <c r="C3325">
        <f t="shared" si="102"/>
        <v>1.6352034747698669</v>
      </c>
      <c r="D3325">
        <v>3</v>
      </c>
      <c r="E3325">
        <f t="shared" si="103"/>
        <v>5.6146788746696277E-2</v>
      </c>
    </row>
    <row r="3326" spans="1:5" x14ac:dyDescent="0.25">
      <c r="A3326">
        <v>0</v>
      </c>
      <c r="B3326">
        <v>8.0000000000000002E-3</v>
      </c>
      <c r="C3326">
        <f t="shared" si="102"/>
        <v>1.6352034747698669</v>
      </c>
      <c r="D3326">
        <v>3</v>
      </c>
      <c r="E3326">
        <f t="shared" si="103"/>
        <v>5.6146788746696277E-2</v>
      </c>
    </row>
    <row r="3327" spans="1:5" x14ac:dyDescent="0.25">
      <c r="A3327">
        <v>0</v>
      </c>
      <c r="B3327">
        <v>8.0000000000000002E-3</v>
      </c>
      <c r="C3327">
        <f t="shared" si="102"/>
        <v>1.6352034747698669</v>
      </c>
      <c r="D3327">
        <v>3</v>
      </c>
      <c r="E3327">
        <f t="shared" si="103"/>
        <v>5.6146788746696277E-2</v>
      </c>
    </row>
    <row r="3328" spans="1:5" x14ac:dyDescent="0.25">
      <c r="A3328">
        <v>0</v>
      </c>
      <c r="B3328">
        <v>8.0000000000000002E-3</v>
      </c>
      <c r="C3328">
        <f t="shared" si="102"/>
        <v>1.6352034747698669</v>
      </c>
      <c r="D3328">
        <v>3</v>
      </c>
      <c r="E3328">
        <f t="shared" si="103"/>
        <v>5.6146788746696277E-2</v>
      </c>
    </row>
    <row r="3329" spans="1:5" x14ac:dyDescent="0.25">
      <c r="A3329">
        <v>0</v>
      </c>
      <c r="B3329">
        <v>8.0000000000000002E-3</v>
      </c>
      <c r="C3329">
        <f t="shared" si="102"/>
        <v>1.6352034747698669</v>
      </c>
      <c r="D3329">
        <v>3</v>
      </c>
      <c r="E3329">
        <f t="shared" si="103"/>
        <v>5.6146788746696277E-2</v>
      </c>
    </row>
    <row r="3330" spans="1:5" x14ac:dyDescent="0.25">
      <c r="A3330">
        <v>0</v>
      </c>
      <c r="B3330">
        <v>8.0000000000000002E-3</v>
      </c>
      <c r="C3330">
        <f t="shared" ref="C3330:C3393" si="104">_xlfn.NORM.DIST(B3330,I$10,I$13,FALSE)</f>
        <v>1.6352034747698669</v>
      </c>
      <c r="D3330">
        <v>3</v>
      </c>
      <c r="E3330">
        <f t="shared" si="103"/>
        <v>5.6146788746696277E-2</v>
      </c>
    </row>
    <row r="3331" spans="1:5" x14ac:dyDescent="0.25">
      <c r="A3331">
        <v>0</v>
      </c>
      <c r="B3331">
        <v>8.0000000000000002E-3</v>
      </c>
      <c r="C3331">
        <f t="shared" si="104"/>
        <v>1.6352034747698669</v>
      </c>
      <c r="D3331">
        <v>3</v>
      </c>
      <c r="E3331">
        <f t="shared" ref="E3331:E3394" si="105">_xlfn.NORM.DIST(D3331,I$4,I$7,FALSE)</f>
        <v>5.6146788746696277E-2</v>
      </c>
    </row>
    <row r="3332" spans="1:5" x14ac:dyDescent="0.25">
      <c r="A3332">
        <v>0</v>
      </c>
      <c r="B3332">
        <v>8.0000000000000002E-3</v>
      </c>
      <c r="C3332">
        <f t="shared" si="104"/>
        <v>1.6352034747698669</v>
      </c>
      <c r="D3332">
        <v>3</v>
      </c>
      <c r="E3332">
        <f t="shared" si="105"/>
        <v>5.6146788746696277E-2</v>
      </c>
    </row>
    <row r="3333" spans="1:5" x14ac:dyDescent="0.25">
      <c r="A3333">
        <v>0</v>
      </c>
      <c r="B3333">
        <v>8.0000000000000002E-3</v>
      </c>
      <c r="C3333">
        <f t="shared" si="104"/>
        <v>1.6352034747698669</v>
      </c>
      <c r="D3333">
        <v>3</v>
      </c>
      <c r="E3333">
        <f t="shared" si="105"/>
        <v>5.6146788746696277E-2</v>
      </c>
    </row>
    <row r="3334" spans="1:5" x14ac:dyDescent="0.25">
      <c r="A3334">
        <v>0</v>
      </c>
      <c r="B3334">
        <v>8.0000000000000002E-3</v>
      </c>
      <c r="C3334">
        <f t="shared" si="104"/>
        <v>1.6352034747698669</v>
      </c>
      <c r="D3334">
        <v>3</v>
      </c>
      <c r="E3334">
        <f t="shared" si="105"/>
        <v>5.6146788746696277E-2</v>
      </c>
    </row>
    <row r="3335" spans="1:5" x14ac:dyDescent="0.25">
      <c r="A3335">
        <v>0</v>
      </c>
      <c r="B3335">
        <v>8.0000000000000002E-3</v>
      </c>
      <c r="C3335">
        <f t="shared" si="104"/>
        <v>1.6352034747698669</v>
      </c>
      <c r="D3335">
        <v>3</v>
      </c>
      <c r="E3335">
        <f t="shared" si="105"/>
        <v>5.6146788746696277E-2</v>
      </c>
    </row>
    <row r="3336" spans="1:5" x14ac:dyDescent="0.25">
      <c r="A3336">
        <v>0</v>
      </c>
      <c r="B3336">
        <v>8.0000000000000002E-3</v>
      </c>
      <c r="C3336">
        <f t="shared" si="104"/>
        <v>1.6352034747698669</v>
      </c>
      <c r="D3336">
        <v>3</v>
      </c>
      <c r="E3336">
        <f t="shared" si="105"/>
        <v>5.6146788746696277E-2</v>
      </c>
    </row>
    <row r="3337" spans="1:5" x14ac:dyDescent="0.25">
      <c r="A3337">
        <v>0</v>
      </c>
      <c r="B3337">
        <v>8.0000000000000002E-3</v>
      </c>
      <c r="C3337">
        <f t="shared" si="104"/>
        <v>1.6352034747698669</v>
      </c>
      <c r="D3337">
        <v>3</v>
      </c>
      <c r="E3337">
        <f t="shared" si="105"/>
        <v>5.6146788746696277E-2</v>
      </c>
    </row>
    <row r="3338" spans="1:5" x14ac:dyDescent="0.25">
      <c r="A3338">
        <v>0</v>
      </c>
      <c r="B3338">
        <v>8.3333333333333297E-3</v>
      </c>
      <c r="C3338">
        <f t="shared" si="104"/>
        <v>1.6353711771839703</v>
      </c>
      <c r="D3338">
        <v>3</v>
      </c>
      <c r="E3338">
        <f t="shared" si="105"/>
        <v>5.6146788746696277E-2</v>
      </c>
    </row>
    <row r="3339" spans="1:5" x14ac:dyDescent="0.25">
      <c r="A3339">
        <v>0</v>
      </c>
      <c r="B3339">
        <v>8.3333333333333297E-3</v>
      </c>
      <c r="C3339">
        <f t="shared" si="104"/>
        <v>1.6353711771839703</v>
      </c>
      <c r="D3339">
        <v>3</v>
      </c>
      <c r="E3339">
        <f t="shared" si="105"/>
        <v>5.6146788746696277E-2</v>
      </c>
    </row>
    <row r="3340" spans="1:5" x14ac:dyDescent="0.25">
      <c r="A3340">
        <v>0</v>
      </c>
      <c r="B3340">
        <v>8.3333333333333297E-3</v>
      </c>
      <c r="C3340">
        <f t="shared" si="104"/>
        <v>1.6353711771839703</v>
      </c>
      <c r="D3340">
        <v>3</v>
      </c>
      <c r="E3340">
        <f t="shared" si="105"/>
        <v>5.6146788746696277E-2</v>
      </c>
    </row>
    <row r="3341" spans="1:5" x14ac:dyDescent="0.25">
      <c r="A3341">
        <v>0</v>
      </c>
      <c r="B3341">
        <v>8.3333333333333297E-3</v>
      </c>
      <c r="C3341">
        <f t="shared" si="104"/>
        <v>1.6353711771839703</v>
      </c>
      <c r="D3341">
        <v>3</v>
      </c>
      <c r="E3341">
        <f t="shared" si="105"/>
        <v>5.6146788746696277E-2</v>
      </c>
    </row>
    <row r="3342" spans="1:5" x14ac:dyDescent="0.25">
      <c r="A3342">
        <v>0</v>
      </c>
      <c r="B3342">
        <v>8.3333333333333297E-3</v>
      </c>
      <c r="C3342">
        <f t="shared" si="104"/>
        <v>1.6353711771839703</v>
      </c>
      <c r="D3342">
        <v>3</v>
      </c>
      <c r="E3342">
        <f t="shared" si="105"/>
        <v>5.6146788746696277E-2</v>
      </c>
    </row>
    <row r="3343" spans="1:5" x14ac:dyDescent="0.25">
      <c r="A3343">
        <v>0</v>
      </c>
      <c r="B3343">
        <v>8.3333333333333297E-3</v>
      </c>
      <c r="C3343">
        <f t="shared" si="104"/>
        <v>1.6353711771839703</v>
      </c>
      <c r="D3343">
        <v>3</v>
      </c>
      <c r="E3343">
        <f t="shared" si="105"/>
        <v>5.6146788746696277E-2</v>
      </c>
    </row>
    <row r="3344" spans="1:5" x14ac:dyDescent="0.25">
      <c r="A3344">
        <v>0</v>
      </c>
      <c r="B3344">
        <v>8.6666666666666697E-3</v>
      </c>
      <c r="C3344">
        <f t="shared" si="104"/>
        <v>1.6355358262270385</v>
      </c>
      <c r="D3344">
        <v>3</v>
      </c>
      <c r="E3344">
        <f t="shared" si="105"/>
        <v>5.6146788746696277E-2</v>
      </c>
    </row>
    <row r="3345" spans="1:5" x14ac:dyDescent="0.25">
      <c r="A3345">
        <v>0</v>
      </c>
      <c r="B3345">
        <v>8.9820359281437105E-3</v>
      </c>
      <c r="C3345">
        <f t="shared" si="104"/>
        <v>1.6356887901555988</v>
      </c>
      <c r="D3345">
        <v>3</v>
      </c>
      <c r="E3345">
        <f t="shared" si="105"/>
        <v>5.6146788746696277E-2</v>
      </c>
    </row>
    <row r="3346" spans="1:5" x14ac:dyDescent="0.25">
      <c r="A3346">
        <v>0</v>
      </c>
      <c r="B3346">
        <v>8.9820359281437105E-3</v>
      </c>
      <c r="C3346">
        <f t="shared" si="104"/>
        <v>1.6356887901555988</v>
      </c>
      <c r="D3346">
        <v>3</v>
      </c>
      <c r="E3346">
        <f t="shared" si="105"/>
        <v>5.6146788746696277E-2</v>
      </c>
    </row>
    <row r="3347" spans="1:5" x14ac:dyDescent="0.25">
      <c r="A3347">
        <v>0</v>
      </c>
      <c r="B3347">
        <v>8.9820359281437105E-3</v>
      </c>
      <c r="C3347">
        <f t="shared" si="104"/>
        <v>1.6356887901555988</v>
      </c>
      <c r="D3347">
        <v>3</v>
      </c>
      <c r="E3347">
        <f t="shared" si="105"/>
        <v>5.6146788746696277E-2</v>
      </c>
    </row>
    <row r="3348" spans="1:5" x14ac:dyDescent="0.25">
      <c r="A3348">
        <v>0</v>
      </c>
      <c r="B3348">
        <v>8.9820359281437105E-3</v>
      </c>
      <c r="C3348">
        <f t="shared" si="104"/>
        <v>1.6356887901555988</v>
      </c>
      <c r="D3348">
        <v>3</v>
      </c>
      <c r="E3348">
        <f t="shared" si="105"/>
        <v>5.6146788746696277E-2</v>
      </c>
    </row>
    <row r="3349" spans="1:5" x14ac:dyDescent="0.25">
      <c r="A3349">
        <v>0</v>
      </c>
      <c r="B3349">
        <v>8.9820359281437105E-3</v>
      </c>
      <c r="C3349">
        <f t="shared" si="104"/>
        <v>1.6356887901555988</v>
      </c>
      <c r="D3349">
        <v>3</v>
      </c>
      <c r="E3349">
        <f t="shared" si="105"/>
        <v>5.6146788746696277E-2</v>
      </c>
    </row>
    <row r="3350" spans="1:5" x14ac:dyDescent="0.25">
      <c r="A3350">
        <v>0</v>
      </c>
      <c r="B3350">
        <v>9.0090090090090107E-3</v>
      </c>
      <c r="C3350">
        <f t="shared" si="104"/>
        <v>1.6357017460006187</v>
      </c>
      <c r="D3350">
        <v>3</v>
      </c>
      <c r="E3350">
        <f t="shared" si="105"/>
        <v>5.6146788746696277E-2</v>
      </c>
    </row>
    <row r="3351" spans="1:5" x14ac:dyDescent="0.25">
      <c r="A3351">
        <v>0</v>
      </c>
      <c r="B3351">
        <v>9.0090090090090107E-3</v>
      </c>
      <c r="C3351">
        <f t="shared" si="104"/>
        <v>1.6357017460006187</v>
      </c>
      <c r="D3351">
        <v>3</v>
      </c>
      <c r="E3351">
        <f t="shared" si="105"/>
        <v>5.6146788746696277E-2</v>
      </c>
    </row>
    <row r="3352" spans="1:5" x14ac:dyDescent="0.25">
      <c r="A3352">
        <v>0</v>
      </c>
      <c r="B3352">
        <v>9.0090090090090107E-3</v>
      </c>
      <c r="C3352">
        <f t="shared" si="104"/>
        <v>1.6357017460006187</v>
      </c>
      <c r="D3352">
        <v>3</v>
      </c>
      <c r="E3352">
        <f t="shared" si="105"/>
        <v>5.6146788746696277E-2</v>
      </c>
    </row>
    <row r="3353" spans="1:5" x14ac:dyDescent="0.25">
      <c r="A3353">
        <v>0</v>
      </c>
      <c r="B3353">
        <v>9.3240093240093205E-3</v>
      </c>
      <c r="C3353">
        <f t="shared" si="104"/>
        <v>1.635851567384921</v>
      </c>
      <c r="D3353">
        <v>3</v>
      </c>
      <c r="E3353">
        <f t="shared" si="105"/>
        <v>5.6146788746696277E-2</v>
      </c>
    </row>
    <row r="3354" spans="1:5" x14ac:dyDescent="0.25">
      <c r="A3354">
        <v>0</v>
      </c>
      <c r="B3354">
        <v>9.3240093240093205E-3</v>
      </c>
      <c r="C3354">
        <f t="shared" si="104"/>
        <v>1.635851567384921</v>
      </c>
      <c r="D3354">
        <v>3</v>
      </c>
      <c r="E3354">
        <f t="shared" si="105"/>
        <v>5.6146788746696277E-2</v>
      </c>
    </row>
    <row r="3355" spans="1:5" x14ac:dyDescent="0.25">
      <c r="A3355">
        <v>0</v>
      </c>
      <c r="B3355">
        <v>9.3240093240093205E-3</v>
      </c>
      <c r="C3355">
        <f t="shared" si="104"/>
        <v>1.635851567384921</v>
      </c>
      <c r="D3355">
        <v>3</v>
      </c>
      <c r="E3355">
        <f t="shared" si="105"/>
        <v>5.6146788746696277E-2</v>
      </c>
    </row>
    <row r="3356" spans="1:5" x14ac:dyDescent="0.25">
      <c r="A3356">
        <v>0</v>
      </c>
      <c r="B3356">
        <v>9.3240093240093205E-3</v>
      </c>
      <c r="C3356">
        <f t="shared" si="104"/>
        <v>1.635851567384921</v>
      </c>
      <c r="D3356">
        <v>3</v>
      </c>
      <c r="E3356">
        <f t="shared" si="105"/>
        <v>5.6146788746696277E-2</v>
      </c>
    </row>
    <row r="3357" spans="1:5" x14ac:dyDescent="0.25">
      <c r="A3357">
        <v>0</v>
      </c>
      <c r="B3357">
        <v>9.3240093240093205E-3</v>
      </c>
      <c r="C3357">
        <f t="shared" si="104"/>
        <v>1.635851567384921</v>
      </c>
      <c r="D3357">
        <v>3</v>
      </c>
      <c r="E3357">
        <f t="shared" si="105"/>
        <v>5.6146788746696277E-2</v>
      </c>
    </row>
    <row r="3358" spans="1:5" x14ac:dyDescent="0.25">
      <c r="A3358">
        <v>0</v>
      </c>
      <c r="B3358">
        <v>9.3333333333333306E-3</v>
      </c>
      <c r="C3358">
        <f t="shared" si="104"/>
        <v>1.6358559605144989</v>
      </c>
      <c r="D3358">
        <v>3</v>
      </c>
      <c r="E3358">
        <f t="shared" si="105"/>
        <v>5.6146788746696277E-2</v>
      </c>
    </row>
    <row r="3359" spans="1:5" x14ac:dyDescent="0.25">
      <c r="A3359">
        <v>0</v>
      </c>
      <c r="B3359">
        <v>9.3457943925233603E-3</v>
      </c>
      <c r="C3359">
        <f t="shared" si="104"/>
        <v>1.6358618279730546</v>
      </c>
      <c r="D3359">
        <v>3</v>
      </c>
      <c r="E3359">
        <f t="shared" si="105"/>
        <v>5.6146788746696277E-2</v>
      </c>
    </row>
    <row r="3360" spans="1:5" x14ac:dyDescent="0.25">
      <c r="A3360">
        <v>0</v>
      </c>
      <c r="B3360">
        <v>9.3457943925233603E-3</v>
      </c>
      <c r="C3360">
        <f t="shared" si="104"/>
        <v>1.6358618279730546</v>
      </c>
      <c r="D3360">
        <v>3</v>
      </c>
      <c r="E3360">
        <f t="shared" si="105"/>
        <v>5.6146788746696277E-2</v>
      </c>
    </row>
    <row r="3361" spans="1:5" x14ac:dyDescent="0.25">
      <c r="A3361">
        <v>0</v>
      </c>
      <c r="B3361">
        <v>0.01</v>
      </c>
      <c r="C3361">
        <f t="shared" si="104"/>
        <v>1.6361638704322679</v>
      </c>
      <c r="D3361">
        <v>3</v>
      </c>
      <c r="E3361">
        <f t="shared" si="105"/>
        <v>5.6146788746696277E-2</v>
      </c>
    </row>
    <row r="3362" spans="1:5" x14ac:dyDescent="0.25">
      <c r="A3362">
        <v>0</v>
      </c>
      <c r="B3362">
        <v>0.01</v>
      </c>
      <c r="C3362">
        <f t="shared" si="104"/>
        <v>1.6361638704322679</v>
      </c>
      <c r="D3362">
        <v>3</v>
      </c>
      <c r="E3362">
        <f t="shared" si="105"/>
        <v>5.6146788746696277E-2</v>
      </c>
    </row>
    <row r="3363" spans="1:5" x14ac:dyDescent="0.25">
      <c r="A3363">
        <v>0</v>
      </c>
      <c r="B3363">
        <v>0.01</v>
      </c>
      <c r="C3363">
        <f t="shared" si="104"/>
        <v>1.6361638704322679</v>
      </c>
      <c r="D3363">
        <v>3</v>
      </c>
      <c r="E3363">
        <f t="shared" si="105"/>
        <v>5.6146788746696277E-2</v>
      </c>
    </row>
    <row r="3364" spans="1:5" x14ac:dyDescent="0.25">
      <c r="A3364">
        <v>0</v>
      </c>
      <c r="B3364">
        <v>0.01</v>
      </c>
      <c r="C3364">
        <f t="shared" si="104"/>
        <v>1.6361638704322679</v>
      </c>
      <c r="D3364">
        <v>3</v>
      </c>
      <c r="E3364">
        <f t="shared" si="105"/>
        <v>5.6146788746696277E-2</v>
      </c>
    </row>
    <row r="3365" spans="1:5" x14ac:dyDescent="0.25">
      <c r="A3365">
        <v>0</v>
      </c>
      <c r="B3365">
        <v>0.01</v>
      </c>
      <c r="C3365">
        <f t="shared" si="104"/>
        <v>1.6361638704322679</v>
      </c>
      <c r="D3365">
        <v>3</v>
      </c>
      <c r="E3365">
        <f t="shared" si="105"/>
        <v>5.6146788746696277E-2</v>
      </c>
    </row>
    <row r="3366" spans="1:5" x14ac:dyDescent="0.25">
      <c r="A3366">
        <v>0</v>
      </c>
      <c r="B3366">
        <v>0.01</v>
      </c>
      <c r="C3366">
        <f t="shared" si="104"/>
        <v>1.6361638704322679</v>
      </c>
      <c r="D3366">
        <v>3</v>
      </c>
      <c r="E3366">
        <f t="shared" si="105"/>
        <v>5.6146788746696277E-2</v>
      </c>
    </row>
    <row r="3367" spans="1:5" x14ac:dyDescent="0.25">
      <c r="A3367">
        <v>0</v>
      </c>
      <c r="B3367">
        <v>0.01</v>
      </c>
      <c r="C3367">
        <f t="shared" si="104"/>
        <v>1.6361638704322679</v>
      </c>
      <c r="D3367">
        <v>3</v>
      </c>
      <c r="E3367">
        <f t="shared" si="105"/>
        <v>5.6146788746696277E-2</v>
      </c>
    </row>
    <row r="3368" spans="1:5" x14ac:dyDescent="0.25">
      <c r="A3368">
        <v>0</v>
      </c>
      <c r="B3368">
        <v>0.01</v>
      </c>
      <c r="C3368">
        <f t="shared" si="104"/>
        <v>1.6361638704322679</v>
      </c>
      <c r="D3368">
        <v>3</v>
      </c>
      <c r="E3368">
        <f t="shared" si="105"/>
        <v>5.6146788746696277E-2</v>
      </c>
    </row>
    <row r="3369" spans="1:5" x14ac:dyDescent="0.25">
      <c r="A3369">
        <v>0</v>
      </c>
      <c r="B3369">
        <v>0.01</v>
      </c>
      <c r="C3369">
        <f t="shared" si="104"/>
        <v>1.6361638704322679</v>
      </c>
      <c r="D3369">
        <v>3</v>
      </c>
      <c r="E3369">
        <f t="shared" si="105"/>
        <v>5.6146788746696277E-2</v>
      </c>
    </row>
    <row r="3370" spans="1:5" x14ac:dyDescent="0.25">
      <c r="A3370">
        <v>0</v>
      </c>
      <c r="B3370">
        <v>0.01</v>
      </c>
      <c r="C3370">
        <f t="shared" si="104"/>
        <v>1.6361638704322679</v>
      </c>
      <c r="D3370">
        <v>3</v>
      </c>
      <c r="E3370">
        <f t="shared" si="105"/>
        <v>5.6146788746696277E-2</v>
      </c>
    </row>
    <row r="3371" spans="1:5" x14ac:dyDescent="0.25">
      <c r="A3371">
        <v>0</v>
      </c>
      <c r="B3371">
        <v>0.01</v>
      </c>
      <c r="C3371">
        <f t="shared" si="104"/>
        <v>1.6361638704322679</v>
      </c>
      <c r="D3371">
        <v>3</v>
      </c>
      <c r="E3371">
        <f t="shared" si="105"/>
        <v>5.6146788746696277E-2</v>
      </c>
    </row>
    <row r="3372" spans="1:5" x14ac:dyDescent="0.25">
      <c r="A3372">
        <v>0</v>
      </c>
      <c r="B3372">
        <v>0.01</v>
      </c>
      <c r="C3372">
        <f t="shared" si="104"/>
        <v>1.6361638704322679</v>
      </c>
      <c r="D3372">
        <v>3</v>
      </c>
      <c r="E3372">
        <f t="shared" si="105"/>
        <v>5.6146788746696277E-2</v>
      </c>
    </row>
    <row r="3373" spans="1:5" x14ac:dyDescent="0.25">
      <c r="A3373">
        <v>0</v>
      </c>
      <c r="B3373">
        <v>1.03092783505155E-2</v>
      </c>
      <c r="C3373">
        <f t="shared" si="104"/>
        <v>1.6363025622868008</v>
      </c>
      <c r="D3373">
        <v>3</v>
      </c>
      <c r="E3373">
        <f t="shared" si="105"/>
        <v>5.6146788746696277E-2</v>
      </c>
    </row>
    <row r="3374" spans="1:5" x14ac:dyDescent="0.25">
      <c r="A3374">
        <v>0</v>
      </c>
      <c r="B3374">
        <v>1.0666666666666699E-2</v>
      </c>
      <c r="C3374">
        <f t="shared" si="104"/>
        <v>1.6364595490544092</v>
      </c>
      <c r="D3374">
        <v>3</v>
      </c>
      <c r="E3374">
        <f t="shared" si="105"/>
        <v>5.6146788746696277E-2</v>
      </c>
    </row>
    <row r="3375" spans="1:5" x14ac:dyDescent="0.25">
      <c r="A3375">
        <v>0</v>
      </c>
      <c r="B3375">
        <v>1.0666666666666699E-2</v>
      </c>
      <c r="C3375">
        <f t="shared" si="104"/>
        <v>1.6364595490544092</v>
      </c>
      <c r="D3375">
        <v>3</v>
      </c>
      <c r="E3375">
        <f t="shared" si="105"/>
        <v>5.6146788746696277E-2</v>
      </c>
    </row>
    <row r="3376" spans="1:5" x14ac:dyDescent="0.25">
      <c r="A3376">
        <v>0</v>
      </c>
      <c r="B3376">
        <v>1.0666666666666699E-2</v>
      </c>
      <c r="C3376">
        <f t="shared" si="104"/>
        <v>1.6364595490544092</v>
      </c>
      <c r="D3376">
        <v>3</v>
      </c>
      <c r="E3376">
        <f t="shared" si="105"/>
        <v>5.6146788746696277E-2</v>
      </c>
    </row>
    <row r="3377" spans="1:5" x14ac:dyDescent="0.25">
      <c r="A3377">
        <v>0</v>
      </c>
      <c r="B3377">
        <v>1.0666666666666699E-2</v>
      </c>
      <c r="C3377">
        <f t="shared" si="104"/>
        <v>1.6364595490544092</v>
      </c>
      <c r="D3377">
        <v>3</v>
      </c>
      <c r="E3377">
        <f t="shared" si="105"/>
        <v>5.6146788746696277E-2</v>
      </c>
    </row>
    <row r="3378" spans="1:5" x14ac:dyDescent="0.25">
      <c r="A3378">
        <v>0</v>
      </c>
      <c r="B3378">
        <v>1.0666666666666699E-2</v>
      </c>
      <c r="C3378">
        <f t="shared" si="104"/>
        <v>1.6364595490544092</v>
      </c>
      <c r="D3378">
        <v>3</v>
      </c>
      <c r="E3378">
        <f t="shared" si="105"/>
        <v>5.6146788746696277E-2</v>
      </c>
    </row>
    <row r="3379" spans="1:5" x14ac:dyDescent="0.25">
      <c r="A3379">
        <v>0</v>
      </c>
      <c r="B3379">
        <v>1.0666666666666699E-2</v>
      </c>
      <c r="C3379">
        <f t="shared" si="104"/>
        <v>1.6364595490544092</v>
      </c>
      <c r="D3379">
        <v>3</v>
      </c>
      <c r="E3379">
        <f t="shared" si="105"/>
        <v>5.6146788746696277E-2</v>
      </c>
    </row>
    <row r="3380" spans="1:5" x14ac:dyDescent="0.25">
      <c r="A3380">
        <v>0</v>
      </c>
      <c r="B3380">
        <v>1.06951871657754E-2</v>
      </c>
      <c r="C3380">
        <f t="shared" si="104"/>
        <v>1.6364719254803983</v>
      </c>
      <c r="D3380">
        <v>3</v>
      </c>
      <c r="E3380">
        <f t="shared" si="105"/>
        <v>5.6146788746696277E-2</v>
      </c>
    </row>
    <row r="3381" spans="1:5" x14ac:dyDescent="0.25">
      <c r="A3381">
        <v>0</v>
      </c>
      <c r="B3381">
        <v>1.0999999999999999E-2</v>
      </c>
      <c r="C3381">
        <f t="shared" si="104"/>
        <v>1.6366027995402626</v>
      </c>
      <c r="D3381">
        <v>3</v>
      </c>
      <c r="E3381">
        <f t="shared" si="105"/>
        <v>5.6146788746696277E-2</v>
      </c>
    </row>
    <row r="3382" spans="1:5" x14ac:dyDescent="0.25">
      <c r="A3382">
        <v>0</v>
      </c>
      <c r="B3382">
        <v>1.1655011655011699E-2</v>
      </c>
      <c r="C3382">
        <f t="shared" si="104"/>
        <v>1.6368753757619185</v>
      </c>
      <c r="D3382">
        <v>3</v>
      </c>
      <c r="E3382">
        <f t="shared" si="105"/>
        <v>5.6146788746696277E-2</v>
      </c>
    </row>
    <row r="3383" spans="1:5" x14ac:dyDescent="0.25">
      <c r="A3383">
        <v>0</v>
      </c>
      <c r="B3383">
        <v>1.1655011655011699E-2</v>
      </c>
      <c r="C3383">
        <f t="shared" si="104"/>
        <v>1.6368753757619185</v>
      </c>
      <c r="D3383">
        <v>3</v>
      </c>
      <c r="E3383">
        <f t="shared" si="105"/>
        <v>5.6146788746696277E-2</v>
      </c>
    </row>
    <row r="3384" spans="1:5" x14ac:dyDescent="0.25">
      <c r="A3384">
        <v>0</v>
      </c>
      <c r="B3384">
        <v>1.1655011655011699E-2</v>
      </c>
      <c r="C3384">
        <f t="shared" si="104"/>
        <v>1.6368753757619185</v>
      </c>
      <c r="D3384">
        <v>3</v>
      </c>
      <c r="E3384">
        <f t="shared" si="105"/>
        <v>5.6146788746696277E-2</v>
      </c>
    </row>
    <row r="3385" spans="1:5" x14ac:dyDescent="0.25">
      <c r="A3385">
        <v>0</v>
      </c>
      <c r="B3385">
        <v>1.1655011655011699E-2</v>
      </c>
      <c r="C3385">
        <f t="shared" si="104"/>
        <v>1.6368753757619185</v>
      </c>
      <c r="D3385">
        <v>3</v>
      </c>
      <c r="E3385">
        <f t="shared" si="105"/>
        <v>5.6146788746696277E-2</v>
      </c>
    </row>
    <row r="3386" spans="1:5" x14ac:dyDescent="0.25">
      <c r="A3386">
        <v>0</v>
      </c>
      <c r="B3386">
        <v>1.16666666666667E-2</v>
      </c>
      <c r="C3386">
        <f t="shared" si="104"/>
        <v>1.6368801188329407</v>
      </c>
      <c r="D3386">
        <v>3</v>
      </c>
      <c r="E3386">
        <f t="shared" si="105"/>
        <v>5.6146788746696277E-2</v>
      </c>
    </row>
    <row r="3387" spans="1:5" x14ac:dyDescent="0.25">
      <c r="A3387">
        <v>0</v>
      </c>
      <c r="B3387">
        <v>1.16666666666667E-2</v>
      </c>
      <c r="C3387">
        <f t="shared" si="104"/>
        <v>1.6368801188329407</v>
      </c>
      <c r="D3387">
        <v>3</v>
      </c>
      <c r="E3387">
        <f t="shared" si="105"/>
        <v>5.6146788746696277E-2</v>
      </c>
    </row>
    <row r="3388" spans="1:5" x14ac:dyDescent="0.25">
      <c r="A3388">
        <v>0</v>
      </c>
      <c r="B3388">
        <v>1.16666666666667E-2</v>
      </c>
      <c r="C3388">
        <f t="shared" si="104"/>
        <v>1.6368801188329407</v>
      </c>
      <c r="D3388">
        <v>3</v>
      </c>
      <c r="E3388">
        <f t="shared" si="105"/>
        <v>5.6146788746696277E-2</v>
      </c>
    </row>
    <row r="3389" spans="1:5" x14ac:dyDescent="0.25">
      <c r="A3389">
        <v>0</v>
      </c>
      <c r="B3389">
        <v>1.16666666666667E-2</v>
      </c>
      <c r="C3389">
        <f t="shared" si="104"/>
        <v>1.6368801188329407</v>
      </c>
      <c r="D3389">
        <v>3</v>
      </c>
      <c r="E3389">
        <f t="shared" si="105"/>
        <v>5.6146788746696277E-2</v>
      </c>
    </row>
    <row r="3390" spans="1:5" x14ac:dyDescent="0.25">
      <c r="A3390">
        <v>0</v>
      </c>
      <c r="B3390">
        <v>1.16822429906542E-2</v>
      </c>
      <c r="C3390">
        <f t="shared" si="104"/>
        <v>1.6368864518592672</v>
      </c>
      <c r="D3390">
        <v>3</v>
      </c>
      <c r="E3390">
        <f t="shared" si="105"/>
        <v>5.6146788746696277E-2</v>
      </c>
    </row>
    <row r="3391" spans="1:5" x14ac:dyDescent="0.25">
      <c r="A3391">
        <v>0</v>
      </c>
      <c r="B3391">
        <v>1.16822429906542E-2</v>
      </c>
      <c r="C3391">
        <f t="shared" si="104"/>
        <v>1.6368864518592672</v>
      </c>
      <c r="D3391">
        <v>3</v>
      </c>
      <c r="E3391">
        <f t="shared" si="105"/>
        <v>5.6146788746696277E-2</v>
      </c>
    </row>
    <row r="3392" spans="1:5" x14ac:dyDescent="0.25">
      <c r="A3392">
        <v>0</v>
      </c>
      <c r="B3392">
        <v>1.16822429906542E-2</v>
      </c>
      <c r="C3392">
        <f t="shared" si="104"/>
        <v>1.6368864518592672</v>
      </c>
      <c r="D3392">
        <v>3</v>
      </c>
      <c r="E3392">
        <f t="shared" si="105"/>
        <v>5.6146788746696277E-2</v>
      </c>
    </row>
    <row r="3393" spans="1:5" x14ac:dyDescent="0.25">
      <c r="A3393">
        <v>0</v>
      </c>
      <c r="B3393">
        <v>1.19760479041916E-2</v>
      </c>
      <c r="C3393">
        <f t="shared" si="104"/>
        <v>1.6370046546236174</v>
      </c>
      <c r="D3393">
        <v>3</v>
      </c>
      <c r="E3393">
        <f t="shared" si="105"/>
        <v>5.6146788746696277E-2</v>
      </c>
    </row>
    <row r="3394" spans="1:5" x14ac:dyDescent="0.25">
      <c r="A3394">
        <v>0</v>
      </c>
      <c r="B3394">
        <v>1.19760479041916E-2</v>
      </c>
      <c r="C3394">
        <f t="shared" ref="C3394:C3457" si="106">_xlfn.NORM.DIST(B3394,I$10,I$13,FALSE)</f>
        <v>1.6370046546236174</v>
      </c>
      <c r="D3394">
        <v>3</v>
      </c>
      <c r="E3394">
        <f t="shared" si="105"/>
        <v>5.6146788746696277E-2</v>
      </c>
    </row>
    <row r="3395" spans="1:5" x14ac:dyDescent="0.25">
      <c r="A3395">
        <v>0</v>
      </c>
      <c r="B3395">
        <v>1.19760479041916E-2</v>
      </c>
      <c r="C3395">
        <f t="shared" si="106"/>
        <v>1.6370046546236174</v>
      </c>
      <c r="D3395">
        <v>3</v>
      </c>
      <c r="E3395">
        <f t="shared" ref="E3395:E3458" si="107">_xlfn.NORM.DIST(D3395,I$4,I$7,FALSE)</f>
        <v>5.6146788746696277E-2</v>
      </c>
    </row>
    <row r="3396" spans="1:5" x14ac:dyDescent="0.25">
      <c r="A3396">
        <v>0</v>
      </c>
      <c r="B3396">
        <v>1.19760479041916E-2</v>
      </c>
      <c r="C3396">
        <f t="shared" si="106"/>
        <v>1.6370046546236174</v>
      </c>
      <c r="D3396">
        <v>3</v>
      </c>
      <c r="E3396">
        <f t="shared" si="107"/>
        <v>5.6146788746696277E-2</v>
      </c>
    </row>
    <row r="3397" spans="1:5" x14ac:dyDescent="0.25">
      <c r="A3397">
        <v>0</v>
      </c>
      <c r="B3397">
        <v>1.2E-2</v>
      </c>
      <c r="C3397">
        <f t="shared" si="106"/>
        <v>1.6370141860798346</v>
      </c>
      <c r="D3397">
        <v>3</v>
      </c>
      <c r="E3397">
        <f t="shared" si="107"/>
        <v>5.6146788746696277E-2</v>
      </c>
    </row>
    <row r="3398" spans="1:5" x14ac:dyDescent="0.25">
      <c r="A3398">
        <v>0</v>
      </c>
      <c r="B3398">
        <v>1.2012012012012E-2</v>
      </c>
      <c r="C3398">
        <f t="shared" si="106"/>
        <v>1.6370189601657199</v>
      </c>
      <c r="D3398">
        <v>3</v>
      </c>
      <c r="E3398">
        <f t="shared" si="107"/>
        <v>5.6146788746696277E-2</v>
      </c>
    </row>
    <row r="3399" spans="1:5" x14ac:dyDescent="0.25">
      <c r="A3399">
        <v>0</v>
      </c>
      <c r="B3399">
        <v>1.2012012012012E-2</v>
      </c>
      <c r="C3399">
        <f t="shared" si="106"/>
        <v>1.6370189601657199</v>
      </c>
      <c r="D3399">
        <v>3</v>
      </c>
      <c r="E3399">
        <f t="shared" si="107"/>
        <v>5.6146788746696277E-2</v>
      </c>
    </row>
    <row r="3400" spans="1:5" x14ac:dyDescent="0.25">
      <c r="A3400">
        <v>0</v>
      </c>
      <c r="B3400">
        <v>1.2012012012012E-2</v>
      </c>
      <c r="C3400">
        <f t="shared" si="106"/>
        <v>1.6370189601657199</v>
      </c>
      <c r="D3400">
        <v>3</v>
      </c>
      <c r="E3400">
        <f t="shared" si="107"/>
        <v>5.6146788746696277E-2</v>
      </c>
    </row>
    <row r="3401" spans="1:5" x14ac:dyDescent="0.25">
      <c r="A3401">
        <v>0</v>
      </c>
      <c r="B3401">
        <v>1.2012012012012E-2</v>
      </c>
      <c r="C3401">
        <f t="shared" si="106"/>
        <v>1.6370189601657199</v>
      </c>
      <c r="D3401">
        <v>3</v>
      </c>
      <c r="E3401">
        <f t="shared" si="107"/>
        <v>5.6146788746696277E-2</v>
      </c>
    </row>
    <row r="3402" spans="1:5" x14ac:dyDescent="0.25">
      <c r="A3402">
        <v>0</v>
      </c>
      <c r="B3402">
        <v>1.2012012012012E-2</v>
      </c>
      <c r="C3402">
        <f t="shared" si="106"/>
        <v>1.6370189601657199</v>
      </c>
      <c r="D3402">
        <v>3</v>
      </c>
      <c r="E3402">
        <f t="shared" si="107"/>
        <v>5.6146788746696277E-2</v>
      </c>
    </row>
    <row r="3403" spans="1:5" x14ac:dyDescent="0.25">
      <c r="A3403">
        <v>0</v>
      </c>
      <c r="B3403">
        <v>1.2012012012012E-2</v>
      </c>
      <c r="C3403">
        <f t="shared" si="106"/>
        <v>1.6370189601657199</v>
      </c>
      <c r="D3403">
        <v>3</v>
      </c>
      <c r="E3403">
        <f t="shared" si="107"/>
        <v>5.6146788746696277E-2</v>
      </c>
    </row>
    <row r="3404" spans="1:5" x14ac:dyDescent="0.25">
      <c r="A3404">
        <v>0</v>
      </c>
      <c r="B3404">
        <v>1.2012012012012E-2</v>
      </c>
      <c r="C3404">
        <f t="shared" si="106"/>
        <v>1.6370189601657199</v>
      </c>
      <c r="D3404">
        <v>3</v>
      </c>
      <c r="E3404">
        <f t="shared" si="107"/>
        <v>5.6146788746696277E-2</v>
      </c>
    </row>
    <row r="3405" spans="1:5" x14ac:dyDescent="0.25">
      <c r="A3405">
        <v>0</v>
      </c>
      <c r="B3405">
        <v>1.2012012012012E-2</v>
      </c>
      <c r="C3405">
        <f t="shared" si="106"/>
        <v>1.6370189601657199</v>
      </c>
      <c r="D3405">
        <v>3</v>
      </c>
      <c r="E3405">
        <f t="shared" si="107"/>
        <v>5.6146788746696277E-2</v>
      </c>
    </row>
    <row r="3406" spans="1:5" x14ac:dyDescent="0.25">
      <c r="A3406">
        <v>0</v>
      </c>
      <c r="B3406">
        <v>1.2012012012012E-2</v>
      </c>
      <c r="C3406">
        <f t="shared" si="106"/>
        <v>1.6370189601657199</v>
      </c>
      <c r="D3406">
        <v>3</v>
      </c>
      <c r="E3406">
        <f t="shared" si="107"/>
        <v>5.6146788746696277E-2</v>
      </c>
    </row>
    <row r="3407" spans="1:5" x14ac:dyDescent="0.25">
      <c r="A3407">
        <v>0</v>
      </c>
      <c r="B3407">
        <v>1.2345679012345699E-2</v>
      </c>
      <c r="C3407">
        <f t="shared" si="106"/>
        <v>1.6371499839140899</v>
      </c>
      <c r="D3407">
        <v>3</v>
      </c>
      <c r="E3407">
        <f t="shared" si="107"/>
        <v>5.6146788746696277E-2</v>
      </c>
    </row>
    <row r="3408" spans="1:5" x14ac:dyDescent="0.25">
      <c r="A3408">
        <v>0</v>
      </c>
      <c r="B3408">
        <v>1.26582278481013E-2</v>
      </c>
      <c r="C3408">
        <f t="shared" si="106"/>
        <v>1.6372699307845588</v>
      </c>
      <c r="D3408">
        <v>3</v>
      </c>
      <c r="E3408">
        <f t="shared" si="107"/>
        <v>5.6146788746696277E-2</v>
      </c>
    </row>
    <row r="3409" spans="1:5" x14ac:dyDescent="0.25">
      <c r="A3409">
        <v>0</v>
      </c>
      <c r="B3409">
        <v>1.2999999999999999E-2</v>
      </c>
      <c r="C3409">
        <f t="shared" si="106"/>
        <v>1.6373980092239617</v>
      </c>
      <c r="D3409">
        <v>3</v>
      </c>
      <c r="E3409">
        <f t="shared" si="107"/>
        <v>5.6146788746696277E-2</v>
      </c>
    </row>
    <row r="3410" spans="1:5" x14ac:dyDescent="0.25">
      <c r="A3410">
        <v>0</v>
      </c>
      <c r="B3410">
        <v>1.3333333333333299E-2</v>
      </c>
      <c r="C3410">
        <f t="shared" si="106"/>
        <v>1.637519821673787</v>
      </c>
      <c r="D3410">
        <v>3</v>
      </c>
      <c r="E3410">
        <f t="shared" si="107"/>
        <v>5.6146788746696277E-2</v>
      </c>
    </row>
    <row r="3411" spans="1:5" x14ac:dyDescent="0.25">
      <c r="A3411">
        <v>0</v>
      </c>
      <c r="B3411">
        <v>1.3333333333333299E-2</v>
      </c>
      <c r="C3411">
        <f t="shared" si="106"/>
        <v>1.637519821673787</v>
      </c>
      <c r="D3411">
        <v>3</v>
      </c>
      <c r="E3411">
        <f t="shared" si="107"/>
        <v>5.6146788746696277E-2</v>
      </c>
    </row>
    <row r="3412" spans="1:5" x14ac:dyDescent="0.25">
      <c r="A3412">
        <v>0</v>
      </c>
      <c r="B3412">
        <v>1.3333333333333299E-2</v>
      </c>
      <c r="C3412">
        <f t="shared" si="106"/>
        <v>1.637519821673787</v>
      </c>
      <c r="D3412">
        <v>3</v>
      </c>
      <c r="E3412">
        <f t="shared" si="107"/>
        <v>5.6146788746696277E-2</v>
      </c>
    </row>
    <row r="3413" spans="1:5" x14ac:dyDescent="0.25">
      <c r="A3413">
        <v>0</v>
      </c>
      <c r="B3413">
        <v>1.3333333333333299E-2</v>
      </c>
      <c r="C3413">
        <f t="shared" si="106"/>
        <v>1.637519821673787</v>
      </c>
      <c r="D3413">
        <v>3</v>
      </c>
      <c r="E3413">
        <f t="shared" si="107"/>
        <v>5.6146788746696277E-2</v>
      </c>
    </row>
    <row r="3414" spans="1:5" x14ac:dyDescent="0.25">
      <c r="A3414">
        <v>0</v>
      </c>
      <c r="B3414">
        <v>1.3333333333333299E-2</v>
      </c>
      <c r="C3414">
        <f t="shared" si="106"/>
        <v>1.637519821673787</v>
      </c>
      <c r="D3414">
        <v>3</v>
      </c>
      <c r="E3414">
        <f t="shared" si="107"/>
        <v>5.6146788746696277E-2</v>
      </c>
    </row>
    <row r="3415" spans="1:5" x14ac:dyDescent="0.25">
      <c r="A3415">
        <v>0</v>
      </c>
      <c r="B3415">
        <v>1.3333333333333299E-2</v>
      </c>
      <c r="C3415">
        <f t="shared" si="106"/>
        <v>1.637519821673787</v>
      </c>
      <c r="D3415">
        <v>3</v>
      </c>
      <c r="E3415">
        <f t="shared" si="107"/>
        <v>5.6146788746696277E-2</v>
      </c>
    </row>
    <row r="3416" spans="1:5" x14ac:dyDescent="0.25">
      <c r="A3416">
        <v>0</v>
      </c>
      <c r="B3416">
        <v>1.3333333333333299E-2</v>
      </c>
      <c r="C3416">
        <f t="shared" si="106"/>
        <v>1.637519821673787</v>
      </c>
      <c r="D3416">
        <v>3</v>
      </c>
      <c r="E3416">
        <f t="shared" si="107"/>
        <v>5.6146788746696277E-2</v>
      </c>
    </row>
    <row r="3417" spans="1:5" x14ac:dyDescent="0.25">
      <c r="A3417">
        <v>0</v>
      </c>
      <c r="B3417">
        <v>1.3333333333333299E-2</v>
      </c>
      <c r="C3417">
        <f t="shared" si="106"/>
        <v>1.637519821673787</v>
      </c>
      <c r="D3417">
        <v>3</v>
      </c>
      <c r="E3417">
        <f t="shared" si="107"/>
        <v>5.6146788746696277E-2</v>
      </c>
    </row>
    <row r="3418" spans="1:5" x14ac:dyDescent="0.25">
      <c r="A3418">
        <v>0</v>
      </c>
      <c r="B3418">
        <v>1.3333333333333299E-2</v>
      </c>
      <c r="C3418">
        <f t="shared" si="106"/>
        <v>1.637519821673787</v>
      </c>
      <c r="D3418">
        <v>3</v>
      </c>
      <c r="E3418">
        <f t="shared" si="107"/>
        <v>5.6146788746696277E-2</v>
      </c>
    </row>
    <row r="3419" spans="1:5" x14ac:dyDescent="0.25">
      <c r="A3419">
        <v>0</v>
      </c>
      <c r="B3419">
        <v>1.3333333333333299E-2</v>
      </c>
      <c r="C3419">
        <f t="shared" si="106"/>
        <v>1.637519821673787</v>
      </c>
      <c r="D3419">
        <v>3</v>
      </c>
      <c r="E3419">
        <f t="shared" si="107"/>
        <v>5.6146788746696277E-2</v>
      </c>
    </row>
    <row r="3420" spans="1:5" x14ac:dyDescent="0.25">
      <c r="A3420">
        <v>0</v>
      </c>
      <c r="B3420">
        <v>1.3333333333333299E-2</v>
      </c>
      <c r="C3420">
        <f t="shared" si="106"/>
        <v>1.637519821673787</v>
      </c>
      <c r="D3420">
        <v>3</v>
      </c>
      <c r="E3420">
        <f t="shared" si="107"/>
        <v>5.6146788746696277E-2</v>
      </c>
    </row>
    <row r="3421" spans="1:5" x14ac:dyDescent="0.25">
      <c r="A3421">
        <v>0</v>
      </c>
      <c r="B3421">
        <v>1.3333333333333299E-2</v>
      </c>
      <c r="C3421">
        <f t="shared" si="106"/>
        <v>1.637519821673787</v>
      </c>
      <c r="D3421">
        <v>3</v>
      </c>
      <c r="E3421">
        <f t="shared" si="107"/>
        <v>5.6146788746696277E-2</v>
      </c>
    </row>
    <row r="3422" spans="1:5" x14ac:dyDescent="0.25">
      <c r="A3422">
        <v>0</v>
      </c>
      <c r="B3422">
        <v>1.3333333333333299E-2</v>
      </c>
      <c r="C3422">
        <f t="shared" si="106"/>
        <v>1.637519821673787</v>
      </c>
      <c r="D3422">
        <v>3</v>
      </c>
      <c r="E3422">
        <f t="shared" si="107"/>
        <v>5.6146788746696277E-2</v>
      </c>
    </row>
    <row r="3423" spans="1:5" x14ac:dyDescent="0.25">
      <c r="A3423">
        <v>0</v>
      </c>
      <c r="B3423">
        <v>1.3333333333333299E-2</v>
      </c>
      <c r="C3423">
        <f t="shared" si="106"/>
        <v>1.637519821673787</v>
      </c>
      <c r="D3423">
        <v>3</v>
      </c>
      <c r="E3423">
        <f t="shared" si="107"/>
        <v>5.6146788746696277E-2</v>
      </c>
    </row>
    <row r="3424" spans="1:5" x14ac:dyDescent="0.25">
      <c r="A3424">
        <v>0</v>
      </c>
      <c r="B3424">
        <v>1.3333333333333299E-2</v>
      </c>
      <c r="C3424">
        <f t="shared" si="106"/>
        <v>1.637519821673787</v>
      </c>
      <c r="D3424">
        <v>3</v>
      </c>
      <c r="E3424">
        <f t="shared" si="107"/>
        <v>5.6146788746696277E-2</v>
      </c>
    </row>
    <row r="3425" spans="1:5" x14ac:dyDescent="0.25">
      <c r="A3425">
        <v>0</v>
      </c>
      <c r="B3425">
        <v>1.3986013986014E-2</v>
      </c>
      <c r="C3425">
        <f t="shared" si="106"/>
        <v>1.6377494574290625</v>
      </c>
      <c r="D3425">
        <v>3</v>
      </c>
      <c r="E3425">
        <f t="shared" si="107"/>
        <v>5.6146788746696277E-2</v>
      </c>
    </row>
    <row r="3426" spans="1:5" x14ac:dyDescent="0.25">
      <c r="A3426">
        <v>0</v>
      </c>
      <c r="B3426">
        <v>1.3986013986014E-2</v>
      </c>
      <c r="C3426">
        <f t="shared" si="106"/>
        <v>1.6377494574290625</v>
      </c>
      <c r="D3426">
        <v>3</v>
      </c>
      <c r="E3426">
        <f t="shared" si="107"/>
        <v>5.6146788746696277E-2</v>
      </c>
    </row>
    <row r="3427" spans="1:5" x14ac:dyDescent="0.25">
      <c r="A3427">
        <v>0</v>
      </c>
      <c r="B3427">
        <v>1.3986013986014E-2</v>
      </c>
      <c r="C3427">
        <f t="shared" si="106"/>
        <v>1.6377494574290625</v>
      </c>
      <c r="D3427">
        <v>3</v>
      </c>
      <c r="E3427">
        <f t="shared" si="107"/>
        <v>5.6146788746696277E-2</v>
      </c>
    </row>
    <row r="3428" spans="1:5" x14ac:dyDescent="0.25">
      <c r="A3428">
        <v>0</v>
      </c>
      <c r="B3428">
        <v>1.3986013986014E-2</v>
      </c>
      <c r="C3428">
        <f t="shared" si="106"/>
        <v>1.6377494574290625</v>
      </c>
      <c r="D3428">
        <v>3</v>
      </c>
      <c r="E3428">
        <f t="shared" si="107"/>
        <v>5.6146788746696277E-2</v>
      </c>
    </row>
    <row r="3429" spans="1:5" x14ac:dyDescent="0.25">
      <c r="A3429">
        <v>0</v>
      </c>
      <c r="B3429">
        <v>1.3986013986014E-2</v>
      </c>
      <c r="C3429">
        <f t="shared" si="106"/>
        <v>1.6377494574290625</v>
      </c>
      <c r="D3429">
        <v>3</v>
      </c>
      <c r="E3429">
        <f t="shared" si="107"/>
        <v>5.6146788746696277E-2</v>
      </c>
    </row>
    <row r="3430" spans="1:5" x14ac:dyDescent="0.25">
      <c r="A3430">
        <v>0</v>
      </c>
      <c r="B3430">
        <v>1.3986013986014E-2</v>
      </c>
      <c r="C3430">
        <f t="shared" si="106"/>
        <v>1.6377494574290625</v>
      </c>
      <c r="D3430">
        <v>3</v>
      </c>
      <c r="E3430">
        <f t="shared" si="107"/>
        <v>5.6146788746696277E-2</v>
      </c>
    </row>
    <row r="3431" spans="1:5" x14ac:dyDescent="0.25">
      <c r="A3431">
        <v>0</v>
      </c>
      <c r="B3431">
        <v>1.3986013986014E-2</v>
      </c>
      <c r="C3431">
        <f t="shared" si="106"/>
        <v>1.6377494574290625</v>
      </c>
      <c r="D3431">
        <v>3</v>
      </c>
      <c r="E3431">
        <f t="shared" si="107"/>
        <v>5.6146788746696277E-2</v>
      </c>
    </row>
    <row r="3432" spans="1:5" x14ac:dyDescent="0.25">
      <c r="A3432">
        <v>0</v>
      </c>
      <c r="B3432">
        <v>1.4E-2</v>
      </c>
      <c r="C3432">
        <f t="shared" si="106"/>
        <v>1.6377542495379067</v>
      </c>
      <c r="D3432">
        <v>3</v>
      </c>
      <c r="E3432">
        <f t="shared" si="107"/>
        <v>5.6146788746696277E-2</v>
      </c>
    </row>
    <row r="3433" spans="1:5" x14ac:dyDescent="0.25">
      <c r="A3433">
        <v>0</v>
      </c>
      <c r="B3433">
        <v>1.4E-2</v>
      </c>
      <c r="C3433">
        <f t="shared" si="106"/>
        <v>1.6377542495379067</v>
      </c>
      <c r="D3433">
        <v>3</v>
      </c>
      <c r="E3433">
        <f t="shared" si="107"/>
        <v>5.6146788746696277E-2</v>
      </c>
    </row>
    <row r="3434" spans="1:5" x14ac:dyDescent="0.25">
      <c r="A3434">
        <v>0</v>
      </c>
      <c r="B3434">
        <v>1.4E-2</v>
      </c>
      <c r="C3434">
        <f t="shared" si="106"/>
        <v>1.6377542495379067</v>
      </c>
      <c r="D3434">
        <v>3</v>
      </c>
      <c r="E3434">
        <f t="shared" si="107"/>
        <v>5.6146788746696277E-2</v>
      </c>
    </row>
    <row r="3435" spans="1:5" x14ac:dyDescent="0.25">
      <c r="A3435">
        <v>0</v>
      </c>
      <c r="B3435">
        <v>1.4E-2</v>
      </c>
      <c r="C3435">
        <f t="shared" si="106"/>
        <v>1.6377542495379067</v>
      </c>
      <c r="D3435">
        <v>3</v>
      </c>
      <c r="E3435">
        <f t="shared" si="107"/>
        <v>5.6146788746696277E-2</v>
      </c>
    </row>
    <row r="3436" spans="1:5" x14ac:dyDescent="0.25">
      <c r="A3436">
        <v>0</v>
      </c>
      <c r="B3436">
        <v>1.4E-2</v>
      </c>
      <c r="C3436">
        <f t="shared" si="106"/>
        <v>1.6377542495379067</v>
      </c>
      <c r="D3436">
        <v>3</v>
      </c>
      <c r="E3436">
        <f t="shared" si="107"/>
        <v>5.6146788746696277E-2</v>
      </c>
    </row>
    <row r="3437" spans="1:5" x14ac:dyDescent="0.25">
      <c r="A3437">
        <v>0</v>
      </c>
      <c r="B3437">
        <v>1.4E-2</v>
      </c>
      <c r="C3437">
        <f t="shared" si="106"/>
        <v>1.6377542495379067</v>
      </c>
      <c r="D3437">
        <v>3</v>
      </c>
      <c r="E3437">
        <f t="shared" si="107"/>
        <v>5.6146788746696277E-2</v>
      </c>
    </row>
    <row r="3438" spans="1:5" x14ac:dyDescent="0.25">
      <c r="A3438">
        <v>0</v>
      </c>
      <c r="B3438">
        <v>1.4E-2</v>
      </c>
      <c r="C3438">
        <f t="shared" si="106"/>
        <v>1.6377542495379067</v>
      </c>
      <c r="D3438">
        <v>3</v>
      </c>
      <c r="E3438">
        <f t="shared" si="107"/>
        <v>5.6146788746696277E-2</v>
      </c>
    </row>
    <row r="3439" spans="1:5" x14ac:dyDescent="0.25">
      <c r="A3439">
        <v>0</v>
      </c>
      <c r="B3439">
        <v>1.4E-2</v>
      </c>
      <c r="C3439">
        <f t="shared" si="106"/>
        <v>1.6377542495379067</v>
      </c>
      <c r="D3439">
        <v>3</v>
      </c>
      <c r="E3439">
        <f t="shared" si="107"/>
        <v>5.6146788746696277E-2</v>
      </c>
    </row>
    <row r="3440" spans="1:5" x14ac:dyDescent="0.25">
      <c r="A3440">
        <v>0</v>
      </c>
      <c r="B3440">
        <v>1.4E-2</v>
      </c>
      <c r="C3440">
        <f t="shared" si="106"/>
        <v>1.6377542495379067</v>
      </c>
      <c r="D3440">
        <v>3</v>
      </c>
      <c r="E3440">
        <f t="shared" si="107"/>
        <v>5.6146788746696277E-2</v>
      </c>
    </row>
    <row r="3441" spans="1:5" x14ac:dyDescent="0.25">
      <c r="A3441">
        <v>0</v>
      </c>
      <c r="B3441">
        <v>1.4E-2</v>
      </c>
      <c r="C3441">
        <f t="shared" si="106"/>
        <v>1.6377542495379067</v>
      </c>
      <c r="D3441">
        <v>3</v>
      </c>
      <c r="E3441">
        <f t="shared" si="107"/>
        <v>5.6146788746696277E-2</v>
      </c>
    </row>
    <row r="3442" spans="1:5" x14ac:dyDescent="0.25">
      <c r="A3442">
        <v>0</v>
      </c>
      <c r="B3442">
        <v>1.4E-2</v>
      </c>
      <c r="C3442">
        <f t="shared" si="106"/>
        <v>1.6377542495379067</v>
      </c>
      <c r="D3442">
        <v>3</v>
      </c>
      <c r="E3442">
        <f t="shared" si="107"/>
        <v>5.6146788746696277E-2</v>
      </c>
    </row>
    <row r="3443" spans="1:5" x14ac:dyDescent="0.25">
      <c r="A3443">
        <v>0</v>
      </c>
      <c r="B3443">
        <v>1.4018691588785E-2</v>
      </c>
      <c r="C3443">
        <f t="shared" si="106"/>
        <v>1.6377606455157543</v>
      </c>
      <c r="D3443">
        <v>3</v>
      </c>
      <c r="E3443">
        <f t="shared" si="107"/>
        <v>5.6146788746696277E-2</v>
      </c>
    </row>
    <row r="3444" spans="1:5" x14ac:dyDescent="0.25">
      <c r="A3444">
        <v>0</v>
      </c>
      <c r="B3444">
        <v>1.4018691588785E-2</v>
      </c>
      <c r="C3444">
        <f t="shared" si="106"/>
        <v>1.6377606455157543</v>
      </c>
      <c r="D3444">
        <v>3</v>
      </c>
      <c r="E3444">
        <f t="shared" si="107"/>
        <v>5.6146788746696277E-2</v>
      </c>
    </row>
    <row r="3445" spans="1:5" x14ac:dyDescent="0.25">
      <c r="A3445">
        <v>0</v>
      </c>
      <c r="B3445">
        <v>1.4018691588785E-2</v>
      </c>
      <c r="C3445">
        <f t="shared" si="106"/>
        <v>1.6377606455157543</v>
      </c>
      <c r="D3445">
        <v>3</v>
      </c>
      <c r="E3445">
        <f t="shared" si="107"/>
        <v>5.6146788746696277E-2</v>
      </c>
    </row>
    <row r="3446" spans="1:5" x14ac:dyDescent="0.25">
      <c r="A3446">
        <v>0</v>
      </c>
      <c r="B3446">
        <v>1.4018691588785E-2</v>
      </c>
      <c r="C3446">
        <f t="shared" si="106"/>
        <v>1.6377606455157543</v>
      </c>
      <c r="D3446">
        <v>3</v>
      </c>
      <c r="E3446">
        <f t="shared" si="107"/>
        <v>5.6146788746696277E-2</v>
      </c>
    </row>
    <row r="3447" spans="1:5" x14ac:dyDescent="0.25">
      <c r="A3447">
        <v>0</v>
      </c>
      <c r="B3447">
        <v>1.4018691588785E-2</v>
      </c>
      <c r="C3447">
        <f t="shared" si="106"/>
        <v>1.6377606455157543</v>
      </c>
      <c r="D3447">
        <v>3</v>
      </c>
      <c r="E3447">
        <f t="shared" si="107"/>
        <v>5.6146788746696277E-2</v>
      </c>
    </row>
    <row r="3448" spans="1:5" x14ac:dyDescent="0.25">
      <c r="A3448">
        <v>0</v>
      </c>
      <c r="B3448">
        <v>1.4084507042253501E-2</v>
      </c>
      <c r="C3448">
        <f t="shared" si="106"/>
        <v>1.6377830898063155</v>
      </c>
      <c r="D3448">
        <v>3</v>
      </c>
      <c r="E3448">
        <f t="shared" si="107"/>
        <v>5.6146788746696277E-2</v>
      </c>
    </row>
    <row r="3449" spans="1:5" x14ac:dyDescent="0.25">
      <c r="A3449">
        <v>0</v>
      </c>
      <c r="B3449">
        <v>1.49700598802395E-2</v>
      </c>
      <c r="C3449">
        <f t="shared" si="106"/>
        <v>1.638073450454574</v>
      </c>
      <c r="D3449">
        <v>3</v>
      </c>
      <c r="E3449">
        <f t="shared" si="107"/>
        <v>5.6146788746696277E-2</v>
      </c>
    </row>
    <row r="3450" spans="1:5" x14ac:dyDescent="0.25">
      <c r="A3450">
        <v>0</v>
      </c>
      <c r="B3450">
        <v>1.49700598802395E-2</v>
      </c>
      <c r="C3450">
        <f t="shared" si="106"/>
        <v>1.638073450454574</v>
      </c>
      <c r="D3450">
        <v>3</v>
      </c>
      <c r="E3450">
        <f t="shared" si="107"/>
        <v>5.6146788746696277E-2</v>
      </c>
    </row>
    <row r="3451" spans="1:5" x14ac:dyDescent="0.25">
      <c r="A3451">
        <v>0</v>
      </c>
      <c r="B3451">
        <v>1.49700598802395E-2</v>
      </c>
      <c r="C3451">
        <f t="shared" si="106"/>
        <v>1.638073450454574</v>
      </c>
      <c r="D3451">
        <v>3</v>
      </c>
      <c r="E3451">
        <f t="shared" si="107"/>
        <v>5.6146788746696277E-2</v>
      </c>
    </row>
    <row r="3452" spans="1:5" x14ac:dyDescent="0.25">
      <c r="A3452">
        <v>0</v>
      </c>
      <c r="B3452">
        <v>1.49700598802395E-2</v>
      </c>
      <c r="C3452">
        <f t="shared" si="106"/>
        <v>1.638073450454574</v>
      </c>
      <c r="D3452">
        <v>3</v>
      </c>
      <c r="E3452">
        <f t="shared" si="107"/>
        <v>5.6146788746696277E-2</v>
      </c>
    </row>
    <row r="3453" spans="1:5" x14ac:dyDescent="0.25">
      <c r="A3453">
        <v>0</v>
      </c>
      <c r="B3453">
        <v>1.49700598802395E-2</v>
      </c>
      <c r="C3453">
        <f t="shared" si="106"/>
        <v>1.638073450454574</v>
      </c>
      <c r="D3453">
        <v>3</v>
      </c>
      <c r="E3453">
        <f t="shared" si="107"/>
        <v>5.6146788746696277E-2</v>
      </c>
    </row>
    <row r="3454" spans="1:5" x14ac:dyDescent="0.25">
      <c r="A3454">
        <v>0</v>
      </c>
      <c r="B3454">
        <v>1.49700598802395E-2</v>
      </c>
      <c r="C3454">
        <f t="shared" si="106"/>
        <v>1.638073450454574</v>
      </c>
      <c r="D3454">
        <v>3</v>
      </c>
      <c r="E3454">
        <f t="shared" si="107"/>
        <v>5.6146788746696277E-2</v>
      </c>
    </row>
    <row r="3455" spans="1:5" x14ac:dyDescent="0.25">
      <c r="A3455">
        <v>0</v>
      </c>
      <c r="B3455">
        <v>1.49700598802395E-2</v>
      </c>
      <c r="C3455">
        <f t="shared" si="106"/>
        <v>1.638073450454574</v>
      </c>
      <c r="D3455">
        <v>3</v>
      </c>
      <c r="E3455">
        <f t="shared" si="107"/>
        <v>5.6146788746696277E-2</v>
      </c>
    </row>
    <row r="3456" spans="1:5" x14ac:dyDescent="0.25">
      <c r="A3456">
        <v>0</v>
      </c>
      <c r="B3456">
        <v>1.49700598802395E-2</v>
      </c>
      <c r="C3456">
        <f t="shared" si="106"/>
        <v>1.638073450454574</v>
      </c>
      <c r="D3456">
        <v>3</v>
      </c>
      <c r="E3456">
        <f t="shared" si="107"/>
        <v>5.6146788746696277E-2</v>
      </c>
    </row>
    <row r="3457" spans="1:5" x14ac:dyDescent="0.25">
      <c r="A3457">
        <v>0</v>
      </c>
      <c r="B3457">
        <v>1.4999999999999999E-2</v>
      </c>
      <c r="C3457">
        <f t="shared" si="106"/>
        <v>1.6380828889808574</v>
      </c>
      <c r="D3457">
        <v>3</v>
      </c>
      <c r="E3457">
        <f t="shared" si="107"/>
        <v>5.6146788746696277E-2</v>
      </c>
    </row>
    <row r="3458" spans="1:5" x14ac:dyDescent="0.25">
      <c r="A3458">
        <v>0</v>
      </c>
      <c r="B3458">
        <v>1.4999999999999999E-2</v>
      </c>
      <c r="C3458">
        <f t="shared" ref="C3458:C3521" si="108">_xlfn.NORM.DIST(B3458,I$10,I$13,FALSE)</f>
        <v>1.6380828889808574</v>
      </c>
      <c r="D3458">
        <v>3</v>
      </c>
      <c r="E3458">
        <f t="shared" si="107"/>
        <v>5.6146788746696277E-2</v>
      </c>
    </row>
    <row r="3459" spans="1:5" x14ac:dyDescent="0.25">
      <c r="A3459">
        <v>0</v>
      </c>
      <c r="B3459">
        <v>1.5015015015014999E-2</v>
      </c>
      <c r="C3459">
        <f t="shared" si="108"/>
        <v>1.6380876130950082</v>
      </c>
      <c r="D3459">
        <v>3</v>
      </c>
      <c r="E3459">
        <f t="shared" ref="E3459:E3522" si="109">_xlfn.NORM.DIST(D3459,I$4,I$7,FALSE)</f>
        <v>5.6146788746696277E-2</v>
      </c>
    </row>
    <row r="3460" spans="1:5" x14ac:dyDescent="0.25">
      <c r="A3460">
        <v>0</v>
      </c>
      <c r="B3460">
        <v>1.5015015015014999E-2</v>
      </c>
      <c r="C3460">
        <f t="shared" si="108"/>
        <v>1.6380876130950082</v>
      </c>
      <c r="D3460">
        <v>3</v>
      </c>
      <c r="E3460">
        <f t="shared" si="109"/>
        <v>5.6146788746696277E-2</v>
      </c>
    </row>
    <row r="3461" spans="1:5" x14ac:dyDescent="0.25">
      <c r="A3461">
        <v>0</v>
      </c>
      <c r="B3461">
        <v>1.5015015015014999E-2</v>
      </c>
      <c r="C3461">
        <f t="shared" si="108"/>
        <v>1.6380876130950082</v>
      </c>
      <c r="D3461">
        <v>3</v>
      </c>
      <c r="E3461">
        <f t="shared" si="109"/>
        <v>5.6146788746696277E-2</v>
      </c>
    </row>
    <row r="3462" spans="1:5" x14ac:dyDescent="0.25">
      <c r="A3462">
        <v>0</v>
      </c>
      <c r="B3462">
        <v>1.5015015015014999E-2</v>
      </c>
      <c r="C3462">
        <f t="shared" si="108"/>
        <v>1.6380876130950082</v>
      </c>
      <c r="D3462">
        <v>3</v>
      </c>
      <c r="E3462">
        <f t="shared" si="109"/>
        <v>5.6146788746696277E-2</v>
      </c>
    </row>
    <row r="3463" spans="1:5" x14ac:dyDescent="0.25">
      <c r="A3463">
        <v>0</v>
      </c>
      <c r="B3463">
        <v>1.5015015015014999E-2</v>
      </c>
      <c r="C3463">
        <f t="shared" si="108"/>
        <v>1.6380876130950082</v>
      </c>
      <c r="D3463">
        <v>3</v>
      </c>
      <c r="E3463">
        <f t="shared" si="109"/>
        <v>5.6146788746696277E-2</v>
      </c>
    </row>
    <row r="3464" spans="1:5" x14ac:dyDescent="0.25">
      <c r="A3464">
        <v>0</v>
      </c>
      <c r="B3464">
        <v>1.5015015015014999E-2</v>
      </c>
      <c r="C3464">
        <f t="shared" si="108"/>
        <v>1.6380876130950082</v>
      </c>
      <c r="D3464">
        <v>3</v>
      </c>
      <c r="E3464">
        <f t="shared" si="109"/>
        <v>5.6146788746696277E-2</v>
      </c>
    </row>
    <row r="3465" spans="1:5" x14ac:dyDescent="0.25">
      <c r="A3465">
        <v>0</v>
      </c>
      <c r="B3465">
        <v>1.5015015015014999E-2</v>
      </c>
      <c r="C3465">
        <f t="shared" si="108"/>
        <v>1.6380876130950082</v>
      </c>
      <c r="D3465">
        <v>3</v>
      </c>
      <c r="E3465">
        <f t="shared" si="109"/>
        <v>5.6146788746696277E-2</v>
      </c>
    </row>
    <row r="3466" spans="1:5" x14ac:dyDescent="0.25">
      <c r="A3466">
        <v>0</v>
      </c>
      <c r="B3466">
        <v>1.5015015015014999E-2</v>
      </c>
      <c r="C3466">
        <f t="shared" si="108"/>
        <v>1.6380876130950082</v>
      </c>
      <c r="D3466">
        <v>3</v>
      </c>
      <c r="E3466">
        <f t="shared" si="109"/>
        <v>5.6146788746696277E-2</v>
      </c>
    </row>
    <row r="3467" spans="1:5" x14ac:dyDescent="0.25">
      <c r="A3467">
        <v>0</v>
      </c>
      <c r="B3467">
        <v>1.5015015015014999E-2</v>
      </c>
      <c r="C3467">
        <f t="shared" si="108"/>
        <v>1.6380876130950082</v>
      </c>
      <c r="D3467">
        <v>3</v>
      </c>
      <c r="E3467">
        <f t="shared" si="109"/>
        <v>5.6146788746696277E-2</v>
      </c>
    </row>
    <row r="3468" spans="1:5" x14ac:dyDescent="0.25">
      <c r="A3468">
        <v>0</v>
      </c>
      <c r="B3468">
        <v>1.5015015015014999E-2</v>
      </c>
      <c r="C3468">
        <f t="shared" si="108"/>
        <v>1.6380876130950082</v>
      </c>
      <c r="D3468">
        <v>3</v>
      </c>
      <c r="E3468">
        <f t="shared" si="109"/>
        <v>5.6146788746696277E-2</v>
      </c>
    </row>
    <row r="3469" spans="1:5" x14ac:dyDescent="0.25">
      <c r="A3469">
        <v>0</v>
      </c>
      <c r="B3469">
        <v>1.5015015015014999E-2</v>
      </c>
      <c r="C3469">
        <f t="shared" si="108"/>
        <v>1.6380876130950082</v>
      </c>
      <c r="D3469">
        <v>3</v>
      </c>
      <c r="E3469">
        <f t="shared" si="109"/>
        <v>5.6146788746696277E-2</v>
      </c>
    </row>
    <row r="3470" spans="1:5" x14ac:dyDescent="0.25">
      <c r="A3470">
        <v>0</v>
      </c>
      <c r="B3470">
        <v>1.5015015015014999E-2</v>
      </c>
      <c r="C3470">
        <f t="shared" si="108"/>
        <v>1.6380876130950082</v>
      </c>
      <c r="D3470">
        <v>3</v>
      </c>
      <c r="E3470">
        <f t="shared" si="109"/>
        <v>5.6146788746696277E-2</v>
      </c>
    </row>
    <row r="3471" spans="1:5" x14ac:dyDescent="0.25">
      <c r="A3471">
        <v>0</v>
      </c>
      <c r="B3471">
        <v>1.5015015015014999E-2</v>
      </c>
      <c r="C3471">
        <f t="shared" si="108"/>
        <v>1.6380876130950082</v>
      </c>
      <c r="D3471">
        <v>3</v>
      </c>
      <c r="E3471">
        <f t="shared" si="109"/>
        <v>5.6146788746696277E-2</v>
      </c>
    </row>
    <row r="3472" spans="1:5" x14ac:dyDescent="0.25">
      <c r="A3472">
        <v>0</v>
      </c>
      <c r="B3472">
        <v>1.5015015015014999E-2</v>
      </c>
      <c r="C3472">
        <f t="shared" si="108"/>
        <v>1.6380876130950082</v>
      </c>
      <c r="D3472">
        <v>3</v>
      </c>
      <c r="E3472">
        <f t="shared" si="109"/>
        <v>5.6146788746696277E-2</v>
      </c>
    </row>
    <row r="3473" spans="1:5" x14ac:dyDescent="0.25">
      <c r="A3473">
        <v>0</v>
      </c>
      <c r="B3473">
        <v>1.53333333333333E-2</v>
      </c>
      <c r="C3473">
        <f t="shared" si="108"/>
        <v>1.6381862990177516</v>
      </c>
      <c r="D3473">
        <v>3</v>
      </c>
      <c r="E3473">
        <f t="shared" si="109"/>
        <v>5.6146788746696277E-2</v>
      </c>
    </row>
    <row r="3474" spans="1:5" x14ac:dyDescent="0.25">
      <c r="A3474">
        <v>0</v>
      </c>
      <c r="B3474">
        <v>1.5384615384615399E-2</v>
      </c>
      <c r="C3474">
        <f t="shared" si="108"/>
        <v>1.6382019358537614</v>
      </c>
      <c r="D3474">
        <v>3</v>
      </c>
      <c r="E3474">
        <f t="shared" si="109"/>
        <v>5.6146788746696277E-2</v>
      </c>
    </row>
    <row r="3475" spans="1:5" x14ac:dyDescent="0.25">
      <c r="A3475">
        <v>0</v>
      </c>
      <c r="B3475">
        <v>1.6E-2</v>
      </c>
      <c r="C3475">
        <f t="shared" si="108"/>
        <v>1.6383839109074507</v>
      </c>
      <c r="D3475">
        <v>3</v>
      </c>
      <c r="E3475">
        <f t="shared" si="109"/>
        <v>5.6146788746696277E-2</v>
      </c>
    </row>
    <row r="3476" spans="1:5" x14ac:dyDescent="0.25">
      <c r="A3476">
        <v>0</v>
      </c>
      <c r="B3476">
        <v>1.6E-2</v>
      </c>
      <c r="C3476">
        <f t="shared" si="108"/>
        <v>1.6383839109074507</v>
      </c>
      <c r="D3476">
        <v>3</v>
      </c>
      <c r="E3476">
        <f t="shared" si="109"/>
        <v>5.6146788746696277E-2</v>
      </c>
    </row>
    <row r="3477" spans="1:5" x14ac:dyDescent="0.25">
      <c r="A3477">
        <v>0</v>
      </c>
      <c r="B3477">
        <v>1.6E-2</v>
      </c>
      <c r="C3477">
        <f t="shared" si="108"/>
        <v>1.6383839109074507</v>
      </c>
      <c r="D3477">
        <v>3</v>
      </c>
      <c r="E3477">
        <f t="shared" si="109"/>
        <v>5.6146788746696277E-2</v>
      </c>
    </row>
    <row r="3478" spans="1:5" x14ac:dyDescent="0.25">
      <c r="A3478">
        <v>0</v>
      </c>
      <c r="B3478">
        <v>1.6E-2</v>
      </c>
      <c r="C3478">
        <f t="shared" si="108"/>
        <v>1.6383839109074507</v>
      </c>
      <c r="D3478">
        <v>3</v>
      </c>
      <c r="E3478">
        <f t="shared" si="109"/>
        <v>5.6146788746696277E-2</v>
      </c>
    </row>
    <row r="3479" spans="1:5" x14ac:dyDescent="0.25">
      <c r="A3479">
        <v>0</v>
      </c>
      <c r="B3479">
        <v>1.6E-2</v>
      </c>
      <c r="C3479">
        <f t="shared" si="108"/>
        <v>1.6383839109074507</v>
      </c>
      <c r="D3479">
        <v>3</v>
      </c>
      <c r="E3479">
        <f t="shared" si="109"/>
        <v>5.6146788746696277E-2</v>
      </c>
    </row>
    <row r="3480" spans="1:5" x14ac:dyDescent="0.25">
      <c r="A3480">
        <v>0</v>
      </c>
      <c r="B3480">
        <v>1.6E-2</v>
      </c>
      <c r="C3480">
        <f t="shared" si="108"/>
        <v>1.6383839109074507</v>
      </c>
      <c r="D3480">
        <v>3</v>
      </c>
      <c r="E3480">
        <f t="shared" si="109"/>
        <v>5.6146788746696277E-2</v>
      </c>
    </row>
    <row r="3481" spans="1:5" x14ac:dyDescent="0.25">
      <c r="A3481">
        <v>0</v>
      </c>
      <c r="B3481">
        <v>1.6E-2</v>
      </c>
      <c r="C3481">
        <f t="shared" si="108"/>
        <v>1.6383839109074507</v>
      </c>
      <c r="D3481">
        <v>3</v>
      </c>
      <c r="E3481">
        <f t="shared" si="109"/>
        <v>5.6146788746696277E-2</v>
      </c>
    </row>
    <row r="3482" spans="1:5" x14ac:dyDescent="0.25">
      <c r="A3482">
        <v>0</v>
      </c>
      <c r="B3482">
        <v>1.6E-2</v>
      </c>
      <c r="C3482">
        <f t="shared" si="108"/>
        <v>1.6383839109074507</v>
      </c>
      <c r="D3482">
        <v>3</v>
      </c>
      <c r="E3482">
        <f t="shared" si="109"/>
        <v>5.6146788746696277E-2</v>
      </c>
    </row>
    <row r="3483" spans="1:5" x14ac:dyDescent="0.25">
      <c r="A3483">
        <v>0</v>
      </c>
      <c r="B3483">
        <v>1.6E-2</v>
      </c>
      <c r="C3483">
        <f t="shared" si="108"/>
        <v>1.6383839109074507</v>
      </c>
      <c r="D3483">
        <v>3</v>
      </c>
      <c r="E3483">
        <f t="shared" si="109"/>
        <v>5.6146788746696277E-2</v>
      </c>
    </row>
    <row r="3484" spans="1:5" x14ac:dyDescent="0.25">
      <c r="A3484">
        <v>0</v>
      </c>
      <c r="B3484">
        <v>1.6E-2</v>
      </c>
      <c r="C3484">
        <f t="shared" si="108"/>
        <v>1.6383839109074507</v>
      </c>
      <c r="D3484">
        <v>3</v>
      </c>
      <c r="E3484">
        <f t="shared" si="109"/>
        <v>5.6146788746696277E-2</v>
      </c>
    </row>
    <row r="3485" spans="1:5" x14ac:dyDescent="0.25">
      <c r="A3485">
        <v>0</v>
      </c>
      <c r="B3485">
        <v>1.6E-2</v>
      </c>
      <c r="C3485">
        <f t="shared" si="108"/>
        <v>1.6383839109074507</v>
      </c>
      <c r="D3485">
        <v>3</v>
      </c>
      <c r="E3485">
        <f t="shared" si="109"/>
        <v>5.6146788746696277E-2</v>
      </c>
    </row>
    <row r="3486" spans="1:5" x14ac:dyDescent="0.25">
      <c r="A3486">
        <v>0</v>
      </c>
      <c r="B3486">
        <v>1.6E-2</v>
      </c>
      <c r="C3486">
        <f t="shared" si="108"/>
        <v>1.6383839109074507</v>
      </c>
      <c r="D3486">
        <v>3</v>
      </c>
      <c r="E3486">
        <f t="shared" si="109"/>
        <v>5.6146788746696277E-2</v>
      </c>
    </row>
    <row r="3487" spans="1:5" x14ac:dyDescent="0.25">
      <c r="A3487">
        <v>0</v>
      </c>
      <c r="B3487">
        <v>1.6E-2</v>
      </c>
      <c r="C3487">
        <f t="shared" si="108"/>
        <v>1.6383839109074507</v>
      </c>
      <c r="D3487">
        <v>3</v>
      </c>
      <c r="E3487">
        <f t="shared" si="109"/>
        <v>5.6146788746696277E-2</v>
      </c>
    </row>
    <row r="3488" spans="1:5" x14ac:dyDescent="0.25">
      <c r="A3488">
        <v>0</v>
      </c>
      <c r="B3488">
        <v>1.6E-2</v>
      </c>
      <c r="C3488">
        <f t="shared" si="108"/>
        <v>1.6383839109074507</v>
      </c>
      <c r="D3488">
        <v>3</v>
      </c>
      <c r="E3488">
        <f t="shared" si="109"/>
        <v>5.6146788746696277E-2</v>
      </c>
    </row>
    <row r="3489" spans="1:5" x14ac:dyDescent="0.25">
      <c r="A3489">
        <v>0</v>
      </c>
      <c r="B3489">
        <v>1.6E-2</v>
      </c>
      <c r="C3489">
        <f t="shared" si="108"/>
        <v>1.6383839109074507</v>
      </c>
      <c r="D3489">
        <v>3</v>
      </c>
      <c r="E3489">
        <f t="shared" si="109"/>
        <v>5.6146788746696277E-2</v>
      </c>
    </row>
    <row r="3490" spans="1:5" x14ac:dyDescent="0.25">
      <c r="A3490">
        <v>0</v>
      </c>
      <c r="B3490">
        <v>1.6E-2</v>
      </c>
      <c r="C3490">
        <f t="shared" si="108"/>
        <v>1.6383839109074507</v>
      </c>
      <c r="D3490">
        <v>3</v>
      </c>
      <c r="E3490">
        <f t="shared" si="109"/>
        <v>5.6146788746696277E-2</v>
      </c>
    </row>
    <row r="3491" spans="1:5" x14ac:dyDescent="0.25">
      <c r="A3491">
        <v>0</v>
      </c>
      <c r="B3491">
        <v>1.6E-2</v>
      </c>
      <c r="C3491">
        <f t="shared" si="108"/>
        <v>1.6383839109074507</v>
      </c>
      <c r="D3491">
        <v>3</v>
      </c>
      <c r="E3491">
        <f t="shared" si="109"/>
        <v>5.6146788746696277E-2</v>
      </c>
    </row>
    <row r="3492" spans="1:5" x14ac:dyDescent="0.25">
      <c r="A3492">
        <v>0</v>
      </c>
      <c r="B3492">
        <v>1.6E-2</v>
      </c>
      <c r="C3492">
        <f t="shared" si="108"/>
        <v>1.6383839109074507</v>
      </c>
      <c r="D3492">
        <v>3</v>
      </c>
      <c r="E3492">
        <f t="shared" si="109"/>
        <v>5.6146788746696277E-2</v>
      </c>
    </row>
    <row r="3493" spans="1:5" x14ac:dyDescent="0.25">
      <c r="A3493">
        <v>0</v>
      </c>
      <c r="B3493">
        <v>1.6E-2</v>
      </c>
      <c r="C3493">
        <f t="shared" si="108"/>
        <v>1.6383839109074507</v>
      </c>
      <c r="D3493">
        <v>3</v>
      </c>
      <c r="E3493">
        <f t="shared" si="109"/>
        <v>5.6146788746696277E-2</v>
      </c>
    </row>
    <row r="3494" spans="1:5" x14ac:dyDescent="0.25">
      <c r="A3494">
        <v>0</v>
      </c>
      <c r="B3494">
        <v>1.6E-2</v>
      </c>
      <c r="C3494">
        <f t="shared" si="108"/>
        <v>1.6383839109074507</v>
      </c>
      <c r="D3494">
        <v>3</v>
      </c>
      <c r="E3494">
        <f t="shared" si="109"/>
        <v>5.6146788746696277E-2</v>
      </c>
    </row>
    <row r="3495" spans="1:5" x14ac:dyDescent="0.25">
      <c r="A3495">
        <v>0</v>
      </c>
      <c r="B3495">
        <v>1.60427807486631E-2</v>
      </c>
      <c r="C3495">
        <f t="shared" si="108"/>
        <v>1.6383961725924561</v>
      </c>
      <c r="D3495">
        <v>3</v>
      </c>
      <c r="E3495">
        <f t="shared" si="109"/>
        <v>5.6146788746696277E-2</v>
      </c>
    </row>
    <row r="3496" spans="1:5" x14ac:dyDescent="0.25">
      <c r="A3496">
        <v>0</v>
      </c>
      <c r="B3496">
        <v>1.6317016317016299E-2</v>
      </c>
      <c r="C3496">
        <f t="shared" si="108"/>
        <v>1.6384735719001209</v>
      </c>
      <c r="D3496">
        <v>3</v>
      </c>
      <c r="E3496">
        <f t="shared" si="109"/>
        <v>5.6146788746696277E-2</v>
      </c>
    </row>
    <row r="3497" spans="1:5" x14ac:dyDescent="0.25">
      <c r="A3497">
        <v>0</v>
      </c>
      <c r="B3497">
        <v>1.6317016317016299E-2</v>
      </c>
      <c r="C3497">
        <f t="shared" si="108"/>
        <v>1.6384735719001209</v>
      </c>
      <c r="D3497">
        <v>3</v>
      </c>
      <c r="E3497">
        <f t="shared" si="109"/>
        <v>5.6146788746696277E-2</v>
      </c>
    </row>
    <row r="3498" spans="1:5" x14ac:dyDescent="0.25">
      <c r="A3498">
        <v>0</v>
      </c>
      <c r="B3498">
        <v>1.6317016317016299E-2</v>
      </c>
      <c r="C3498">
        <f t="shared" si="108"/>
        <v>1.6384735719001209</v>
      </c>
      <c r="D3498">
        <v>3</v>
      </c>
      <c r="E3498">
        <f t="shared" si="109"/>
        <v>5.6146788746696277E-2</v>
      </c>
    </row>
    <row r="3499" spans="1:5" x14ac:dyDescent="0.25">
      <c r="A3499">
        <v>0</v>
      </c>
      <c r="B3499">
        <v>1.63551401869159E-2</v>
      </c>
      <c r="C3499">
        <f t="shared" si="108"/>
        <v>1.6384841672991939</v>
      </c>
      <c r="D3499">
        <v>3</v>
      </c>
      <c r="E3499">
        <f t="shared" si="109"/>
        <v>5.6146788746696277E-2</v>
      </c>
    </row>
    <row r="3500" spans="1:5" x14ac:dyDescent="0.25">
      <c r="A3500">
        <v>0</v>
      </c>
      <c r="B3500">
        <v>1.6666666666666701E-2</v>
      </c>
      <c r="C3500">
        <f t="shared" si="108"/>
        <v>1.6385692415395514</v>
      </c>
      <c r="D3500">
        <v>3</v>
      </c>
      <c r="E3500">
        <f t="shared" si="109"/>
        <v>5.6146788746696277E-2</v>
      </c>
    </row>
    <row r="3501" spans="1:5" x14ac:dyDescent="0.25">
      <c r="A3501">
        <v>0</v>
      </c>
      <c r="B3501">
        <v>1.6666666666666701E-2</v>
      </c>
      <c r="C3501">
        <f t="shared" si="108"/>
        <v>1.6385692415395514</v>
      </c>
      <c r="D3501">
        <v>3</v>
      </c>
      <c r="E3501">
        <f t="shared" si="109"/>
        <v>5.6146788746696277E-2</v>
      </c>
    </row>
    <row r="3502" spans="1:5" x14ac:dyDescent="0.25">
      <c r="A3502">
        <v>0</v>
      </c>
      <c r="B3502">
        <v>1.6666666666666701E-2</v>
      </c>
      <c r="C3502">
        <f t="shared" si="108"/>
        <v>1.6385692415395514</v>
      </c>
      <c r="D3502">
        <v>3</v>
      </c>
      <c r="E3502">
        <f t="shared" si="109"/>
        <v>5.6146788746696277E-2</v>
      </c>
    </row>
    <row r="3503" spans="1:5" x14ac:dyDescent="0.25">
      <c r="A3503">
        <v>0</v>
      </c>
      <c r="B3503">
        <v>1.6666666666666701E-2</v>
      </c>
      <c r="C3503">
        <f t="shared" si="108"/>
        <v>1.6385692415395514</v>
      </c>
      <c r="D3503">
        <v>3</v>
      </c>
      <c r="E3503">
        <f t="shared" si="109"/>
        <v>5.6146788746696277E-2</v>
      </c>
    </row>
    <row r="3504" spans="1:5" x14ac:dyDescent="0.25">
      <c r="A3504">
        <v>0</v>
      </c>
      <c r="B3504">
        <v>1.6666666666666701E-2</v>
      </c>
      <c r="C3504">
        <f t="shared" si="108"/>
        <v>1.6385692415395514</v>
      </c>
      <c r="D3504">
        <v>3</v>
      </c>
      <c r="E3504">
        <f t="shared" si="109"/>
        <v>5.6146788746696277E-2</v>
      </c>
    </row>
    <row r="3505" spans="1:5" x14ac:dyDescent="0.25">
      <c r="A3505">
        <v>0</v>
      </c>
      <c r="B3505">
        <v>1.6666666666666701E-2</v>
      </c>
      <c r="C3505">
        <f t="shared" si="108"/>
        <v>1.6385692415395514</v>
      </c>
      <c r="D3505">
        <v>3</v>
      </c>
      <c r="E3505">
        <f t="shared" si="109"/>
        <v>5.6146788746696277E-2</v>
      </c>
    </row>
    <row r="3506" spans="1:5" x14ac:dyDescent="0.25">
      <c r="A3506">
        <v>0</v>
      </c>
      <c r="B3506">
        <v>1.6949152542372899E-2</v>
      </c>
      <c r="C3506">
        <f t="shared" si="108"/>
        <v>1.6386440659544337</v>
      </c>
      <c r="D3506">
        <v>3</v>
      </c>
      <c r="E3506">
        <f t="shared" si="109"/>
        <v>5.6146788746696277E-2</v>
      </c>
    </row>
    <row r="3507" spans="1:5" x14ac:dyDescent="0.25">
      <c r="A3507">
        <v>0</v>
      </c>
      <c r="B3507">
        <v>1.7333333333333301E-2</v>
      </c>
      <c r="C3507">
        <f t="shared" si="108"/>
        <v>1.6387422867411463</v>
      </c>
      <c r="D3507">
        <v>3</v>
      </c>
      <c r="E3507">
        <f t="shared" si="109"/>
        <v>5.6146788746696277E-2</v>
      </c>
    </row>
    <row r="3508" spans="1:5" x14ac:dyDescent="0.25">
      <c r="A3508">
        <v>0</v>
      </c>
      <c r="B3508">
        <v>1.7333333333333301E-2</v>
      </c>
      <c r="C3508">
        <f t="shared" si="108"/>
        <v>1.6387422867411463</v>
      </c>
      <c r="D3508">
        <v>3</v>
      </c>
      <c r="E3508">
        <f t="shared" si="109"/>
        <v>5.6146788746696277E-2</v>
      </c>
    </row>
    <row r="3509" spans="1:5" x14ac:dyDescent="0.25">
      <c r="A3509">
        <v>0</v>
      </c>
      <c r="B3509">
        <v>1.7333333333333301E-2</v>
      </c>
      <c r="C3509">
        <f t="shared" si="108"/>
        <v>1.6387422867411463</v>
      </c>
      <c r="D3509">
        <v>3</v>
      </c>
      <c r="E3509">
        <f t="shared" si="109"/>
        <v>5.6146788746696277E-2</v>
      </c>
    </row>
    <row r="3510" spans="1:5" x14ac:dyDescent="0.25">
      <c r="A3510">
        <v>0</v>
      </c>
      <c r="B3510">
        <v>1.79640718562874E-2</v>
      </c>
      <c r="C3510">
        <f t="shared" si="108"/>
        <v>1.6388946924896444</v>
      </c>
      <c r="D3510">
        <v>3</v>
      </c>
      <c r="E3510">
        <f t="shared" si="109"/>
        <v>5.6146788746696277E-2</v>
      </c>
    </row>
    <row r="3511" spans="1:5" x14ac:dyDescent="0.25">
      <c r="A3511">
        <v>0</v>
      </c>
      <c r="B3511">
        <v>1.79640718562874E-2</v>
      </c>
      <c r="C3511">
        <f t="shared" si="108"/>
        <v>1.6388946924896444</v>
      </c>
      <c r="D3511">
        <v>3</v>
      </c>
      <c r="E3511">
        <f t="shared" si="109"/>
        <v>5.6146788746696277E-2</v>
      </c>
    </row>
    <row r="3512" spans="1:5" x14ac:dyDescent="0.25">
      <c r="A3512">
        <v>0</v>
      </c>
      <c r="B3512">
        <v>1.79640718562874E-2</v>
      </c>
      <c r="C3512">
        <f t="shared" si="108"/>
        <v>1.6388946924896444</v>
      </c>
      <c r="D3512">
        <v>3</v>
      </c>
      <c r="E3512">
        <f t="shared" si="109"/>
        <v>5.6146788746696277E-2</v>
      </c>
    </row>
    <row r="3513" spans="1:5" x14ac:dyDescent="0.25">
      <c r="A3513">
        <v>0</v>
      </c>
      <c r="B3513">
        <v>1.79640718562874E-2</v>
      </c>
      <c r="C3513">
        <f t="shared" si="108"/>
        <v>1.6388946924896444</v>
      </c>
      <c r="D3513">
        <v>3</v>
      </c>
      <c r="E3513">
        <f t="shared" si="109"/>
        <v>5.6146788746696277E-2</v>
      </c>
    </row>
    <row r="3514" spans="1:5" x14ac:dyDescent="0.25">
      <c r="A3514">
        <v>0</v>
      </c>
      <c r="B3514">
        <v>1.7999999999999999E-2</v>
      </c>
      <c r="C3514">
        <f t="shared" si="108"/>
        <v>1.6389030426156639</v>
      </c>
      <c r="D3514">
        <v>3</v>
      </c>
      <c r="E3514">
        <f t="shared" si="109"/>
        <v>5.6146788746696277E-2</v>
      </c>
    </row>
    <row r="3515" spans="1:5" x14ac:dyDescent="0.25">
      <c r="A3515">
        <v>0</v>
      </c>
      <c r="B3515">
        <v>1.7999999999999999E-2</v>
      </c>
      <c r="C3515">
        <f t="shared" si="108"/>
        <v>1.6389030426156639</v>
      </c>
      <c r="D3515">
        <v>3</v>
      </c>
      <c r="E3515">
        <f t="shared" si="109"/>
        <v>5.6146788746696277E-2</v>
      </c>
    </row>
    <row r="3516" spans="1:5" x14ac:dyDescent="0.25">
      <c r="A3516">
        <v>0</v>
      </c>
      <c r="B3516">
        <v>1.7999999999999999E-2</v>
      </c>
      <c r="C3516">
        <f t="shared" si="108"/>
        <v>1.6389030426156639</v>
      </c>
      <c r="D3516">
        <v>3</v>
      </c>
      <c r="E3516">
        <f t="shared" si="109"/>
        <v>5.6146788746696277E-2</v>
      </c>
    </row>
    <row r="3517" spans="1:5" x14ac:dyDescent="0.25">
      <c r="A3517">
        <v>0</v>
      </c>
      <c r="B3517">
        <v>1.7999999999999999E-2</v>
      </c>
      <c r="C3517">
        <f t="shared" si="108"/>
        <v>1.6389030426156639</v>
      </c>
      <c r="D3517">
        <v>3</v>
      </c>
      <c r="E3517">
        <f t="shared" si="109"/>
        <v>5.6146788746696277E-2</v>
      </c>
    </row>
    <row r="3518" spans="1:5" x14ac:dyDescent="0.25">
      <c r="A3518">
        <v>0</v>
      </c>
      <c r="B3518">
        <v>1.8018018018018001E-2</v>
      </c>
      <c r="C3518">
        <f t="shared" si="108"/>
        <v>1.6389072167740311</v>
      </c>
      <c r="D3518">
        <v>3</v>
      </c>
      <c r="E3518">
        <f t="shared" si="109"/>
        <v>5.6146788746696277E-2</v>
      </c>
    </row>
    <row r="3519" spans="1:5" x14ac:dyDescent="0.25">
      <c r="A3519">
        <v>0</v>
      </c>
      <c r="B3519">
        <v>1.8018018018018001E-2</v>
      </c>
      <c r="C3519">
        <f t="shared" si="108"/>
        <v>1.6389072167740311</v>
      </c>
      <c r="D3519">
        <v>3</v>
      </c>
      <c r="E3519">
        <f t="shared" si="109"/>
        <v>5.6146788746696277E-2</v>
      </c>
    </row>
    <row r="3520" spans="1:5" x14ac:dyDescent="0.25">
      <c r="A3520">
        <v>0</v>
      </c>
      <c r="B3520">
        <v>1.8018018018018001E-2</v>
      </c>
      <c r="C3520">
        <f t="shared" si="108"/>
        <v>1.6389072167740311</v>
      </c>
      <c r="D3520">
        <v>3</v>
      </c>
      <c r="E3520">
        <f t="shared" si="109"/>
        <v>5.6146788746696277E-2</v>
      </c>
    </row>
    <row r="3521" spans="1:5" x14ac:dyDescent="0.25">
      <c r="A3521">
        <v>0</v>
      </c>
      <c r="B3521">
        <v>1.8018018018018001E-2</v>
      </c>
      <c r="C3521">
        <f t="shared" si="108"/>
        <v>1.6389072167740311</v>
      </c>
      <c r="D3521">
        <v>3</v>
      </c>
      <c r="E3521">
        <f t="shared" si="109"/>
        <v>5.6146788746696277E-2</v>
      </c>
    </row>
    <row r="3522" spans="1:5" x14ac:dyDescent="0.25">
      <c r="A3522">
        <v>0</v>
      </c>
      <c r="B3522">
        <v>1.8018018018018001E-2</v>
      </c>
      <c r="C3522">
        <f t="shared" ref="C3522:C3585" si="110">_xlfn.NORM.DIST(B3522,I$10,I$13,FALSE)</f>
        <v>1.6389072167740311</v>
      </c>
      <c r="D3522">
        <v>3</v>
      </c>
      <c r="E3522">
        <f t="shared" si="109"/>
        <v>5.6146788746696277E-2</v>
      </c>
    </row>
    <row r="3523" spans="1:5" x14ac:dyDescent="0.25">
      <c r="A3523">
        <v>0</v>
      </c>
      <c r="B3523">
        <v>1.8018018018018001E-2</v>
      </c>
      <c r="C3523">
        <f t="shared" si="110"/>
        <v>1.6389072167740311</v>
      </c>
      <c r="D3523">
        <v>3</v>
      </c>
      <c r="E3523">
        <f t="shared" ref="E3523:E3586" si="111">_xlfn.NORM.DIST(D3523,I$4,I$7,FALSE)</f>
        <v>5.6146788746696277E-2</v>
      </c>
    </row>
    <row r="3524" spans="1:5" x14ac:dyDescent="0.25">
      <c r="A3524">
        <v>0</v>
      </c>
      <c r="B3524">
        <v>1.8333333333333299E-2</v>
      </c>
      <c r="C3524">
        <f t="shared" si="110"/>
        <v>1.6389788109131862</v>
      </c>
      <c r="D3524">
        <v>3</v>
      </c>
      <c r="E3524">
        <f t="shared" si="111"/>
        <v>5.6146788746696277E-2</v>
      </c>
    </row>
    <row r="3525" spans="1:5" x14ac:dyDescent="0.25">
      <c r="A3525">
        <v>0</v>
      </c>
      <c r="B3525">
        <v>1.8333333333333299E-2</v>
      </c>
      <c r="C3525">
        <f t="shared" si="110"/>
        <v>1.6389788109131862</v>
      </c>
      <c r="D3525">
        <v>3</v>
      </c>
      <c r="E3525">
        <f t="shared" si="111"/>
        <v>5.6146788746696277E-2</v>
      </c>
    </row>
    <row r="3526" spans="1:5" x14ac:dyDescent="0.25">
      <c r="A3526">
        <v>0</v>
      </c>
      <c r="B3526">
        <v>1.85185185185185E-2</v>
      </c>
      <c r="C3526">
        <f t="shared" si="110"/>
        <v>1.6390195763103934</v>
      </c>
      <c r="D3526">
        <v>3</v>
      </c>
      <c r="E3526">
        <f t="shared" si="111"/>
        <v>5.6146788746696277E-2</v>
      </c>
    </row>
    <row r="3527" spans="1:5" x14ac:dyDescent="0.25">
      <c r="A3527">
        <v>0</v>
      </c>
      <c r="B3527">
        <v>1.8648018648018599E-2</v>
      </c>
      <c r="C3527">
        <f t="shared" si="110"/>
        <v>1.6390475198844894</v>
      </c>
      <c r="D3527">
        <v>3</v>
      </c>
      <c r="E3527">
        <f t="shared" si="111"/>
        <v>5.6146788746696277E-2</v>
      </c>
    </row>
    <row r="3528" spans="1:5" x14ac:dyDescent="0.25">
      <c r="A3528">
        <v>0</v>
      </c>
      <c r="B3528">
        <v>1.8648018648018599E-2</v>
      </c>
      <c r="C3528">
        <f t="shared" si="110"/>
        <v>1.6390475198844894</v>
      </c>
      <c r="D3528">
        <v>3</v>
      </c>
      <c r="E3528">
        <f t="shared" si="111"/>
        <v>5.6146788746696277E-2</v>
      </c>
    </row>
    <row r="3529" spans="1:5" x14ac:dyDescent="0.25">
      <c r="A3529">
        <v>0</v>
      </c>
      <c r="B3529">
        <v>1.8648018648018599E-2</v>
      </c>
      <c r="C3529">
        <f t="shared" si="110"/>
        <v>1.6390475198844894</v>
      </c>
      <c r="D3529">
        <v>3</v>
      </c>
      <c r="E3529">
        <f t="shared" si="111"/>
        <v>5.6146788746696277E-2</v>
      </c>
    </row>
    <row r="3530" spans="1:5" x14ac:dyDescent="0.25">
      <c r="A3530">
        <v>0</v>
      </c>
      <c r="B3530">
        <v>1.8648018648018599E-2</v>
      </c>
      <c r="C3530">
        <f t="shared" si="110"/>
        <v>1.6390475198844894</v>
      </c>
      <c r="D3530">
        <v>3</v>
      </c>
      <c r="E3530">
        <f t="shared" si="111"/>
        <v>5.6146788746696277E-2</v>
      </c>
    </row>
    <row r="3531" spans="1:5" x14ac:dyDescent="0.25">
      <c r="A3531">
        <v>0</v>
      </c>
      <c r="B3531">
        <v>1.8648018648018599E-2</v>
      </c>
      <c r="C3531">
        <f t="shared" si="110"/>
        <v>1.6390475198844894</v>
      </c>
      <c r="D3531">
        <v>3</v>
      </c>
      <c r="E3531">
        <f t="shared" si="111"/>
        <v>5.6146788746696277E-2</v>
      </c>
    </row>
    <row r="3532" spans="1:5" x14ac:dyDescent="0.25">
      <c r="A3532">
        <v>0</v>
      </c>
      <c r="B3532">
        <v>1.8648018648018599E-2</v>
      </c>
      <c r="C3532">
        <f t="shared" si="110"/>
        <v>1.6390475198844894</v>
      </c>
      <c r="D3532">
        <v>3</v>
      </c>
      <c r="E3532">
        <f t="shared" si="111"/>
        <v>5.6146788746696277E-2</v>
      </c>
    </row>
    <row r="3533" spans="1:5" x14ac:dyDescent="0.25">
      <c r="A3533">
        <v>0</v>
      </c>
      <c r="B3533">
        <v>1.8666666666666699E-2</v>
      </c>
      <c r="C3533">
        <f t="shared" si="110"/>
        <v>1.6390515055430126</v>
      </c>
      <c r="D3533">
        <v>3</v>
      </c>
      <c r="E3533">
        <f t="shared" si="111"/>
        <v>5.6146788746696277E-2</v>
      </c>
    </row>
    <row r="3534" spans="1:5" x14ac:dyDescent="0.25">
      <c r="A3534">
        <v>0</v>
      </c>
      <c r="B3534">
        <v>1.8666666666666699E-2</v>
      </c>
      <c r="C3534">
        <f t="shared" si="110"/>
        <v>1.6390515055430126</v>
      </c>
      <c r="D3534">
        <v>3</v>
      </c>
      <c r="E3534">
        <f t="shared" si="111"/>
        <v>5.6146788746696277E-2</v>
      </c>
    </row>
    <row r="3535" spans="1:5" x14ac:dyDescent="0.25">
      <c r="A3535">
        <v>0</v>
      </c>
      <c r="B3535">
        <v>1.8666666666666699E-2</v>
      </c>
      <c r="C3535">
        <f t="shared" si="110"/>
        <v>1.6390515055430126</v>
      </c>
      <c r="D3535">
        <v>3</v>
      </c>
      <c r="E3535">
        <f t="shared" si="111"/>
        <v>5.6146788746696277E-2</v>
      </c>
    </row>
    <row r="3536" spans="1:5" x14ac:dyDescent="0.25">
      <c r="A3536">
        <v>0</v>
      </c>
      <c r="B3536">
        <v>1.8666666666666699E-2</v>
      </c>
      <c r="C3536">
        <f t="shared" si="110"/>
        <v>1.6390515055430126</v>
      </c>
      <c r="D3536">
        <v>3</v>
      </c>
      <c r="E3536">
        <f t="shared" si="111"/>
        <v>5.6146788746696277E-2</v>
      </c>
    </row>
    <row r="3537" spans="1:5" x14ac:dyDescent="0.25">
      <c r="A3537">
        <v>0</v>
      </c>
      <c r="B3537">
        <v>1.8666666666666699E-2</v>
      </c>
      <c r="C3537">
        <f t="shared" si="110"/>
        <v>1.6390515055430126</v>
      </c>
      <c r="D3537">
        <v>3</v>
      </c>
      <c r="E3537">
        <f t="shared" si="111"/>
        <v>5.6146788746696277E-2</v>
      </c>
    </row>
    <row r="3538" spans="1:5" x14ac:dyDescent="0.25">
      <c r="A3538">
        <v>0</v>
      </c>
      <c r="B3538">
        <v>1.8666666666666699E-2</v>
      </c>
      <c r="C3538">
        <f t="shared" si="110"/>
        <v>1.6390515055430126</v>
      </c>
      <c r="D3538">
        <v>3</v>
      </c>
      <c r="E3538">
        <f t="shared" si="111"/>
        <v>5.6146788746696277E-2</v>
      </c>
    </row>
    <row r="3539" spans="1:5" x14ac:dyDescent="0.25">
      <c r="A3539">
        <v>0</v>
      </c>
      <c r="B3539">
        <v>1.8666666666666699E-2</v>
      </c>
      <c r="C3539">
        <f t="shared" si="110"/>
        <v>1.6390515055430126</v>
      </c>
      <c r="D3539">
        <v>3</v>
      </c>
      <c r="E3539">
        <f t="shared" si="111"/>
        <v>5.6146788746696277E-2</v>
      </c>
    </row>
    <row r="3540" spans="1:5" x14ac:dyDescent="0.25">
      <c r="A3540">
        <v>0</v>
      </c>
      <c r="B3540">
        <v>1.8666666666666699E-2</v>
      </c>
      <c r="C3540">
        <f t="shared" si="110"/>
        <v>1.6390515055430126</v>
      </c>
      <c r="D3540">
        <v>3</v>
      </c>
      <c r="E3540">
        <f t="shared" si="111"/>
        <v>5.6146788746696277E-2</v>
      </c>
    </row>
    <row r="3541" spans="1:5" x14ac:dyDescent="0.25">
      <c r="A3541">
        <v>0</v>
      </c>
      <c r="B3541">
        <v>1.8666666666666699E-2</v>
      </c>
      <c r="C3541">
        <f t="shared" si="110"/>
        <v>1.6390515055430126</v>
      </c>
      <c r="D3541">
        <v>3</v>
      </c>
      <c r="E3541">
        <f t="shared" si="111"/>
        <v>5.6146788746696277E-2</v>
      </c>
    </row>
    <row r="3542" spans="1:5" x14ac:dyDescent="0.25">
      <c r="A3542">
        <v>0</v>
      </c>
      <c r="B3542">
        <v>1.8666666666666699E-2</v>
      </c>
      <c r="C3542">
        <f t="shared" si="110"/>
        <v>1.6390515055430126</v>
      </c>
      <c r="D3542">
        <v>3</v>
      </c>
      <c r="E3542">
        <f t="shared" si="111"/>
        <v>5.6146788746696277E-2</v>
      </c>
    </row>
    <row r="3543" spans="1:5" x14ac:dyDescent="0.25">
      <c r="A3543">
        <v>0</v>
      </c>
      <c r="B3543">
        <v>1.8666666666666699E-2</v>
      </c>
      <c r="C3543">
        <f t="shared" si="110"/>
        <v>1.6390515055430126</v>
      </c>
      <c r="D3543">
        <v>3</v>
      </c>
      <c r="E3543">
        <f t="shared" si="111"/>
        <v>5.6146788746696277E-2</v>
      </c>
    </row>
    <row r="3544" spans="1:5" x14ac:dyDescent="0.25">
      <c r="A3544">
        <v>0</v>
      </c>
      <c r="B3544">
        <v>1.8666666666666699E-2</v>
      </c>
      <c r="C3544">
        <f t="shared" si="110"/>
        <v>1.6390515055430126</v>
      </c>
      <c r="D3544">
        <v>3</v>
      </c>
      <c r="E3544">
        <f t="shared" si="111"/>
        <v>5.6146788746696277E-2</v>
      </c>
    </row>
    <row r="3545" spans="1:5" x14ac:dyDescent="0.25">
      <c r="A3545">
        <v>0</v>
      </c>
      <c r="B3545">
        <v>1.8666666666666699E-2</v>
      </c>
      <c r="C3545">
        <f t="shared" si="110"/>
        <v>1.6390515055430126</v>
      </c>
      <c r="D3545">
        <v>3</v>
      </c>
      <c r="E3545">
        <f t="shared" si="111"/>
        <v>5.6146788746696277E-2</v>
      </c>
    </row>
    <row r="3546" spans="1:5" x14ac:dyDescent="0.25">
      <c r="A3546">
        <v>0</v>
      </c>
      <c r="B3546">
        <v>1.8666666666666699E-2</v>
      </c>
      <c r="C3546">
        <f t="shared" si="110"/>
        <v>1.6390515055430126</v>
      </c>
      <c r="D3546">
        <v>3</v>
      </c>
      <c r="E3546">
        <f t="shared" si="111"/>
        <v>5.6146788746696277E-2</v>
      </c>
    </row>
    <row r="3547" spans="1:5" x14ac:dyDescent="0.25">
      <c r="A3547">
        <v>0</v>
      </c>
      <c r="B3547">
        <v>1.8666666666666699E-2</v>
      </c>
      <c r="C3547">
        <f t="shared" si="110"/>
        <v>1.6390515055430126</v>
      </c>
      <c r="D3547">
        <v>3</v>
      </c>
      <c r="E3547">
        <f t="shared" si="111"/>
        <v>5.6146788746696277E-2</v>
      </c>
    </row>
    <row r="3548" spans="1:5" x14ac:dyDescent="0.25">
      <c r="A3548">
        <v>0</v>
      </c>
      <c r="B3548">
        <v>1.86915887850467E-2</v>
      </c>
      <c r="C3548">
        <f t="shared" si="110"/>
        <v>1.6390568171496604</v>
      </c>
      <c r="D3548">
        <v>3</v>
      </c>
      <c r="E3548">
        <f t="shared" si="111"/>
        <v>5.6146788746696277E-2</v>
      </c>
    </row>
    <row r="3549" spans="1:5" x14ac:dyDescent="0.25">
      <c r="A3549">
        <v>0</v>
      </c>
      <c r="B3549">
        <v>1.86915887850467E-2</v>
      </c>
      <c r="C3549">
        <f t="shared" si="110"/>
        <v>1.6390568171496604</v>
      </c>
      <c r="D3549">
        <v>3</v>
      </c>
      <c r="E3549">
        <f t="shared" si="111"/>
        <v>5.6146788746696277E-2</v>
      </c>
    </row>
    <row r="3550" spans="1:5" x14ac:dyDescent="0.25">
      <c r="A3550">
        <v>0</v>
      </c>
      <c r="B3550">
        <v>1.86915887850467E-2</v>
      </c>
      <c r="C3550">
        <f t="shared" si="110"/>
        <v>1.6390568171496604</v>
      </c>
      <c r="D3550">
        <v>3</v>
      </c>
      <c r="E3550">
        <f t="shared" si="111"/>
        <v>5.6146788746696277E-2</v>
      </c>
    </row>
    <row r="3551" spans="1:5" x14ac:dyDescent="0.25">
      <c r="A3551">
        <v>0</v>
      </c>
      <c r="B3551">
        <v>1.86915887850467E-2</v>
      </c>
      <c r="C3551">
        <f t="shared" si="110"/>
        <v>1.6390568171496604</v>
      </c>
      <c r="D3551">
        <v>3</v>
      </c>
      <c r="E3551">
        <f t="shared" si="111"/>
        <v>5.6146788746696277E-2</v>
      </c>
    </row>
    <row r="3552" spans="1:5" x14ac:dyDescent="0.25">
      <c r="A3552">
        <v>0</v>
      </c>
      <c r="B3552">
        <v>1.9E-2</v>
      </c>
      <c r="C3552">
        <f t="shared" si="110"/>
        <v>1.6391211260958543</v>
      </c>
      <c r="D3552">
        <v>3</v>
      </c>
      <c r="E3552">
        <f t="shared" si="111"/>
        <v>5.6146788746696277E-2</v>
      </c>
    </row>
    <row r="3553" spans="1:5" x14ac:dyDescent="0.25">
      <c r="A3553">
        <v>0</v>
      </c>
      <c r="B3553">
        <v>1.93333333333333E-2</v>
      </c>
      <c r="C3553">
        <f t="shared" si="110"/>
        <v>1.6391876721797185</v>
      </c>
      <c r="D3553">
        <v>3</v>
      </c>
      <c r="E3553">
        <f t="shared" si="111"/>
        <v>5.6146788746696277E-2</v>
      </c>
    </row>
    <row r="3554" spans="1:5" x14ac:dyDescent="0.25">
      <c r="A3554">
        <v>0</v>
      </c>
      <c r="B3554">
        <v>1.9607843137254902E-2</v>
      </c>
      <c r="C3554">
        <f t="shared" si="110"/>
        <v>1.639240166060377</v>
      </c>
      <c r="D3554">
        <v>3</v>
      </c>
      <c r="E3554">
        <f t="shared" si="111"/>
        <v>5.6146788746696277E-2</v>
      </c>
    </row>
    <row r="3555" spans="1:5" x14ac:dyDescent="0.25">
      <c r="A3555">
        <v>0</v>
      </c>
      <c r="B3555">
        <v>0.02</v>
      </c>
      <c r="C3555">
        <f t="shared" si="110"/>
        <v>1.6393115394590496</v>
      </c>
      <c r="D3555">
        <v>3</v>
      </c>
      <c r="E3555">
        <f t="shared" si="111"/>
        <v>5.6146788746696277E-2</v>
      </c>
    </row>
    <row r="3556" spans="1:5" x14ac:dyDescent="0.25">
      <c r="A3556">
        <v>0</v>
      </c>
      <c r="B3556">
        <v>0.02</v>
      </c>
      <c r="C3556">
        <f t="shared" si="110"/>
        <v>1.6393115394590496</v>
      </c>
      <c r="D3556">
        <v>3</v>
      </c>
      <c r="E3556">
        <f t="shared" si="111"/>
        <v>5.6146788746696277E-2</v>
      </c>
    </row>
    <row r="3557" spans="1:5" x14ac:dyDescent="0.25">
      <c r="A3557">
        <v>0</v>
      </c>
      <c r="B3557">
        <v>0.02</v>
      </c>
      <c r="C3557">
        <f t="shared" si="110"/>
        <v>1.6393115394590496</v>
      </c>
      <c r="D3557">
        <v>3</v>
      </c>
      <c r="E3557">
        <f t="shared" si="111"/>
        <v>5.6146788746696277E-2</v>
      </c>
    </row>
    <row r="3558" spans="1:5" x14ac:dyDescent="0.25">
      <c r="A3558">
        <v>0</v>
      </c>
      <c r="B3558">
        <v>0.02</v>
      </c>
      <c r="C3558">
        <f t="shared" si="110"/>
        <v>1.6393115394590496</v>
      </c>
      <c r="D3558">
        <v>3</v>
      </c>
      <c r="E3558">
        <f t="shared" si="111"/>
        <v>5.6146788746696277E-2</v>
      </c>
    </row>
    <row r="3559" spans="1:5" x14ac:dyDescent="0.25">
      <c r="A3559">
        <v>0</v>
      </c>
      <c r="B3559">
        <v>0.02</v>
      </c>
      <c r="C3559">
        <f t="shared" si="110"/>
        <v>1.6393115394590496</v>
      </c>
      <c r="D3559">
        <v>3</v>
      </c>
      <c r="E3559">
        <f t="shared" si="111"/>
        <v>5.6146788746696277E-2</v>
      </c>
    </row>
    <row r="3560" spans="1:5" x14ac:dyDescent="0.25">
      <c r="A3560">
        <v>0</v>
      </c>
      <c r="B3560">
        <v>0.02</v>
      </c>
      <c r="C3560">
        <f t="shared" si="110"/>
        <v>1.6393115394590496</v>
      </c>
      <c r="D3560">
        <v>3</v>
      </c>
      <c r="E3560">
        <f t="shared" si="111"/>
        <v>5.6146788746696277E-2</v>
      </c>
    </row>
    <row r="3561" spans="1:5" x14ac:dyDescent="0.25">
      <c r="A3561">
        <v>0</v>
      </c>
      <c r="B3561">
        <v>0.02</v>
      </c>
      <c r="C3561">
        <f t="shared" si="110"/>
        <v>1.6393115394590496</v>
      </c>
      <c r="D3561">
        <v>3</v>
      </c>
      <c r="E3561">
        <f t="shared" si="111"/>
        <v>5.6146788746696277E-2</v>
      </c>
    </row>
    <row r="3562" spans="1:5" x14ac:dyDescent="0.25">
      <c r="A3562">
        <v>0</v>
      </c>
      <c r="B3562">
        <v>0.02</v>
      </c>
      <c r="C3562">
        <f t="shared" si="110"/>
        <v>1.6393115394590496</v>
      </c>
      <c r="D3562">
        <v>3</v>
      </c>
      <c r="E3562">
        <f t="shared" si="111"/>
        <v>5.6146788746696277E-2</v>
      </c>
    </row>
    <row r="3563" spans="1:5" x14ac:dyDescent="0.25">
      <c r="A3563">
        <v>0</v>
      </c>
      <c r="B3563">
        <v>0.02</v>
      </c>
      <c r="C3563">
        <f t="shared" si="110"/>
        <v>1.6393115394590496</v>
      </c>
      <c r="D3563">
        <v>3</v>
      </c>
      <c r="E3563">
        <f t="shared" si="111"/>
        <v>5.6146788746696277E-2</v>
      </c>
    </row>
    <row r="3564" spans="1:5" x14ac:dyDescent="0.25">
      <c r="A3564">
        <v>0</v>
      </c>
      <c r="B3564">
        <v>0.02</v>
      </c>
      <c r="C3564">
        <f t="shared" si="110"/>
        <v>1.6393115394590496</v>
      </c>
      <c r="D3564">
        <v>3</v>
      </c>
      <c r="E3564">
        <f t="shared" si="111"/>
        <v>5.6146788746696277E-2</v>
      </c>
    </row>
    <row r="3565" spans="1:5" x14ac:dyDescent="0.25">
      <c r="A3565">
        <v>0</v>
      </c>
      <c r="B3565">
        <v>2.09580838323353E-2</v>
      </c>
      <c r="C3565">
        <f t="shared" si="110"/>
        <v>1.639468007798667</v>
      </c>
      <c r="D3565">
        <v>3</v>
      </c>
      <c r="E3565">
        <f t="shared" si="111"/>
        <v>5.6146788746696277E-2</v>
      </c>
    </row>
    <row r="3566" spans="1:5" x14ac:dyDescent="0.25">
      <c r="A3566">
        <v>0</v>
      </c>
      <c r="B3566">
        <v>2.09580838323353E-2</v>
      </c>
      <c r="C3566">
        <f t="shared" si="110"/>
        <v>1.639468007798667</v>
      </c>
      <c r="D3566">
        <v>3</v>
      </c>
      <c r="E3566">
        <f t="shared" si="111"/>
        <v>5.6146788746696277E-2</v>
      </c>
    </row>
    <row r="3567" spans="1:5" x14ac:dyDescent="0.25">
      <c r="A3567">
        <v>0</v>
      </c>
      <c r="B3567">
        <v>2.09580838323353E-2</v>
      </c>
      <c r="C3567">
        <f t="shared" si="110"/>
        <v>1.639468007798667</v>
      </c>
      <c r="D3567">
        <v>3</v>
      </c>
      <c r="E3567">
        <f t="shared" si="111"/>
        <v>5.6146788746696277E-2</v>
      </c>
    </row>
    <row r="3568" spans="1:5" x14ac:dyDescent="0.25">
      <c r="A3568">
        <v>0</v>
      </c>
      <c r="B3568">
        <v>2.09580838323353E-2</v>
      </c>
      <c r="C3568">
        <f t="shared" si="110"/>
        <v>1.639468007798667</v>
      </c>
      <c r="D3568">
        <v>3</v>
      </c>
      <c r="E3568">
        <f t="shared" si="111"/>
        <v>5.6146788746696277E-2</v>
      </c>
    </row>
    <row r="3569" spans="1:5" x14ac:dyDescent="0.25">
      <c r="A3569">
        <v>0</v>
      </c>
      <c r="B3569">
        <v>2.09580838323353E-2</v>
      </c>
      <c r="C3569">
        <f t="shared" si="110"/>
        <v>1.639468007798667</v>
      </c>
      <c r="D3569">
        <v>3</v>
      </c>
      <c r="E3569">
        <f t="shared" si="111"/>
        <v>5.6146788746696277E-2</v>
      </c>
    </row>
    <row r="3570" spans="1:5" x14ac:dyDescent="0.25">
      <c r="A3570">
        <v>0</v>
      </c>
      <c r="B3570">
        <v>2.0979020979021001E-2</v>
      </c>
      <c r="C3570">
        <f t="shared" si="110"/>
        <v>1.6394711433786018</v>
      </c>
      <c r="D3570">
        <v>3</v>
      </c>
      <c r="E3570">
        <f t="shared" si="111"/>
        <v>5.6146788746696277E-2</v>
      </c>
    </row>
    <row r="3571" spans="1:5" x14ac:dyDescent="0.25">
      <c r="A3571">
        <v>0</v>
      </c>
      <c r="B3571">
        <v>2.0979020979021001E-2</v>
      </c>
      <c r="C3571">
        <f t="shared" si="110"/>
        <v>1.6394711433786018</v>
      </c>
      <c r="D3571">
        <v>3</v>
      </c>
      <c r="E3571">
        <f t="shared" si="111"/>
        <v>5.6146788746696277E-2</v>
      </c>
    </row>
    <row r="3572" spans="1:5" x14ac:dyDescent="0.25">
      <c r="A3572">
        <v>0</v>
      </c>
      <c r="B3572">
        <v>2.0979020979021001E-2</v>
      </c>
      <c r="C3572">
        <f t="shared" si="110"/>
        <v>1.6394711433786018</v>
      </c>
      <c r="D3572">
        <v>3</v>
      </c>
      <c r="E3572">
        <f t="shared" si="111"/>
        <v>5.6146788746696277E-2</v>
      </c>
    </row>
    <row r="3573" spans="1:5" x14ac:dyDescent="0.25">
      <c r="A3573">
        <v>0</v>
      </c>
      <c r="B3573">
        <v>2.0979020979021001E-2</v>
      </c>
      <c r="C3573">
        <f t="shared" si="110"/>
        <v>1.6394711433786018</v>
      </c>
      <c r="D3573">
        <v>3</v>
      </c>
      <c r="E3573">
        <f t="shared" si="111"/>
        <v>5.6146788746696277E-2</v>
      </c>
    </row>
    <row r="3574" spans="1:5" x14ac:dyDescent="0.25">
      <c r="A3574">
        <v>0</v>
      </c>
      <c r="B3574">
        <v>2.0979020979021001E-2</v>
      </c>
      <c r="C3574">
        <f t="shared" si="110"/>
        <v>1.6394711433786018</v>
      </c>
      <c r="D3574">
        <v>3</v>
      </c>
      <c r="E3574">
        <f t="shared" si="111"/>
        <v>5.6146788746696277E-2</v>
      </c>
    </row>
    <row r="3575" spans="1:5" x14ac:dyDescent="0.25">
      <c r="A3575">
        <v>0</v>
      </c>
      <c r="B3575">
        <v>2.0979020979021001E-2</v>
      </c>
      <c r="C3575">
        <f t="shared" si="110"/>
        <v>1.6394711433786018</v>
      </c>
      <c r="D3575">
        <v>3</v>
      </c>
      <c r="E3575">
        <f t="shared" si="111"/>
        <v>5.6146788746696277E-2</v>
      </c>
    </row>
    <row r="3576" spans="1:5" x14ac:dyDescent="0.25">
      <c r="A3576">
        <v>0</v>
      </c>
      <c r="B3576">
        <v>2.1021021021020998E-2</v>
      </c>
      <c r="C3576">
        <f t="shared" si="110"/>
        <v>1.6394773967760108</v>
      </c>
      <c r="D3576">
        <v>3</v>
      </c>
      <c r="E3576">
        <f t="shared" si="111"/>
        <v>5.6146788746696277E-2</v>
      </c>
    </row>
    <row r="3577" spans="1:5" x14ac:dyDescent="0.25">
      <c r="A3577">
        <v>0</v>
      </c>
      <c r="B3577">
        <v>2.1021021021020998E-2</v>
      </c>
      <c r="C3577">
        <f t="shared" si="110"/>
        <v>1.6394773967760108</v>
      </c>
      <c r="D3577">
        <v>3</v>
      </c>
      <c r="E3577">
        <f t="shared" si="111"/>
        <v>5.6146788746696277E-2</v>
      </c>
    </row>
    <row r="3578" spans="1:5" x14ac:dyDescent="0.25">
      <c r="A3578">
        <v>0</v>
      </c>
      <c r="B3578">
        <v>2.1021021021020998E-2</v>
      </c>
      <c r="C3578">
        <f t="shared" si="110"/>
        <v>1.6394773967760108</v>
      </c>
      <c r="D3578">
        <v>3</v>
      </c>
      <c r="E3578">
        <f t="shared" si="111"/>
        <v>5.6146788746696277E-2</v>
      </c>
    </row>
    <row r="3579" spans="1:5" x14ac:dyDescent="0.25">
      <c r="A3579">
        <v>0</v>
      </c>
      <c r="B3579">
        <v>2.1021021021020998E-2</v>
      </c>
      <c r="C3579">
        <f t="shared" si="110"/>
        <v>1.6394773967760108</v>
      </c>
      <c r="D3579">
        <v>3</v>
      </c>
      <c r="E3579">
        <f t="shared" si="111"/>
        <v>5.6146788746696277E-2</v>
      </c>
    </row>
    <row r="3580" spans="1:5" x14ac:dyDescent="0.25">
      <c r="A3580">
        <v>0</v>
      </c>
      <c r="B3580">
        <v>2.1021021021020998E-2</v>
      </c>
      <c r="C3580">
        <f t="shared" si="110"/>
        <v>1.6394773967760108</v>
      </c>
      <c r="D3580">
        <v>3</v>
      </c>
      <c r="E3580">
        <f t="shared" si="111"/>
        <v>5.6146788746696277E-2</v>
      </c>
    </row>
    <row r="3581" spans="1:5" x14ac:dyDescent="0.25">
      <c r="A3581">
        <v>0</v>
      </c>
      <c r="B3581">
        <v>2.1021021021020998E-2</v>
      </c>
      <c r="C3581">
        <f t="shared" si="110"/>
        <v>1.6394773967760108</v>
      </c>
      <c r="D3581">
        <v>3</v>
      </c>
      <c r="E3581">
        <f t="shared" si="111"/>
        <v>5.6146788746696277E-2</v>
      </c>
    </row>
    <row r="3582" spans="1:5" x14ac:dyDescent="0.25">
      <c r="A3582">
        <v>0</v>
      </c>
      <c r="B3582">
        <v>2.1021021021020998E-2</v>
      </c>
      <c r="C3582">
        <f t="shared" si="110"/>
        <v>1.6394773967760108</v>
      </c>
      <c r="D3582">
        <v>3</v>
      </c>
      <c r="E3582">
        <f t="shared" si="111"/>
        <v>5.6146788746696277E-2</v>
      </c>
    </row>
    <row r="3583" spans="1:5" x14ac:dyDescent="0.25">
      <c r="A3583">
        <v>0</v>
      </c>
      <c r="B3583">
        <v>2.1021021021020998E-2</v>
      </c>
      <c r="C3583">
        <f t="shared" si="110"/>
        <v>1.6394773967760108</v>
      </c>
      <c r="D3583">
        <v>3</v>
      </c>
      <c r="E3583">
        <f t="shared" si="111"/>
        <v>5.6146788746696277E-2</v>
      </c>
    </row>
    <row r="3584" spans="1:5" x14ac:dyDescent="0.25">
      <c r="A3584">
        <v>0</v>
      </c>
      <c r="B3584">
        <v>2.1021021021020998E-2</v>
      </c>
      <c r="C3584">
        <f t="shared" si="110"/>
        <v>1.6394773967760108</v>
      </c>
      <c r="D3584">
        <v>3</v>
      </c>
      <c r="E3584">
        <f t="shared" si="111"/>
        <v>5.6146788746696277E-2</v>
      </c>
    </row>
    <row r="3585" spans="1:5" x14ac:dyDescent="0.25">
      <c r="A3585">
        <v>0</v>
      </c>
      <c r="B3585">
        <v>2.1021021021020998E-2</v>
      </c>
      <c r="C3585">
        <f t="shared" si="110"/>
        <v>1.6394773967760108</v>
      </c>
      <c r="D3585">
        <v>3</v>
      </c>
      <c r="E3585">
        <f t="shared" si="111"/>
        <v>5.6146788746696277E-2</v>
      </c>
    </row>
    <row r="3586" spans="1:5" x14ac:dyDescent="0.25">
      <c r="A3586">
        <v>0</v>
      </c>
      <c r="B3586">
        <v>2.10280373831776E-2</v>
      </c>
      <c r="C3586">
        <f t="shared" ref="C3586:C3649" si="112">_xlfn.NORM.DIST(B3586,I$10,I$13,FALSE)</f>
        <v>1.6394784366828163</v>
      </c>
      <c r="D3586">
        <v>3</v>
      </c>
      <c r="E3586">
        <f t="shared" si="111"/>
        <v>5.6146788746696277E-2</v>
      </c>
    </row>
    <row r="3587" spans="1:5" x14ac:dyDescent="0.25">
      <c r="A3587">
        <v>0</v>
      </c>
      <c r="B3587">
        <v>2.10280373831776E-2</v>
      </c>
      <c r="C3587">
        <f t="shared" si="112"/>
        <v>1.6394784366828163</v>
      </c>
      <c r="D3587">
        <v>3</v>
      </c>
      <c r="E3587">
        <f t="shared" ref="E3587:E3650" si="113">_xlfn.NORM.DIST(D3587,I$4,I$7,FALSE)</f>
        <v>5.6146788746696277E-2</v>
      </c>
    </row>
    <row r="3588" spans="1:5" x14ac:dyDescent="0.25">
      <c r="A3588">
        <v>0</v>
      </c>
      <c r="B3588">
        <v>2.10280373831776E-2</v>
      </c>
      <c r="C3588">
        <f t="shared" si="112"/>
        <v>1.6394784366828163</v>
      </c>
      <c r="D3588">
        <v>3</v>
      </c>
      <c r="E3588">
        <f t="shared" si="113"/>
        <v>5.6146788746696277E-2</v>
      </c>
    </row>
    <row r="3589" spans="1:5" x14ac:dyDescent="0.25">
      <c r="A3589">
        <v>0</v>
      </c>
      <c r="B3589">
        <v>2.10280373831776E-2</v>
      </c>
      <c r="C3589">
        <f t="shared" si="112"/>
        <v>1.6394784366828163</v>
      </c>
      <c r="D3589">
        <v>3</v>
      </c>
      <c r="E3589">
        <f t="shared" si="113"/>
        <v>5.6146788746696277E-2</v>
      </c>
    </row>
    <row r="3590" spans="1:5" x14ac:dyDescent="0.25">
      <c r="A3590">
        <v>0</v>
      </c>
      <c r="B3590">
        <v>2.1333333333333301E-2</v>
      </c>
      <c r="C3590">
        <f t="shared" si="112"/>
        <v>1.6395223650630502</v>
      </c>
      <c r="D3590">
        <v>3</v>
      </c>
      <c r="E3590">
        <f t="shared" si="113"/>
        <v>5.6146788746696277E-2</v>
      </c>
    </row>
    <row r="3591" spans="1:5" x14ac:dyDescent="0.25">
      <c r="A3591">
        <v>0</v>
      </c>
      <c r="B3591">
        <v>2.1333333333333301E-2</v>
      </c>
      <c r="C3591">
        <f t="shared" si="112"/>
        <v>1.6395223650630502</v>
      </c>
      <c r="D3591">
        <v>3</v>
      </c>
      <c r="E3591">
        <f t="shared" si="113"/>
        <v>5.6146788746696277E-2</v>
      </c>
    </row>
    <row r="3592" spans="1:5" x14ac:dyDescent="0.25">
      <c r="A3592">
        <v>0</v>
      </c>
      <c r="B3592">
        <v>2.1333333333333301E-2</v>
      </c>
      <c r="C3592">
        <f t="shared" si="112"/>
        <v>1.6395223650630502</v>
      </c>
      <c r="D3592">
        <v>3</v>
      </c>
      <c r="E3592">
        <f t="shared" si="113"/>
        <v>5.6146788746696277E-2</v>
      </c>
    </row>
    <row r="3593" spans="1:5" x14ac:dyDescent="0.25">
      <c r="A3593">
        <v>0</v>
      </c>
      <c r="B3593">
        <v>2.1333333333333301E-2</v>
      </c>
      <c r="C3593">
        <f t="shared" si="112"/>
        <v>1.6395223650630502</v>
      </c>
      <c r="D3593">
        <v>3</v>
      </c>
      <c r="E3593">
        <f t="shared" si="113"/>
        <v>5.6146788746696277E-2</v>
      </c>
    </row>
    <row r="3594" spans="1:5" x14ac:dyDescent="0.25">
      <c r="A3594">
        <v>0</v>
      </c>
      <c r="B3594">
        <v>2.1333333333333301E-2</v>
      </c>
      <c r="C3594">
        <f t="shared" si="112"/>
        <v>1.6395223650630502</v>
      </c>
      <c r="D3594">
        <v>3</v>
      </c>
      <c r="E3594">
        <f t="shared" si="113"/>
        <v>5.6146788746696277E-2</v>
      </c>
    </row>
    <row r="3595" spans="1:5" x14ac:dyDescent="0.25">
      <c r="A3595">
        <v>0</v>
      </c>
      <c r="B3595">
        <v>2.1333333333333301E-2</v>
      </c>
      <c r="C3595">
        <f t="shared" si="112"/>
        <v>1.6395223650630502</v>
      </c>
      <c r="D3595">
        <v>3</v>
      </c>
      <c r="E3595">
        <f t="shared" si="113"/>
        <v>5.6146788746696277E-2</v>
      </c>
    </row>
    <row r="3596" spans="1:5" x14ac:dyDescent="0.25">
      <c r="A3596">
        <v>0</v>
      </c>
      <c r="B3596">
        <v>2.1333333333333301E-2</v>
      </c>
      <c r="C3596">
        <f t="shared" si="112"/>
        <v>1.6395223650630502</v>
      </c>
      <c r="D3596">
        <v>3</v>
      </c>
      <c r="E3596">
        <f t="shared" si="113"/>
        <v>5.6146788746696277E-2</v>
      </c>
    </row>
    <row r="3597" spans="1:5" x14ac:dyDescent="0.25">
      <c r="A3597">
        <v>0</v>
      </c>
      <c r="B3597">
        <v>2.1333333333333301E-2</v>
      </c>
      <c r="C3597">
        <f t="shared" si="112"/>
        <v>1.6395223650630502</v>
      </c>
      <c r="D3597">
        <v>3</v>
      </c>
      <c r="E3597">
        <f t="shared" si="113"/>
        <v>5.6146788746696277E-2</v>
      </c>
    </row>
    <row r="3598" spans="1:5" x14ac:dyDescent="0.25">
      <c r="A3598">
        <v>0</v>
      </c>
      <c r="B3598">
        <v>2.1333333333333301E-2</v>
      </c>
      <c r="C3598">
        <f t="shared" si="112"/>
        <v>1.6395223650630502</v>
      </c>
      <c r="D3598">
        <v>3</v>
      </c>
      <c r="E3598">
        <f t="shared" si="113"/>
        <v>5.6146788746696277E-2</v>
      </c>
    </row>
    <row r="3599" spans="1:5" x14ac:dyDescent="0.25">
      <c r="A3599">
        <v>0</v>
      </c>
      <c r="B3599">
        <v>2.1333333333333301E-2</v>
      </c>
      <c r="C3599">
        <f t="shared" si="112"/>
        <v>1.6395223650630502</v>
      </c>
      <c r="D3599">
        <v>3</v>
      </c>
      <c r="E3599">
        <f t="shared" si="113"/>
        <v>5.6146788746696277E-2</v>
      </c>
    </row>
    <row r="3600" spans="1:5" x14ac:dyDescent="0.25">
      <c r="A3600">
        <v>0</v>
      </c>
      <c r="B3600">
        <v>2.1333333333333301E-2</v>
      </c>
      <c r="C3600">
        <f t="shared" si="112"/>
        <v>1.6395223650630502</v>
      </c>
      <c r="D3600">
        <v>3</v>
      </c>
      <c r="E3600">
        <f t="shared" si="113"/>
        <v>5.6146788746696277E-2</v>
      </c>
    </row>
    <row r="3601" spans="1:5" x14ac:dyDescent="0.25">
      <c r="A3601">
        <v>0</v>
      </c>
      <c r="B3601">
        <v>2.1333333333333301E-2</v>
      </c>
      <c r="C3601">
        <f t="shared" si="112"/>
        <v>1.6395223650630502</v>
      </c>
      <c r="D3601">
        <v>3</v>
      </c>
      <c r="E3601">
        <f t="shared" si="113"/>
        <v>5.6146788746696277E-2</v>
      </c>
    </row>
    <row r="3602" spans="1:5" x14ac:dyDescent="0.25">
      <c r="A3602">
        <v>0</v>
      </c>
      <c r="B3602">
        <v>2.1333333333333301E-2</v>
      </c>
      <c r="C3602">
        <f t="shared" si="112"/>
        <v>1.6395223650630502</v>
      </c>
      <c r="D3602">
        <v>3</v>
      </c>
      <c r="E3602">
        <f t="shared" si="113"/>
        <v>5.6146788746696277E-2</v>
      </c>
    </row>
    <row r="3603" spans="1:5" x14ac:dyDescent="0.25">
      <c r="A3603">
        <v>0</v>
      </c>
      <c r="B3603">
        <v>2.1333333333333301E-2</v>
      </c>
      <c r="C3603">
        <f t="shared" si="112"/>
        <v>1.6395223650630502</v>
      </c>
      <c r="D3603">
        <v>3</v>
      </c>
      <c r="E3603">
        <f t="shared" si="113"/>
        <v>5.6146788746696277E-2</v>
      </c>
    </row>
    <row r="3604" spans="1:5" x14ac:dyDescent="0.25">
      <c r="A3604">
        <v>0</v>
      </c>
      <c r="B3604">
        <v>2.1621621621621599E-2</v>
      </c>
      <c r="C3604">
        <f t="shared" si="112"/>
        <v>1.6395614769997184</v>
      </c>
      <c r="D3604">
        <v>3</v>
      </c>
      <c r="E3604">
        <f t="shared" si="113"/>
        <v>5.6146788746696277E-2</v>
      </c>
    </row>
    <row r="3605" spans="1:5" x14ac:dyDescent="0.25">
      <c r="A3605">
        <v>0</v>
      </c>
      <c r="B3605">
        <v>2.1666666666666699E-2</v>
      </c>
      <c r="C3605">
        <f t="shared" si="112"/>
        <v>1.6395673803419191</v>
      </c>
      <c r="D3605">
        <v>3</v>
      </c>
      <c r="E3605">
        <f t="shared" si="113"/>
        <v>5.6146788746696277E-2</v>
      </c>
    </row>
    <row r="3606" spans="1:5" x14ac:dyDescent="0.25">
      <c r="A3606">
        <v>0</v>
      </c>
      <c r="B3606">
        <v>2.1666666666666699E-2</v>
      </c>
      <c r="C3606">
        <f t="shared" si="112"/>
        <v>1.6395673803419191</v>
      </c>
      <c r="D3606">
        <v>3</v>
      </c>
      <c r="E3606">
        <f t="shared" si="113"/>
        <v>5.6146788746696277E-2</v>
      </c>
    </row>
    <row r="3607" spans="1:5" x14ac:dyDescent="0.25">
      <c r="A3607">
        <v>0</v>
      </c>
      <c r="B3607">
        <v>2.1666666666666699E-2</v>
      </c>
      <c r="C3607">
        <f t="shared" si="112"/>
        <v>1.6395673803419191</v>
      </c>
      <c r="D3607">
        <v>3</v>
      </c>
      <c r="E3607">
        <f t="shared" si="113"/>
        <v>5.6146788746696277E-2</v>
      </c>
    </row>
    <row r="3608" spans="1:5" x14ac:dyDescent="0.25">
      <c r="A3608">
        <v>0</v>
      </c>
      <c r="B3608">
        <v>2.1666666666666699E-2</v>
      </c>
      <c r="C3608">
        <f t="shared" si="112"/>
        <v>1.6395673803419191</v>
      </c>
      <c r="D3608">
        <v>3</v>
      </c>
      <c r="E3608">
        <f t="shared" si="113"/>
        <v>5.6146788746696277E-2</v>
      </c>
    </row>
    <row r="3609" spans="1:5" x14ac:dyDescent="0.25">
      <c r="A3609">
        <v>0</v>
      </c>
      <c r="B3609">
        <v>2.1666666666666699E-2</v>
      </c>
      <c r="C3609">
        <f t="shared" si="112"/>
        <v>1.6395673803419191</v>
      </c>
      <c r="D3609">
        <v>3</v>
      </c>
      <c r="E3609">
        <f t="shared" si="113"/>
        <v>5.6146788746696277E-2</v>
      </c>
    </row>
    <row r="3610" spans="1:5" x14ac:dyDescent="0.25">
      <c r="A3610">
        <v>0</v>
      </c>
      <c r="B3610">
        <v>2.1666666666666699E-2</v>
      </c>
      <c r="C3610">
        <f t="shared" si="112"/>
        <v>1.6395673803419191</v>
      </c>
      <c r="D3610">
        <v>3</v>
      </c>
      <c r="E3610">
        <f t="shared" si="113"/>
        <v>5.6146788746696277E-2</v>
      </c>
    </row>
    <row r="3611" spans="1:5" x14ac:dyDescent="0.25">
      <c r="A3611">
        <v>0</v>
      </c>
      <c r="B3611">
        <v>2.1666666666666699E-2</v>
      </c>
      <c r="C3611">
        <f t="shared" si="112"/>
        <v>1.6395673803419191</v>
      </c>
      <c r="D3611">
        <v>3</v>
      </c>
      <c r="E3611">
        <f t="shared" si="113"/>
        <v>5.6146788746696277E-2</v>
      </c>
    </row>
    <row r="3612" spans="1:5" x14ac:dyDescent="0.25">
      <c r="A3612">
        <v>0</v>
      </c>
      <c r="B3612">
        <v>2.1666666666666699E-2</v>
      </c>
      <c r="C3612">
        <f t="shared" si="112"/>
        <v>1.6395673803419191</v>
      </c>
      <c r="D3612">
        <v>3</v>
      </c>
      <c r="E3612">
        <f t="shared" si="113"/>
        <v>5.6146788746696277E-2</v>
      </c>
    </row>
    <row r="3613" spans="1:5" x14ac:dyDescent="0.25">
      <c r="A3613">
        <v>0</v>
      </c>
      <c r="B3613">
        <v>2.1999999999999999E-2</v>
      </c>
      <c r="C3613">
        <f t="shared" si="112"/>
        <v>1.6396093186389513</v>
      </c>
      <c r="D3613">
        <v>3</v>
      </c>
      <c r="E3613">
        <f t="shared" si="113"/>
        <v>5.6146788746696277E-2</v>
      </c>
    </row>
    <row r="3614" spans="1:5" x14ac:dyDescent="0.25">
      <c r="A3614">
        <v>0</v>
      </c>
      <c r="B3614">
        <v>2.1999999999999999E-2</v>
      </c>
      <c r="C3614">
        <f t="shared" si="112"/>
        <v>1.6396093186389513</v>
      </c>
      <c r="D3614">
        <v>3</v>
      </c>
      <c r="E3614">
        <f t="shared" si="113"/>
        <v>5.6146788746696277E-2</v>
      </c>
    </row>
    <row r="3615" spans="1:5" x14ac:dyDescent="0.25">
      <c r="A3615">
        <v>0</v>
      </c>
      <c r="B3615">
        <v>2.1999999999999999E-2</v>
      </c>
      <c r="C3615">
        <f t="shared" si="112"/>
        <v>1.6396093186389513</v>
      </c>
      <c r="D3615">
        <v>3</v>
      </c>
      <c r="E3615">
        <f t="shared" si="113"/>
        <v>5.6146788746696277E-2</v>
      </c>
    </row>
    <row r="3616" spans="1:5" x14ac:dyDescent="0.25">
      <c r="A3616">
        <v>0</v>
      </c>
      <c r="B3616">
        <v>2.1999999999999999E-2</v>
      </c>
      <c r="C3616">
        <f t="shared" si="112"/>
        <v>1.6396093186389513</v>
      </c>
      <c r="D3616">
        <v>3</v>
      </c>
      <c r="E3616">
        <f t="shared" si="113"/>
        <v>5.6146788746696277E-2</v>
      </c>
    </row>
    <row r="3617" spans="1:5" x14ac:dyDescent="0.25">
      <c r="A3617">
        <v>0</v>
      </c>
      <c r="B3617">
        <v>2.26666666666667E-2</v>
      </c>
      <c r="C3617">
        <f t="shared" si="112"/>
        <v>1.6396839633601181</v>
      </c>
      <c r="D3617">
        <v>3</v>
      </c>
      <c r="E3617">
        <f t="shared" si="113"/>
        <v>5.6146788746696277E-2</v>
      </c>
    </row>
    <row r="3618" spans="1:5" x14ac:dyDescent="0.25">
      <c r="A3618">
        <v>0</v>
      </c>
      <c r="B3618">
        <v>2.26666666666667E-2</v>
      </c>
      <c r="C3618">
        <f t="shared" si="112"/>
        <v>1.6396839633601181</v>
      </c>
      <c r="D3618">
        <v>3</v>
      </c>
      <c r="E3618">
        <f t="shared" si="113"/>
        <v>5.6146788746696277E-2</v>
      </c>
    </row>
    <row r="3619" spans="1:5" x14ac:dyDescent="0.25">
      <c r="A3619">
        <v>0</v>
      </c>
      <c r="B3619">
        <v>2.26666666666667E-2</v>
      </c>
      <c r="C3619">
        <f t="shared" si="112"/>
        <v>1.6396839633601181</v>
      </c>
      <c r="D3619">
        <v>3</v>
      </c>
      <c r="E3619">
        <f t="shared" si="113"/>
        <v>5.6146788746696277E-2</v>
      </c>
    </row>
    <row r="3620" spans="1:5" x14ac:dyDescent="0.25">
      <c r="A3620">
        <v>0</v>
      </c>
      <c r="B3620">
        <v>2.3310023310023301E-2</v>
      </c>
      <c r="C3620">
        <f t="shared" si="112"/>
        <v>1.6397443257384243</v>
      </c>
      <c r="D3620">
        <v>3</v>
      </c>
      <c r="E3620">
        <f t="shared" si="113"/>
        <v>5.6146788746696277E-2</v>
      </c>
    </row>
    <row r="3621" spans="1:5" x14ac:dyDescent="0.25">
      <c r="A3621">
        <v>0</v>
      </c>
      <c r="B3621">
        <v>2.3310023310023301E-2</v>
      </c>
      <c r="C3621">
        <f t="shared" si="112"/>
        <v>1.6397443257384243</v>
      </c>
      <c r="D3621">
        <v>3</v>
      </c>
      <c r="E3621">
        <f t="shared" si="113"/>
        <v>5.6146788746696277E-2</v>
      </c>
    </row>
    <row r="3622" spans="1:5" x14ac:dyDescent="0.25">
      <c r="A3622">
        <v>0</v>
      </c>
      <c r="B3622">
        <v>2.3310023310023301E-2</v>
      </c>
      <c r="C3622">
        <f t="shared" si="112"/>
        <v>1.6397443257384243</v>
      </c>
      <c r="D3622">
        <v>3</v>
      </c>
      <c r="E3622">
        <f t="shared" si="113"/>
        <v>5.6146788746696277E-2</v>
      </c>
    </row>
    <row r="3623" spans="1:5" x14ac:dyDescent="0.25">
      <c r="A3623">
        <v>0</v>
      </c>
      <c r="B3623">
        <v>2.3310023310023301E-2</v>
      </c>
      <c r="C3623">
        <f t="shared" si="112"/>
        <v>1.6397443257384243</v>
      </c>
      <c r="D3623">
        <v>3</v>
      </c>
      <c r="E3623">
        <f t="shared" si="113"/>
        <v>5.6146788746696277E-2</v>
      </c>
    </row>
    <row r="3624" spans="1:5" x14ac:dyDescent="0.25">
      <c r="A3624">
        <v>0</v>
      </c>
      <c r="B3624">
        <v>2.33333333333333E-2</v>
      </c>
      <c r="C3624">
        <f t="shared" si="112"/>
        <v>1.6397462975450499</v>
      </c>
      <c r="D3624">
        <v>3</v>
      </c>
      <c r="E3624">
        <f t="shared" si="113"/>
        <v>5.6146788746696277E-2</v>
      </c>
    </row>
    <row r="3625" spans="1:5" x14ac:dyDescent="0.25">
      <c r="A3625">
        <v>0</v>
      </c>
      <c r="B3625">
        <v>2.33333333333333E-2</v>
      </c>
      <c r="C3625">
        <f t="shared" si="112"/>
        <v>1.6397462975450499</v>
      </c>
      <c r="D3625">
        <v>3</v>
      </c>
      <c r="E3625">
        <f t="shared" si="113"/>
        <v>5.6146788746696277E-2</v>
      </c>
    </row>
    <row r="3626" spans="1:5" x14ac:dyDescent="0.25">
      <c r="A3626">
        <v>0</v>
      </c>
      <c r="B3626">
        <v>2.33644859813084E-2</v>
      </c>
      <c r="C3626">
        <f t="shared" si="112"/>
        <v>1.639748909262922</v>
      </c>
      <c r="D3626">
        <v>3</v>
      </c>
      <c r="E3626">
        <f t="shared" si="113"/>
        <v>5.6146788746696277E-2</v>
      </c>
    </row>
    <row r="3627" spans="1:5" x14ac:dyDescent="0.25">
      <c r="A3627">
        <v>0</v>
      </c>
      <c r="B3627">
        <v>2.33644859813084E-2</v>
      </c>
      <c r="C3627">
        <f t="shared" si="112"/>
        <v>1.639748909262922</v>
      </c>
      <c r="D3627">
        <v>3</v>
      </c>
      <c r="E3627">
        <f t="shared" si="113"/>
        <v>5.6146788746696277E-2</v>
      </c>
    </row>
    <row r="3628" spans="1:5" x14ac:dyDescent="0.25">
      <c r="A3628">
        <v>0</v>
      </c>
      <c r="B3628">
        <v>2.33644859813084E-2</v>
      </c>
      <c r="C3628">
        <f t="shared" si="112"/>
        <v>1.639748909262922</v>
      </c>
      <c r="D3628">
        <v>3</v>
      </c>
      <c r="E3628">
        <f t="shared" si="113"/>
        <v>5.6146788746696277E-2</v>
      </c>
    </row>
    <row r="3629" spans="1:5" x14ac:dyDescent="0.25">
      <c r="A3629">
        <v>0</v>
      </c>
      <c r="B3629">
        <v>2.33644859813084E-2</v>
      </c>
      <c r="C3629">
        <f t="shared" si="112"/>
        <v>1.639748909262922</v>
      </c>
      <c r="D3629">
        <v>3</v>
      </c>
      <c r="E3629">
        <f t="shared" si="113"/>
        <v>5.6146788746696277E-2</v>
      </c>
    </row>
    <row r="3630" spans="1:5" x14ac:dyDescent="0.25">
      <c r="A3630">
        <v>0</v>
      </c>
      <c r="B3630">
        <v>2.33644859813084E-2</v>
      </c>
      <c r="C3630">
        <f t="shared" si="112"/>
        <v>1.639748909262922</v>
      </c>
      <c r="D3630">
        <v>3</v>
      </c>
      <c r="E3630">
        <f t="shared" si="113"/>
        <v>5.6146788746696277E-2</v>
      </c>
    </row>
    <row r="3631" spans="1:5" x14ac:dyDescent="0.25">
      <c r="A3631">
        <v>0</v>
      </c>
      <c r="B3631">
        <v>2.33644859813084E-2</v>
      </c>
      <c r="C3631">
        <f t="shared" si="112"/>
        <v>1.639748909262922</v>
      </c>
      <c r="D3631">
        <v>3</v>
      </c>
      <c r="E3631">
        <f t="shared" si="113"/>
        <v>5.6146788746696277E-2</v>
      </c>
    </row>
    <row r="3632" spans="1:5" x14ac:dyDescent="0.25">
      <c r="A3632">
        <v>0</v>
      </c>
      <c r="B3632">
        <v>2.39520958083832E-2</v>
      </c>
      <c r="C3632">
        <f t="shared" si="112"/>
        <v>1.6397931359623745</v>
      </c>
      <c r="D3632">
        <v>3</v>
      </c>
      <c r="E3632">
        <f t="shared" si="113"/>
        <v>5.6146788746696277E-2</v>
      </c>
    </row>
    <row r="3633" spans="1:5" x14ac:dyDescent="0.25">
      <c r="A3633">
        <v>0</v>
      </c>
      <c r="B3633">
        <v>2.39520958083832E-2</v>
      </c>
      <c r="C3633">
        <f t="shared" si="112"/>
        <v>1.6397931359623745</v>
      </c>
      <c r="D3633">
        <v>3</v>
      </c>
      <c r="E3633">
        <f t="shared" si="113"/>
        <v>5.6146788746696277E-2</v>
      </c>
    </row>
    <row r="3634" spans="1:5" x14ac:dyDescent="0.25">
      <c r="A3634">
        <v>0</v>
      </c>
      <c r="B3634">
        <v>2.39520958083832E-2</v>
      </c>
      <c r="C3634">
        <f t="shared" si="112"/>
        <v>1.6397931359623745</v>
      </c>
      <c r="D3634">
        <v>3</v>
      </c>
      <c r="E3634">
        <f t="shared" si="113"/>
        <v>5.6146788746696277E-2</v>
      </c>
    </row>
    <row r="3635" spans="1:5" x14ac:dyDescent="0.25">
      <c r="A3635">
        <v>0</v>
      </c>
      <c r="B3635">
        <v>2.39520958083832E-2</v>
      </c>
      <c r="C3635">
        <f t="shared" si="112"/>
        <v>1.6397931359623745</v>
      </c>
      <c r="D3635">
        <v>3</v>
      </c>
      <c r="E3635">
        <f t="shared" si="113"/>
        <v>5.6146788746696277E-2</v>
      </c>
    </row>
    <row r="3636" spans="1:5" x14ac:dyDescent="0.25">
      <c r="A3636">
        <v>0</v>
      </c>
      <c r="B3636">
        <v>2.39520958083832E-2</v>
      </c>
      <c r="C3636">
        <f t="shared" si="112"/>
        <v>1.6397931359623745</v>
      </c>
      <c r="D3636">
        <v>3</v>
      </c>
      <c r="E3636">
        <f t="shared" si="113"/>
        <v>5.6146788746696277E-2</v>
      </c>
    </row>
    <row r="3637" spans="1:5" x14ac:dyDescent="0.25">
      <c r="A3637">
        <v>0</v>
      </c>
      <c r="B3637">
        <v>2.39520958083832E-2</v>
      </c>
      <c r="C3637">
        <f t="shared" si="112"/>
        <v>1.6397931359623745</v>
      </c>
      <c r="D3637">
        <v>3</v>
      </c>
      <c r="E3637">
        <f t="shared" si="113"/>
        <v>5.6146788746696277E-2</v>
      </c>
    </row>
    <row r="3638" spans="1:5" x14ac:dyDescent="0.25">
      <c r="A3638">
        <v>0</v>
      </c>
      <c r="B3638">
        <v>2.4E-2</v>
      </c>
      <c r="C3638">
        <f t="shared" si="112"/>
        <v>1.6397963197895209</v>
      </c>
      <c r="D3638">
        <v>3</v>
      </c>
      <c r="E3638">
        <f t="shared" si="113"/>
        <v>5.6146788746696277E-2</v>
      </c>
    </row>
    <row r="3639" spans="1:5" x14ac:dyDescent="0.25">
      <c r="A3639">
        <v>0</v>
      </c>
      <c r="B3639">
        <v>2.4E-2</v>
      </c>
      <c r="C3639">
        <f t="shared" si="112"/>
        <v>1.6397963197895209</v>
      </c>
      <c r="D3639">
        <v>3</v>
      </c>
      <c r="E3639">
        <f t="shared" si="113"/>
        <v>5.6146788746696277E-2</v>
      </c>
    </row>
    <row r="3640" spans="1:5" x14ac:dyDescent="0.25">
      <c r="A3640">
        <v>0</v>
      </c>
      <c r="B3640">
        <v>2.4E-2</v>
      </c>
      <c r="C3640">
        <f t="shared" si="112"/>
        <v>1.6397963197895209</v>
      </c>
      <c r="D3640">
        <v>3</v>
      </c>
      <c r="E3640">
        <f t="shared" si="113"/>
        <v>5.6146788746696277E-2</v>
      </c>
    </row>
    <row r="3641" spans="1:5" x14ac:dyDescent="0.25">
      <c r="A3641">
        <v>0</v>
      </c>
      <c r="B3641">
        <v>2.4E-2</v>
      </c>
      <c r="C3641">
        <f t="shared" si="112"/>
        <v>1.6397963197895209</v>
      </c>
      <c r="D3641">
        <v>3</v>
      </c>
      <c r="E3641">
        <f t="shared" si="113"/>
        <v>5.6146788746696277E-2</v>
      </c>
    </row>
    <row r="3642" spans="1:5" x14ac:dyDescent="0.25">
      <c r="A3642">
        <v>0</v>
      </c>
      <c r="B3642">
        <v>2.4E-2</v>
      </c>
      <c r="C3642">
        <f t="shared" si="112"/>
        <v>1.6397963197895209</v>
      </c>
      <c r="D3642">
        <v>3</v>
      </c>
      <c r="E3642">
        <f t="shared" si="113"/>
        <v>5.6146788746696277E-2</v>
      </c>
    </row>
    <row r="3643" spans="1:5" x14ac:dyDescent="0.25">
      <c r="A3643">
        <v>0</v>
      </c>
      <c r="B3643">
        <v>2.4E-2</v>
      </c>
      <c r="C3643">
        <f t="shared" si="112"/>
        <v>1.6397963197895209</v>
      </c>
      <c r="D3643">
        <v>3</v>
      </c>
      <c r="E3643">
        <f t="shared" si="113"/>
        <v>5.6146788746696277E-2</v>
      </c>
    </row>
    <row r="3644" spans="1:5" x14ac:dyDescent="0.25">
      <c r="A3644">
        <v>0</v>
      </c>
      <c r="B3644">
        <v>2.4E-2</v>
      </c>
      <c r="C3644">
        <f t="shared" si="112"/>
        <v>1.6397963197895209</v>
      </c>
      <c r="D3644">
        <v>3</v>
      </c>
      <c r="E3644">
        <f t="shared" si="113"/>
        <v>5.6146788746696277E-2</v>
      </c>
    </row>
    <row r="3645" spans="1:5" x14ac:dyDescent="0.25">
      <c r="A3645">
        <v>0</v>
      </c>
      <c r="B3645">
        <v>2.4E-2</v>
      </c>
      <c r="C3645">
        <f t="shared" si="112"/>
        <v>1.6397963197895209</v>
      </c>
      <c r="D3645">
        <v>3</v>
      </c>
      <c r="E3645">
        <f t="shared" si="113"/>
        <v>5.6146788746696277E-2</v>
      </c>
    </row>
    <row r="3646" spans="1:5" x14ac:dyDescent="0.25">
      <c r="A3646">
        <v>0</v>
      </c>
      <c r="B3646">
        <v>2.4E-2</v>
      </c>
      <c r="C3646">
        <f t="shared" si="112"/>
        <v>1.6397963197895209</v>
      </c>
      <c r="D3646">
        <v>3</v>
      </c>
      <c r="E3646">
        <f t="shared" si="113"/>
        <v>5.6146788746696277E-2</v>
      </c>
    </row>
    <row r="3647" spans="1:5" x14ac:dyDescent="0.25">
      <c r="A3647">
        <v>0</v>
      </c>
      <c r="B3647">
        <v>2.4E-2</v>
      </c>
      <c r="C3647">
        <f t="shared" si="112"/>
        <v>1.6397963197895209</v>
      </c>
      <c r="D3647">
        <v>3</v>
      </c>
      <c r="E3647">
        <f t="shared" si="113"/>
        <v>5.6146788746696277E-2</v>
      </c>
    </row>
    <row r="3648" spans="1:5" x14ac:dyDescent="0.25">
      <c r="A3648">
        <v>0</v>
      </c>
      <c r="B3648">
        <v>2.4E-2</v>
      </c>
      <c r="C3648">
        <f t="shared" si="112"/>
        <v>1.6397963197895209</v>
      </c>
      <c r="D3648">
        <v>3</v>
      </c>
      <c r="E3648">
        <f t="shared" si="113"/>
        <v>5.6146788746696277E-2</v>
      </c>
    </row>
    <row r="3649" spans="1:5" x14ac:dyDescent="0.25">
      <c r="A3649">
        <v>0</v>
      </c>
      <c r="B3649">
        <v>2.4E-2</v>
      </c>
      <c r="C3649">
        <f t="shared" si="112"/>
        <v>1.6397963197895209</v>
      </c>
      <c r="D3649">
        <v>3</v>
      </c>
      <c r="E3649">
        <f t="shared" si="113"/>
        <v>5.6146788746696277E-2</v>
      </c>
    </row>
    <row r="3650" spans="1:5" x14ac:dyDescent="0.25">
      <c r="A3650">
        <v>0</v>
      </c>
      <c r="B3650">
        <v>2.4E-2</v>
      </c>
      <c r="C3650">
        <f t="shared" ref="C3650:C3713" si="114">_xlfn.NORM.DIST(B3650,I$10,I$13,FALSE)</f>
        <v>1.6397963197895209</v>
      </c>
      <c r="D3650">
        <v>3</v>
      </c>
      <c r="E3650">
        <f t="shared" si="113"/>
        <v>5.6146788746696277E-2</v>
      </c>
    </row>
    <row r="3651" spans="1:5" x14ac:dyDescent="0.25">
      <c r="A3651">
        <v>0</v>
      </c>
      <c r="B3651">
        <v>2.4E-2</v>
      </c>
      <c r="C3651">
        <f t="shared" si="114"/>
        <v>1.6397963197895209</v>
      </c>
      <c r="D3651">
        <v>3</v>
      </c>
      <c r="E3651">
        <f t="shared" ref="E3651:E3714" si="115">_xlfn.NORM.DIST(D3651,I$4,I$7,FALSE)</f>
        <v>5.6146788746696277E-2</v>
      </c>
    </row>
    <row r="3652" spans="1:5" x14ac:dyDescent="0.25">
      <c r="A3652">
        <v>0</v>
      </c>
      <c r="B3652">
        <v>2.4024024024024E-2</v>
      </c>
      <c r="C3652">
        <f t="shared" si="114"/>
        <v>1.6397978925469192</v>
      </c>
      <c r="D3652">
        <v>3</v>
      </c>
      <c r="E3652">
        <f t="shared" si="115"/>
        <v>5.6146788746696277E-2</v>
      </c>
    </row>
    <row r="3653" spans="1:5" x14ac:dyDescent="0.25">
      <c r="A3653">
        <v>0</v>
      </c>
      <c r="B3653">
        <v>2.4024024024024E-2</v>
      </c>
      <c r="C3653">
        <f t="shared" si="114"/>
        <v>1.6397978925469192</v>
      </c>
      <c r="D3653">
        <v>3</v>
      </c>
      <c r="E3653">
        <f t="shared" si="115"/>
        <v>5.6146788746696277E-2</v>
      </c>
    </row>
    <row r="3654" spans="1:5" x14ac:dyDescent="0.25">
      <c r="A3654">
        <v>0</v>
      </c>
      <c r="B3654">
        <v>2.4024024024024E-2</v>
      </c>
      <c r="C3654">
        <f t="shared" si="114"/>
        <v>1.6397978925469192</v>
      </c>
      <c r="D3654">
        <v>3</v>
      </c>
      <c r="E3654">
        <f t="shared" si="115"/>
        <v>5.6146788746696277E-2</v>
      </c>
    </row>
    <row r="3655" spans="1:5" x14ac:dyDescent="0.25">
      <c r="A3655">
        <v>0</v>
      </c>
      <c r="B3655">
        <v>2.4024024024024E-2</v>
      </c>
      <c r="C3655">
        <f t="shared" si="114"/>
        <v>1.6397978925469192</v>
      </c>
      <c r="D3655">
        <v>3</v>
      </c>
      <c r="E3655">
        <f t="shared" si="115"/>
        <v>5.6146788746696277E-2</v>
      </c>
    </row>
    <row r="3656" spans="1:5" x14ac:dyDescent="0.25">
      <c r="A3656">
        <v>0</v>
      </c>
      <c r="B3656">
        <v>2.4024024024024E-2</v>
      </c>
      <c r="C3656">
        <f t="shared" si="114"/>
        <v>1.6397978925469192</v>
      </c>
      <c r="D3656">
        <v>3</v>
      </c>
      <c r="E3656">
        <f t="shared" si="115"/>
        <v>5.6146788746696277E-2</v>
      </c>
    </row>
    <row r="3657" spans="1:5" x14ac:dyDescent="0.25">
      <c r="A3657">
        <v>0</v>
      </c>
      <c r="B3657">
        <v>2.4024024024024E-2</v>
      </c>
      <c r="C3657">
        <f t="shared" si="114"/>
        <v>1.6397978925469192</v>
      </c>
      <c r="D3657">
        <v>3</v>
      </c>
      <c r="E3657">
        <f t="shared" si="115"/>
        <v>5.6146788746696277E-2</v>
      </c>
    </row>
    <row r="3658" spans="1:5" x14ac:dyDescent="0.25">
      <c r="A3658">
        <v>0</v>
      </c>
      <c r="B3658">
        <v>2.4024024024024E-2</v>
      </c>
      <c r="C3658">
        <f t="shared" si="114"/>
        <v>1.6397978925469192</v>
      </c>
      <c r="D3658">
        <v>3</v>
      </c>
      <c r="E3658">
        <f t="shared" si="115"/>
        <v>5.6146788746696277E-2</v>
      </c>
    </row>
    <row r="3659" spans="1:5" x14ac:dyDescent="0.25">
      <c r="A3659">
        <v>0</v>
      </c>
      <c r="B3659">
        <v>2.4024024024024E-2</v>
      </c>
      <c r="C3659">
        <f t="shared" si="114"/>
        <v>1.6397978925469192</v>
      </c>
      <c r="D3659">
        <v>3</v>
      </c>
      <c r="E3659">
        <f t="shared" si="115"/>
        <v>5.6146788746696277E-2</v>
      </c>
    </row>
    <row r="3660" spans="1:5" x14ac:dyDescent="0.25">
      <c r="A3660">
        <v>0</v>
      </c>
      <c r="B3660">
        <v>2.4024024024024E-2</v>
      </c>
      <c r="C3660">
        <f t="shared" si="114"/>
        <v>1.6397978925469192</v>
      </c>
      <c r="D3660">
        <v>3</v>
      </c>
      <c r="E3660">
        <f t="shared" si="115"/>
        <v>5.6146788746696277E-2</v>
      </c>
    </row>
    <row r="3661" spans="1:5" x14ac:dyDescent="0.25">
      <c r="A3661">
        <v>0</v>
      </c>
      <c r="B3661">
        <v>2.4024024024024E-2</v>
      </c>
      <c r="C3661">
        <f t="shared" si="114"/>
        <v>1.6397978925469192</v>
      </c>
      <c r="D3661">
        <v>3</v>
      </c>
      <c r="E3661">
        <f t="shared" si="115"/>
        <v>5.6146788746696277E-2</v>
      </c>
    </row>
    <row r="3662" spans="1:5" x14ac:dyDescent="0.25">
      <c r="A3662">
        <v>0</v>
      </c>
      <c r="B3662">
        <v>2.5000000000000001E-2</v>
      </c>
      <c r="C3662">
        <f t="shared" si="114"/>
        <v>1.6398482658786253</v>
      </c>
      <c r="D3662">
        <v>3</v>
      </c>
      <c r="E3662">
        <f t="shared" si="115"/>
        <v>5.6146788746696277E-2</v>
      </c>
    </row>
    <row r="3663" spans="1:5" x14ac:dyDescent="0.25">
      <c r="A3663">
        <v>0</v>
      </c>
      <c r="B3663">
        <v>2.5333333333333301E-2</v>
      </c>
      <c r="C3663">
        <f t="shared" si="114"/>
        <v>1.6398594242268754</v>
      </c>
      <c r="D3663">
        <v>3</v>
      </c>
      <c r="E3663">
        <f t="shared" si="115"/>
        <v>5.6146788746696277E-2</v>
      </c>
    </row>
    <row r="3664" spans="1:5" x14ac:dyDescent="0.25">
      <c r="A3664">
        <v>0</v>
      </c>
      <c r="B3664">
        <v>2.5641025641025599E-2</v>
      </c>
      <c r="C3664">
        <f t="shared" si="114"/>
        <v>1.639866991732984</v>
      </c>
      <c r="D3664">
        <v>3</v>
      </c>
      <c r="E3664">
        <f t="shared" si="115"/>
        <v>5.6146788746696277E-2</v>
      </c>
    </row>
    <row r="3665" spans="1:5" x14ac:dyDescent="0.25">
      <c r="A3665">
        <v>0</v>
      </c>
      <c r="B3665">
        <v>2.5641025641025599E-2</v>
      </c>
      <c r="C3665">
        <f t="shared" si="114"/>
        <v>1.639866991732984</v>
      </c>
      <c r="D3665">
        <v>3</v>
      </c>
      <c r="E3665">
        <f t="shared" si="115"/>
        <v>5.6146788746696277E-2</v>
      </c>
    </row>
    <row r="3666" spans="1:5" x14ac:dyDescent="0.25">
      <c r="A3666">
        <v>0</v>
      </c>
      <c r="B3666">
        <v>2.57009345794393E-2</v>
      </c>
      <c r="C3666">
        <f t="shared" si="114"/>
        <v>1.6398681600566101</v>
      </c>
      <c r="D3666">
        <v>3</v>
      </c>
      <c r="E3666">
        <f t="shared" si="115"/>
        <v>5.6146788746696277E-2</v>
      </c>
    </row>
    <row r="3667" spans="1:5" x14ac:dyDescent="0.25">
      <c r="A3667">
        <v>0</v>
      </c>
      <c r="B3667">
        <v>2.57009345794393E-2</v>
      </c>
      <c r="C3667">
        <f t="shared" si="114"/>
        <v>1.6398681600566101</v>
      </c>
      <c r="D3667">
        <v>3</v>
      </c>
      <c r="E3667">
        <f t="shared" si="115"/>
        <v>5.6146788746696277E-2</v>
      </c>
    </row>
    <row r="3668" spans="1:5" x14ac:dyDescent="0.25">
      <c r="A3668">
        <v>0</v>
      </c>
      <c r="B3668">
        <v>2.57009345794393E-2</v>
      </c>
      <c r="C3668">
        <f t="shared" si="114"/>
        <v>1.6398681600566101</v>
      </c>
      <c r="D3668">
        <v>3</v>
      </c>
      <c r="E3668">
        <f t="shared" si="115"/>
        <v>5.6146788746696277E-2</v>
      </c>
    </row>
    <row r="3669" spans="1:5" x14ac:dyDescent="0.25">
      <c r="A3669">
        <v>0</v>
      </c>
      <c r="B3669">
        <v>2.57009345794393E-2</v>
      </c>
      <c r="C3669">
        <f t="shared" si="114"/>
        <v>1.6398681600566101</v>
      </c>
      <c r="D3669">
        <v>3</v>
      </c>
      <c r="E3669">
        <f t="shared" si="115"/>
        <v>5.6146788746696277E-2</v>
      </c>
    </row>
    <row r="3670" spans="1:5" x14ac:dyDescent="0.25">
      <c r="A3670">
        <v>0</v>
      </c>
      <c r="B3670">
        <v>2.5999999999999999E-2</v>
      </c>
      <c r="C3670">
        <f t="shared" si="114"/>
        <v>1.6398725049981169</v>
      </c>
      <c r="D3670">
        <v>3</v>
      </c>
      <c r="E3670">
        <f t="shared" si="115"/>
        <v>5.6146788746696277E-2</v>
      </c>
    </row>
    <row r="3671" spans="1:5" x14ac:dyDescent="0.25">
      <c r="A3671">
        <v>0</v>
      </c>
      <c r="B3671">
        <v>2.5999999999999999E-2</v>
      </c>
      <c r="C3671">
        <f t="shared" si="114"/>
        <v>1.6398725049981169</v>
      </c>
      <c r="D3671">
        <v>3</v>
      </c>
      <c r="E3671">
        <f t="shared" si="115"/>
        <v>5.6146788746696277E-2</v>
      </c>
    </row>
    <row r="3672" spans="1:5" x14ac:dyDescent="0.25">
      <c r="A3672">
        <v>0</v>
      </c>
      <c r="B3672">
        <v>2.5999999999999999E-2</v>
      </c>
      <c r="C3672">
        <f t="shared" si="114"/>
        <v>1.6398725049981169</v>
      </c>
      <c r="D3672">
        <v>3</v>
      </c>
      <c r="E3672">
        <f t="shared" si="115"/>
        <v>5.6146788746696277E-2</v>
      </c>
    </row>
    <row r="3673" spans="1:5" x14ac:dyDescent="0.25">
      <c r="A3673">
        <v>0</v>
      </c>
      <c r="B3673">
        <v>2.5999999999999999E-2</v>
      </c>
      <c r="C3673">
        <f t="shared" si="114"/>
        <v>1.6398725049981169</v>
      </c>
      <c r="D3673">
        <v>3</v>
      </c>
      <c r="E3673">
        <f t="shared" si="115"/>
        <v>5.6146788746696277E-2</v>
      </c>
    </row>
    <row r="3674" spans="1:5" x14ac:dyDescent="0.25">
      <c r="A3674">
        <v>0</v>
      </c>
      <c r="B3674">
        <v>2.5999999999999999E-2</v>
      </c>
      <c r="C3674">
        <f t="shared" si="114"/>
        <v>1.6398725049981169</v>
      </c>
      <c r="D3674">
        <v>3</v>
      </c>
      <c r="E3674">
        <f t="shared" si="115"/>
        <v>5.6146788746696277E-2</v>
      </c>
    </row>
    <row r="3675" spans="1:5" x14ac:dyDescent="0.25">
      <c r="A3675">
        <v>0</v>
      </c>
      <c r="B3675">
        <v>2.5999999999999999E-2</v>
      </c>
      <c r="C3675">
        <f t="shared" si="114"/>
        <v>1.6398725049981169</v>
      </c>
      <c r="D3675">
        <v>3</v>
      </c>
      <c r="E3675">
        <f t="shared" si="115"/>
        <v>5.6146788746696277E-2</v>
      </c>
    </row>
    <row r="3676" spans="1:5" x14ac:dyDescent="0.25">
      <c r="A3676">
        <v>0</v>
      </c>
      <c r="B3676">
        <v>2.5999999999999999E-2</v>
      </c>
      <c r="C3676">
        <f t="shared" si="114"/>
        <v>1.6398725049981169</v>
      </c>
      <c r="D3676">
        <v>3</v>
      </c>
      <c r="E3676">
        <f t="shared" si="115"/>
        <v>5.6146788746696277E-2</v>
      </c>
    </row>
    <row r="3677" spans="1:5" x14ac:dyDescent="0.25">
      <c r="A3677">
        <v>0</v>
      </c>
      <c r="B3677">
        <v>2.66666666666667E-2</v>
      </c>
      <c r="C3677">
        <f t="shared" si="114"/>
        <v>1.6398732709856683</v>
      </c>
      <c r="D3677">
        <v>3</v>
      </c>
      <c r="E3677">
        <f t="shared" si="115"/>
        <v>5.6146788746696277E-2</v>
      </c>
    </row>
    <row r="3678" spans="1:5" x14ac:dyDescent="0.25">
      <c r="A3678">
        <v>0</v>
      </c>
      <c r="B3678">
        <v>2.66666666666667E-2</v>
      </c>
      <c r="C3678">
        <f t="shared" si="114"/>
        <v>1.6398732709856683</v>
      </c>
      <c r="D3678">
        <v>3</v>
      </c>
      <c r="E3678">
        <f t="shared" si="115"/>
        <v>5.6146788746696277E-2</v>
      </c>
    </row>
    <row r="3679" spans="1:5" x14ac:dyDescent="0.25">
      <c r="A3679">
        <v>0</v>
      </c>
      <c r="B3679">
        <v>2.66666666666667E-2</v>
      </c>
      <c r="C3679">
        <f t="shared" si="114"/>
        <v>1.6398732709856683</v>
      </c>
      <c r="D3679">
        <v>3</v>
      </c>
      <c r="E3679">
        <f t="shared" si="115"/>
        <v>5.6146788746696277E-2</v>
      </c>
    </row>
    <row r="3680" spans="1:5" x14ac:dyDescent="0.25">
      <c r="A3680">
        <v>0</v>
      </c>
      <c r="B3680">
        <v>2.66666666666667E-2</v>
      </c>
      <c r="C3680">
        <f t="shared" si="114"/>
        <v>1.6398732709856683</v>
      </c>
      <c r="D3680">
        <v>3</v>
      </c>
      <c r="E3680">
        <f t="shared" si="115"/>
        <v>5.6146788746696277E-2</v>
      </c>
    </row>
    <row r="3681" spans="1:5" x14ac:dyDescent="0.25">
      <c r="A3681">
        <v>0</v>
      </c>
      <c r="B3681">
        <v>2.66666666666667E-2</v>
      </c>
      <c r="C3681">
        <f t="shared" si="114"/>
        <v>1.6398732709856683</v>
      </c>
      <c r="D3681">
        <v>3</v>
      </c>
      <c r="E3681">
        <f t="shared" si="115"/>
        <v>5.6146788746696277E-2</v>
      </c>
    </row>
    <row r="3682" spans="1:5" x14ac:dyDescent="0.25">
      <c r="A3682">
        <v>0</v>
      </c>
      <c r="B3682">
        <v>2.66666666666667E-2</v>
      </c>
      <c r="C3682">
        <f t="shared" si="114"/>
        <v>1.6398732709856683</v>
      </c>
      <c r="D3682">
        <v>3</v>
      </c>
      <c r="E3682">
        <f t="shared" si="115"/>
        <v>5.6146788746696277E-2</v>
      </c>
    </row>
    <row r="3683" spans="1:5" x14ac:dyDescent="0.25">
      <c r="A3683">
        <v>0</v>
      </c>
      <c r="B3683">
        <v>2.66666666666667E-2</v>
      </c>
      <c r="C3683">
        <f t="shared" si="114"/>
        <v>1.6398732709856683</v>
      </c>
      <c r="D3683">
        <v>3</v>
      </c>
      <c r="E3683">
        <f t="shared" si="115"/>
        <v>5.6146788746696277E-2</v>
      </c>
    </row>
    <row r="3684" spans="1:5" x14ac:dyDescent="0.25">
      <c r="A3684">
        <v>0</v>
      </c>
      <c r="B3684">
        <v>2.66666666666667E-2</v>
      </c>
      <c r="C3684">
        <f t="shared" si="114"/>
        <v>1.6398732709856683</v>
      </c>
      <c r="D3684">
        <v>3</v>
      </c>
      <c r="E3684">
        <f t="shared" si="115"/>
        <v>5.6146788746696277E-2</v>
      </c>
    </row>
    <row r="3685" spans="1:5" x14ac:dyDescent="0.25">
      <c r="A3685">
        <v>0</v>
      </c>
      <c r="B3685">
        <v>2.66666666666667E-2</v>
      </c>
      <c r="C3685">
        <f t="shared" si="114"/>
        <v>1.6398732709856683</v>
      </c>
      <c r="D3685">
        <v>3</v>
      </c>
      <c r="E3685">
        <f t="shared" si="115"/>
        <v>5.6146788746696277E-2</v>
      </c>
    </row>
    <row r="3686" spans="1:5" x14ac:dyDescent="0.25">
      <c r="A3686">
        <v>0</v>
      </c>
      <c r="B3686">
        <v>2.66666666666667E-2</v>
      </c>
      <c r="C3686">
        <f t="shared" si="114"/>
        <v>1.6398732709856683</v>
      </c>
      <c r="D3686">
        <v>3</v>
      </c>
      <c r="E3686">
        <f t="shared" si="115"/>
        <v>5.6146788746696277E-2</v>
      </c>
    </row>
    <row r="3687" spans="1:5" x14ac:dyDescent="0.25">
      <c r="A3687">
        <v>0</v>
      </c>
      <c r="B3687">
        <v>2.66666666666667E-2</v>
      </c>
      <c r="C3687">
        <f t="shared" si="114"/>
        <v>1.6398732709856683</v>
      </c>
      <c r="D3687">
        <v>3</v>
      </c>
      <c r="E3687">
        <f t="shared" si="115"/>
        <v>5.6146788746696277E-2</v>
      </c>
    </row>
    <row r="3688" spans="1:5" x14ac:dyDescent="0.25">
      <c r="A3688">
        <v>0</v>
      </c>
      <c r="B3688">
        <v>2.66666666666667E-2</v>
      </c>
      <c r="C3688">
        <f t="shared" si="114"/>
        <v>1.6398732709856683</v>
      </c>
      <c r="D3688">
        <v>3</v>
      </c>
      <c r="E3688">
        <f t="shared" si="115"/>
        <v>5.6146788746696277E-2</v>
      </c>
    </row>
    <row r="3689" spans="1:5" x14ac:dyDescent="0.25">
      <c r="A3689">
        <v>0</v>
      </c>
      <c r="B3689">
        <v>2.66666666666667E-2</v>
      </c>
      <c r="C3689">
        <f t="shared" si="114"/>
        <v>1.6398732709856683</v>
      </c>
      <c r="D3689">
        <v>3</v>
      </c>
      <c r="E3689">
        <f t="shared" si="115"/>
        <v>5.6146788746696277E-2</v>
      </c>
    </row>
    <row r="3690" spans="1:5" x14ac:dyDescent="0.25">
      <c r="A3690">
        <v>0</v>
      </c>
      <c r="B3690">
        <v>2.66666666666667E-2</v>
      </c>
      <c r="C3690">
        <f t="shared" si="114"/>
        <v>1.6398732709856683</v>
      </c>
      <c r="D3690">
        <v>3</v>
      </c>
      <c r="E3690">
        <f t="shared" si="115"/>
        <v>5.6146788746696277E-2</v>
      </c>
    </row>
    <row r="3691" spans="1:5" x14ac:dyDescent="0.25">
      <c r="A3691">
        <v>0</v>
      </c>
      <c r="B3691">
        <v>2.66666666666667E-2</v>
      </c>
      <c r="C3691">
        <f t="shared" si="114"/>
        <v>1.6398732709856683</v>
      </c>
      <c r="D3691">
        <v>3</v>
      </c>
      <c r="E3691">
        <f t="shared" si="115"/>
        <v>5.6146788746696277E-2</v>
      </c>
    </row>
    <row r="3692" spans="1:5" x14ac:dyDescent="0.25">
      <c r="A3692">
        <v>0</v>
      </c>
      <c r="B3692">
        <v>2.69461077844311E-2</v>
      </c>
      <c r="C3692">
        <f t="shared" si="114"/>
        <v>1.6398699292695387</v>
      </c>
      <c r="D3692">
        <v>3</v>
      </c>
      <c r="E3692">
        <f t="shared" si="115"/>
        <v>5.6146788746696277E-2</v>
      </c>
    </row>
    <row r="3693" spans="1:5" x14ac:dyDescent="0.25">
      <c r="A3693">
        <v>0</v>
      </c>
      <c r="B3693">
        <v>2.69461077844311E-2</v>
      </c>
      <c r="C3693">
        <f t="shared" si="114"/>
        <v>1.6398699292695387</v>
      </c>
      <c r="D3693">
        <v>3</v>
      </c>
      <c r="E3693">
        <f t="shared" si="115"/>
        <v>5.6146788746696277E-2</v>
      </c>
    </row>
    <row r="3694" spans="1:5" x14ac:dyDescent="0.25">
      <c r="A3694">
        <v>0</v>
      </c>
      <c r="B3694">
        <v>2.69461077844311E-2</v>
      </c>
      <c r="C3694">
        <f t="shared" si="114"/>
        <v>1.6398699292695387</v>
      </c>
      <c r="D3694">
        <v>3</v>
      </c>
      <c r="E3694">
        <f t="shared" si="115"/>
        <v>5.6146788746696277E-2</v>
      </c>
    </row>
    <row r="3695" spans="1:5" x14ac:dyDescent="0.25">
      <c r="A3695">
        <v>0</v>
      </c>
      <c r="B3695">
        <v>2.7E-2</v>
      </c>
      <c r="C3695">
        <f t="shared" si="114"/>
        <v>1.6398690359193298</v>
      </c>
      <c r="D3695">
        <v>3</v>
      </c>
      <c r="E3695">
        <f t="shared" si="115"/>
        <v>5.6146788746696277E-2</v>
      </c>
    </row>
    <row r="3696" spans="1:5" x14ac:dyDescent="0.25">
      <c r="A3696">
        <v>0</v>
      </c>
      <c r="B3696">
        <v>2.7027027027027001E-2</v>
      </c>
      <c r="C3696">
        <f t="shared" si="114"/>
        <v>1.6398685576039094</v>
      </c>
      <c r="D3696">
        <v>3</v>
      </c>
      <c r="E3696">
        <f t="shared" si="115"/>
        <v>5.6146788746696277E-2</v>
      </c>
    </row>
    <row r="3697" spans="1:5" x14ac:dyDescent="0.25">
      <c r="A3697">
        <v>0</v>
      </c>
      <c r="B3697">
        <v>2.7027027027027001E-2</v>
      </c>
      <c r="C3697">
        <f t="shared" si="114"/>
        <v>1.6398685576039094</v>
      </c>
      <c r="D3697">
        <v>3</v>
      </c>
      <c r="E3697">
        <f t="shared" si="115"/>
        <v>5.6146788746696277E-2</v>
      </c>
    </row>
    <row r="3698" spans="1:5" x14ac:dyDescent="0.25">
      <c r="A3698">
        <v>0</v>
      </c>
      <c r="B3698">
        <v>2.7027027027027001E-2</v>
      </c>
      <c r="C3698">
        <f t="shared" si="114"/>
        <v>1.6398685576039094</v>
      </c>
      <c r="D3698">
        <v>3</v>
      </c>
      <c r="E3698">
        <f t="shared" si="115"/>
        <v>5.6146788746696277E-2</v>
      </c>
    </row>
    <row r="3699" spans="1:5" x14ac:dyDescent="0.25">
      <c r="A3699">
        <v>0</v>
      </c>
      <c r="B3699">
        <v>2.7027027027027001E-2</v>
      </c>
      <c r="C3699">
        <f t="shared" si="114"/>
        <v>1.6398685576039094</v>
      </c>
      <c r="D3699">
        <v>3</v>
      </c>
      <c r="E3699">
        <f t="shared" si="115"/>
        <v>5.6146788746696277E-2</v>
      </c>
    </row>
    <row r="3700" spans="1:5" x14ac:dyDescent="0.25">
      <c r="A3700">
        <v>0</v>
      </c>
      <c r="B3700">
        <v>2.7027027027027001E-2</v>
      </c>
      <c r="C3700">
        <f t="shared" si="114"/>
        <v>1.6398685576039094</v>
      </c>
      <c r="D3700">
        <v>3</v>
      </c>
      <c r="E3700">
        <f t="shared" si="115"/>
        <v>5.6146788746696277E-2</v>
      </c>
    </row>
    <row r="3701" spans="1:5" x14ac:dyDescent="0.25">
      <c r="A3701">
        <v>0</v>
      </c>
      <c r="B3701">
        <v>2.7027027027027001E-2</v>
      </c>
      <c r="C3701">
        <f t="shared" si="114"/>
        <v>1.6398685576039094</v>
      </c>
      <c r="D3701">
        <v>3</v>
      </c>
      <c r="E3701">
        <f t="shared" si="115"/>
        <v>5.6146788746696277E-2</v>
      </c>
    </row>
    <row r="3702" spans="1:5" x14ac:dyDescent="0.25">
      <c r="A3702">
        <v>0</v>
      </c>
      <c r="B3702">
        <v>2.7027027027027001E-2</v>
      </c>
      <c r="C3702">
        <f t="shared" si="114"/>
        <v>1.6398685576039094</v>
      </c>
      <c r="D3702">
        <v>3</v>
      </c>
      <c r="E3702">
        <f t="shared" si="115"/>
        <v>5.6146788746696277E-2</v>
      </c>
    </row>
    <row r="3703" spans="1:5" x14ac:dyDescent="0.25">
      <c r="A3703">
        <v>0</v>
      </c>
      <c r="B3703">
        <v>2.7027027027027001E-2</v>
      </c>
      <c r="C3703">
        <f t="shared" si="114"/>
        <v>1.6398685576039094</v>
      </c>
      <c r="D3703">
        <v>3</v>
      </c>
      <c r="E3703">
        <f t="shared" si="115"/>
        <v>5.6146788746696277E-2</v>
      </c>
    </row>
    <row r="3704" spans="1:5" x14ac:dyDescent="0.25">
      <c r="A3704">
        <v>0</v>
      </c>
      <c r="B3704">
        <v>2.7027027027027001E-2</v>
      </c>
      <c r="C3704">
        <f t="shared" si="114"/>
        <v>1.6398685576039094</v>
      </c>
      <c r="D3704">
        <v>3</v>
      </c>
      <c r="E3704">
        <f t="shared" si="115"/>
        <v>5.6146788746696277E-2</v>
      </c>
    </row>
    <row r="3705" spans="1:5" x14ac:dyDescent="0.25">
      <c r="A3705">
        <v>0</v>
      </c>
      <c r="B3705">
        <v>2.7027027027027001E-2</v>
      </c>
      <c r="C3705">
        <f t="shared" si="114"/>
        <v>1.6398685576039094</v>
      </c>
      <c r="D3705">
        <v>3</v>
      </c>
      <c r="E3705">
        <f t="shared" si="115"/>
        <v>5.6146788746696277E-2</v>
      </c>
    </row>
    <row r="3706" spans="1:5" x14ac:dyDescent="0.25">
      <c r="A3706">
        <v>0</v>
      </c>
      <c r="B3706">
        <v>2.7027027027027001E-2</v>
      </c>
      <c r="C3706">
        <f t="shared" si="114"/>
        <v>1.6398685576039094</v>
      </c>
      <c r="D3706">
        <v>3</v>
      </c>
      <c r="E3706">
        <f t="shared" si="115"/>
        <v>5.6146788746696277E-2</v>
      </c>
    </row>
    <row r="3707" spans="1:5" x14ac:dyDescent="0.25">
      <c r="A3707">
        <v>0</v>
      </c>
      <c r="B3707">
        <v>2.7027027027027001E-2</v>
      </c>
      <c r="C3707">
        <f t="shared" si="114"/>
        <v>1.6398685576039094</v>
      </c>
      <c r="D3707">
        <v>3</v>
      </c>
      <c r="E3707">
        <f t="shared" si="115"/>
        <v>5.6146788746696277E-2</v>
      </c>
    </row>
    <row r="3708" spans="1:5" x14ac:dyDescent="0.25">
      <c r="A3708">
        <v>0</v>
      </c>
      <c r="B3708">
        <v>2.7027027027027001E-2</v>
      </c>
      <c r="C3708">
        <f t="shared" si="114"/>
        <v>1.6398685576039094</v>
      </c>
      <c r="D3708">
        <v>3</v>
      </c>
      <c r="E3708">
        <f t="shared" si="115"/>
        <v>5.6146788746696277E-2</v>
      </c>
    </row>
    <row r="3709" spans="1:5" x14ac:dyDescent="0.25">
      <c r="A3709">
        <v>0</v>
      </c>
      <c r="B3709">
        <v>2.7027027027027001E-2</v>
      </c>
      <c r="C3709">
        <f t="shared" si="114"/>
        <v>1.6398685576039094</v>
      </c>
      <c r="D3709">
        <v>3</v>
      </c>
      <c r="E3709">
        <f t="shared" si="115"/>
        <v>5.6146788746696277E-2</v>
      </c>
    </row>
    <row r="3710" spans="1:5" x14ac:dyDescent="0.25">
      <c r="A3710">
        <v>0</v>
      </c>
      <c r="B3710">
        <v>2.7027027027027001E-2</v>
      </c>
      <c r="C3710">
        <f t="shared" si="114"/>
        <v>1.6398685576039094</v>
      </c>
      <c r="D3710">
        <v>3</v>
      </c>
      <c r="E3710">
        <f t="shared" si="115"/>
        <v>5.6146788746696277E-2</v>
      </c>
    </row>
    <row r="3711" spans="1:5" x14ac:dyDescent="0.25">
      <c r="A3711">
        <v>0</v>
      </c>
      <c r="B3711">
        <v>2.7906976744186001E-2</v>
      </c>
      <c r="C3711">
        <f t="shared" si="114"/>
        <v>1.6398419278434389</v>
      </c>
      <c r="D3711">
        <v>3</v>
      </c>
      <c r="E3711">
        <f t="shared" si="115"/>
        <v>5.6146788746696277E-2</v>
      </c>
    </row>
    <row r="3712" spans="1:5" x14ac:dyDescent="0.25">
      <c r="A3712">
        <v>0</v>
      </c>
      <c r="B3712">
        <v>2.7972027972028E-2</v>
      </c>
      <c r="C3712">
        <f t="shared" si="114"/>
        <v>1.6398391075788958</v>
      </c>
      <c r="D3712">
        <v>3</v>
      </c>
      <c r="E3712">
        <f t="shared" si="115"/>
        <v>5.6146788746696277E-2</v>
      </c>
    </row>
    <row r="3713" spans="1:5" x14ac:dyDescent="0.25">
      <c r="A3713">
        <v>0</v>
      </c>
      <c r="B3713">
        <v>2.7972027972028E-2</v>
      </c>
      <c r="C3713">
        <f t="shared" si="114"/>
        <v>1.6398391075788958</v>
      </c>
      <c r="D3713">
        <v>3</v>
      </c>
      <c r="E3713">
        <f t="shared" si="115"/>
        <v>5.6146788746696277E-2</v>
      </c>
    </row>
    <row r="3714" spans="1:5" x14ac:dyDescent="0.25">
      <c r="A3714">
        <v>0</v>
      </c>
      <c r="B3714">
        <v>2.7972027972028E-2</v>
      </c>
      <c r="C3714">
        <f t="shared" ref="C3714:C3777" si="116">_xlfn.NORM.DIST(B3714,I$10,I$13,FALSE)</f>
        <v>1.6398391075788958</v>
      </c>
      <c r="D3714">
        <v>3</v>
      </c>
      <c r="E3714">
        <f t="shared" si="115"/>
        <v>5.6146788746696277E-2</v>
      </c>
    </row>
    <row r="3715" spans="1:5" x14ac:dyDescent="0.25">
      <c r="A3715">
        <v>0</v>
      </c>
      <c r="B3715">
        <v>2.8000000000000001E-2</v>
      </c>
      <c r="C3715">
        <f t="shared" si="116"/>
        <v>1.6398378588181108</v>
      </c>
      <c r="D3715">
        <v>3</v>
      </c>
      <c r="E3715">
        <f t="shared" ref="E3715:E3778" si="117">_xlfn.NORM.DIST(D3715,I$4,I$7,FALSE)</f>
        <v>5.6146788746696277E-2</v>
      </c>
    </row>
    <row r="3716" spans="1:5" x14ac:dyDescent="0.25">
      <c r="A3716">
        <v>0</v>
      </c>
      <c r="B3716">
        <v>2.8000000000000001E-2</v>
      </c>
      <c r="C3716">
        <f t="shared" si="116"/>
        <v>1.6398378588181108</v>
      </c>
      <c r="D3716">
        <v>3</v>
      </c>
      <c r="E3716">
        <f t="shared" si="117"/>
        <v>5.6146788746696277E-2</v>
      </c>
    </row>
    <row r="3717" spans="1:5" x14ac:dyDescent="0.25">
      <c r="A3717">
        <v>0</v>
      </c>
      <c r="B3717">
        <v>2.8000000000000001E-2</v>
      </c>
      <c r="C3717">
        <f t="shared" si="116"/>
        <v>1.6398378588181108</v>
      </c>
      <c r="D3717">
        <v>3</v>
      </c>
      <c r="E3717">
        <f t="shared" si="117"/>
        <v>5.6146788746696277E-2</v>
      </c>
    </row>
    <row r="3718" spans="1:5" x14ac:dyDescent="0.25">
      <c r="A3718">
        <v>0</v>
      </c>
      <c r="B3718">
        <v>2.80373831775701E-2</v>
      </c>
      <c r="C3718">
        <f t="shared" si="116"/>
        <v>1.6398361560673904</v>
      </c>
      <c r="D3718">
        <v>3</v>
      </c>
      <c r="E3718">
        <f t="shared" si="117"/>
        <v>5.6146788746696277E-2</v>
      </c>
    </row>
    <row r="3719" spans="1:5" x14ac:dyDescent="0.25">
      <c r="A3719">
        <v>0</v>
      </c>
      <c r="B3719">
        <v>2.80373831775701E-2</v>
      </c>
      <c r="C3719">
        <f t="shared" si="116"/>
        <v>1.6398361560673904</v>
      </c>
      <c r="D3719">
        <v>3</v>
      </c>
      <c r="E3719">
        <f t="shared" si="117"/>
        <v>5.6146788746696277E-2</v>
      </c>
    </row>
    <row r="3720" spans="1:5" x14ac:dyDescent="0.25">
      <c r="A3720">
        <v>0</v>
      </c>
      <c r="B3720">
        <v>2.80373831775701E-2</v>
      </c>
      <c r="C3720">
        <f t="shared" si="116"/>
        <v>1.6398361560673904</v>
      </c>
      <c r="D3720">
        <v>3</v>
      </c>
      <c r="E3720">
        <f t="shared" si="117"/>
        <v>5.6146788746696277E-2</v>
      </c>
    </row>
    <row r="3721" spans="1:5" x14ac:dyDescent="0.25">
      <c r="A3721">
        <v>0</v>
      </c>
      <c r="B3721">
        <v>2.80373831775701E-2</v>
      </c>
      <c r="C3721">
        <f t="shared" si="116"/>
        <v>1.6398361560673904</v>
      </c>
      <c r="D3721">
        <v>3</v>
      </c>
      <c r="E3721">
        <f t="shared" si="117"/>
        <v>5.6146788746696277E-2</v>
      </c>
    </row>
    <row r="3722" spans="1:5" x14ac:dyDescent="0.25">
      <c r="A3722">
        <v>0</v>
      </c>
      <c r="B3722">
        <v>2.8333333333333301E-2</v>
      </c>
      <c r="C3722">
        <f t="shared" si="116"/>
        <v>1.6398213093454084</v>
      </c>
      <c r="D3722">
        <v>3</v>
      </c>
      <c r="E3722">
        <f t="shared" si="117"/>
        <v>5.6146788746696277E-2</v>
      </c>
    </row>
    <row r="3723" spans="1:5" x14ac:dyDescent="0.25">
      <c r="A3723">
        <v>0</v>
      </c>
      <c r="B3723">
        <v>2.8333333333333301E-2</v>
      </c>
      <c r="C3723">
        <f t="shared" si="116"/>
        <v>1.6398213093454084</v>
      </c>
      <c r="D3723">
        <v>3</v>
      </c>
      <c r="E3723">
        <f t="shared" si="117"/>
        <v>5.6146788746696277E-2</v>
      </c>
    </row>
    <row r="3724" spans="1:5" x14ac:dyDescent="0.25">
      <c r="A3724">
        <v>0</v>
      </c>
      <c r="B3724">
        <v>2.8333333333333301E-2</v>
      </c>
      <c r="C3724">
        <f t="shared" si="116"/>
        <v>1.6398213093454084</v>
      </c>
      <c r="D3724">
        <v>3</v>
      </c>
      <c r="E3724">
        <f t="shared" si="117"/>
        <v>5.6146788746696277E-2</v>
      </c>
    </row>
    <row r="3725" spans="1:5" x14ac:dyDescent="0.25">
      <c r="A3725">
        <v>0</v>
      </c>
      <c r="B3725">
        <v>2.8571428571428598E-2</v>
      </c>
      <c r="C3725">
        <f t="shared" si="116"/>
        <v>1.6398076035453681</v>
      </c>
      <c r="D3725">
        <v>3</v>
      </c>
      <c r="E3725">
        <f t="shared" si="117"/>
        <v>5.6146788746696277E-2</v>
      </c>
    </row>
    <row r="3726" spans="1:5" x14ac:dyDescent="0.25">
      <c r="A3726">
        <v>0</v>
      </c>
      <c r="B3726">
        <v>2.9000000000000001E-2</v>
      </c>
      <c r="C3726">
        <f t="shared" si="116"/>
        <v>1.6397789752748022</v>
      </c>
      <c r="D3726">
        <v>3</v>
      </c>
      <c r="E3726">
        <f t="shared" si="117"/>
        <v>5.6146788746696277E-2</v>
      </c>
    </row>
    <row r="3727" spans="1:5" x14ac:dyDescent="0.25">
      <c r="A3727">
        <v>0</v>
      </c>
      <c r="B3727">
        <v>2.9333333333333302E-2</v>
      </c>
      <c r="C3727">
        <f t="shared" si="116"/>
        <v>1.639753190915326</v>
      </c>
      <c r="D3727">
        <v>3</v>
      </c>
      <c r="E3727">
        <f t="shared" si="117"/>
        <v>5.6146788746696277E-2</v>
      </c>
    </row>
    <row r="3728" spans="1:5" x14ac:dyDescent="0.25">
      <c r="A3728">
        <v>0</v>
      </c>
      <c r="B3728">
        <v>2.9333333333333302E-2</v>
      </c>
      <c r="C3728">
        <f t="shared" si="116"/>
        <v>1.639753190915326</v>
      </c>
      <c r="D3728">
        <v>3</v>
      </c>
      <c r="E3728">
        <f t="shared" si="117"/>
        <v>5.6146788746696277E-2</v>
      </c>
    </row>
    <row r="3729" spans="1:5" x14ac:dyDescent="0.25">
      <c r="A3729">
        <v>0</v>
      </c>
      <c r="B3729">
        <v>2.9333333333333302E-2</v>
      </c>
      <c r="C3729">
        <f t="shared" si="116"/>
        <v>1.639753190915326</v>
      </c>
      <c r="D3729">
        <v>3</v>
      </c>
      <c r="E3729">
        <f t="shared" si="117"/>
        <v>5.6146788746696277E-2</v>
      </c>
    </row>
    <row r="3730" spans="1:5" x14ac:dyDescent="0.25">
      <c r="A3730">
        <v>0</v>
      </c>
      <c r="B3730">
        <v>2.9333333333333302E-2</v>
      </c>
      <c r="C3730">
        <f t="shared" si="116"/>
        <v>1.639753190915326</v>
      </c>
      <c r="D3730">
        <v>3</v>
      </c>
      <c r="E3730">
        <f t="shared" si="117"/>
        <v>5.6146788746696277E-2</v>
      </c>
    </row>
    <row r="3731" spans="1:5" x14ac:dyDescent="0.25">
      <c r="A3731">
        <v>0</v>
      </c>
      <c r="B3731">
        <v>2.9333333333333302E-2</v>
      </c>
      <c r="C3731">
        <f t="shared" si="116"/>
        <v>1.639753190915326</v>
      </c>
      <c r="D3731">
        <v>3</v>
      </c>
      <c r="E3731">
        <f t="shared" si="117"/>
        <v>5.6146788746696277E-2</v>
      </c>
    </row>
    <row r="3732" spans="1:5" x14ac:dyDescent="0.25">
      <c r="A3732">
        <v>0</v>
      </c>
      <c r="B3732">
        <v>2.9333333333333302E-2</v>
      </c>
      <c r="C3732">
        <f t="shared" si="116"/>
        <v>1.639753190915326</v>
      </c>
      <c r="D3732">
        <v>3</v>
      </c>
      <c r="E3732">
        <f t="shared" si="117"/>
        <v>5.6146788746696277E-2</v>
      </c>
    </row>
    <row r="3733" spans="1:5" x14ac:dyDescent="0.25">
      <c r="A3733">
        <v>0</v>
      </c>
      <c r="B3733">
        <v>2.9333333333333302E-2</v>
      </c>
      <c r="C3733">
        <f t="shared" si="116"/>
        <v>1.639753190915326</v>
      </c>
      <c r="D3733">
        <v>3</v>
      </c>
      <c r="E3733">
        <f t="shared" si="117"/>
        <v>5.6146788746696277E-2</v>
      </c>
    </row>
    <row r="3734" spans="1:5" x14ac:dyDescent="0.25">
      <c r="A3734">
        <v>0</v>
      </c>
      <c r="B3734">
        <v>2.9333333333333302E-2</v>
      </c>
      <c r="C3734">
        <f t="shared" si="116"/>
        <v>1.639753190915326</v>
      </c>
      <c r="D3734">
        <v>3</v>
      </c>
      <c r="E3734">
        <f t="shared" si="117"/>
        <v>5.6146788746696277E-2</v>
      </c>
    </row>
    <row r="3735" spans="1:5" x14ac:dyDescent="0.25">
      <c r="A3735">
        <v>0</v>
      </c>
      <c r="B3735">
        <v>2.9333333333333302E-2</v>
      </c>
      <c r="C3735">
        <f t="shared" si="116"/>
        <v>1.639753190915326</v>
      </c>
      <c r="D3735">
        <v>3</v>
      </c>
      <c r="E3735">
        <f t="shared" si="117"/>
        <v>5.6146788746696277E-2</v>
      </c>
    </row>
    <row r="3736" spans="1:5" x14ac:dyDescent="0.25">
      <c r="A3736">
        <v>0</v>
      </c>
      <c r="B3736">
        <v>2.9333333333333302E-2</v>
      </c>
      <c r="C3736">
        <f t="shared" si="116"/>
        <v>1.639753190915326</v>
      </c>
      <c r="D3736">
        <v>3</v>
      </c>
      <c r="E3736">
        <f t="shared" si="117"/>
        <v>5.6146788746696277E-2</v>
      </c>
    </row>
    <row r="3737" spans="1:5" x14ac:dyDescent="0.25">
      <c r="A3737">
        <v>0</v>
      </c>
      <c r="B3737">
        <v>2.9333333333333302E-2</v>
      </c>
      <c r="C3737">
        <f t="shared" si="116"/>
        <v>1.639753190915326</v>
      </c>
      <c r="D3737">
        <v>3</v>
      </c>
      <c r="E3737">
        <f t="shared" si="117"/>
        <v>5.6146788746696277E-2</v>
      </c>
    </row>
    <row r="3738" spans="1:5" x14ac:dyDescent="0.25">
      <c r="A3738">
        <v>0</v>
      </c>
      <c r="B3738">
        <v>2.9333333333333302E-2</v>
      </c>
      <c r="C3738">
        <f t="shared" si="116"/>
        <v>1.639753190915326</v>
      </c>
      <c r="D3738">
        <v>3</v>
      </c>
      <c r="E3738">
        <f t="shared" si="117"/>
        <v>5.6146788746696277E-2</v>
      </c>
    </row>
    <row r="3739" spans="1:5" x14ac:dyDescent="0.25">
      <c r="A3739">
        <v>0</v>
      </c>
      <c r="B3739">
        <v>2.9940119760479E-2</v>
      </c>
      <c r="C3739">
        <f t="shared" si="116"/>
        <v>1.6396983528288094</v>
      </c>
      <c r="D3739">
        <v>3</v>
      </c>
      <c r="E3739">
        <f t="shared" si="117"/>
        <v>5.6146788746696277E-2</v>
      </c>
    </row>
    <row r="3740" spans="1:5" x14ac:dyDescent="0.25">
      <c r="A3740">
        <v>0</v>
      </c>
      <c r="B3740">
        <v>2.9940119760479E-2</v>
      </c>
      <c r="C3740">
        <f t="shared" si="116"/>
        <v>1.6396983528288094</v>
      </c>
      <c r="D3740">
        <v>3</v>
      </c>
      <c r="E3740">
        <f t="shared" si="117"/>
        <v>5.6146788746696277E-2</v>
      </c>
    </row>
    <row r="3741" spans="1:5" x14ac:dyDescent="0.25">
      <c r="A3741">
        <v>0</v>
      </c>
      <c r="B3741">
        <v>2.9940119760479E-2</v>
      </c>
      <c r="C3741">
        <f t="shared" si="116"/>
        <v>1.6396983528288094</v>
      </c>
      <c r="D3741">
        <v>3</v>
      </c>
      <c r="E3741">
        <f t="shared" si="117"/>
        <v>5.6146788746696277E-2</v>
      </c>
    </row>
    <row r="3742" spans="1:5" x14ac:dyDescent="0.25">
      <c r="A3742">
        <v>0</v>
      </c>
      <c r="B3742">
        <v>0.03</v>
      </c>
      <c r="C3742">
        <f t="shared" si="116"/>
        <v>1.6396923882741101</v>
      </c>
      <c r="D3742">
        <v>3</v>
      </c>
      <c r="E3742">
        <f t="shared" si="117"/>
        <v>5.6146788746696277E-2</v>
      </c>
    </row>
    <row r="3743" spans="1:5" x14ac:dyDescent="0.25">
      <c r="A3743">
        <v>0</v>
      </c>
      <c r="B3743">
        <v>0.03</v>
      </c>
      <c r="C3743">
        <f t="shared" si="116"/>
        <v>1.6396923882741101</v>
      </c>
      <c r="D3743">
        <v>3</v>
      </c>
      <c r="E3743">
        <f t="shared" si="117"/>
        <v>5.6146788746696277E-2</v>
      </c>
    </row>
    <row r="3744" spans="1:5" x14ac:dyDescent="0.25">
      <c r="A3744">
        <v>0</v>
      </c>
      <c r="B3744">
        <v>0.03</v>
      </c>
      <c r="C3744">
        <f t="shared" si="116"/>
        <v>1.6396923882741101</v>
      </c>
      <c r="D3744">
        <v>3</v>
      </c>
      <c r="E3744">
        <f t="shared" si="117"/>
        <v>5.6146788746696277E-2</v>
      </c>
    </row>
    <row r="3745" spans="1:5" x14ac:dyDescent="0.25">
      <c r="A3745">
        <v>0</v>
      </c>
      <c r="B3745">
        <v>0.03</v>
      </c>
      <c r="C3745">
        <f t="shared" si="116"/>
        <v>1.6396923882741101</v>
      </c>
      <c r="D3745">
        <v>3</v>
      </c>
      <c r="E3745">
        <f t="shared" si="117"/>
        <v>5.6146788746696277E-2</v>
      </c>
    </row>
    <row r="3746" spans="1:5" x14ac:dyDescent="0.25">
      <c r="A3746">
        <v>0</v>
      </c>
      <c r="B3746">
        <v>0.03</v>
      </c>
      <c r="C3746">
        <f t="shared" si="116"/>
        <v>1.6396923882741101</v>
      </c>
      <c r="D3746">
        <v>3</v>
      </c>
      <c r="E3746">
        <f t="shared" si="117"/>
        <v>5.6146788746696277E-2</v>
      </c>
    </row>
    <row r="3747" spans="1:5" x14ac:dyDescent="0.25">
      <c r="A3747">
        <v>0</v>
      </c>
      <c r="B3747">
        <v>0.03</v>
      </c>
      <c r="C3747">
        <f t="shared" si="116"/>
        <v>1.6396923882741101</v>
      </c>
      <c r="D3747">
        <v>3</v>
      </c>
      <c r="E3747">
        <f t="shared" si="117"/>
        <v>5.6146788746696277E-2</v>
      </c>
    </row>
    <row r="3748" spans="1:5" x14ac:dyDescent="0.25">
      <c r="A3748">
        <v>0</v>
      </c>
      <c r="B3748">
        <v>0.03</v>
      </c>
      <c r="C3748">
        <f t="shared" si="116"/>
        <v>1.6396923882741101</v>
      </c>
      <c r="D3748">
        <v>3</v>
      </c>
      <c r="E3748">
        <f t="shared" si="117"/>
        <v>5.6146788746696277E-2</v>
      </c>
    </row>
    <row r="3749" spans="1:5" x14ac:dyDescent="0.25">
      <c r="A3749">
        <v>0</v>
      </c>
      <c r="B3749">
        <v>0.03</v>
      </c>
      <c r="C3749">
        <f t="shared" si="116"/>
        <v>1.6396923882741101</v>
      </c>
      <c r="D3749">
        <v>3</v>
      </c>
      <c r="E3749">
        <f t="shared" si="117"/>
        <v>5.6146788746696277E-2</v>
      </c>
    </row>
    <row r="3750" spans="1:5" x14ac:dyDescent="0.25">
      <c r="A3750">
        <v>0</v>
      </c>
      <c r="B3750">
        <v>3.0030030030029999E-2</v>
      </c>
      <c r="C3750">
        <f t="shared" si="116"/>
        <v>1.6396893596468918</v>
      </c>
      <c r="D3750">
        <v>3</v>
      </c>
      <c r="E3750">
        <f t="shared" si="117"/>
        <v>5.6146788746696277E-2</v>
      </c>
    </row>
    <row r="3751" spans="1:5" x14ac:dyDescent="0.25">
      <c r="A3751">
        <v>0</v>
      </c>
      <c r="B3751">
        <v>3.0030030030029999E-2</v>
      </c>
      <c r="C3751">
        <f t="shared" si="116"/>
        <v>1.6396893596468918</v>
      </c>
      <c r="D3751">
        <v>3</v>
      </c>
      <c r="E3751">
        <f t="shared" si="117"/>
        <v>5.6146788746696277E-2</v>
      </c>
    </row>
    <row r="3752" spans="1:5" x14ac:dyDescent="0.25">
      <c r="A3752">
        <v>0</v>
      </c>
      <c r="B3752">
        <v>3.0030030030029999E-2</v>
      </c>
      <c r="C3752">
        <f t="shared" si="116"/>
        <v>1.6396893596468918</v>
      </c>
      <c r="D3752">
        <v>3</v>
      </c>
      <c r="E3752">
        <f t="shared" si="117"/>
        <v>5.6146788746696277E-2</v>
      </c>
    </row>
    <row r="3753" spans="1:5" x14ac:dyDescent="0.25">
      <c r="A3753">
        <v>0</v>
      </c>
      <c r="B3753">
        <v>3.0030030030029999E-2</v>
      </c>
      <c r="C3753">
        <f t="shared" si="116"/>
        <v>1.6396893596468918</v>
      </c>
      <c r="D3753">
        <v>3</v>
      </c>
      <c r="E3753">
        <f t="shared" si="117"/>
        <v>5.6146788746696277E-2</v>
      </c>
    </row>
    <row r="3754" spans="1:5" x14ac:dyDescent="0.25">
      <c r="A3754">
        <v>0</v>
      </c>
      <c r="B3754">
        <v>3.0030030030029999E-2</v>
      </c>
      <c r="C3754">
        <f t="shared" si="116"/>
        <v>1.6396893596468918</v>
      </c>
      <c r="D3754">
        <v>3</v>
      </c>
      <c r="E3754">
        <f t="shared" si="117"/>
        <v>5.6146788746696277E-2</v>
      </c>
    </row>
    <row r="3755" spans="1:5" x14ac:dyDescent="0.25">
      <c r="A3755">
        <v>0</v>
      </c>
      <c r="B3755">
        <v>3.0030030030029999E-2</v>
      </c>
      <c r="C3755">
        <f t="shared" si="116"/>
        <v>1.6396893596468918</v>
      </c>
      <c r="D3755">
        <v>3</v>
      </c>
      <c r="E3755">
        <f t="shared" si="117"/>
        <v>5.6146788746696277E-2</v>
      </c>
    </row>
    <row r="3756" spans="1:5" x14ac:dyDescent="0.25">
      <c r="A3756">
        <v>0</v>
      </c>
      <c r="B3756">
        <v>3.0030030030029999E-2</v>
      </c>
      <c r="C3756">
        <f t="shared" si="116"/>
        <v>1.6396893596468918</v>
      </c>
      <c r="D3756">
        <v>3</v>
      </c>
      <c r="E3756">
        <f t="shared" si="117"/>
        <v>5.6146788746696277E-2</v>
      </c>
    </row>
    <row r="3757" spans="1:5" x14ac:dyDescent="0.25">
      <c r="A3757">
        <v>0</v>
      </c>
      <c r="B3757">
        <v>3.03030303030303E-2</v>
      </c>
      <c r="C3757">
        <f t="shared" si="116"/>
        <v>1.6396606809558698</v>
      </c>
      <c r="D3757">
        <v>3</v>
      </c>
      <c r="E3757">
        <f t="shared" si="117"/>
        <v>5.6146788746696277E-2</v>
      </c>
    </row>
    <row r="3758" spans="1:5" x14ac:dyDescent="0.25">
      <c r="A3758">
        <v>0</v>
      </c>
      <c r="B3758">
        <v>3.03030303030303E-2</v>
      </c>
      <c r="C3758">
        <f t="shared" si="116"/>
        <v>1.6396606809558698</v>
      </c>
      <c r="D3758">
        <v>3</v>
      </c>
      <c r="E3758">
        <f t="shared" si="117"/>
        <v>5.6146788746696277E-2</v>
      </c>
    </row>
    <row r="3759" spans="1:5" x14ac:dyDescent="0.25">
      <c r="A3759">
        <v>0</v>
      </c>
      <c r="B3759">
        <v>3.03030303030303E-2</v>
      </c>
      <c r="C3759">
        <f t="shared" si="116"/>
        <v>1.6396606809558698</v>
      </c>
      <c r="D3759">
        <v>3</v>
      </c>
      <c r="E3759">
        <f t="shared" si="117"/>
        <v>5.6146788746696277E-2</v>
      </c>
    </row>
    <row r="3760" spans="1:5" x14ac:dyDescent="0.25">
      <c r="A3760">
        <v>0</v>
      </c>
      <c r="B3760">
        <v>3.03030303030303E-2</v>
      </c>
      <c r="C3760">
        <f t="shared" si="116"/>
        <v>1.6396606809558698</v>
      </c>
      <c r="D3760">
        <v>3</v>
      </c>
      <c r="E3760">
        <f t="shared" si="117"/>
        <v>5.6146788746696277E-2</v>
      </c>
    </row>
    <row r="3761" spans="1:5" x14ac:dyDescent="0.25">
      <c r="A3761">
        <v>0</v>
      </c>
      <c r="B3761">
        <v>3.03030303030303E-2</v>
      </c>
      <c r="C3761">
        <f t="shared" si="116"/>
        <v>1.6396606809558698</v>
      </c>
      <c r="D3761">
        <v>3</v>
      </c>
      <c r="E3761">
        <f t="shared" si="117"/>
        <v>5.6146788746696277E-2</v>
      </c>
    </row>
    <row r="3762" spans="1:5" x14ac:dyDescent="0.25">
      <c r="A3762">
        <v>0</v>
      </c>
      <c r="B3762">
        <v>3.03030303030303E-2</v>
      </c>
      <c r="C3762">
        <f t="shared" si="116"/>
        <v>1.6396606809558698</v>
      </c>
      <c r="D3762">
        <v>3</v>
      </c>
      <c r="E3762">
        <f t="shared" si="117"/>
        <v>5.6146788746696277E-2</v>
      </c>
    </row>
    <row r="3763" spans="1:5" x14ac:dyDescent="0.25">
      <c r="A3763">
        <v>0</v>
      </c>
      <c r="B3763">
        <v>3.03738317757009E-2</v>
      </c>
      <c r="C3763">
        <f t="shared" si="116"/>
        <v>1.6396529061508698</v>
      </c>
      <c r="D3763">
        <v>3</v>
      </c>
      <c r="E3763">
        <f t="shared" si="117"/>
        <v>5.6146788746696277E-2</v>
      </c>
    </row>
    <row r="3764" spans="1:5" x14ac:dyDescent="0.25">
      <c r="A3764">
        <v>0</v>
      </c>
      <c r="B3764">
        <v>3.03738317757009E-2</v>
      </c>
      <c r="C3764">
        <f t="shared" si="116"/>
        <v>1.6396529061508698</v>
      </c>
      <c r="D3764">
        <v>3</v>
      </c>
      <c r="E3764">
        <f t="shared" si="117"/>
        <v>5.6146788746696277E-2</v>
      </c>
    </row>
    <row r="3765" spans="1:5" x14ac:dyDescent="0.25">
      <c r="A3765">
        <v>0</v>
      </c>
      <c r="B3765">
        <v>3.03738317757009E-2</v>
      </c>
      <c r="C3765">
        <f t="shared" si="116"/>
        <v>1.6396529061508698</v>
      </c>
      <c r="D3765">
        <v>3</v>
      </c>
      <c r="E3765">
        <f t="shared" si="117"/>
        <v>5.6146788746696277E-2</v>
      </c>
    </row>
    <row r="3766" spans="1:5" x14ac:dyDescent="0.25">
      <c r="A3766">
        <v>0</v>
      </c>
      <c r="B3766">
        <v>3.125E-2</v>
      </c>
      <c r="C3766">
        <f t="shared" si="116"/>
        <v>1.6395452033560507</v>
      </c>
      <c r="D3766">
        <v>3</v>
      </c>
      <c r="E3766">
        <f t="shared" si="117"/>
        <v>5.6146788746696277E-2</v>
      </c>
    </row>
    <row r="3767" spans="1:5" x14ac:dyDescent="0.25">
      <c r="A3767">
        <v>0</v>
      </c>
      <c r="B3767">
        <v>3.1645569620253201E-2</v>
      </c>
      <c r="C3767">
        <f t="shared" si="116"/>
        <v>1.6394896124732101</v>
      </c>
      <c r="D3767">
        <v>3</v>
      </c>
      <c r="E3767">
        <f t="shared" si="117"/>
        <v>5.6146788746696277E-2</v>
      </c>
    </row>
    <row r="3768" spans="1:5" x14ac:dyDescent="0.25">
      <c r="A3768">
        <v>0</v>
      </c>
      <c r="B3768">
        <v>3.1666666666666697E-2</v>
      </c>
      <c r="C3768">
        <f t="shared" si="116"/>
        <v>1.6394865259233549</v>
      </c>
      <c r="D3768">
        <v>3</v>
      </c>
      <c r="E3768">
        <f t="shared" si="117"/>
        <v>5.6146788746696277E-2</v>
      </c>
    </row>
    <row r="3769" spans="1:5" x14ac:dyDescent="0.25">
      <c r="A3769">
        <v>0</v>
      </c>
      <c r="B3769">
        <v>3.1746031746031703E-2</v>
      </c>
      <c r="C3769">
        <f t="shared" si="116"/>
        <v>1.6394748042335696</v>
      </c>
      <c r="D3769">
        <v>3</v>
      </c>
      <c r="E3769">
        <f t="shared" si="117"/>
        <v>5.6146788746696277E-2</v>
      </c>
    </row>
    <row r="3770" spans="1:5" x14ac:dyDescent="0.25">
      <c r="A3770">
        <v>0</v>
      </c>
      <c r="B3770">
        <v>3.1914893617021302E-2</v>
      </c>
      <c r="C3770">
        <f t="shared" si="116"/>
        <v>1.6394492841835004</v>
      </c>
      <c r="D3770">
        <v>3</v>
      </c>
      <c r="E3770">
        <f t="shared" si="117"/>
        <v>5.6146788746696277E-2</v>
      </c>
    </row>
    <row r="3771" spans="1:5" x14ac:dyDescent="0.25">
      <c r="A3771">
        <v>0</v>
      </c>
      <c r="B3771">
        <v>3.2000000000000001E-2</v>
      </c>
      <c r="C3771">
        <f t="shared" si="116"/>
        <v>1.6394361228595824</v>
      </c>
      <c r="D3771">
        <v>3</v>
      </c>
      <c r="E3771">
        <f t="shared" si="117"/>
        <v>5.6146788746696277E-2</v>
      </c>
    </row>
    <row r="3772" spans="1:5" x14ac:dyDescent="0.25">
      <c r="A3772">
        <v>0</v>
      </c>
      <c r="B3772">
        <v>3.2000000000000001E-2</v>
      </c>
      <c r="C3772">
        <f t="shared" si="116"/>
        <v>1.6394361228595824</v>
      </c>
      <c r="D3772">
        <v>3</v>
      </c>
      <c r="E3772">
        <f t="shared" si="117"/>
        <v>5.6146788746696277E-2</v>
      </c>
    </row>
    <row r="3773" spans="1:5" x14ac:dyDescent="0.25">
      <c r="A3773">
        <v>0</v>
      </c>
      <c r="B3773">
        <v>3.2000000000000001E-2</v>
      </c>
      <c r="C3773">
        <f t="shared" si="116"/>
        <v>1.6394361228595824</v>
      </c>
      <c r="D3773">
        <v>3</v>
      </c>
      <c r="E3773">
        <f t="shared" si="117"/>
        <v>5.6146788746696277E-2</v>
      </c>
    </row>
    <row r="3774" spans="1:5" x14ac:dyDescent="0.25">
      <c r="A3774">
        <v>0</v>
      </c>
      <c r="B3774">
        <v>3.2000000000000001E-2</v>
      </c>
      <c r="C3774">
        <f t="shared" si="116"/>
        <v>1.6394361228595824</v>
      </c>
      <c r="D3774">
        <v>3</v>
      </c>
      <c r="E3774">
        <f t="shared" si="117"/>
        <v>5.6146788746696277E-2</v>
      </c>
    </row>
    <row r="3775" spans="1:5" x14ac:dyDescent="0.25">
      <c r="A3775">
        <v>0</v>
      </c>
      <c r="B3775">
        <v>3.2000000000000001E-2</v>
      </c>
      <c r="C3775">
        <f t="shared" si="116"/>
        <v>1.6394361228595824</v>
      </c>
      <c r="D3775">
        <v>3</v>
      </c>
      <c r="E3775">
        <f t="shared" si="117"/>
        <v>5.6146788746696277E-2</v>
      </c>
    </row>
    <row r="3776" spans="1:5" x14ac:dyDescent="0.25">
      <c r="A3776">
        <v>0</v>
      </c>
      <c r="B3776">
        <v>3.2000000000000001E-2</v>
      </c>
      <c r="C3776">
        <f t="shared" si="116"/>
        <v>1.6394361228595824</v>
      </c>
      <c r="D3776">
        <v>3</v>
      </c>
      <c r="E3776">
        <f t="shared" si="117"/>
        <v>5.6146788746696277E-2</v>
      </c>
    </row>
    <row r="3777" spans="1:5" x14ac:dyDescent="0.25">
      <c r="A3777">
        <v>0</v>
      </c>
      <c r="B3777">
        <v>3.2000000000000001E-2</v>
      </c>
      <c r="C3777">
        <f t="shared" si="116"/>
        <v>1.6394361228595824</v>
      </c>
      <c r="D3777">
        <v>3</v>
      </c>
      <c r="E3777">
        <f t="shared" si="117"/>
        <v>5.6146788746696277E-2</v>
      </c>
    </row>
    <row r="3778" spans="1:5" x14ac:dyDescent="0.25">
      <c r="A3778">
        <v>0</v>
      </c>
      <c r="B3778">
        <v>3.2000000000000001E-2</v>
      </c>
      <c r="C3778">
        <f t="shared" ref="C3778:C3841" si="118">_xlfn.NORM.DIST(B3778,I$10,I$13,FALSE)</f>
        <v>1.6394361228595824</v>
      </c>
      <c r="D3778">
        <v>3</v>
      </c>
      <c r="E3778">
        <f t="shared" si="117"/>
        <v>5.6146788746696277E-2</v>
      </c>
    </row>
    <row r="3779" spans="1:5" x14ac:dyDescent="0.25">
      <c r="A3779">
        <v>0</v>
      </c>
      <c r="B3779">
        <v>3.2000000000000001E-2</v>
      </c>
      <c r="C3779">
        <f t="shared" si="118"/>
        <v>1.6394361228595824</v>
      </c>
      <c r="D3779">
        <v>3</v>
      </c>
      <c r="E3779">
        <f t="shared" ref="E3779:E3842" si="119">_xlfn.NORM.DIST(D3779,I$4,I$7,FALSE)</f>
        <v>5.6146788746696277E-2</v>
      </c>
    </row>
    <row r="3780" spans="1:5" x14ac:dyDescent="0.25">
      <c r="A3780">
        <v>0</v>
      </c>
      <c r="B3780">
        <v>3.2000000000000001E-2</v>
      </c>
      <c r="C3780">
        <f t="shared" si="118"/>
        <v>1.6394361228595824</v>
      </c>
      <c r="D3780">
        <v>3</v>
      </c>
      <c r="E3780">
        <f t="shared" si="119"/>
        <v>5.6146788746696277E-2</v>
      </c>
    </row>
    <row r="3781" spans="1:5" x14ac:dyDescent="0.25">
      <c r="A3781">
        <v>0</v>
      </c>
      <c r="B3781">
        <v>3.2000000000000001E-2</v>
      </c>
      <c r="C3781">
        <f t="shared" si="118"/>
        <v>1.6394361228595824</v>
      </c>
      <c r="D3781">
        <v>3</v>
      </c>
      <c r="E3781">
        <f t="shared" si="119"/>
        <v>5.6146788746696277E-2</v>
      </c>
    </row>
    <row r="3782" spans="1:5" x14ac:dyDescent="0.25">
      <c r="A3782">
        <v>0</v>
      </c>
      <c r="B3782">
        <v>3.2000000000000001E-2</v>
      </c>
      <c r="C3782">
        <f t="shared" si="118"/>
        <v>1.6394361228595824</v>
      </c>
      <c r="D3782">
        <v>3</v>
      </c>
      <c r="E3782">
        <f t="shared" si="119"/>
        <v>5.6146788746696277E-2</v>
      </c>
    </row>
    <row r="3783" spans="1:5" x14ac:dyDescent="0.25">
      <c r="A3783">
        <v>0</v>
      </c>
      <c r="B3783">
        <v>3.2000000000000001E-2</v>
      </c>
      <c r="C3783">
        <f t="shared" si="118"/>
        <v>1.6394361228595824</v>
      </c>
      <c r="D3783">
        <v>3</v>
      </c>
      <c r="E3783">
        <f t="shared" si="119"/>
        <v>5.6146788746696277E-2</v>
      </c>
    </row>
    <row r="3784" spans="1:5" x14ac:dyDescent="0.25">
      <c r="A3784">
        <v>0</v>
      </c>
      <c r="B3784">
        <v>3.2000000000000001E-2</v>
      </c>
      <c r="C3784">
        <f t="shared" si="118"/>
        <v>1.6394361228595824</v>
      </c>
      <c r="D3784">
        <v>3</v>
      </c>
      <c r="E3784">
        <f t="shared" si="119"/>
        <v>5.6146788746696277E-2</v>
      </c>
    </row>
    <row r="3785" spans="1:5" x14ac:dyDescent="0.25">
      <c r="A3785">
        <v>0</v>
      </c>
      <c r="B3785">
        <v>3.2000000000000001E-2</v>
      </c>
      <c r="C3785">
        <f t="shared" si="118"/>
        <v>1.6394361228595824</v>
      </c>
      <c r="D3785">
        <v>3</v>
      </c>
      <c r="E3785">
        <f t="shared" si="119"/>
        <v>5.6146788746696277E-2</v>
      </c>
    </row>
    <row r="3786" spans="1:5" x14ac:dyDescent="0.25">
      <c r="A3786">
        <v>0</v>
      </c>
      <c r="B3786">
        <v>3.2000000000000001E-2</v>
      </c>
      <c r="C3786">
        <f t="shared" si="118"/>
        <v>1.6394361228595824</v>
      </c>
      <c r="D3786">
        <v>3</v>
      </c>
      <c r="E3786">
        <f t="shared" si="119"/>
        <v>5.6146788746696277E-2</v>
      </c>
    </row>
    <row r="3787" spans="1:5" x14ac:dyDescent="0.25">
      <c r="A3787">
        <v>0</v>
      </c>
      <c r="B3787">
        <v>3.2000000000000001E-2</v>
      </c>
      <c r="C3787">
        <f t="shared" si="118"/>
        <v>1.6394361228595824</v>
      </c>
      <c r="D3787">
        <v>3</v>
      </c>
      <c r="E3787">
        <f t="shared" si="119"/>
        <v>5.6146788746696277E-2</v>
      </c>
    </row>
    <row r="3788" spans="1:5" x14ac:dyDescent="0.25">
      <c r="A3788">
        <v>0</v>
      </c>
      <c r="B3788">
        <v>3.2000000000000001E-2</v>
      </c>
      <c r="C3788">
        <f t="shared" si="118"/>
        <v>1.6394361228595824</v>
      </c>
      <c r="D3788">
        <v>3</v>
      </c>
      <c r="E3788">
        <f t="shared" si="119"/>
        <v>5.6146788746696277E-2</v>
      </c>
    </row>
    <row r="3789" spans="1:5" x14ac:dyDescent="0.25">
      <c r="A3789">
        <v>0</v>
      </c>
      <c r="B3789">
        <v>3.2000000000000001E-2</v>
      </c>
      <c r="C3789">
        <f t="shared" si="118"/>
        <v>1.6394361228595824</v>
      </c>
      <c r="D3789">
        <v>3</v>
      </c>
      <c r="E3789">
        <f t="shared" si="119"/>
        <v>5.6146788746696277E-2</v>
      </c>
    </row>
    <row r="3790" spans="1:5" x14ac:dyDescent="0.25">
      <c r="A3790">
        <v>0</v>
      </c>
      <c r="B3790">
        <v>3.2000000000000001E-2</v>
      </c>
      <c r="C3790">
        <f t="shared" si="118"/>
        <v>1.6394361228595824</v>
      </c>
      <c r="D3790">
        <v>3</v>
      </c>
      <c r="E3790">
        <f t="shared" si="119"/>
        <v>5.6146788746696277E-2</v>
      </c>
    </row>
    <row r="3791" spans="1:5" x14ac:dyDescent="0.25">
      <c r="A3791">
        <v>0</v>
      </c>
      <c r="B3791">
        <v>3.2000000000000001E-2</v>
      </c>
      <c r="C3791">
        <f t="shared" si="118"/>
        <v>1.6394361228595824</v>
      </c>
      <c r="D3791">
        <v>3</v>
      </c>
      <c r="E3791">
        <f t="shared" si="119"/>
        <v>5.6146788746696277E-2</v>
      </c>
    </row>
    <row r="3792" spans="1:5" x14ac:dyDescent="0.25">
      <c r="A3792">
        <v>0</v>
      </c>
      <c r="B3792">
        <v>3.2000000000000001E-2</v>
      </c>
      <c r="C3792">
        <f t="shared" si="118"/>
        <v>1.6394361228595824</v>
      </c>
      <c r="D3792">
        <v>3</v>
      </c>
      <c r="E3792">
        <f t="shared" si="119"/>
        <v>5.6146788746696277E-2</v>
      </c>
    </row>
    <row r="3793" spans="1:5" x14ac:dyDescent="0.25">
      <c r="A3793">
        <v>0</v>
      </c>
      <c r="B3793">
        <v>3.2000000000000001E-2</v>
      </c>
      <c r="C3793">
        <f t="shared" si="118"/>
        <v>1.6394361228595824</v>
      </c>
      <c r="D3793">
        <v>3</v>
      </c>
      <c r="E3793">
        <f t="shared" si="119"/>
        <v>5.6146788746696277E-2</v>
      </c>
    </row>
    <row r="3794" spans="1:5" x14ac:dyDescent="0.25">
      <c r="A3794">
        <v>0</v>
      </c>
      <c r="B3794">
        <v>3.2000000000000001E-2</v>
      </c>
      <c r="C3794">
        <f t="shared" si="118"/>
        <v>1.6394361228595824</v>
      </c>
      <c r="D3794">
        <v>3</v>
      </c>
      <c r="E3794">
        <f t="shared" si="119"/>
        <v>5.6146788746696277E-2</v>
      </c>
    </row>
    <row r="3795" spans="1:5" x14ac:dyDescent="0.25">
      <c r="A3795">
        <v>0</v>
      </c>
      <c r="B3795">
        <v>3.2634032634032598E-2</v>
      </c>
      <c r="C3795">
        <f t="shared" si="118"/>
        <v>1.6393317610031852</v>
      </c>
      <c r="D3795">
        <v>3</v>
      </c>
      <c r="E3795">
        <f t="shared" si="119"/>
        <v>5.6146788746696277E-2</v>
      </c>
    </row>
    <row r="3796" spans="1:5" x14ac:dyDescent="0.25">
      <c r="A3796">
        <v>0</v>
      </c>
      <c r="B3796">
        <v>3.27102803738318E-2</v>
      </c>
      <c r="C3796">
        <f t="shared" si="118"/>
        <v>1.6393184610106641</v>
      </c>
      <c r="D3796">
        <v>3</v>
      </c>
      <c r="E3796">
        <f t="shared" si="119"/>
        <v>5.6146788746696277E-2</v>
      </c>
    </row>
    <row r="3797" spans="1:5" x14ac:dyDescent="0.25">
      <c r="A3797">
        <v>0</v>
      </c>
      <c r="B3797">
        <v>3.27102803738318E-2</v>
      </c>
      <c r="C3797">
        <f t="shared" si="118"/>
        <v>1.6393184610106641</v>
      </c>
      <c r="D3797">
        <v>3</v>
      </c>
      <c r="E3797">
        <f t="shared" si="119"/>
        <v>5.6146788746696277E-2</v>
      </c>
    </row>
    <row r="3798" spans="1:5" x14ac:dyDescent="0.25">
      <c r="A3798">
        <v>0</v>
      </c>
      <c r="B3798">
        <v>3.29341317365269E-2</v>
      </c>
      <c r="C3798">
        <f t="shared" si="118"/>
        <v>1.6392784845951349</v>
      </c>
      <c r="D3798">
        <v>3</v>
      </c>
      <c r="E3798">
        <f t="shared" si="119"/>
        <v>5.6146788746696277E-2</v>
      </c>
    </row>
    <row r="3799" spans="1:5" x14ac:dyDescent="0.25">
      <c r="A3799">
        <v>0</v>
      </c>
      <c r="B3799">
        <v>3.29341317365269E-2</v>
      </c>
      <c r="C3799">
        <f t="shared" si="118"/>
        <v>1.6392784845951349</v>
      </c>
      <c r="D3799">
        <v>3</v>
      </c>
      <c r="E3799">
        <f t="shared" si="119"/>
        <v>5.6146788746696277E-2</v>
      </c>
    </row>
    <row r="3800" spans="1:5" x14ac:dyDescent="0.25">
      <c r="A3800">
        <v>0</v>
      </c>
      <c r="B3800">
        <v>3.29341317365269E-2</v>
      </c>
      <c r="C3800">
        <f t="shared" si="118"/>
        <v>1.6392784845951349</v>
      </c>
      <c r="D3800">
        <v>3</v>
      </c>
      <c r="E3800">
        <f t="shared" si="119"/>
        <v>5.6146788746696277E-2</v>
      </c>
    </row>
    <row r="3801" spans="1:5" x14ac:dyDescent="0.25">
      <c r="A3801">
        <v>0</v>
      </c>
      <c r="B3801">
        <v>3.29341317365269E-2</v>
      </c>
      <c r="C3801">
        <f t="shared" si="118"/>
        <v>1.6392784845951349</v>
      </c>
      <c r="D3801">
        <v>3</v>
      </c>
      <c r="E3801">
        <f t="shared" si="119"/>
        <v>5.6146788746696277E-2</v>
      </c>
    </row>
    <row r="3802" spans="1:5" x14ac:dyDescent="0.25">
      <c r="A3802">
        <v>0</v>
      </c>
      <c r="B3802">
        <v>3.29341317365269E-2</v>
      </c>
      <c r="C3802">
        <f t="shared" si="118"/>
        <v>1.6392784845951349</v>
      </c>
      <c r="D3802">
        <v>3</v>
      </c>
      <c r="E3802">
        <f t="shared" si="119"/>
        <v>5.6146788746696277E-2</v>
      </c>
    </row>
    <row r="3803" spans="1:5" x14ac:dyDescent="0.25">
      <c r="A3803">
        <v>0</v>
      </c>
      <c r="B3803">
        <v>3.3000000000000002E-2</v>
      </c>
      <c r="C3803">
        <f t="shared" si="118"/>
        <v>1.6392664574341123</v>
      </c>
      <c r="D3803">
        <v>3</v>
      </c>
      <c r="E3803">
        <f t="shared" si="119"/>
        <v>5.6146788746696277E-2</v>
      </c>
    </row>
    <row r="3804" spans="1:5" x14ac:dyDescent="0.25">
      <c r="A3804">
        <v>0</v>
      </c>
      <c r="B3804">
        <v>3.3033033033033003E-2</v>
      </c>
      <c r="C3804">
        <f t="shared" si="118"/>
        <v>1.6392603805831423</v>
      </c>
      <c r="D3804">
        <v>3</v>
      </c>
      <c r="E3804">
        <f t="shared" si="119"/>
        <v>5.6146788746696277E-2</v>
      </c>
    </row>
    <row r="3805" spans="1:5" x14ac:dyDescent="0.25">
      <c r="A3805">
        <v>0</v>
      </c>
      <c r="B3805">
        <v>3.3033033033033003E-2</v>
      </c>
      <c r="C3805">
        <f t="shared" si="118"/>
        <v>1.6392603805831423</v>
      </c>
      <c r="D3805">
        <v>3</v>
      </c>
      <c r="E3805">
        <f t="shared" si="119"/>
        <v>5.6146788746696277E-2</v>
      </c>
    </row>
    <row r="3806" spans="1:5" x14ac:dyDescent="0.25">
      <c r="A3806">
        <v>0</v>
      </c>
      <c r="B3806">
        <v>3.3033033033033003E-2</v>
      </c>
      <c r="C3806">
        <f t="shared" si="118"/>
        <v>1.6392603805831423</v>
      </c>
      <c r="D3806">
        <v>3</v>
      </c>
      <c r="E3806">
        <f t="shared" si="119"/>
        <v>5.6146788746696277E-2</v>
      </c>
    </row>
    <row r="3807" spans="1:5" x14ac:dyDescent="0.25">
      <c r="A3807">
        <v>0</v>
      </c>
      <c r="B3807">
        <v>3.3033033033033003E-2</v>
      </c>
      <c r="C3807">
        <f t="shared" si="118"/>
        <v>1.6392603805831423</v>
      </c>
      <c r="D3807">
        <v>3</v>
      </c>
      <c r="E3807">
        <f t="shared" si="119"/>
        <v>5.6146788746696277E-2</v>
      </c>
    </row>
    <row r="3808" spans="1:5" x14ac:dyDescent="0.25">
      <c r="A3808">
        <v>0</v>
      </c>
      <c r="B3808">
        <v>3.3033033033033003E-2</v>
      </c>
      <c r="C3808">
        <f t="shared" si="118"/>
        <v>1.6392603805831423</v>
      </c>
      <c r="D3808">
        <v>3</v>
      </c>
      <c r="E3808">
        <f t="shared" si="119"/>
        <v>5.6146788746696277E-2</v>
      </c>
    </row>
    <row r="3809" spans="1:5" x14ac:dyDescent="0.25">
      <c r="A3809">
        <v>0</v>
      </c>
      <c r="B3809">
        <v>3.3033033033033003E-2</v>
      </c>
      <c r="C3809">
        <f t="shared" si="118"/>
        <v>1.6392603805831423</v>
      </c>
      <c r="D3809">
        <v>3</v>
      </c>
      <c r="E3809">
        <f t="shared" si="119"/>
        <v>5.6146788746696277E-2</v>
      </c>
    </row>
    <row r="3810" spans="1:5" x14ac:dyDescent="0.25">
      <c r="A3810">
        <v>0</v>
      </c>
      <c r="B3810">
        <v>3.3033033033033003E-2</v>
      </c>
      <c r="C3810">
        <f t="shared" si="118"/>
        <v>1.6392603805831423</v>
      </c>
      <c r="D3810">
        <v>3</v>
      </c>
      <c r="E3810">
        <f t="shared" si="119"/>
        <v>5.6146788746696277E-2</v>
      </c>
    </row>
    <row r="3811" spans="1:5" x14ac:dyDescent="0.25">
      <c r="A3811">
        <v>0</v>
      </c>
      <c r="B3811">
        <v>3.3333333333333298E-2</v>
      </c>
      <c r="C3811">
        <f t="shared" si="118"/>
        <v>1.6392037512757822</v>
      </c>
      <c r="D3811">
        <v>3</v>
      </c>
      <c r="E3811">
        <f t="shared" si="119"/>
        <v>5.6146788746696277E-2</v>
      </c>
    </row>
    <row r="3812" spans="1:5" x14ac:dyDescent="0.25">
      <c r="A3812">
        <v>0</v>
      </c>
      <c r="B3812">
        <v>3.3333333333333298E-2</v>
      </c>
      <c r="C3812">
        <f t="shared" si="118"/>
        <v>1.6392037512757822</v>
      </c>
      <c r="D3812">
        <v>3</v>
      </c>
      <c r="E3812">
        <f t="shared" si="119"/>
        <v>5.6146788746696277E-2</v>
      </c>
    </row>
    <row r="3813" spans="1:5" x14ac:dyDescent="0.25">
      <c r="A3813">
        <v>0</v>
      </c>
      <c r="B3813">
        <v>3.3333333333333298E-2</v>
      </c>
      <c r="C3813">
        <f t="shared" si="118"/>
        <v>1.6392037512757822</v>
      </c>
      <c r="D3813">
        <v>3</v>
      </c>
      <c r="E3813">
        <f t="shared" si="119"/>
        <v>5.6146788746696277E-2</v>
      </c>
    </row>
    <row r="3814" spans="1:5" x14ac:dyDescent="0.25">
      <c r="A3814">
        <v>0</v>
      </c>
      <c r="B3814">
        <v>3.3333333333333298E-2</v>
      </c>
      <c r="C3814">
        <f t="shared" si="118"/>
        <v>1.6392037512757822</v>
      </c>
      <c r="D3814">
        <v>3</v>
      </c>
      <c r="E3814">
        <f t="shared" si="119"/>
        <v>5.6146788746696277E-2</v>
      </c>
    </row>
    <row r="3815" spans="1:5" x14ac:dyDescent="0.25">
      <c r="A3815">
        <v>0</v>
      </c>
      <c r="B3815">
        <v>3.4000000000000002E-2</v>
      </c>
      <c r="C3815">
        <f t="shared" si="118"/>
        <v>1.6390691145268916</v>
      </c>
      <c r="D3815">
        <v>3</v>
      </c>
      <c r="E3815">
        <f t="shared" si="119"/>
        <v>5.6146788746696277E-2</v>
      </c>
    </row>
    <row r="3816" spans="1:5" x14ac:dyDescent="0.25">
      <c r="A3816">
        <v>0</v>
      </c>
      <c r="B3816">
        <v>3.4000000000000002E-2</v>
      </c>
      <c r="C3816">
        <f t="shared" si="118"/>
        <v>1.6390691145268916</v>
      </c>
      <c r="D3816">
        <v>3</v>
      </c>
      <c r="E3816">
        <f t="shared" si="119"/>
        <v>5.6146788746696277E-2</v>
      </c>
    </row>
    <row r="3817" spans="1:5" x14ac:dyDescent="0.25">
      <c r="A3817">
        <v>0</v>
      </c>
      <c r="B3817">
        <v>3.4000000000000002E-2</v>
      </c>
      <c r="C3817">
        <f t="shared" si="118"/>
        <v>1.6390691145268916</v>
      </c>
      <c r="D3817">
        <v>3</v>
      </c>
      <c r="E3817">
        <f t="shared" si="119"/>
        <v>5.6146788746696277E-2</v>
      </c>
    </row>
    <row r="3818" spans="1:5" x14ac:dyDescent="0.25">
      <c r="A3818">
        <v>0</v>
      </c>
      <c r="B3818">
        <v>3.4000000000000002E-2</v>
      </c>
      <c r="C3818">
        <f t="shared" si="118"/>
        <v>1.6390691145268916</v>
      </c>
      <c r="D3818">
        <v>3</v>
      </c>
      <c r="E3818">
        <f t="shared" si="119"/>
        <v>5.6146788746696277E-2</v>
      </c>
    </row>
    <row r="3819" spans="1:5" x14ac:dyDescent="0.25">
      <c r="A3819">
        <v>0</v>
      </c>
      <c r="B3819">
        <v>3.4000000000000002E-2</v>
      </c>
      <c r="C3819">
        <f t="shared" si="118"/>
        <v>1.6390691145268916</v>
      </c>
      <c r="D3819">
        <v>3</v>
      </c>
      <c r="E3819">
        <f t="shared" si="119"/>
        <v>5.6146788746696277E-2</v>
      </c>
    </row>
    <row r="3820" spans="1:5" x14ac:dyDescent="0.25">
      <c r="A3820">
        <v>0</v>
      </c>
      <c r="B3820">
        <v>3.4000000000000002E-2</v>
      </c>
      <c r="C3820">
        <f t="shared" si="118"/>
        <v>1.6390691145268916</v>
      </c>
      <c r="D3820">
        <v>3</v>
      </c>
      <c r="E3820">
        <f t="shared" si="119"/>
        <v>5.6146788746696277E-2</v>
      </c>
    </row>
    <row r="3821" spans="1:5" x14ac:dyDescent="0.25">
      <c r="A3821">
        <v>0</v>
      </c>
      <c r="B3821">
        <v>3.46666666666667E-2</v>
      </c>
      <c r="C3821">
        <f t="shared" si="118"/>
        <v>1.6389221810907801</v>
      </c>
      <c r="D3821">
        <v>3</v>
      </c>
      <c r="E3821">
        <f t="shared" si="119"/>
        <v>5.6146788746696277E-2</v>
      </c>
    </row>
    <row r="3822" spans="1:5" x14ac:dyDescent="0.25">
      <c r="A3822">
        <v>0</v>
      </c>
      <c r="B3822">
        <v>3.46666666666667E-2</v>
      </c>
      <c r="C3822">
        <f t="shared" si="118"/>
        <v>1.6389221810907801</v>
      </c>
      <c r="D3822">
        <v>3</v>
      </c>
      <c r="E3822">
        <f t="shared" si="119"/>
        <v>5.6146788746696277E-2</v>
      </c>
    </row>
    <row r="3823" spans="1:5" x14ac:dyDescent="0.25">
      <c r="A3823">
        <v>0</v>
      </c>
      <c r="B3823">
        <v>3.46666666666667E-2</v>
      </c>
      <c r="C3823">
        <f t="shared" si="118"/>
        <v>1.6389221810907801</v>
      </c>
      <c r="D3823">
        <v>3</v>
      </c>
      <c r="E3823">
        <f t="shared" si="119"/>
        <v>5.6146788746696277E-2</v>
      </c>
    </row>
    <row r="3824" spans="1:5" x14ac:dyDescent="0.25">
      <c r="A3824">
        <v>0</v>
      </c>
      <c r="B3824">
        <v>3.46666666666667E-2</v>
      </c>
      <c r="C3824">
        <f t="shared" si="118"/>
        <v>1.6389221810907801</v>
      </c>
      <c r="D3824">
        <v>3</v>
      </c>
      <c r="E3824">
        <f t="shared" si="119"/>
        <v>5.6146788746696277E-2</v>
      </c>
    </row>
    <row r="3825" spans="1:5" x14ac:dyDescent="0.25">
      <c r="A3825">
        <v>0</v>
      </c>
      <c r="B3825">
        <v>3.46666666666667E-2</v>
      </c>
      <c r="C3825">
        <f t="shared" si="118"/>
        <v>1.6389221810907801</v>
      </c>
      <c r="D3825">
        <v>3</v>
      </c>
      <c r="E3825">
        <f t="shared" si="119"/>
        <v>5.6146788746696277E-2</v>
      </c>
    </row>
    <row r="3826" spans="1:5" x14ac:dyDescent="0.25">
      <c r="A3826">
        <v>0</v>
      </c>
      <c r="B3826">
        <v>3.46666666666667E-2</v>
      </c>
      <c r="C3826">
        <f t="shared" si="118"/>
        <v>1.6389221810907801</v>
      </c>
      <c r="D3826">
        <v>3</v>
      </c>
      <c r="E3826">
        <f t="shared" si="119"/>
        <v>5.6146788746696277E-2</v>
      </c>
    </row>
    <row r="3827" spans="1:5" x14ac:dyDescent="0.25">
      <c r="A3827">
        <v>0</v>
      </c>
      <c r="B3827">
        <v>3.46666666666667E-2</v>
      </c>
      <c r="C3827">
        <f t="shared" si="118"/>
        <v>1.6389221810907801</v>
      </c>
      <c r="D3827">
        <v>3</v>
      </c>
      <c r="E3827">
        <f t="shared" si="119"/>
        <v>5.6146788746696277E-2</v>
      </c>
    </row>
    <row r="3828" spans="1:5" x14ac:dyDescent="0.25">
      <c r="A3828">
        <v>0</v>
      </c>
      <c r="B3828">
        <v>3.46666666666667E-2</v>
      </c>
      <c r="C3828">
        <f t="shared" si="118"/>
        <v>1.6389221810907801</v>
      </c>
      <c r="D3828">
        <v>3</v>
      </c>
      <c r="E3828">
        <f t="shared" si="119"/>
        <v>5.6146788746696277E-2</v>
      </c>
    </row>
    <row r="3829" spans="1:5" x14ac:dyDescent="0.25">
      <c r="A3829">
        <v>0</v>
      </c>
      <c r="B3829">
        <v>3.46666666666667E-2</v>
      </c>
      <c r="C3829">
        <f t="shared" si="118"/>
        <v>1.6389221810907801</v>
      </c>
      <c r="D3829">
        <v>3</v>
      </c>
      <c r="E3829">
        <f t="shared" si="119"/>
        <v>5.6146788746696277E-2</v>
      </c>
    </row>
    <row r="3830" spans="1:5" x14ac:dyDescent="0.25">
      <c r="A3830">
        <v>0</v>
      </c>
      <c r="B3830">
        <v>3.5000000000000003E-2</v>
      </c>
      <c r="C3830">
        <f t="shared" si="118"/>
        <v>1.6388441041382882</v>
      </c>
      <c r="D3830">
        <v>3</v>
      </c>
      <c r="E3830">
        <f t="shared" si="119"/>
        <v>5.6146788746696277E-2</v>
      </c>
    </row>
    <row r="3831" spans="1:5" x14ac:dyDescent="0.25">
      <c r="A3831">
        <v>0</v>
      </c>
      <c r="B3831">
        <v>3.5000000000000003E-2</v>
      </c>
      <c r="C3831">
        <f t="shared" si="118"/>
        <v>1.6388441041382882</v>
      </c>
      <c r="D3831">
        <v>3</v>
      </c>
      <c r="E3831">
        <f t="shared" si="119"/>
        <v>5.6146788746696277E-2</v>
      </c>
    </row>
    <row r="3832" spans="1:5" x14ac:dyDescent="0.25">
      <c r="A3832">
        <v>0</v>
      </c>
      <c r="B3832">
        <v>3.5000000000000003E-2</v>
      </c>
      <c r="C3832">
        <f t="shared" si="118"/>
        <v>1.6388441041382882</v>
      </c>
      <c r="D3832">
        <v>3</v>
      </c>
      <c r="E3832">
        <f t="shared" si="119"/>
        <v>5.6146788746696277E-2</v>
      </c>
    </row>
    <row r="3833" spans="1:5" x14ac:dyDescent="0.25">
      <c r="A3833">
        <v>0</v>
      </c>
      <c r="B3833">
        <v>3.5000000000000003E-2</v>
      </c>
      <c r="C3833">
        <f t="shared" si="118"/>
        <v>1.6388441041382882</v>
      </c>
      <c r="D3833">
        <v>3</v>
      </c>
      <c r="E3833">
        <f t="shared" si="119"/>
        <v>5.6146788746696277E-2</v>
      </c>
    </row>
    <row r="3834" spans="1:5" x14ac:dyDescent="0.25">
      <c r="A3834">
        <v>0</v>
      </c>
      <c r="B3834">
        <v>3.5000000000000003E-2</v>
      </c>
      <c r="C3834">
        <f t="shared" si="118"/>
        <v>1.6388441041382882</v>
      </c>
      <c r="D3834">
        <v>3</v>
      </c>
      <c r="E3834">
        <f t="shared" si="119"/>
        <v>5.6146788746696277E-2</v>
      </c>
    </row>
    <row r="3835" spans="1:5" x14ac:dyDescent="0.25">
      <c r="A3835">
        <v>0</v>
      </c>
      <c r="B3835">
        <v>3.5000000000000003E-2</v>
      </c>
      <c r="C3835">
        <f t="shared" si="118"/>
        <v>1.6388441041382882</v>
      </c>
      <c r="D3835">
        <v>3</v>
      </c>
      <c r="E3835">
        <f t="shared" si="119"/>
        <v>5.6146788746696277E-2</v>
      </c>
    </row>
    <row r="3836" spans="1:5" x14ac:dyDescent="0.25">
      <c r="A3836">
        <v>0</v>
      </c>
      <c r="B3836">
        <v>3.50467289719626E-2</v>
      </c>
      <c r="C3836">
        <f t="shared" si="118"/>
        <v>1.6388329131750203</v>
      </c>
      <c r="D3836">
        <v>3</v>
      </c>
      <c r="E3836">
        <f t="shared" si="119"/>
        <v>5.6146788746696277E-2</v>
      </c>
    </row>
    <row r="3837" spans="1:5" x14ac:dyDescent="0.25">
      <c r="A3837">
        <v>0</v>
      </c>
      <c r="B3837">
        <v>3.50467289719626E-2</v>
      </c>
      <c r="C3837">
        <f t="shared" si="118"/>
        <v>1.6388329131750203</v>
      </c>
      <c r="D3837">
        <v>3</v>
      </c>
      <c r="E3837">
        <f t="shared" si="119"/>
        <v>5.6146788746696277E-2</v>
      </c>
    </row>
    <row r="3838" spans="1:5" x14ac:dyDescent="0.25">
      <c r="A3838">
        <v>0</v>
      </c>
      <c r="B3838">
        <v>3.50467289719626E-2</v>
      </c>
      <c r="C3838">
        <f t="shared" si="118"/>
        <v>1.6388329131750203</v>
      </c>
      <c r="D3838">
        <v>3</v>
      </c>
      <c r="E3838">
        <f t="shared" si="119"/>
        <v>5.6146788746696277E-2</v>
      </c>
    </row>
    <row r="3839" spans="1:5" x14ac:dyDescent="0.25">
      <c r="A3839">
        <v>0</v>
      </c>
      <c r="B3839">
        <v>3.5294117647058802E-2</v>
      </c>
      <c r="C3839">
        <f t="shared" si="118"/>
        <v>1.6387726607979056</v>
      </c>
      <c r="D3839">
        <v>3</v>
      </c>
      <c r="E3839">
        <f t="shared" si="119"/>
        <v>5.6146788746696277E-2</v>
      </c>
    </row>
    <row r="3840" spans="1:5" x14ac:dyDescent="0.25">
      <c r="A3840">
        <v>0</v>
      </c>
      <c r="B3840">
        <v>3.5999999999999997E-2</v>
      </c>
      <c r="C3840">
        <f t="shared" si="118"/>
        <v>1.6385914376697424</v>
      </c>
      <c r="D3840">
        <v>3</v>
      </c>
      <c r="E3840">
        <f t="shared" si="119"/>
        <v>5.6146788746696277E-2</v>
      </c>
    </row>
    <row r="3841" spans="1:5" x14ac:dyDescent="0.25">
      <c r="A3841">
        <v>0</v>
      </c>
      <c r="B3841">
        <v>3.5999999999999997E-2</v>
      </c>
      <c r="C3841">
        <f t="shared" si="118"/>
        <v>1.6385914376697424</v>
      </c>
      <c r="D3841">
        <v>3</v>
      </c>
      <c r="E3841">
        <f t="shared" si="119"/>
        <v>5.6146788746696277E-2</v>
      </c>
    </row>
    <row r="3842" spans="1:5" x14ac:dyDescent="0.25">
      <c r="A3842">
        <v>0</v>
      </c>
      <c r="B3842">
        <v>3.5999999999999997E-2</v>
      </c>
      <c r="C3842">
        <f t="shared" ref="C3842:C3905" si="120">_xlfn.NORM.DIST(B3842,I$10,I$13,FALSE)</f>
        <v>1.6385914376697424</v>
      </c>
      <c r="D3842">
        <v>3</v>
      </c>
      <c r="E3842">
        <f t="shared" si="119"/>
        <v>5.6146788746696277E-2</v>
      </c>
    </row>
    <row r="3843" spans="1:5" x14ac:dyDescent="0.25">
      <c r="A3843">
        <v>0</v>
      </c>
      <c r="B3843">
        <v>3.5999999999999997E-2</v>
      </c>
      <c r="C3843">
        <f t="shared" si="120"/>
        <v>1.6385914376697424</v>
      </c>
      <c r="D3843">
        <v>3</v>
      </c>
      <c r="E3843">
        <f t="shared" ref="E3843:E3906" si="121">_xlfn.NORM.DIST(D3843,I$4,I$7,FALSE)</f>
        <v>5.6146788746696277E-2</v>
      </c>
    </row>
    <row r="3844" spans="1:5" x14ac:dyDescent="0.25">
      <c r="A3844">
        <v>0</v>
      </c>
      <c r="B3844">
        <v>3.5999999999999997E-2</v>
      </c>
      <c r="C3844">
        <f t="shared" si="120"/>
        <v>1.6385914376697424</v>
      </c>
      <c r="D3844">
        <v>3</v>
      </c>
      <c r="E3844">
        <f t="shared" si="121"/>
        <v>5.6146788746696277E-2</v>
      </c>
    </row>
    <row r="3845" spans="1:5" x14ac:dyDescent="0.25">
      <c r="A3845">
        <v>0</v>
      </c>
      <c r="B3845">
        <v>3.5999999999999997E-2</v>
      </c>
      <c r="C3845">
        <f t="shared" si="120"/>
        <v>1.6385914376697424</v>
      </c>
      <c r="D3845">
        <v>3</v>
      </c>
      <c r="E3845">
        <f t="shared" si="121"/>
        <v>5.6146788746696277E-2</v>
      </c>
    </row>
    <row r="3846" spans="1:5" x14ac:dyDescent="0.25">
      <c r="A3846">
        <v>0</v>
      </c>
      <c r="B3846">
        <v>3.5999999999999997E-2</v>
      </c>
      <c r="C3846">
        <f t="shared" si="120"/>
        <v>1.6385914376697424</v>
      </c>
      <c r="D3846">
        <v>3</v>
      </c>
      <c r="E3846">
        <f t="shared" si="121"/>
        <v>5.6146788746696277E-2</v>
      </c>
    </row>
    <row r="3847" spans="1:5" x14ac:dyDescent="0.25">
      <c r="A3847">
        <v>0</v>
      </c>
      <c r="B3847">
        <v>3.5999999999999997E-2</v>
      </c>
      <c r="C3847">
        <f t="shared" si="120"/>
        <v>1.6385914376697424</v>
      </c>
      <c r="D3847">
        <v>3</v>
      </c>
      <c r="E3847">
        <f t="shared" si="121"/>
        <v>5.6146788746696277E-2</v>
      </c>
    </row>
    <row r="3848" spans="1:5" x14ac:dyDescent="0.25">
      <c r="A3848">
        <v>0</v>
      </c>
      <c r="B3848">
        <v>3.5999999999999997E-2</v>
      </c>
      <c r="C3848">
        <f t="shared" si="120"/>
        <v>1.6385914376697424</v>
      </c>
      <c r="D3848">
        <v>3</v>
      </c>
      <c r="E3848">
        <f t="shared" si="121"/>
        <v>5.6146788746696277E-2</v>
      </c>
    </row>
    <row r="3849" spans="1:5" x14ac:dyDescent="0.25">
      <c r="A3849">
        <v>0</v>
      </c>
      <c r="B3849">
        <v>3.5999999999999997E-2</v>
      </c>
      <c r="C3849">
        <f t="shared" si="120"/>
        <v>1.6385914376697424</v>
      </c>
      <c r="D3849">
        <v>3</v>
      </c>
      <c r="E3849">
        <f t="shared" si="121"/>
        <v>5.6146788746696277E-2</v>
      </c>
    </row>
    <row r="3850" spans="1:5" x14ac:dyDescent="0.25">
      <c r="A3850">
        <v>0</v>
      </c>
      <c r="B3850">
        <v>3.5999999999999997E-2</v>
      </c>
      <c r="C3850">
        <f t="shared" si="120"/>
        <v>1.6385914376697424</v>
      </c>
      <c r="D3850">
        <v>3</v>
      </c>
      <c r="E3850">
        <f t="shared" si="121"/>
        <v>5.6146788746696277E-2</v>
      </c>
    </row>
    <row r="3851" spans="1:5" x14ac:dyDescent="0.25">
      <c r="A3851">
        <v>0</v>
      </c>
      <c r="B3851">
        <v>3.5999999999999997E-2</v>
      </c>
      <c r="C3851">
        <f t="shared" si="120"/>
        <v>1.6385914376697424</v>
      </c>
      <c r="D3851">
        <v>3</v>
      </c>
      <c r="E3851">
        <f t="shared" si="121"/>
        <v>5.6146788746696277E-2</v>
      </c>
    </row>
    <row r="3852" spans="1:5" x14ac:dyDescent="0.25">
      <c r="A3852">
        <v>0</v>
      </c>
      <c r="B3852">
        <v>3.6036036036036001E-2</v>
      </c>
      <c r="C3852">
        <f t="shared" si="120"/>
        <v>1.6385818164649055</v>
      </c>
      <c r="D3852">
        <v>3</v>
      </c>
      <c r="E3852">
        <f t="shared" si="121"/>
        <v>5.6146788746696277E-2</v>
      </c>
    </row>
    <row r="3853" spans="1:5" x14ac:dyDescent="0.25">
      <c r="A3853">
        <v>0</v>
      </c>
      <c r="B3853">
        <v>3.6036036036036001E-2</v>
      </c>
      <c r="C3853">
        <f t="shared" si="120"/>
        <v>1.6385818164649055</v>
      </c>
      <c r="D3853">
        <v>3</v>
      </c>
      <c r="E3853">
        <f t="shared" si="121"/>
        <v>5.6146788746696277E-2</v>
      </c>
    </row>
    <row r="3854" spans="1:5" x14ac:dyDescent="0.25">
      <c r="A3854">
        <v>0</v>
      </c>
      <c r="B3854">
        <v>3.6036036036036001E-2</v>
      </c>
      <c r="C3854">
        <f t="shared" si="120"/>
        <v>1.6385818164649055</v>
      </c>
      <c r="D3854">
        <v>3</v>
      </c>
      <c r="E3854">
        <f t="shared" si="121"/>
        <v>5.6146788746696277E-2</v>
      </c>
    </row>
    <row r="3855" spans="1:5" x14ac:dyDescent="0.25">
      <c r="A3855">
        <v>0</v>
      </c>
      <c r="B3855">
        <v>3.6036036036036001E-2</v>
      </c>
      <c r="C3855">
        <f t="shared" si="120"/>
        <v>1.6385818164649055</v>
      </c>
      <c r="D3855">
        <v>3</v>
      </c>
      <c r="E3855">
        <f t="shared" si="121"/>
        <v>5.6146788746696277E-2</v>
      </c>
    </row>
    <row r="3856" spans="1:5" x14ac:dyDescent="0.25">
      <c r="A3856">
        <v>0</v>
      </c>
      <c r="B3856">
        <v>3.6036036036036001E-2</v>
      </c>
      <c r="C3856">
        <f t="shared" si="120"/>
        <v>1.6385818164649055</v>
      </c>
      <c r="D3856">
        <v>3</v>
      </c>
      <c r="E3856">
        <f t="shared" si="121"/>
        <v>5.6146788746696277E-2</v>
      </c>
    </row>
    <row r="3857" spans="1:5" x14ac:dyDescent="0.25">
      <c r="A3857">
        <v>0</v>
      </c>
      <c r="B3857">
        <v>3.6036036036036001E-2</v>
      </c>
      <c r="C3857">
        <f t="shared" si="120"/>
        <v>1.6385818164649055</v>
      </c>
      <c r="D3857">
        <v>3</v>
      </c>
      <c r="E3857">
        <f t="shared" si="121"/>
        <v>5.6146788746696277E-2</v>
      </c>
    </row>
    <row r="3858" spans="1:5" x14ac:dyDescent="0.25">
      <c r="A3858">
        <v>0</v>
      </c>
      <c r="B3858">
        <v>3.6036036036036001E-2</v>
      </c>
      <c r="C3858">
        <f t="shared" si="120"/>
        <v>1.6385818164649055</v>
      </c>
      <c r="D3858">
        <v>3</v>
      </c>
      <c r="E3858">
        <f t="shared" si="121"/>
        <v>5.6146788746696277E-2</v>
      </c>
    </row>
    <row r="3859" spans="1:5" x14ac:dyDescent="0.25">
      <c r="A3859">
        <v>0</v>
      </c>
      <c r="B3859">
        <v>3.6666666666666702E-2</v>
      </c>
      <c r="C3859">
        <f t="shared" si="120"/>
        <v>1.6384076351326884</v>
      </c>
      <c r="D3859">
        <v>3</v>
      </c>
      <c r="E3859">
        <f t="shared" si="121"/>
        <v>5.6146788746696277E-2</v>
      </c>
    </row>
    <row r="3860" spans="1:5" x14ac:dyDescent="0.25">
      <c r="A3860">
        <v>0</v>
      </c>
      <c r="B3860">
        <v>3.6666666666666702E-2</v>
      </c>
      <c r="C3860">
        <f t="shared" si="120"/>
        <v>1.6384076351326884</v>
      </c>
      <c r="D3860">
        <v>3</v>
      </c>
      <c r="E3860">
        <f t="shared" si="121"/>
        <v>5.6146788746696277E-2</v>
      </c>
    </row>
    <row r="3861" spans="1:5" x14ac:dyDescent="0.25">
      <c r="A3861">
        <v>0</v>
      </c>
      <c r="B3861">
        <v>3.6666666666666702E-2</v>
      </c>
      <c r="C3861">
        <f t="shared" si="120"/>
        <v>1.6384076351326884</v>
      </c>
      <c r="D3861">
        <v>4</v>
      </c>
      <c r="E3861">
        <f t="shared" si="121"/>
        <v>5.6698676921705889E-2</v>
      </c>
    </row>
    <row r="3862" spans="1:5" x14ac:dyDescent="0.25">
      <c r="A3862">
        <v>0</v>
      </c>
      <c r="B3862">
        <v>3.6999999999999998E-2</v>
      </c>
      <c r="C3862">
        <f t="shared" si="120"/>
        <v>1.6383111279228031</v>
      </c>
      <c r="D3862">
        <v>4</v>
      </c>
      <c r="E3862">
        <f t="shared" si="121"/>
        <v>5.6698676921705889E-2</v>
      </c>
    </row>
    <row r="3863" spans="1:5" x14ac:dyDescent="0.25">
      <c r="A3863">
        <v>0</v>
      </c>
      <c r="B3863">
        <v>3.7037037037037E-2</v>
      </c>
      <c r="C3863">
        <f t="shared" si="120"/>
        <v>1.6383002153888226</v>
      </c>
      <c r="D3863">
        <v>4</v>
      </c>
      <c r="E3863">
        <f t="shared" si="121"/>
        <v>5.6698676921705889E-2</v>
      </c>
    </row>
    <row r="3864" spans="1:5" x14ac:dyDescent="0.25">
      <c r="A3864">
        <v>0</v>
      </c>
      <c r="B3864">
        <v>3.7037037037037E-2</v>
      </c>
      <c r="C3864">
        <f t="shared" si="120"/>
        <v>1.6383002153888226</v>
      </c>
      <c r="D3864">
        <v>4</v>
      </c>
      <c r="E3864">
        <f t="shared" si="121"/>
        <v>5.6698676921705889E-2</v>
      </c>
    </row>
    <row r="3865" spans="1:5" x14ac:dyDescent="0.25">
      <c r="A3865">
        <v>0</v>
      </c>
      <c r="B3865">
        <v>3.7037037037037E-2</v>
      </c>
      <c r="C3865">
        <f t="shared" si="120"/>
        <v>1.6383002153888226</v>
      </c>
      <c r="D3865">
        <v>4</v>
      </c>
      <c r="E3865">
        <f t="shared" si="121"/>
        <v>5.6698676921705889E-2</v>
      </c>
    </row>
    <row r="3866" spans="1:5" x14ac:dyDescent="0.25">
      <c r="A3866">
        <v>0</v>
      </c>
      <c r="B3866">
        <v>3.7296037296037303E-2</v>
      </c>
      <c r="C3866">
        <f t="shared" si="120"/>
        <v>1.6382228448094709</v>
      </c>
      <c r="D3866">
        <v>4</v>
      </c>
      <c r="E3866">
        <f t="shared" si="121"/>
        <v>5.6698676921705889E-2</v>
      </c>
    </row>
    <row r="3867" spans="1:5" x14ac:dyDescent="0.25">
      <c r="A3867">
        <v>0</v>
      </c>
      <c r="B3867">
        <v>3.7296037296037303E-2</v>
      </c>
      <c r="C3867">
        <f t="shared" si="120"/>
        <v>1.6382228448094709</v>
      </c>
      <c r="D3867">
        <v>4</v>
      </c>
      <c r="E3867">
        <f t="shared" si="121"/>
        <v>5.6698676921705889E-2</v>
      </c>
    </row>
    <row r="3868" spans="1:5" x14ac:dyDescent="0.25">
      <c r="A3868">
        <v>0</v>
      </c>
      <c r="B3868">
        <v>3.7296037296037303E-2</v>
      </c>
      <c r="C3868">
        <f t="shared" si="120"/>
        <v>1.6382228448094709</v>
      </c>
      <c r="D3868">
        <v>4</v>
      </c>
      <c r="E3868">
        <f t="shared" si="121"/>
        <v>5.6698676921705889E-2</v>
      </c>
    </row>
    <row r="3869" spans="1:5" x14ac:dyDescent="0.25">
      <c r="A3869">
        <v>0</v>
      </c>
      <c r="B3869">
        <v>3.7296037296037303E-2</v>
      </c>
      <c r="C3869">
        <f t="shared" si="120"/>
        <v>1.6382228448094709</v>
      </c>
      <c r="D3869">
        <v>4</v>
      </c>
      <c r="E3869">
        <f t="shared" si="121"/>
        <v>5.6698676921705889E-2</v>
      </c>
    </row>
    <row r="3870" spans="1:5" x14ac:dyDescent="0.25">
      <c r="A3870">
        <v>0</v>
      </c>
      <c r="B3870">
        <v>3.7333333333333302E-2</v>
      </c>
      <c r="C3870">
        <f t="shared" si="120"/>
        <v>1.6382115508038779</v>
      </c>
      <c r="D3870">
        <v>4</v>
      </c>
      <c r="E3870">
        <f t="shared" si="121"/>
        <v>5.6698676921705889E-2</v>
      </c>
    </row>
    <row r="3871" spans="1:5" x14ac:dyDescent="0.25">
      <c r="A3871">
        <v>0</v>
      </c>
      <c r="B3871">
        <v>3.7333333333333302E-2</v>
      </c>
      <c r="C3871">
        <f t="shared" si="120"/>
        <v>1.6382115508038779</v>
      </c>
      <c r="D3871">
        <v>4</v>
      </c>
      <c r="E3871">
        <f t="shared" si="121"/>
        <v>5.6698676921705889E-2</v>
      </c>
    </row>
    <row r="3872" spans="1:5" x14ac:dyDescent="0.25">
      <c r="A3872">
        <v>0</v>
      </c>
      <c r="B3872">
        <v>3.7333333333333302E-2</v>
      </c>
      <c r="C3872">
        <f t="shared" si="120"/>
        <v>1.6382115508038779</v>
      </c>
      <c r="D3872">
        <v>4</v>
      </c>
      <c r="E3872">
        <f t="shared" si="121"/>
        <v>5.6698676921705889E-2</v>
      </c>
    </row>
    <row r="3873" spans="1:5" x14ac:dyDescent="0.25">
      <c r="A3873">
        <v>0</v>
      </c>
      <c r="B3873">
        <v>3.7333333333333302E-2</v>
      </c>
      <c r="C3873">
        <f t="shared" si="120"/>
        <v>1.6382115508038779</v>
      </c>
      <c r="D3873">
        <v>4</v>
      </c>
      <c r="E3873">
        <f t="shared" si="121"/>
        <v>5.6698676921705889E-2</v>
      </c>
    </row>
    <row r="3874" spans="1:5" x14ac:dyDescent="0.25">
      <c r="A3874">
        <v>0</v>
      </c>
      <c r="B3874">
        <v>3.7333333333333302E-2</v>
      </c>
      <c r="C3874">
        <f t="shared" si="120"/>
        <v>1.6382115508038779</v>
      </c>
      <c r="D3874">
        <v>4</v>
      </c>
      <c r="E3874">
        <f t="shared" si="121"/>
        <v>5.6698676921705889E-2</v>
      </c>
    </row>
    <row r="3875" spans="1:5" x14ac:dyDescent="0.25">
      <c r="A3875">
        <v>0</v>
      </c>
      <c r="B3875">
        <v>3.7333333333333302E-2</v>
      </c>
      <c r="C3875">
        <f t="shared" si="120"/>
        <v>1.6382115508038779</v>
      </c>
      <c r="D3875">
        <v>4</v>
      </c>
      <c r="E3875">
        <f t="shared" si="121"/>
        <v>5.6698676921705889E-2</v>
      </c>
    </row>
    <row r="3876" spans="1:5" x14ac:dyDescent="0.25">
      <c r="A3876">
        <v>0</v>
      </c>
      <c r="B3876">
        <v>3.7333333333333302E-2</v>
      </c>
      <c r="C3876">
        <f t="shared" si="120"/>
        <v>1.6382115508038779</v>
      </c>
      <c r="D3876">
        <v>4</v>
      </c>
      <c r="E3876">
        <f t="shared" si="121"/>
        <v>5.6698676921705889E-2</v>
      </c>
    </row>
    <row r="3877" spans="1:5" x14ac:dyDescent="0.25">
      <c r="A3877">
        <v>0</v>
      </c>
      <c r="B3877">
        <v>3.7333333333333302E-2</v>
      </c>
      <c r="C3877">
        <f t="shared" si="120"/>
        <v>1.6382115508038779</v>
      </c>
      <c r="D3877">
        <v>4</v>
      </c>
      <c r="E3877">
        <f t="shared" si="121"/>
        <v>5.6698676921705889E-2</v>
      </c>
    </row>
    <row r="3878" spans="1:5" x14ac:dyDescent="0.25">
      <c r="A3878">
        <v>0</v>
      </c>
      <c r="B3878">
        <v>3.7383177570093497E-2</v>
      </c>
      <c r="C3878">
        <f t="shared" si="120"/>
        <v>1.6381963969541511</v>
      </c>
      <c r="D3878">
        <v>4</v>
      </c>
      <c r="E3878">
        <f t="shared" si="121"/>
        <v>5.6698676921705889E-2</v>
      </c>
    </row>
    <row r="3879" spans="1:5" x14ac:dyDescent="0.25">
      <c r="A3879">
        <v>0</v>
      </c>
      <c r="B3879">
        <v>3.7383177570093497E-2</v>
      </c>
      <c r="C3879">
        <f t="shared" si="120"/>
        <v>1.6381963969541511</v>
      </c>
      <c r="D3879">
        <v>4</v>
      </c>
      <c r="E3879">
        <f t="shared" si="121"/>
        <v>5.6698676921705889E-2</v>
      </c>
    </row>
    <row r="3880" spans="1:5" x14ac:dyDescent="0.25">
      <c r="A3880">
        <v>0</v>
      </c>
      <c r="B3880">
        <v>3.7383177570093497E-2</v>
      </c>
      <c r="C3880">
        <f t="shared" si="120"/>
        <v>1.6381963969541511</v>
      </c>
      <c r="D3880">
        <v>4</v>
      </c>
      <c r="E3880">
        <f t="shared" si="121"/>
        <v>5.6698676921705889E-2</v>
      </c>
    </row>
    <row r="3881" spans="1:5" x14ac:dyDescent="0.25">
      <c r="A3881">
        <v>0</v>
      </c>
      <c r="B3881">
        <v>3.7999999999999999E-2</v>
      </c>
      <c r="C3881">
        <f t="shared" si="120"/>
        <v>1.6380031890980487</v>
      </c>
      <c r="D3881">
        <v>4</v>
      </c>
      <c r="E3881">
        <f t="shared" si="121"/>
        <v>5.6698676921705889E-2</v>
      </c>
    </row>
    <row r="3882" spans="1:5" x14ac:dyDescent="0.25">
      <c r="A3882">
        <v>0</v>
      </c>
      <c r="B3882">
        <v>3.7999999999999999E-2</v>
      </c>
      <c r="C3882">
        <f t="shared" si="120"/>
        <v>1.6380031890980487</v>
      </c>
      <c r="D3882">
        <v>4</v>
      </c>
      <c r="E3882">
        <f t="shared" si="121"/>
        <v>5.6698676921705889E-2</v>
      </c>
    </row>
    <row r="3883" spans="1:5" x14ac:dyDescent="0.25">
      <c r="A3883">
        <v>0</v>
      </c>
      <c r="B3883">
        <v>3.7999999999999999E-2</v>
      </c>
      <c r="C3883">
        <f t="shared" si="120"/>
        <v>1.6380031890980487</v>
      </c>
      <c r="D3883">
        <v>4</v>
      </c>
      <c r="E3883">
        <f t="shared" si="121"/>
        <v>5.6698676921705889E-2</v>
      </c>
    </row>
    <row r="3884" spans="1:5" x14ac:dyDescent="0.25">
      <c r="A3884">
        <v>0</v>
      </c>
      <c r="B3884">
        <v>3.7999999999999999E-2</v>
      </c>
      <c r="C3884">
        <f t="shared" si="120"/>
        <v>1.6380031890980487</v>
      </c>
      <c r="D3884">
        <v>4</v>
      </c>
      <c r="E3884">
        <f t="shared" si="121"/>
        <v>5.6698676921705889E-2</v>
      </c>
    </row>
    <row r="3885" spans="1:5" x14ac:dyDescent="0.25">
      <c r="A3885">
        <v>0</v>
      </c>
      <c r="B3885">
        <v>3.8333333333333303E-2</v>
      </c>
      <c r="C3885">
        <f t="shared" si="120"/>
        <v>1.6378944056838394</v>
      </c>
      <c r="D3885">
        <v>4</v>
      </c>
      <c r="E3885">
        <f t="shared" si="121"/>
        <v>5.6698676921705889E-2</v>
      </c>
    </row>
    <row r="3886" spans="1:5" x14ac:dyDescent="0.25">
      <c r="A3886">
        <v>0</v>
      </c>
      <c r="B3886">
        <v>3.8333333333333303E-2</v>
      </c>
      <c r="C3886">
        <f t="shared" si="120"/>
        <v>1.6378944056838394</v>
      </c>
      <c r="D3886">
        <v>4</v>
      </c>
      <c r="E3886">
        <f t="shared" si="121"/>
        <v>5.6698676921705889E-2</v>
      </c>
    </row>
    <row r="3887" spans="1:5" x14ac:dyDescent="0.25">
      <c r="A3887">
        <v>0</v>
      </c>
      <c r="B3887">
        <v>3.8333333333333303E-2</v>
      </c>
      <c r="C3887">
        <f t="shared" si="120"/>
        <v>1.6378944056838394</v>
      </c>
      <c r="D3887">
        <v>4</v>
      </c>
      <c r="E3887">
        <f t="shared" si="121"/>
        <v>5.6698676921705889E-2</v>
      </c>
    </row>
    <row r="3888" spans="1:5" x14ac:dyDescent="0.25">
      <c r="A3888">
        <v>0</v>
      </c>
      <c r="B3888">
        <v>3.8333333333333303E-2</v>
      </c>
      <c r="C3888">
        <f t="shared" si="120"/>
        <v>1.6378944056838394</v>
      </c>
      <c r="D3888">
        <v>4</v>
      </c>
      <c r="E3888">
        <f t="shared" si="121"/>
        <v>5.6698676921705889E-2</v>
      </c>
    </row>
    <row r="3889" spans="1:5" x14ac:dyDescent="0.25">
      <c r="A3889">
        <v>0</v>
      </c>
      <c r="B3889">
        <v>3.8333333333333303E-2</v>
      </c>
      <c r="C3889">
        <f t="shared" si="120"/>
        <v>1.6378944056838394</v>
      </c>
      <c r="D3889">
        <v>4</v>
      </c>
      <c r="E3889">
        <f t="shared" si="121"/>
        <v>5.6698676921705889E-2</v>
      </c>
    </row>
    <row r="3890" spans="1:5" x14ac:dyDescent="0.25">
      <c r="A3890">
        <v>0</v>
      </c>
      <c r="B3890">
        <v>3.8461538461538498E-2</v>
      </c>
      <c r="C3890">
        <f t="shared" si="120"/>
        <v>1.6378517490682512</v>
      </c>
      <c r="D3890">
        <v>4</v>
      </c>
      <c r="E3890">
        <f t="shared" si="121"/>
        <v>5.6698676921705889E-2</v>
      </c>
    </row>
    <row r="3891" spans="1:5" x14ac:dyDescent="0.25">
      <c r="A3891">
        <v>0</v>
      </c>
      <c r="B3891">
        <v>3.8461538461538498E-2</v>
      </c>
      <c r="C3891">
        <f t="shared" si="120"/>
        <v>1.6378517490682512</v>
      </c>
      <c r="D3891">
        <v>4</v>
      </c>
      <c r="E3891">
        <f t="shared" si="121"/>
        <v>5.6698676921705889E-2</v>
      </c>
    </row>
    <row r="3892" spans="1:5" x14ac:dyDescent="0.25">
      <c r="A3892">
        <v>0</v>
      </c>
      <c r="B3892">
        <v>3.8666666666666703E-2</v>
      </c>
      <c r="C3892">
        <f t="shared" si="120"/>
        <v>1.637782554705969</v>
      </c>
      <c r="D3892">
        <v>4</v>
      </c>
      <c r="E3892">
        <f t="shared" si="121"/>
        <v>5.6698676921705889E-2</v>
      </c>
    </row>
    <row r="3893" spans="1:5" x14ac:dyDescent="0.25">
      <c r="A3893">
        <v>0</v>
      </c>
      <c r="B3893">
        <v>3.8922155688622798E-2</v>
      </c>
      <c r="C3893">
        <f t="shared" si="120"/>
        <v>1.6376947483606892</v>
      </c>
      <c r="D3893">
        <v>4</v>
      </c>
      <c r="E3893">
        <f t="shared" si="121"/>
        <v>5.6698676921705889E-2</v>
      </c>
    </row>
    <row r="3894" spans="1:5" x14ac:dyDescent="0.25">
      <c r="A3894">
        <v>0</v>
      </c>
      <c r="B3894">
        <v>3.8922155688622798E-2</v>
      </c>
      <c r="C3894">
        <f t="shared" si="120"/>
        <v>1.6376947483606892</v>
      </c>
      <c r="D3894">
        <v>4</v>
      </c>
      <c r="E3894">
        <f t="shared" si="121"/>
        <v>5.6698676921705889E-2</v>
      </c>
    </row>
    <row r="3895" spans="1:5" x14ac:dyDescent="0.25">
      <c r="A3895">
        <v>0</v>
      </c>
      <c r="B3895">
        <v>3.8922155688622798E-2</v>
      </c>
      <c r="C3895">
        <f t="shared" si="120"/>
        <v>1.6376947483606892</v>
      </c>
      <c r="D3895">
        <v>4</v>
      </c>
      <c r="E3895">
        <f t="shared" si="121"/>
        <v>5.6698676921705889E-2</v>
      </c>
    </row>
    <row r="3896" spans="1:5" x14ac:dyDescent="0.25">
      <c r="A3896">
        <v>0</v>
      </c>
      <c r="B3896">
        <v>3.8922155688622798E-2</v>
      </c>
      <c r="C3896">
        <f t="shared" si="120"/>
        <v>1.6376947483606892</v>
      </c>
      <c r="D3896">
        <v>4</v>
      </c>
      <c r="E3896">
        <f t="shared" si="121"/>
        <v>5.6698676921705889E-2</v>
      </c>
    </row>
    <row r="3897" spans="1:5" x14ac:dyDescent="0.25">
      <c r="A3897">
        <v>0</v>
      </c>
      <c r="B3897">
        <v>3.9039039039038999E-2</v>
      </c>
      <c r="C3897">
        <f t="shared" si="120"/>
        <v>1.6376539773400718</v>
      </c>
      <c r="D3897">
        <v>4</v>
      </c>
      <c r="E3897">
        <f t="shared" si="121"/>
        <v>5.6698676921705889E-2</v>
      </c>
    </row>
    <row r="3898" spans="1:5" x14ac:dyDescent="0.25">
      <c r="A3898">
        <v>0</v>
      </c>
      <c r="B3898">
        <v>3.9039039039038999E-2</v>
      </c>
      <c r="C3898">
        <f t="shared" si="120"/>
        <v>1.6376539773400718</v>
      </c>
      <c r="D3898">
        <v>4</v>
      </c>
      <c r="E3898">
        <f t="shared" si="121"/>
        <v>5.6698676921705889E-2</v>
      </c>
    </row>
    <row r="3899" spans="1:5" x14ac:dyDescent="0.25">
      <c r="A3899">
        <v>0</v>
      </c>
      <c r="B3899">
        <v>3.9039039039038999E-2</v>
      </c>
      <c r="C3899">
        <f t="shared" si="120"/>
        <v>1.6376539773400718</v>
      </c>
      <c r="D3899">
        <v>4</v>
      </c>
      <c r="E3899">
        <f t="shared" si="121"/>
        <v>5.6698676921705889E-2</v>
      </c>
    </row>
    <row r="3900" spans="1:5" x14ac:dyDescent="0.25">
      <c r="A3900">
        <v>0</v>
      </c>
      <c r="B3900">
        <v>3.9039039039038999E-2</v>
      </c>
      <c r="C3900">
        <f t="shared" si="120"/>
        <v>1.6376539773400718</v>
      </c>
      <c r="D3900">
        <v>4</v>
      </c>
      <c r="E3900">
        <f t="shared" si="121"/>
        <v>5.6698676921705889E-2</v>
      </c>
    </row>
    <row r="3901" spans="1:5" x14ac:dyDescent="0.25">
      <c r="A3901">
        <v>0</v>
      </c>
      <c r="B3901">
        <v>3.9627039627039597E-2</v>
      </c>
      <c r="C3901">
        <f t="shared" si="120"/>
        <v>1.6374431538468117</v>
      </c>
      <c r="D3901">
        <v>4</v>
      </c>
      <c r="E3901">
        <f t="shared" si="121"/>
        <v>5.6698676921705889E-2</v>
      </c>
    </row>
    <row r="3902" spans="1:5" x14ac:dyDescent="0.25">
      <c r="A3902">
        <v>0</v>
      </c>
      <c r="B3902">
        <v>3.9627039627039597E-2</v>
      </c>
      <c r="C3902">
        <f t="shared" si="120"/>
        <v>1.6374431538468117</v>
      </c>
      <c r="D3902">
        <v>4</v>
      </c>
      <c r="E3902">
        <f t="shared" si="121"/>
        <v>5.6698676921705889E-2</v>
      </c>
    </row>
    <row r="3903" spans="1:5" x14ac:dyDescent="0.25">
      <c r="A3903">
        <v>0</v>
      </c>
      <c r="B3903">
        <v>3.9719626168224297E-2</v>
      </c>
      <c r="C3903">
        <f t="shared" si="120"/>
        <v>1.6374090883783163</v>
      </c>
      <c r="D3903">
        <v>4</v>
      </c>
      <c r="E3903">
        <f t="shared" si="121"/>
        <v>5.6698676921705889E-2</v>
      </c>
    </row>
    <row r="3904" spans="1:5" x14ac:dyDescent="0.25">
      <c r="A3904">
        <v>0</v>
      </c>
      <c r="B3904">
        <v>3.9719626168224297E-2</v>
      </c>
      <c r="C3904">
        <f t="shared" si="120"/>
        <v>1.6374090883783163</v>
      </c>
      <c r="D3904">
        <v>4</v>
      </c>
      <c r="E3904">
        <f t="shared" si="121"/>
        <v>5.6698676921705889E-2</v>
      </c>
    </row>
    <row r="3905" spans="1:5" x14ac:dyDescent="0.25">
      <c r="A3905">
        <v>0</v>
      </c>
      <c r="B3905">
        <v>3.9719626168224297E-2</v>
      </c>
      <c r="C3905">
        <f t="shared" si="120"/>
        <v>1.6374090883783163</v>
      </c>
      <c r="D3905">
        <v>4</v>
      </c>
      <c r="E3905">
        <f t="shared" si="121"/>
        <v>5.6698676921705889E-2</v>
      </c>
    </row>
    <row r="3906" spans="1:5" x14ac:dyDescent="0.25">
      <c r="A3906">
        <v>0</v>
      </c>
      <c r="B3906">
        <v>3.9719626168224297E-2</v>
      </c>
      <c r="C3906">
        <f t="shared" ref="C3906:C3969" si="122">_xlfn.NORM.DIST(B3906,I$10,I$13,FALSE)</f>
        <v>1.6374090883783163</v>
      </c>
      <c r="D3906">
        <v>4</v>
      </c>
      <c r="E3906">
        <f t="shared" si="121"/>
        <v>5.6698676921705889E-2</v>
      </c>
    </row>
    <row r="3907" spans="1:5" x14ac:dyDescent="0.25">
      <c r="A3907">
        <v>0</v>
      </c>
      <c r="B3907">
        <v>0.04</v>
      </c>
      <c r="C3907">
        <f t="shared" si="122"/>
        <v>1.6373044880052345</v>
      </c>
      <c r="D3907">
        <v>4</v>
      </c>
      <c r="E3907">
        <f t="shared" ref="E3907:E3970" si="123">_xlfn.NORM.DIST(D3907,I$4,I$7,FALSE)</f>
        <v>5.6698676921705889E-2</v>
      </c>
    </row>
    <row r="3908" spans="1:5" x14ac:dyDescent="0.25">
      <c r="A3908">
        <v>0</v>
      </c>
      <c r="B3908">
        <v>0.04</v>
      </c>
      <c r="C3908">
        <f t="shared" si="122"/>
        <v>1.6373044880052345</v>
      </c>
      <c r="D3908">
        <v>4</v>
      </c>
      <c r="E3908">
        <f t="shared" si="123"/>
        <v>5.6698676921705889E-2</v>
      </c>
    </row>
    <row r="3909" spans="1:5" x14ac:dyDescent="0.25">
      <c r="A3909">
        <v>0</v>
      </c>
      <c r="B3909">
        <v>0.04</v>
      </c>
      <c r="C3909">
        <f t="shared" si="122"/>
        <v>1.6373044880052345</v>
      </c>
      <c r="D3909">
        <v>4</v>
      </c>
      <c r="E3909">
        <f t="shared" si="123"/>
        <v>5.6698676921705889E-2</v>
      </c>
    </row>
    <row r="3910" spans="1:5" x14ac:dyDescent="0.25">
      <c r="A3910">
        <v>0</v>
      </c>
      <c r="B3910">
        <v>0.04</v>
      </c>
      <c r="C3910">
        <f t="shared" si="122"/>
        <v>1.6373044880052345</v>
      </c>
      <c r="D3910">
        <v>4</v>
      </c>
      <c r="E3910">
        <f t="shared" si="123"/>
        <v>5.6698676921705889E-2</v>
      </c>
    </row>
    <row r="3911" spans="1:5" x14ac:dyDescent="0.25">
      <c r="A3911">
        <v>0</v>
      </c>
      <c r="B3911">
        <v>0.04</v>
      </c>
      <c r="C3911">
        <f t="shared" si="122"/>
        <v>1.6373044880052345</v>
      </c>
      <c r="D3911">
        <v>4</v>
      </c>
      <c r="E3911">
        <f t="shared" si="123"/>
        <v>5.6698676921705889E-2</v>
      </c>
    </row>
    <row r="3912" spans="1:5" x14ac:dyDescent="0.25">
      <c r="A3912">
        <v>0</v>
      </c>
      <c r="B3912">
        <v>0.04</v>
      </c>
      <c r="C3912">
        <f t="shared" si="122"/>
        <v>1.6373044880052345</v>
      </c>
      <c r="D3912">
        <v>4</v>
      </c>
      <c r="E3912">
        <f t="shared" si="123"/>
        <v>5.6698676921705889E-2</v>
      </c>
    </row>
    <row r="3913" spans="1:5" x14ac:dyDescent="0.25">
      <c r="A3913">
        <v>0</v>
      </c>
      <c r="B3913">
        <v>0.04</v>
      </c>
      <c r="C3913">
        <f t="shared" si="122"/>
        <v>1.6373044880052345</v>
      </c>
      <c r="D3913">
        <v>4</v>
      </c>
      <c r="E3913">
        <f t="shared" si="123"/>
        <v>5.6698676921705889E-2</v>
      </c>
    </row>
    <row r="3914" spans="1:5" x14ac:dyDescent="0.25">
      <c r="A3914">
        <v>0</v>
      </c>
      <c r="B3914">
        <v>0.04</v>
      </c>
      <c r="C3914">
        <f t="shared" si="122"/>
        <v>1.6373044880052345</v>
      </c>
      <c r="D3914">
        <v>4</v>
      </c>
      <c r="E3914">
        <f t="shared" si="123"/>
        <v>5.6698676921705889E-2</v>
      </c>
    </row>
    <row r="3915" spans="1:5" x14ac:dyDescent="0.25">
      <c r="A3915">
        <v>0</v>
      </c>
      <c r="B3915">
        <v>0.04</v>
      </c>
      <c r="C3915">
        <f t="shared" si="122"/>
        <v>1.6373044880052345</v>
      </c>
      <c r="D3915">
        <v>4</v>
      </c>
      <c r="E3915">
        <f t="shared" si="123"/>
        <v>5.6698676921705889E-2</v>
      </c>
    </row>
    <row r="3916" spans="1:5" x14ac:dyDescent="0.25">
      <c r="A3916">
        <v>0</v>
      </c>
      <c r="B3916">
        <v>0.04</v>
      </c>
      <c r="C3916">
        <f t="shared" si="122"/>
        <v>1.6373044880052345</v>
      </c>
      <c r="D3916">
        <v>4</v>
      </c>
      <c r="E3916">
        <f t="shared" si="123"/>
        <v>5.6698676921705889E-2</v>
      </c>
    </row>
    <row r="3917" spans="1:5" x14ac:dyDescent="0.25">
      <c r="A3917">
        <v>0</v>
      </c>
      <c r="B3917">
        <v>0.04</v>
      </c>
      <c r="C3917">
        <f t="shared" si="122"/>
        <v>1.6373044880052345</v>
      </c>
      <c r="D3917">
        <v>4</v>
      </c>
      <c r="E3917">
        <f t="shared" si="123"/>
        <v>5.6698676921705889E-2</v>
      </c>
    </row>
    <row r="3918" spans="1:5" x14ac:dyDescent="0.25">
      <c r="A3918">
        <v>0</v>
      </c>
      <c r="B3918">
        <v>0.04</v>
      </c>
      <c r="C3918">
        <f t="shared" si="122"/>
        <v>1.6373044880052345</v>
      </c>
      <c r="D3918">
        <v>4</v>
      </c>
      <c r="E3918">
        <f t="shared" si="123"/>
        <v>5.6698676921705889E-2</v>
      </c>
    </row>
    <row r="3919" spans="1:5" x14ac:dyDescent="0.25">
      <c r="A3919">
        <v>0</v>
      </c>
      <c r="B3919">
        <v>0.04</v>
      </c>
      <c r="C3919">
        <f t="shared" si="122"/>
        <v>1.6373044880052345</v>
      </c>
      <c r="D3919">
        <v>4</v>
      </c>
      <c r="E3919">
        <f t="shared" si="123"/>
        <v>5.6698676921705889E-2</v>
      </c>
    </row>
    <row r="3920" spans="1:5" x14ac:dyDescent="0.25">
      <c r="A3920">
        <v>0</v>
      </c>
      <c r="B3920">
        <v>0.04</v>
      </c>
      <c r="C3920">
        <f t="shared" si="122"/>
        <v>1.6373044880052345</v>
      </c>
      <c r="D3920">
        <v>4</v>
      </c>
      <c r="E3920">
        <f t="shared" si="123"/>
        <v>5.6698676921705889E-2</v>
      </c>
    </row>
    <row r="3921" spans="1:5" x14ac:dyDescent="0.25">
      <c r="A3921">
        <v>0</v>
      </c>
      <c r="B3921">
        <v>0.04</v>
      </c>
      <c r="C3921">
        <f t="shared" si="122"/>
        <v>1.6373044880052345</v>
      </c>
      <c r="D3921">
        <v>4</v>
      </c>
      <c r="E3921">
        <f t="shared" si="123"/>
        <v>5.6698676921705889E-2</v>
      </c>
    </row>
    <row r="3922" spans="1:5" x14ac:dyDescent="0.25">
      <c r="A3922">
        <v>0</v>
      </c>
      <c r="B3922">
        <v>0.04</v>
      </c>
      <c r="C3922">
        <f t="shared" si="122"/>
        <v>1.6373044880052345</v>
      </c>
      <c r="D3922">
        <v>4</v>
      </c>
      <c r="E3922">
        <f t="shared" si="123"/>
        <v>5.6698676921705889E-2</v>
      </c>
    </row>
    <row r="3923" spans="1:5" x14ac:dyDescent="0.25">
      <c r="A3923">
        <v>0</v>
      </c>
      <c r="B3923">
        <v>0.04</v>
      </c>
      <c r="C3923">
        <f t="shared" si="122"/>
        <v>1.6373044880052345</v>
      </c>
      <c r="D3923">
        <v>4</v>
      </c>
      <c r="E3923">
        <f t="shared" si="123"/>
        <v>5.6698676921705889E-2</v>
      </c>
    </row>
    <row r="3924" spans="1:5" x14ac:dyDescent="0.25">
      <c r="A3924">
        <v>0</v>
      </c>
      <c r="B3924">
        <v>0.04</v>
      </c>
      <c r="C3924">
        <f t="shared" si="122"/>
        <v>1.6373044880052345</v>
      </c>
      <c r="D3924">
        <v>4</v>
      </c>
      <c r="E3924">
        <f t="shared" si="123"/>
        <v>5.6698676921705889E-2</v>
      </c>
    </row>
    <row r="3925" spans="1:5" x14ac:dyDescent="0.25">
      <c r="A3925">
        <v>0</v>
      </c>
      <c r="B3925">
        <v>0.04</v>
      </c>
      <c r="C3925">
        <f t="shared" si="122"/>
        <v>1.6373044880052345</v>
      </c>
      <c r="D3925">
        <v>4</v>
      </c>
      <c r="E3925">
        <f t="shared" si="123"/>
        <v>5.6698676921705889E-2</v>
      </c>
    </row>
    <row r="3926" spans="1:5" x14ac:dyDescent="0.25">
      <c r="A3926">
        <v>0</v>
      </c>
      <c r="B3926">
        <v>0.04</v>
      </c>
      <c r="C3926">
        <f t="shared" si="122"/>
        <v>1.6373044880052345</v>
      </c>
      <c r="D3926">
        <v>4</v>
      </c>
      <c r="E3926">
        <f t="shared" si="123"/>
        <v>5.6698676921705889E-2</v>
      </c>
    </row>
    <row r="3927" spans="1:5" x14ac:dyDescent="0.25">
      <c r="A3927">
        <v>0</v>
      </c>
      <c r="B3927">
        <v>0.04</v>
      </c>
      <c r="C3927">
        <f t="shared" si="122"/>
        <v>1.6373044880052345</v>
      </c>
      <c r="D3927">
        <v>4</v>
      </c>
      <c r="E3927">
        <f t="shared" si="123"/>
        <v>5.6698676921705889E-2</v>
      </c>
    </row>
    <row r="3928" spans="1:5" x14ac:dyDescent="0.25">
      <c r="A3928">
        <v>0</v>
      </c>
      <c r="B3928">
        <v>0.04</v>
      </c>
      <c r="C3928">
        <f t="shared" si="122"/>
        <v>1.6373044880052345</v>
      </c>
      <c r="D3928">
        <v>4</v>
      </c>
      <c r="E3928">
        <f t="shared" si="123"/>
        <v>5.6698676921705889E-2</v>
      </c>
    </row>
    <row r="3929" spans="1:5" x14ac:dyDescent="0.25">
      <c r="A3929">
        <v>0</v>
      </c>
      <c r="B3929">
        <v>0.04</v>
      </c>
      <c r="C3929">
        <f t="shared" si="122"/>
        <v>1.6373044880052345</v>
      </c>
      <c r="D3929">
        <v>4</v>
      </c>
      <c r="E3929">
        <f t="shared" si="123"/>
        <v>5.6698676921705889E-2</v>
      </c>
    </row>
    <row r="3930" spans="1:5" x14ac:dyDescent="0.25">
      <c r="A3930">
        <v>0</v>
      </c>
      <c r="B3930">
        <v>0.04</v>
      </c>
      <c r="C3930">
        <f t="shared" si="122"/>
        <v>1.6373044880052345</v>
      </c>
      <c r="D3930">
        <v>4</v>
      </c>
      <c r="E3930">
        <f t="shared" si="123"/>
        <v>5.6698676921705889E-2</v>
      </c>
    </row>
    <row r="3931" spans="1:5" x14ac:dyDescent="0.25">
      <c r="A3931">
        <v>0</v>
      </c>
      <c r="B3931">
        <v>0.04</v>
      </c>
      <c r="C3931">
        <f t="shared" si="122"/>
        <v>1.6373044880052345</v>
      </c>
      <c r="D3931">
        <v>4</v>
      </c>
      <c r="E3931">
        <f t="shared" si="123"/>
        <v>5.6698676921705889E-2</v>
      </c>
    </row>
    <row r="3932" spans="1:5" x14ac:dyDescent="0.25">
      <c r="A3932">
        <v>0</v>
      </c>
      <c r="B3932">
        <v>4.0666666666666698E-2</v>
      </c>
      <c r="C3932">
        <f t="shared" si="122"/>
        <v>1.6370470664566443</v>
      </c>
      <c r="D3932">
        <v>4</v>
      </c>
      <c r="E3932">
        <f t="shared" si="123"/>
        <v>5.6698676921705889E-2</v>
      </c>
    </row>
    <row r="3933" spans="1:5" x14ac:dyDescent="0.25">
      <c r="A3933">
        <v>0</v>
      </c>
      <c r="B3933">
        <v>4.0666666666666698E-2</v>
      </c>
      <c r="C3933">
        <f t="shared" si="122"/>
        <v>1.6370470664566443</v>
      </c>
      <c r="D3933">
        <v>4</v>
      </c>
      <c r="E3933">
        <f t="shared" si="123"/>
        <v>5.6698676921705889E-2</v>
      </c>
    </row>
    <row r="3934" spans="1:5" x14ac:dyDescent="0.25">
      <c r="A3934">
        <v>0</v>
      </c>
      <c r="B3934">
        <v>4.1000000000000002E-2</v>
      </c>
      <c r="C3934">
        <f t="shared" si="122"/>
        <v>1.6369137611220916</v>
      </c>
      <c r="D3934">
        <v>4</v>
      </c>
      <c r="E3934">
        <f t="shared" si="123"/>
        <v>5.6698676921705889E-2</v>
      </c>
    </row>
    <row r="3935" spans="1:5" x14ac:dyDescent="0.25">
      <c r="A3935">
        <v>0</v>
      </c>
      <c r="B3935">
        <v>4.1916167664670698E-2</v>
      </c>
      <c r="C3935">
        <f t="shared" si="122"/>
        <v>1.636531599543285</v>
      </c>
      <c r="D3935">
        <v>4</v>
      </c>
      <c r="E3935">
        <f t="shared" si="123"/>
        <v>5.6698676921705889E-2</v>
      </c>
    </row>
    <row r="3936" spans="1:5" x14ac:dyDescent="0.25">
      <c r="A3936">
        <v>0</v>
      </c>
      <c r="B3936">
        <v>4.1916167664670698E-2</v>
      </c>
      <c r="C3936">
        <f t="shared" si="122"/>
        <v>1.636531599543285</v>
      </c>
      <c r="D3936">
        <v>4</v>
      </c>
      <c r="E3936">
        <f t="shared" si="123"/>
        <v>5.6698676921705889E-2</v>
      </c>
    </row>
    <row r="3937" spans="1:5" x14ac:dyDescent="0.25">
      <c r="A3937">
        <v>0</v>
      </c>
      <c r="B3937">
        <v>4.1916167664670698E-2</v>
      </c>
      <c r="C3937">
        <f t="shared" si="122"/>
        <v>1.636531599543285</v>
      </c>
      <c r="D3937">
        <v>4</v>
      </c>
      <c r="E3937">
        <f t="shared" si="123"/>
        <v>5.6698676921705889E-2</v>
      </c>
    </row>
    <row r="3938" spans="1:5" x14ac:dyDescent="0.25">
      <c r="A3938">
        <v>0</v>
      </c>
      <c r="B3938">
        <v>4.1958041958042001E-2</v>
      </c>
      <c r="C3938">
        <f t="shared" si="122"/>
        <v>1.6365135799711723</v>
      </c>
      <c r="D3938">
        <v>4</v>
      </c>
      <c r="E3938">
        <f t="shared" si="123"/>
        <v>5.6698676921705889E-2</v>
      </c>
    </row>
    <row r="3939" spans="1:5" x14ac:dyDescent="0.25">
      <c r="A3939">
        <v>0</v>
      </c>
      <c r="B3939">
        <v>4.1958041958042001E-2</v>
      </c>
      <c r="C3939">
        <f t="shared" si="122"/>
        <v>1.6365135799711723</v>
      </c>
      <c r="D3939">
        <v>4</v>
      </c>
      <c r="E3939">
        <f t="shared" si="123"/>
        <v>5.6698676921705889E-2</v>
      </c>
    </row>
    <row r="3940" spans="1:5" x14ac:dyDescent="0.25">
      <c r="A3940">
        <v>0</v>
      </c>
      <c r="B3940">
        <v>4.1958041958042001E-2</v>
      </c>
      <c r="C3940">
        <f t="shared" si="122"/>
        <v>1.6365135799711723</v>
      </c>
      <c r="D3940">
        <v>4</v>
      </c>
      <c r="E3940">
        <f t="shared" si="123"/>
        <v>5.6698676921705889E-2</v>
      </c>
    </row>
    <row r="3941" spans="1:5" x14ac:dyDescent="0.25">
      <c r="A3941">
        <v>0</v>
      </c>
      <c r="B3941">
        <v>4.1958041958042001E-2</v>
      </c>
      <c r="C3941">
        <f t="shared" si="122"/>
        <v>1.6365135799711723</v>
      </c>
      <c r="D3941">
        <v>4</v>
      </c>
      <c r="E3941">
        <f t="shared" si="123"/>
        <v>5.6698676921705889E-2</v>
      </c>
    </row>
    <row r="3942" spans="1:5" x14ac:dyDescent="0.25">
      <c r="A3942">
        <v>0</v>
      </c>
      <c r="B3942">
        <v>4.1958041958042001E-2</v>
      </c>
      <c r="C3942">
        <f t="shared" si="122"/>
        <v>1.6365135799711723</v>
      </c>
      <c r="D3942">
        <v>4</v>
      </c>
      <c r="E3942">
        <f t="shared" si="123"/>
        <v>5.6698676921705889E-2</v>
      </c>
    </row>
    <row r="3943" spans="1:5" x14ac:dyDescent="0.25">
      <c r="A3943">
        <v>0</v>
      </c>
      <c r="B3943">
        <v>4.1958041958042001E-2</v>
      </c>
      <c r="C3943">
        <f t="shared" si="122"/>
        <v>1.6365135799711723</v>
      </c>
      <c r="D3943">
        <v>4</v>
      </c>
      <c r="E3943">
        <f t="shared" si="123"/>
        <v>5.6698676921705889E-2</v>
      </c>
    </row>
    <row r="3944" spans="1:5" x14ac:dyDescent="0.25">
      <c r="A3944">
        <v>0</v>
      </c>
      <c r="B3944">
        <v>4.1958041958042001E-2</v>
      </c>
      <c r="C3944">
        <f t="shared" si="122"/>
        <v>1.6365135799711723</v>
      </c>
      <c r="D3944">
        <v>4</v>
      </c>
      <c r="E3944">
        <f t="shared" si="123"/>
        <v>5.6698676921705889E-2</v>
      </c>
    </row>
    <row r="3945" spans="1:5" x14ac:dyDescent="0.25">
      <c r="A3945">
        <v>0</v>
      </c>
      <c r="B3945">
        <v>4.1958041958042001E-2</v>
      </c>
      <c r="C3945">
        <f t="shared" si="122"/>
        <v>1.6365135799711723</v>
      </c>
      <c r="D3945">
        <v>4</v>
      </c>
      <c r="E3945">
        <f t="shared" si="123"/>
        <v>5.6698676921705889E-2</v>
      </c>
    </row>
    <row r="3946" spans="1:5" x14ac:dyDescent="0.25">
      <c r="A3946">
        <v>0</v>
      </c>
      <c r="B3946">
        <v>4.2000000000000003E-2</v>
      </c>
      <c r="C3946">
        <f t="shared" si="122"/>
        <v>1.6364954759279815</v>
      </c>
      <c r="D3946">
        <v>4</v>
      </c>
      <c r="E3946">
        <f t="shared" si="123"/>
        <v>5.6698676921705889E-2</v>
      </c>
    </row>
    <row r="3947" spans="1:5" x14ac:dyDescent="0.25">
      <c r="A3947">
        <v>0</v>
      </c>
      <c r="B3947">
        <v>4.2000000000000003E-2</v>
      </c>
      <c r="C3947">
        <f t="shared" si="122"/>
        <v>1.6364954759279815</v>
      </c>
      <c r="D3947">
        <v>4</v>
      </c>
      <c r="E3947">
        <f t="shared" si="123"/>
        <v>5.6698676921705889E-2</v>
      </c>
    </row>
    <row r="3948" spans="1:5" x14ac:dyDescent="0.25">
      <c r="A3948">
        <v>0</v>
      </c>
      <c r="B3948">
        <v>4.2000000000000003E-2</v>
      </c>
      <c r="C3948">
        <f t="shared" si="122"/>
        <v>1.6364954759279815</v>
      </c>
      <c r="D3948">
        <v>4</v>
      </c>
      <c r="E3948">
        <f t="shared" si="123"/>
        <v>5.6698676921705889E-2</v>
      </c>
    </row>
    <row r="3949" spans="1:5" x14ac:dyDescent="0.25">
      <c r="A3949">
        <v>0</v>
      </c>
      <c r="B3949">
        <v>4.2000000000000003E-2</v>
      </c>
      <c r="C3949">
        <f t="shared" si="122"/>
        <v>1.6364954759279815</v>
      </c>
      <c r="D3949">
        <v>4</v>
      </c>
      <c r="E3949">
        <f t="shared" si="123"/>
        <v>5.6698676921705889E-2</v>
      </c>
    </row>
    <row r="3950" spans="1:5" x14ac:dyDescent="0.25">
      <c r="A3950">
        <v>0</v>
      </c>
      <c r="B3950">
        <v>4.2000000000000003E-2</v>
      </c>
      <c r="C3950">
        <f t="shared" si="122"/>
        <v>1.6364954759279815</v>
      </c>
      <c r="D3950">
        <v>4</v>
      </c>
      <c r="E3950">
        <f t="shared" si="123"/>
        <v>5.6698676921705889E-2</v>
      </c>
    </row>
    <row r="3951" spans="1:5" x14ac:dyDescent="0.25">
      <c r="A3951">
        <v>0</v>
      </c>
      <c r="B3951">
        <v>4.2000000000000003E-2</v>
      </c>
      <c r="C3951">
        <f t="shared" si="122"/>
        <v>1.6364954759279815</v>
      </c>
      <c r="D3951">
        <v>4</v>
      </c>
      <c r="E3951">
        <f t="shared" si="123"/>
        <v>5.6698676921705889E-2</v>
      </c>
    </row>
    <row r="3952" spans="1:5" x14ac:dyDescent="0.25">
      <c r="A3952">
        <v>0</v>
      </c>
      <c r="B3952">
        <v>4.2000000000000003E-2</v>
      </c>
      <c r="C3952">
        <f t="shared" si="122"/>
        <v>1.6364954759279815</v>
      </c>
      <c r="D3952">
        <v>4</v>
      </c>
      <c r="E3952">
        <f t="shared" si="123"/>
        <v>5.6698676921705889E-2</v>
      </c>
    </row>
    <row r="3953" spans="1:5" x14ac:dyDescent="0.25">
      <c r="A3953">
        <v>0</v>
      </c>
      <c r="B3953">
        <v>4.2000000000000003E-2</v>
      </c>
      <c r="C3953">
        <f t="shared" si="122"/>
        <v>1.6364954759279815</v>
      </c>
      <c r="D3953">
        <v>4</v>
      </c>
      <c r="E3953">
        <f t="shared" si="123"/>
        <v>5.6698676921705889E-2</v>
      </c>
    </row>
    <row r="3954" spans="1:5" x14ac:dyDescent="0.25">
      <c r="A3954">
        <v>0</v>
      </c>
      <c r="B3954">
        <v>4.2000000000000003E-2</v>
      </c>
      <c r="C3954">
        <f t="shared" si="122"/>
        <v>1.6364954759279815</v>
      </c>
      <c r="D3954">
        <v>4</v>
      </c>
      <c r="E3954">
        <f t="shared" si="123"/>
        <v>5.6698676921705889E-2</v>
      </c>
    </row>
    <row r="3955" spans="1:5" x14ac:dyDescent="0.25">
      <c r="A3955">
        <v>0</v>
      </c>
      <c r="B3955">
        <v>4.2042042042041997E-2</v>
      </c>
      <c r="C3955">
        <f t="shared" si="122"/>
        <v>1.6364772870160769</v>
      </c>
      <c r="D3955">
        <v>4</v>
      </c>
      <c r="E3955">
        <f t="shared" si="123"/>
        <v>5.6698676921705889E-2</v>
      </c>
    </row>
    <row r="3956" spans="1:5" x14ac:dyDescent="0.25">
      <c r="A3956">
        <v>0</v>
      </c>
      <c r="B3956">
        <v>4.2042042042041997E-2</v>
      </c>
      <c r="C3956">
        <f t="shared" si="122"/>
        <v>1.6364772870160769</v>
      </c>
      <c r="D3956">
        <v>4</v>
      </c>
      <c r="E3956">
        <f t="shared" si="123"/>
        <v>5.6698676921705889E-2</v>
      </c>
    </row>
    <row r="3957" spans="1:5" x14ac:dyDescent="0.25">
      <c r="A3957">
        <v>0</v>
      </c>
      <c r="B3957">
        <v>4.2042042042041997E-2</v>
      </c>
      <c r="C3957">
        <f t="shared" si="122"/>
        <v>1.6364772870160769</v>
      </c>
      <c r="D3957">
        <v>4</v>
      </c>
      <c r="E3957">
        <f t="shared" si="123"/>
        <v>5.6698676921705889E-2</v>
      </c>
    </row>
    <row r="3958" spans="1:5" x14ac:dyDescent="0.25">
      <c r="A3958">
        <v>0</v>
      </c>
      <c r="B3958">
        <v>4.2042042042041997E-2</v>
      </c>
      <c r="C3958">
        <f t="shared" si="122"/>
        <v>1.6364772870160769</v>
      </c>
      <c r="D3958">
        <v>4</v>
      </c>
      <c r="E3958">
        <f t="shared" si="123"/>
        <v>5.6698676921705889E-2</v>
      </c>
    </row>
    <row r="3959" spans="1:5" x14ac:dyDescent="0.25">
      <c r="A3959">
        <v>0</v>
      </c>
      <c r="B3959">
        <v>4.2042042042041997E-2</v>
      </c>
      <c r="C3959">
        <f t="shared" si="122"/>
        <v>1.6364772870160769</v>
      </c>
      <c r="D3959">
        <v>4</v>
      </c>
      <c r="E3959">
        <f t="shared" si="123"/>
        <v>5.6698676921705889E-2</v>
      </c>
    </row>
    <row r="3960" spans="1:5" x14ac:dyDescent="0.25">
      <c r="A3960">
        <v>0</v>
      </c>
      <c r="B3960">
        <v>4.2042042042041997E-2</v>
      </c>
      <c r="C3960">
        <f t="shared" si="122"/>
        <v>1.6364772870160769</v>
      </c>
      <c r="D3960">
        <v>4</v>
      </c>
      <c r="E3960">
        <f t="shared" si="123"/>
        <v>5.6698676921705889E-2</v>
      </c>
    </row>
    <row r="3961" spans="1:5" x14ac:dyDescent="0.25">
      <c r="A3961">
        <v>0</v>
      </c>
      <c r="B3961">
        <v>4.2056074766355103E-2</v>
      </c>
      <c r="C3961">
        <f t="shared" si="122"/>
        <v>1.6364712051166899</v>
      </c>
      <c r="D3961">
        <v>4</v>
      </c>
      <c r="E3961">
        <f t="shared" si="123"/>
        <v>5.6698676921705889E-2</v>
      </c>
    </row>
    <row r="3962" spans="1:5" x14ac:dyDescent="0.25">
      <c r="A3962">
        <v>0</v>
      </c>
      <c r="B3962">
        <v>4.2056074766355103E-2</v>
      </c>
      <c r="C3962">
        <f t="shared" si="122"/>
        <v>1.6364712051166899</v>
      </c>
      <c r="D3962">
        <v>4</v>
      </c>
      <c r="E3962">
        <f t="shared" si="123"/>
        <v>5.6698676921705889E-2</v>
      </c>
    </row>
    <row r="3963" spans="1:5" x14ac:dyDescent="0.25">
      <c r="A3963">
        <v>0</v>
      </c>
      <c r="B3963">
        <v>4.2056074766355103E-2</v>
      </c>
      <c r="C3963">
        <f t="shared" si="122"/>
        <v>1.6364712051166899</v>
      </c>
      <c r="D3963">
        <v>4</v>
      </c>
      <c r="E3963">
        <f t="shared" si="123"/>
        <v>5.6698676921705889E-2</v>
      </c>
    </row>
    <row r="3964" spans="1:5" x14ac:dyDescent="0.25">
      <c r="A3964">
        <v>0</v>
      </c>
      <c r="B3964">
        <v>4.2056074766355103E-2</v>
      </c>
      <c r="C3964">
        <f t="shared" si="122"/>
        <v>1.6364712051166899</v>
      </c>
      <c r="D3964">
        <v>4</v>
      </c>
      <c r="E3964">
        <f t="shared" si="123"/>
        <v>5.6698676921705889E-2</v>
      </c>
    </row>
    <row r="3965" spans="1:5" x14ac:dyDescent="0.25">
      <c r="A3965">
        <v>0</v>
      </c>
      <c r="B3965">
        <v>4.2056074766355103E-2</v>
      </c>
      <c r="C3965">
        <f t="shared" si="122"/>
        <v>1.6364712051166899</v>
      </c>
      <c r="D3965">
        <v>4</v>
      </c>
      <c r="E3965">
        <f t="shared" si="123"/>
        <v>5.6698676921705889E-2</v>
      </c>
    </row>
    <row r="3966" spans="1:5" x14ac:dyDescent="0.25">
      <c r="A3966">
        <v>0</v>
      </c>
      <c r="B3966">
        <v>4.2056074766355103E-2</v>
      </c>
      <c r="C3966">
        <f t="shared" si="122"/>
        <v>1.6364712051166899</v>
      </c>
      <c r="D3966">
        <v>4</v>
      </c>
      <c r="E3966">
        <f t="shared" si="123"/>
        <v>5.6698676921705889E-2</v>
      </c>
    </row>
    <row r="3967" spans="1:5" x14ac:dyDescent="0.25">
      <c r="A3967">
        <v>0</v>
      </c>
      <c r="B3967">
        <v>4.2168674698795199E-2</v>
      </c>
      <c r="C3967">
        <f t="shared" si="122"/>
        <v>1.6364222070592369</v>
      </c>
      <c r="D3967">
        <v>4</v>
      </c>
      <c r="E3967">
        <f t="shared" si="123"/>
        <v>5.6698676921705889E-2</v>
      </c>
    </row>
    <row r="3968" spans="1:5" x14ac:dyDescent="0.25">
      <c r="A3968">
        <v>0</v>
      </c>
      <c r="B3968">
        <v>4.2553191489361701E-2</v>
      </c>
      <c r="C3968">
        <f t="shared" si="122"/>
        <v>1.6362522525838121</v>
      </c>
      <c r="D3968">
        <v>4</v>
      </c>
      <c r="E3968">
        <f t="shared" si="123"/>
        <v>5.6698676921705889E-2</v>
      </c>
    </row>
    <row r="3969" spans="1:5" x14ac:dyDescent="0.25">
      <c r="A3969">
        <v>0</v>
      </c>
      <c r="B3969">
        <v>4.26666666666667E-2</v>
      </c>
      <c r="C3969">
        <f t="shared" si="122"/>
        <v>1.6362013193589005</v>
      </c>
      <c r="D3969">
        <v>4</v>
      </c>
      <c r="E3969">
        <f t="shared" si="123"/>
        <v>5.6698676921705889E-2</v>
      </c>
    </row>
    <row r="3970" spans="1:5" x14ac:dyDescent="0.25">
      <c r="A3970">
        <v>0</v>
      </c>
      <c r="B3970">
        <v>4.26666666666667E-2</v>
      </c>
      <c r="C3970">
        <f t="shared" ref="C3970:C4033" si="124">_xlfn.NORM.DIST(B3970,I$10,I$13,FALSE)</f>
        <v>1.6362013193589005</v>
      </c>
      <c r="D3970">
        <v>4</v>
      </c>
      <c r="E3970">
        <f t="shared" si="123"/>
        <v>5.6698676921705889E-2</v>
      </c>
    </row>
    <row r="3971" spans="1:5" x14ac:dyDescent="0.25">
      <c r="A3971">
        <v>0</v>
      </c>
      <c r="B3971">
        <v>4.26666666666667E-2</v>
      </c>
      <c r="C3971">
        <f t="shared" si="124"/>
        <v>1.6362013193589005</v>
      </c>
      <c r="D3971">
        <v>4</v>
      </c>
      <c r="E3971">
        <f t="shared" ref="E3971:E4034" si="125">_xlfn.NORM.DIST(D3971,I$4,I$7,FALSE)</f>
        <v>5.6698676921705889E-2</v>
      </c>
    </row>
    <row r="3972" spans="1:5" x14ac:dyDescent="0.25">
      <c r="A3972">
        <v>0</v>
      </c>
      <c r="B3972">
        <v>4.26666666666667E-2</v>
      </c>
      <c r="C3972">
        <f t="shared" si="124"/>
        <v>1.6362013193589005</v>
      </c>
      <c r="D3972">
        <v>4</v>
      </c>
      <c r="E3972">
        <f t="shared" si="125"/>
        <v>5.6698676921705889E-2</v>
      </c>
    </row>
    <row r="3973" spans="1:5" x14ac:dyDescent="0.25">
      <c r="A3973">
        <v>0</v>
      </c>
      <c r="B3973">
        <v>4.26666666666667E-2</v>
      </c>
      <c r="C3973">
        <f t="shared" si="124"/>
        <v>1.6362013193589005</v>
      </c>
      <c r="D3973">
        <v>4</v>
      </c>
      <c r="E3973">
        <f t="shared" si="125"/>
        <v>5.6698676921705889E-2</v>
      </c>
    </row>
    <row r="3974" spans="1:5" x14ac:dyDescent="0.25">
      <c r="A3974">
        <v>0</v>
      </c>
      <c r="B3974">
        <v>4.26666666666667E-2</v>
      </c>
      <c r="C3974">
        <f t="shared" si="124"/>
        <v>1.6362013193589005</v>
      </c>
      <c r="D3974">
        <v>4</v>
      </c>
      <c r="E3974">
        <f t="shared" si="125"/>
        <v>5.6698676921705889E-2</v>
      </c>
    </row>
    <row r="3975" spans="1:5" x14ac:dyDescent="0.25">
      <c r="A3975">
        <v>0</v>
      </c>
      <c r="B3975">
        <v>4.26666666666667E-2</v>
      </c>
      <c r="C3975">
        <f t="shared" si="124"/>
        <v>1.6362013193589005</v>
      </c>
      <c r="D3975">
        <v>4</v>
      </c>
      <c r="E3975">
        <f t="shared" si="125"/>
        <v>5.6698676921705889E-2</v>
      </c>
    </row>
    <row r="3976" spans="1:5" x14ac:dyDescent="0.25">
      <c r="A3976">
        <v>0</v>
      </c>
      <c r="B3976">
        <v>4.26666666666667E-2</v>
      </c>
      <c r="C3976">
        <f t="shared" si="124"/>
        <v>1.6362013193589005</v>
      </c>
      <c r="D3976">
        <v>4</v>
      </c>
      <c r="E3976">
        <f t="shared" si="125"/>
        <v>5.6698676921705889E-2</v>
      </c>
    </row>
    <row r="3977" spans="1:5" x14ac:dyDescent="0.25">
      <c r="A3977">
        <v>0</v>
      </c>
      <c r="B3977">
        <v>4.26666666666667E-2</v>
      </c>
      <c r="C3977">
        <f t="shared" si="124"/>
        <v>1.6362013193589005</v>
      </c>
      <c r="D3977">
        <v>4</v>
      </c>
      <c r="E3977">
        <f t="shared" si="125"/>
        <v>5.6698676921705889E-2</v>
      </c>
    </row>
    <row r="3978" spans="1:5" x14ac:dyDescent="0.25">
      <c r="A3978">
        <v>0</v>
      </c>
      <c r="B3978">
        <v>4.2999999999999997E-2</v>
      </c>
      <c r="C3978">
        <f t="shared" si="124"/>
        <v>1.6360496535982827</v>
      </c>
      <c r="D3978">
        <v>4</v>
      </c>
      <c r="E3978">
        <f t="shared" si="125"/>
        <v>5.6698676921705889E-2</v>
      </c>
    </row>
    <row r="3979" spans="1:5" x14ac:dyDescent="0.25">
      <c r="A3979">
        <v>0</v>
      </c>
      <c r="B3979">
        <v>4.33333333333333E-2</v>
      </c>
      <c r="C3979">
        <f t="shared" si="124"/>
        <v>1.6358949306517798</v>
      </c>
      <c r="D3979">
        <v>4</v>
      </c>
      <c r="E3979">
        <f t="shared" si="125"/>
        <v>5.6698676921705889E-2</v>
      </c>
    </row>
    <row r="3980" spans="1:5" x14ac:dyDescent="0.25">
      <c r="A3980">
        <v>0</v>
      </c>
      <c r="B3980">
        <v>4.33333333333333E-2</v>
      </c>
      <c r="C3980">
        <f t="shared" si="124"/>
        <v>1.6358949306517798</v>
      </c>
      <c r="D3980">
        <v>4</v>
      </c>
      <c r="E3980">
        <f t="shared" si="125"/>
        <v>5.6698676921705889E-2</v>
      </c>
    </row>
    <row r="3981" spans="1:5" x14ac:dyDescent="0.25">
      <c r="A3981">
        <v>0</v>
      </c>
      <c r="B3981">
        <v>4.3478260869565202E-2</v>
      </c>
      <c r="C3981">
        <f t="shared" si="124"/>
        <v>1.6358267064605132</v>
      </c>
      <c r="D3981">
        <v>4</v>
      </c>
      <c r="E3981">
        <f t="shared" si="125"/>
        <v>5.6698676921705889E-2</v>
      </c>
    </row>
    <row r="3982" spans="1:5" x14ac:dyDescent="0.25">
      <c r="A3982">
        <v>0</v>
      </c>
      <c r="B3982">
        <v>4.3956043956044001E-2</v>
      </c>
      <c r="C3982">
        <f t="shared" si="124"/>
        <v>1.6355977005277245</v>
      </c>
      <c r="D3982">
        <v>4</v>
      </c>
      <c r="E3982">
        <f t="shared" si="125"/>
        <v>5.6698676921705889E-2</v>
      </c>
    </row>
    <row r="3983" spans="1:5" x14ac:dyDescent="0.25">
      <c r="A3983">
        <v>0</v>
      </c>
      <c r="B3983">
        <v>4.3999999999999997E-2</v>
      </c>
      <c r="C3983">
        <f t="shared" si="124"/>
        <v>1.6355763166984449</v>
      </c>
      <c r="D3983">
        <v>4</v>
      </c>
      <c r="E3983">
        <f t="shared" si="125"/>
        <v>5.6698676921705889E-2</v>
      </c>
    </row>
    <row r="3984" spans="1:5" x14ac:dyDescent="0.25">
      <c r="A3984">
        <v>0</v>
      </c>
      <c r="B3984">
        <v>4.3999999999999997E-2</v>
      </c>
      <c r="C3984">
        <f t="shared" si="124"/>
        <v>1.6355763166984449</v>
      </c>
      <c r="D3984">
        <v>4</v>
      </c>
      <c r="E3984">
        <f t="shared" si="125"/>
        <v>5.6698676921705889E-2</v>
      </c>
    </row>
    <row r="3985" spans="1:5" x14ac:dyDescent="0.25">
      <c r="A3985">
        <v>0</v>
      </c>
      <c r="B3985">
        <v>4.3999999999999997E-2</v>
      </c>
      <c r="C3985">
        <f t="shared" si="124"/>
        <v>1.6355763166984449</v>
      </c>
      <c r="D3985">
        <v>4</v>
      </c>
      <c r="E3985">
        <f t="shared" si="125"/>
        <v>5.6698676921705889E-2</v>
      </c>
    </row>
    <row r="3986" spans="1:5" x14ac:dyDescent="0.25">
      <c r="A3986">
        <v>0</v>
      </c>
      <c r="B3986">
        <v>4.3999999999999997E-2</v>
      </c>
      <c r="C3986">
        <f t="shared" si="124"/>
        <v>1.6355763166984449</v>
      </c>
      <c r="D3986">
        <v>4</v>
      </c>
      <c r="E3986">
        <f t="shared" si="125"/>
        <v>5.6698676921705889E-2</v>
      </c>
    </row>
    <row r="3987" spans="1:5" x14ac:dyDescent="0.25">
      <c r="A3987">
        <v>0</v>
      </c>
      <c r="B3987">
        <v>4.3999999999999997E-2</v>
      </c>
      <c r="C3987">
        <f t="shared" si="124"/>
        <v>1.6355763166984449</v>
      </c>
      <c r="D3987">
        <v>4</v>
      </c>
      <c r="E3987">
        <f t="shared" si="125"/>
        <v>5.6698676921705889E-2</v>
      </c>
    </row>
    <row r="3988" spans="1:5" x14ac:dyDescent="0.25">
      <c r="A3988">
        <v>0</v>
      </c>
      <c r="B3988">
        <v>4.4289044289044302E-2</v>
      </c>
      <c r="C3988">
        <f t="shared" si="124"/>
        <v>1.6354343789015402</v>
      </c>
      <c r="D3988">
        <v>4</v>
      </c>
      <c r="E3988">
        <f t="shared" si="125"/>
        <v>5.6698676921705889E-2</v>
      </c>
    </row>
    <row r="3989" spans="1:5" x14ac:dyDescent="0.25">
      <c r="A3989">
        <v>0</v>
      </c>
      <c r="B3989">
        <v>4.4289044289044302E-2</v>
      </c>
      <c r="C3989">
        <f t="shared" si="124"/>
        <v>1.6354343789015402</v>
      </c>
      <c r="D3989">
        <v>4</v>
      </c>
      <c r="E3989">
        <f t="shared" si="125"/>
        <v>5.6698676921705889E-2</v>
      </c>
    </row>
    <row r="3990" spans="1:5" x14ac:dyDescent="0.25">
      <c r="A3990">
        <v>0</v>
      </c>
      <c r="B3990">
        <v>4.4289044289044302E-2</v>
      </c>
      <c r="C3990">
        <f t="shared" si="124"/>
        <v>1.6354343789015402</v>
      </c>
      <c r="D3990">
        <v>4</v>
      </c>
      <c r="E3990">
        <f t="shared" si="125"/>
        <v>5.6698676921705889E-2</v>
      </c>
    </row>
    <row r="3991" spans="1:5" x14ac:dyDescent="0.25">
      <c r="A3991">
        <v>0</v>
      </c>
      <c r="B3991">
        <v>4.4392523364486E-2</v>
      </c>
      <c r="C3991">
        <f t="shared" si="124"/>
        <v>1.6353830063770627</v>
      </c>
      <c r="D3991">
        <v>4</v>
      </c>
      <c r="E3991">
        <f t="shared" si="125"/>
        <v>5.6698676921705889E-2</v>
      </c>
    </row>
    <row r="3992" spans="1:5" x14ac:dyDescent="0.25">
      <c r="A3992">
        <v>0</v>
      </c>
      <c r="B3992">
        <v>4.4392523364486E-2</v>
      </c>
      <c r="C3992">
        <f t="shared" si="124"/>
        <v>1.6353830063770627</v>
      </c>
      <c r="D3992">
        <v>4</v>
      </c>
      <c r="E3992">
        <f t="shared" si="125"/>
        <v>5.6698676921705889E-2</v>
      </c>
    </row>
    <row r="3993" spans="1:5" x14ac:dyDescent="0.25">
      <c r="A3993">
        <v>0</v>
      </c>
      <c r="B3993">
        <v>4.4392523364486E-2</v>
      </c>
      <c r="C3993">
        <f t="shared" si="124"/>
        <v>1.6353830063770627</v>
      </c>
      <c r="D3993">
        <v>4</v>
      </c>
      <c r="E3993">
        <f t="shared" si="125"/>
        <v>5.6698676921705889E-2</v>
      </c>
    </row>
    <row r="3994" spans="1:5" x14ac:dyDescent="0.25">
      <c r="A3994">
        <v>0</v>
      </c>
      <c r="B3994">
        <v>4.4392523364486E-2</v>
      </c>
      <c r="C3994">
        <f t="shared" si="124"/>
        <v>1.6353830063770627</v>
      </c>
      <c r="D3994">
        <v>4</v>
      </c>
      <c r="E3994">
        <f t="shared" si="125"/>
        <v>5.6698676921705889E-2</v>
      </c>
    </row>
    <row r="3995" spans="1:5" x14ac:dyDescent="0.25">
      <c r="A3995">
        <v>0</v>
      </c>
      <c r="B3995">
        <v>4.4392523364486E-2</v>
      </c>
      <c r="C3995">
        <f t="shared" si="124"/>
        <v>1.6353830063770627</v>
      </c>
      <c r="D3995">
        <v>4</v>
      </c>
      <c r="E3995">
        <f t="shared" si="125"/>
        <v>5.6698676921705889E-2</v>
      </c>
    </row>
    <row r="3996" spans="1:5" x14ac:dyDescent="0.25">
      <c r="A3996">
        <v>0</v>
      </c>
      <c r="B3996">
        <v>4.4392523364486E-2</v>
      </c>
      <c r="C3996">
        <f t="shared" si="124"/>
        <v>1.6353830063770627</v>
      </c>
      <c r="D3996">
        <v>4</v>
      </c>
      <c r="E3996">
        <f t="shared" si="125"/>
        <v>5.6698676921705889E-2</v>
      </c>
    </row>
    <row r="3997" spans="1:5" x14ac:dyDescent="0.25">
      <c r="A3997">
        <v>0</v>
      </c>
      <c r="B3997">
        <v>4.4392523364486E-2</v>
      </c>
      <c r="C3997">
        <f t="shared" si="124"/>
        <v>1.6353830063770627</v>
      </c>
      <c r="D3997">
        <v>4</v>
      </c>
      <c r="E3997">
        <f t="shared" si="125"/>
        <v>5.6698676921705889E-2</v>
      </c>
    </row>
    <row r="3998" spans="1:5" x14ac:dyDescent="0.25">
      <c r="A3998">
        <v>0</v>
      </c>
      <c r="B3998">
        <v>4.4910179640718598E-2</v>
      </c>
      <c r="C3998">
        <f t="shared" si="124"/>
        <v>1.635121596755388</v>
      </c>
      <c r="D3998">
        <v>4</v>
      </c>
      <c r="E3998">
        <f t="shared" si="125"/>
        <v>5.6698676921705889E-2</v>
      </c>
    </row>
    <row r="3999" spans="1:5" x14ac:dyDescent="0.25">
      <c r="A3999">
        <v>0</v>
      </c>
      <c r="B3999">
        <v>4.4910179640718598E-2</v>
      </c>
      <c r="C3999">
        <f t="shared" si="124"/>
        <v>1.635121596755388</v>
      </c>
      <c r="D3999">
        <v>4</v>
      </c>
      <c r="E3999">
        <f t="shared" si="125"/>
        <v>5.6698676921705889E-2</v>
      </c>
    </row>
    <row r="4000" spans="1:5" x14ac:dyDescent="0.25">
      <c r="A4000">
        <v>0</v>
      </c>
      <c r="B4000">
        <v>4.4999999999999998E-2</v>
      </c>
      <c r="C4000">
        <f t="shared" si="124"/>
        <v>1.635075489182084</v>
      </c>
      <c r="D4000">
        <v>4</v>
      </c>
      <c r="E4000">
        <f t="shared" si="125"/>
        <v>5.6698676921705889E-2</v>
      </c>
    </row>
    <row r="4001" spans="1:5" x14ac:dyDescent="0.25">
      <c r="A4001">
        <v>0</v>
      </c>
      <c r="B4001">
        <v>4.4999999999999998E-2</v>
      </c>
      <c r="C4001">
        <f t="shared" si="124"/>
        <v>1.635075489182084</v>
      </c>
      <c r="D4001">
        <v>4</v>
      </c>
      <c r="E4001">
        <f t="shared" si="125"/>
        <v>5.6698676921705889E-2</v>
      </c>
    </row>
    <row r="4002" spans="1:5" x14ac:dyDescent="0.25">
      <c r="A4002">
        <v>0</v>
      </c>
      <c r="B4002">
        <v>4.5045045045045001E-2</v>
      </c>
      <c r="C4002">
        <f t="shared" si="124"/>
        <v>1.6350522827372844</v>
      </c>
      <c r="D4002">
        <v>4</v>
      </c>
      <c r="E4002">
        <f t="shared" si="125"/>
        <v>5.6698676921705889E-2</v>
      </c>
    </row>
    <row r="4003" spans="1:5" x14ac:dyDescent="0.25">
      <c r="A4003">
        <v>0</v>
      </c>
      <c r="B4003">
        <v>4.5045045045045001E-2</v>
      </c>
      <c r="C4003">
        <f t="shared" si="124"/>
        <v>1.6350522827372844</v>
      </c>
      <c r="D4003">
        <v>4</v>
      </c>
      <c r="E4003">
        <f t="shared" si="125"/>
        <v>5.6698676921705889E-2</v>
      </c>
    </row>
    <row r="4004" spans="1:5" x14ac:dyDescent="0.25">
      <c r="A4004">
        <v>0</v>
      </c>
      <c r="B4004">
        <v>4.5045045045045001E-2</v>
      </c>
      <c r="C4004">
        <f t="shared" si="124"/>
        <v>1.6350522827372844</v>
      </c>
      <c r="D4004">
        <v>4</v>
      </c>
      <c r="E4004">
        <f t="shared" si="125"/>
        <v>5.6698676921705889E-2</v>
      </c>
    </row>
    <row r="4005" spans="1:5" x14ac:dyDescent="0.25">
      <c r="A4005">
        <v>0</v>
      </c>
      <c r="B4005">
        <v>4.5045045045045001E-2</v>
      </c>
      <c r="C4005">
        <f t="shared" si="124"/>
        <v>1.6350522827372844</v>
      </c>
      <c r="D4005">
        <v>4</v>
      </c>
      <c r="E4005">
        <f t="shared" si="125"/>
        <v>5.6698676921705889E-2</v>
      </c>
    </row>
    <row r="4006" spans="1:5" x14ac:dyDescent="0.25">
      <c r="A4006">
        <v>0</v>
      </c>
      <c r="B4006">
        <v>4.5045045045045001E-2</v>
      </c>
      <c r="C4006">
        <f t="shared" si="124"/>
        <v>1.6350522827372844</v>
      </c>
      <c r="D4006">
        <v>4</v>
      </c>
      <c r="E4006">
        <f t="shared" si="125"/>
        <v>5.6698676921705889E-2</v>
      </c>
    </row>
    <row r="4007" spans="1:5" x14ac:dyDescent="0.25">
      <c r="A4007">
        <v>0</v>
      </c>
      <c r="B4007">
        <v>4.5045045045045001E-2</v>
      </c>
      <c r="C4007">
        <f t="shared" si="124"/>
        <v>1.6350522827372844</v>
      </c>
      <c r="D4007">
        <v>4</v>
      </c>
      <c r="E4007">
        <f t="shared" si="125"/>
        <v>5.6698676921705889E-2</v>
      </c>
    </row>
    <row r="4008" spans="1:5" x14ac:dyDescent="0.25">
      <c r="A4008">
        <v>0</v>
      </c>
      <c r="B4008">
        <v>4.5045045045045001E-2</v>
      </c>
      <c r="C4008">
        <f t="shared" si="124"/>
        <v>1.6350522827372844</v>
      </c>
      <c r="D4008">
        <v>4</v>
      </c>
      <c r="E4008">
        <f t="shared" si="125"/>
        <v>5.6698676921705889E-2</v>
      </c>
    </row>
    <row r="4009" spans="1:5" x14ac:dyDescent="0.25">
      <c r="A4009">
        <v>0</v>
      </c>
      <c r="B4009">
        <v>4.5333333333333302E-2</v>
      </c>
      <c r="C4009">
        <f t="shared" si="124"/>
        <v>1.6349024419905582</v>
      </c>
      <c r="D4009">
        <v>4</v>
      </c>
      <c r="E4009">
        <f t="shared" si="125"/>
        <v>5.6698676921705889E-2</v>
      </c>
    </row>
    <row r="4010" spans="1:5" x14ac:dyDescent="0.25">
      <c r="A4010">
        <v>0</v>
      </c>
      <c r="B4010">
        <v>4.5333333333333302E-2</v>
      </c>
      <c r="C4010">
        <f t="shared" si="124"/>
        <v>1.6349024419905582</v>
      </c>
      <c r="D4010">
        <v>4</v>
      </c>
      <c r="E4010">
        <f t="shared" si="125"/>
        <v>5.6698676921705889E-2</v>
      </c>
    </row>
    <row r="4011" spans="1:5" x14ac:dyDescent="0.25">
      <c r="A4011">
        <v>0</v>
      </c>
      <c r="B4011">
        <v>4.5333333333333302E-2</v>
      </c>
      <c r="C4011">
        <f t="shared" si="124"/>
        <v>1.6349024419905582</v>
      </c>
      <c r="D4011">
        <v>4</v>
      </c>
      <c r="E4011">
        <f t="shared" si="125"/>
        <v>5.6698676921705889E-2</v>
      </c>
    </row>
    <row r="4012" spans="1:5" x14ac:dyDescent="0.25">
      <c r="A4012">
        <v>0</v>
      </c>
      <c r="B4012">
        <v>4.5333333333333302E-2</v>
      </c>
      <c r="C4012">
        <f t="shared" si="124"/>
        <v>1.6349024419905582</v>
      </c>
      <c r="D4012">
        <v>4</v>
      </c>
      <c r="E4012">
        <f t="shared" si="125"/>
        <v>5.6698676921705889E-2</v>
      </c>
    </row>
    <row r="4013" spans="1:5" x14ac:dyDescent="0.25">
      <c r="A4013">
        <v>0</v>
      </c>
      <c r="B4013">
        <v>4.5333333333333302E-2</v>
      </c>
      <c r="C4013">
        <f t="shared" si="124"/>
        <v>1.6349024419905582</v>
      </c>
      <c r="D4013">
        <v>4</v>
      </c>
      <c r="E4013">
        <f t="shared" si="125"/>
        <v>5.6698676921705889E-2</v>
      </c>
    </row>
    <row r="4014" spans="1:5" x14ac:dyDescent="0.25">
      <c r="A4014">
        <v>0</v>
      </c>
      <c r="B4014">
        <v>4.5333333333333302E-2</v>
      </c>
      <c r="C4014">
        <f t="shared" si="124"/>
        <v>1.6349024419905582</v>
      </c>
      <c r="D4014">
        <v>4</v>
      </c>
      <c r="E4014">
        <f t="shared" si="125"/>
        <v>5.6698676921705889E-2</v>
      </c>
    </row>
    <row r="4015" spans="1:5" x14ac:dyDescent="0.25">
      <c r="A4015">
        <v>0</v>
      </c>
      <c r="B4015">
        <v>4.5333333333333302E-2</v>
      </c>
      <c r="C4015">
        <f t="shared" si="124"/>
        <v>1.6349024419905582</v>
      </c>
      <c r="D4015">
        <v>4</v>
      </c>
      <c r="E4015">
        <f t="shared" si="125"/>
        <v>5.6698676921705889E-2</v>
      </c>
    </row>
    <row r="4016" spans="1:5" x14ac:dyDescent="0.25">
      <c r="A4016">
        <v>0</v>
      </c>
      <c r="B4016">
        <v>4.5333333333333302E-2</v>
      </c>
      <c r="C4016">
        <f t="shared" si="124"/>
        <v>1.6349024419905582</v>
      </c>
      <c r="D4016">
        <v>4</v>
      </c>
      <c r="E4016">
        <f t="shared" si="125"/>
        <v>5.6698676921705889E-2</v>
      </c>
    </row>
    <row r="4017" spans="1:5" x14ac:dyDescent="0.25">
      <c r="A4017">
        <v>0</v>
      </c>
      <c r="B4017">
        <v>4.5333333333333302E-2</v>
      </c>
      <c r="C4017">
        <f t="shared" si="124"/>
        <v>1.6349024419905582</v>
      </c>
      <c r="D4017">
        <v>4</v>
      </c>
      <c r="E4017">
        <f t="shared" si="125"/>
        <v>5.6698676921705889E-2</v>
      </c>
    </row>
    <row r="4018" spans="1:5" x14ac:dyDescent="0.25">
      <c r="A4018">
        <v>0</v>
      </c>
      <c r="B4018">
        <v>4.5333333333333302E-2</v>
      </c>
      <c r="C4018">
        <f t="shared" si="124"/>
        <v>1.6349024419905582</v>
      </c>
      <c r="D4018">
        <v>4</v>
      </c>
      <c r="E4018">
        <f t="shared" si="125"/>
        <v>5.6698676921705889E-2</v>
      </c>
    </row>
    <row r="4019" spans="1:5" x14ac:dyDescent="0.25">
      <c r="A4019">
        <v>0</v>
      </c>
      <c r="B4019">
        <v>4.5333333333333302E-2</v>
      </c>
      <c r="C4019">
        <f t="shared" si="124"/>
        <v>1.6349024419905582</v>
      </c>
      <c r="D4019">
        <v>4</v>
      </c>
      <c r="E4019">
        <f t="shared" si="125"/>
        <v>5.6698676921705889E-2</v>
      </c>
    </row>
    <row r="4020" spans="1:5" x14ac:dyDescent="0.25">
      <c r="A4020">
        <v>0</v>
      </c>
      <c r="B4020">
        <v>4.5999999999999999E-2</v>
      </c>
      <c r="C4020">
        <f t="shared" si="124"/>
        <v>1.6345471963889602</v>
      </c>
      <c r="D4020">
        <v>4</v>
      </c>
      <c r="E4020">
        <f t="shared" si="125"/>
        <v>5.6698676921705889E-2</v>
      </c>
    </row>
    <row r="4021" spans="1:5" x14ac:dyDescent="0.25">
      <c r="A4021">
        <v>0</v>
      </c>
      <c r="B4021">
        <v>4.5999999999999999E-2</v>
      </c>
      <c r="C4021">
        <f t="shared" si="124"/>
        <v>1.6345471963889602</v>
      </c>
      <c r="D4021">
        <v>4</v>
      </c>
      <c r="E4021">
        <f t="shared" si="125"/>
        <v>5.6698676921705889E-2</v>
      </c>
    </row>
    <row r="4022" spans="1:5" x14ac:dyDescent="0.25">
      <c r="A4022">
        <v>0</v>
      </c>
      <c r="B4022">
        <v>4.5999999999999999E-2</v>
      </c>
      <c r="C4022">
        <f t="shared" si="124"/>
        <v>1.6345471963889602</v>
      </c>
      <c r="D4022">
        <v>4</v>
      </c>
      <c r="E4022">
        <f t="shared" si="125"/>
        <v>5.6698676921705889E-2</v>
      </c>
    </row>
    <row r="4023" spans="1:5" x14ac:dyDescent="0.25">
      <c r="A4023">
        <v>0</v>
      </c>
      <c r="B4023">
        <v>4.6620046620046603E-2</v>
      </c>
      <c r="C4023">
        <f t="shared" si="124"/>
        <v>1.6342058473966377</v>
      </c>
      <c r="D4023">
        <v>4</v>
      </c>
      <c r="E4023">
        <f t="shared" si="125"/>
        <v>5.6698676921705889E-2</v>
      </c>
    </row>
    <row r="4024" spans="1:5" x14ac:dyDescent="0.25">
      <c r="A4024">
        <v>0</v>
      </c>
      <c r="B4024">
        <v>4.6620046620046603E-2</v>
      </c>
      <c r="C4024">
        <f t="shared" si="124"/>
        <v>1.6342058473966377</v>
      </c>
      <c r="D4024">
        <v>4</v>
      </c>
      <c r="E4024">
        <f t="shared" si="125"/>
        <v>5.6698676921705889E-2</v>
      </c>
    </row>
    <row r="4025" spans="1:5" x14ac:dyDescent="0.25">
      <c r="A4025">
        <v>0</v>
      </c>
      <c r="B4025">
        <v>4.6620046620046603E-2</v>
      </c>
      <c r="C4025">
        <f t="shared" si="124"/>
        <v>1.6342058473966377</v>
      </c>
      <c r="D4025">
        <v>4</v>
      </c>
      <c r="E4025">
        <f t="shared" si="125"/>
        <v>5.6698676921705889E-2</v>
      </c>
    </row>
    <row r="4026" spans="1:5" x14ac:dyDescent="0.25">
      <c r="A4026">
        <v>0</v>
      </c>
      <c r="B4026">
        <v>4.6620046620046603E-2</v>
      </c>
      <c r="C4026">
        <f t="shared" si="124"/>
        <v>1.6342058473966377</v>
      </c>
      <c r="D4026">
        <v>4</v>
      </c>
      <c r="E4026">
        <f t="shared" si="125"/>
        <v>5.6698676921705889E-2</v>
      </c>
    </row>
    <row r="4027" spans="1:5" x14ac:dyDescent="0.25">
      <c r="A4027">
        <v>0</v>
      </c>
      <c r="B4027">
        <v>4.6666666666666697E-2</v>
      </c>
      <c r="C4027">
        <f t="shared" si="124"/>
        <v>1.6341797558464897</v>
      </c>
      <c r="D4027">
        <v>4</v>
      </c>
      <c r="E4027">
        <f t="shared" si="125"/>
        <v>5.6698676921705889E-2</v>
      </c>
    </row>
    <row r="4028" spans="1:5" x14ac:dyDescent="0.25">
      <c r="A4028">
        <v>0</v>
      </c>
      <c r="B4028">
        <v>4.6666666666666697E-2</v>
      </c>
      <c r="C4028">
        <f t="shared" si="124"/>
        <v>1.6341797558464897</v>
      </c>
      <c r="D4028">
        <v>4</v>
      </c>
      <c r="E4028">
        <f t="shared" si="125"/>
        <v>5.6698676921705889E-2</v>
      </c>
    </row>
    <row r="4029" spans="1:5" x14ac:dyDescent="0.25">
      <c r="A4029">
        <v>0</v>
      </c>
      <c r="B4029">
        <v>4.6666666666666697E-2</v>
      </c>
      <c r="C4029">
        <f t="shared" si="124"/>
        <v>1.6341797558464897</v>
      </c>
      <c r="D4029">
        <v>4</v>
      </c>
      <c r="E4029">
        <f t="shared" si="125"/>
        <v>5.6698676921705889E-2</v>
      </c>
    </row>
    <row r="4030" spans="1:5" x14ac:dyDescent="0.25">
      <c r="A4030">
        <v>0</v>
      </c>
      <c r="B4030">
        <v>4.67289719626168E-2</v>
      </c>
      <c r="C4030">
        <f t="shared" si="124"/>
        <v>1.6341447927864501</v>
      </c>
      <c r="D4030">
        <v>4</v>
      </c>
      <c r="E4030">
        <f t="shared" si="125"/>
        <v>5.6698676921705889E-2</v>
      </c>
    </row>
    <row r="4031" spans="1:5" x14ac:dyDescent="0.25">
      <c r="A4031">
        <v>0</v>
      </c>
      <c r="B4031">
        <v>4.7E-2</v>
      </c>
      <c r="C4031">
        <f t="shared" si="124"/>
        <v>1.6339914650428438</v>
      </c>
      <c r="D4031">
        <v>4</v>
      </c>
      <c r="E4031">
        <f t="shared" si="125"/>
        <v>5.6698676921705889E-2</v>
      </c>
    </row>
    <row r="4032" spans="1:5" x14ac:dyDescent="0.25">
      <c r="A4032">
        <v>0</v>
      </c>
      <c r="B4032">
        <v>4.7333333333333297E-2</v>
      </c>
      <c r="C4032">
        <f t="shared" si="124"/>
        <v>1.633800128622571</v>
      </c>
      <c r="D4032">
        <v>4</v>
      </c>
      <c r="E4032">
        <f t="shared" si="125"/>
        <v>5.6698676921705889E-2</v>
      </c>
    </row>
    <row r="4033" spans="1:5" x14ac:dyDescent="0.25">
      <c r="A4033">
        <v>0</v>
      </c>
      <c r="B4033">
        <v>4.7333333333333297E-2</v>
      </c>
      <c r="C4033">
        <f t="shared" si="124"/>
        <v>1.633800128622571</v>
      </c>
      <c r="D4033">
        <v>4</v>
      </c>
      <c r="E4033">
        <f t="shared" si="125"/>
        <v>5.6698676921705889E-2</v>
      </c>
    </row>
    <row r="4034" spans="1:5" x14ac:dyDescent="0.25">
      <c r="A4034">
        <v>0</v>
      </c>
      <c r="B4034">
        <v>4.7619047619047603E-2</v>
      </c>
      <c r="C4034">
        <f t="shared" ref="C4034:C4097" si="126">_xlfn.NORM.DIST(B4034,I$10,I$13,FALSE)</f>
        <v>1.6336337027288359</v>
      </c>
      <c r="D4034">
        <v>4</v>
      </c>
      <c r="E4034">
        <f t="shared" si="125"/>
        <v>5.6698676921705889E-2</v>
      </c>
    </row>
    <row r="4035" spans="1:5" x14ac:dyDescent="0.25">
      <c r="A4035">
        <v>0</v>
      </c>
      <c r="B4035">
        <v>4.7904191616766498E-2</v>
      </c>
      <c r="C4035">
        <f t="shared" si="126"/>
        <v>1.6334653795931513</v>
      </c>
      <c r="D4035">
        <v>4</v>
      </c>
      <c r="E4035">
        <f t="shared" ref="E4035:E4098" si="127">_xlfn.NORM.DIST(D4035,I$4,I$7,FALSE)</f>
        <v>5.6698676921705889E-2</v>
      </c>
    </row>
    <row r="4036" spans="1:5" x14ac:dyDescent="0.25">
      <c r="A4036">
        <v>0</v>
      </c>
      <c r="B4036">
        <v>4.7904191616766498E-2</v>
      </c>
      <c r="C4036">
        <f t="shared" si="126"/>
        <v>1.6334653795931513</v>
      </c>
      <c r="D4036">
        <v>4</v>
      </c>
      <c r="E4036">
        <f t="shared" si="127"/>
        <v>5.6698676921705889E-2</v>
      </c>
    </row>
    <row r="4037" spans="1:5" x14ac:dyDescent="0.25">
      <c r="A4037">
        <v>0</v>
      </c>
      <c r="B4037">
        <v>4.8000000000000001E-2</v>
      </c>
      <c r="C4037">
        <f t="shared" si="126"/>
        <v>1.6334083232492613</v>
      </c>
      <c r="D4037">
        <v>4</v>
      </c>
      <c r="E4037">
        <f t="shared" si="127"/>
        <v>5.6698676921705889E-2</v>
      </c>
    </row>
    <row r="4038" spans="1:5" x14ac:dyDescent="0.25">
      <c r="A4038">
        <v>0</v>
      </c>
      <c r="B4038">
        <v>4.8000000000000001E-2</v>
      </c>
      <c r="C4038">
        <f t="shared" si="126"/>
        <v>1.6334083232492613</v>
      </c>
      <c r="D4038">
        <v>4</v>
      </c>
      <c r="E4038">
        <f t="shared" si="127"/>
        <v>5.6698676921705889E-2</v>
      </c>
    </row>
    <row r="4039" spans="1:5" x14ac:dyDescent="0.25">
      <c r="A4039">
        <v>0</v>
      </c>
      <c r="B4039">
        <v>4.8000000000000001E-2</v>
      </c>
      <c r="C4039">
        <f t="shared" si="126"/>
        <v>1.6334083232492613</v>
      </c>
      <c r="D4039">
        <v>4</v>
      </c>
      <c r="E4039">
        <f t="shared" si="127"/>
        <v>5.6698676921705889E-2</v>
      </c>
    </row>
    <row r="4040" spans="1:5" x14ac:dyDescent="0.25">
      <c r="A4040">
        <v>0</v>
      </c>
      <c r="B4040">
        <v>4.8000000000000001E-2</v>
      </c>
      <c r="C4040">
        <f t="shared" si="126"/>
        <v>1.6334083232492613</v>
      </c>
      <c r="D4040">
        <v>4</v>
      </c>
      <c r="E4040">
        <f t="shared" si="127"/>
        <v>5.6698676921705889E-2</v>
      </c>
    </row>
    <row r="4041" spans="1:5" x14ac:dyDescent="0.25">
      <c r="A4041">
        <v>0</v>
      </c>
      <c r="B4041">
        <v>4.8000000000000001E-2</v>
      </c>
      <c r="C4041">
        <f t="shared" si="126"/>
        <v>1.6334083232492613</v>
      </c>
      <c r="D4041">
        <v>4</v>
      </c>
      <c r="E4041">
        <f t="shared" si="127"/>
        <v>5.6698676921705889E-2</v>
      </c>
    </row>
    <row r="4042" spans="1:5" x14ac:dyDescent="0.25">
      <c r="A4042">
        <v>0</v>
      </c>
      <c r="B4042">
        <v>4.8000000000000001E-2</v>
      </c>
      <c r="C4042">
        <f t="shared" si="126"/>
        <v>1.6334083232492613</v>
      </c>
      <c r="D4042">
        <v>4</v>
      </c>
      <c r="E4042">
        <f t="shared" si="127"/>
        <v>5.6698676921705889E-2</v>
      </c>
    </row>
    <row r="4043" spans="1:5" x14ac:dyDescent="0.25">
      <c r="A4043">
        <v>0</v>
      </c>
      <c r="B4043">
        <v>4.8000000000000001E-2</v>
      </c>
      <c r="C4043">
        <f t="shared" si="126"/>
        <v>1.6334083232492613</v>
      </c>
      <c r="D4043">
        <v>4</v>
      </c>
      <c r="E4043">
        <f t="shared" si="127"/>
        <v>5.6698676921705889E-2</v>
      </c>
    </row>
    <row r="4044" spans="1:5" x14ac:dyDescent="0.25">
      <c r="A4044">
        <v>0</v>
      </c>
      <c r="B4044">
        <v>4.8000000000000001E-2</v>
      </c>
      <c r="C4044">
        <f t="shared" si="126"/>
        <v>1.6334083232492613</v>
      </c>
      <c r="D4044">
        <v>4</v>
      </c>
      <c r="E4044">
        <f t="shared" si="127"/>
        <v>5.6698676921705889E-2</v>
      </c>
    </row>
    <row r="4045" spans="1:5" x14ac:dyDescent="0.25">
      <c r="A4045">
        <v>0</v>
      </c>
      <c r="B4045">
        <v>4.8000000000000001E-2</v>
      </c>
      <c r="C4045">
        <f t="shared" si="126"/>
        <v>1.6334083232492613</v>
      </c>
      <c r="D4045">
        <v>4</v>
      </c>
      <c r="E4045">
        <f t="shared" si="127"/>
        <v>5.6698676921705889E-2</v>
      </c>
    </row>
    <row r="4046" spans="1:5" x14ac:dyDescent="0.25">
      <c r="A4046">
        <v>0</v>
      </c>
      <c r="B4046">
        <v>4.8000000000000001E-2</v>
      </c>
      <c r="C4046">
        <f t="shared" si="126"/>
        <v>1.6334083232492613</v>
      </c>
      <c r="D4046">
        <v>4</v>
      </c>
      <c r="E4046">
        <f t="shared" si="127"/>
        <v>5.6698676921705889E-2</v>
      </c>
    </row>
    <row r="4047" spans="1:5" x14ac:dyDescent="0.25">
      <c r="A4047">
        <v>0</v>
      </c>
      <c r="B4047">
        <v>4.8000000000000001E-2</v>
      </c>
      <c r="C4047">
        <f t="shared" si="126"/>
        <v>1.6334083232492613</v>
      </c>
      <c r="D4047">
        <v>4</v>
      </c>
      <c r="E4047">
        <f t="shared" si="127"/>
        <v>5.6698676921705889E-2</v>
      </c>
    </row>
    <row r="4048" spans="1:5" x14ac:dyDescent="0.25">
      <c r="A4048">
        <v>0</v>
      </c>
      <c r="B4048">
        <v>4.8000000000000001E-2</v>
      </c>
      <c r="C4048">
        <f t="shared" si="126"/>
        <v>1.6334083232492613</v>
      </c>
      <c r="D4048">
        <v>4</v>
      </c>
      <c r="E4048">
        <f t="shared" si="127"/>
        <v>5.6698676921705889E-2</v>
      </c>
    </row>
    <row r="4049" spans="1:5" x14ac:dyDescent="0.25">
      <c r="A4049">
        <v>0</v>
      </c>
      <c r="B4049">
        <v>4.8000000000000001E-2</v>
      </c>
      <c r="C4049">
        <f t="shared" si="126"/>
        <v>1.6334083232492613</v>
      </c>
      <c r="D4049">
        <v>4</v>
      </c>
      <c r="E4049">
        <f t="shared" si="127"/>
        <v>5.6698676921705889E-2</v>
      </c>
    </row>
    <row r="4050" spans="1:5" x14ac:dyDescent="0.25">
      <c r="A4050">
        <v>0</v>
      </c>
      <c r="B4050">
        <v>4.8000000000000001E-2</v>
      </c>
      <c r="C4050">
        <f t="shared" si="126"/>
        <v>1.6334083232492613</v>
      </c>
      <c r="D4050">
        <v>4</v>
      </c>
      <c r="E4050">
        <f t="shared" si="127"/>
        <v>5.6698676921705889E-2</v>
      </c>
    </row>
    <row r="4051" spans="1:5" x14ac:dyDescent="0.25">
      <c r="A4051">
        <v>0</v>
      </c>
      <c r="B4051">
        <v>4.8000000000000001E-2</v>
      </c>
      <c r="C4051">
        <f t="shared" si="126"/>
        <v>1.6334083232492613</v>
      </c>
      <c r="D4051">
        <v>4</v>
      </c>
      <c r="E4051">
        <f t="shared" si="127"/>
        <v>5.6698676921705889E-2</v>
      </c>
    </row>
    <row r="4052" spans="1:5" x14ac:dyDescent="0.25">
      <c r="A4052">
        <v>0</v>
      </c>
      <c r="B4052">
        <v>4.8000000000000001E-2</v>
      </c>
      <c r="C4052">
        <f t="shared" si="126"/>
        <v>1.6334083232492613</v>
      </c>
      <c r="D4052">
        <v>4</v>
      </c>
      <c r="E4052">
        <f t="shared" si="127"/>
        <v>5.6698676921705889E-2</v>
      </c>
    </row>
    <row r="4053" spans="1:5" x14ac:dyDescent="0.25">
      <c r="A4053">
        <v>0</v>
      </c>
      <c r="B4053">
        <v>4.8048048048047999E-2</v>
      </c>
      <c r="C4053">
        <f t="shared" si="126"/>
        <v>1.6333796147761861</v>
      </c>
      <c r="D4053">
        <v>4</v>
      </c>
      <c r="E4053">
        <f t="shared" si="127"/>
        <v>5.6698676921705889E-2</v>
      </c>
    </row>
    <row r="4054" spans="1:5" x14ac:dyDescent="0.25">
      <c r="A4054">
        <v>0</v>
      </c>
      <c r="B4054">
        <v>4.8048048048047999E-2</v>
      </c>
      <c r="C4054">
        <f t="shared" si="126"/>
        <v>1.6333796147761861</v>
      </c>
      <c r="D4054">
        <v>4</v>
      </c>
      <c r="E4054">
        <f t="shared" si="127"/>
        <v>5.6698676921705889E-2</v>
      </c>
    </row>
    <row r="4055" spans="1:5" x14ac:dyDescent="0.25">
      <c r="A4055">
        <v>0</v>
      </c>
      <c r="B4055">
        <v>4.8048048048047999E-2</v>
      </c>
      <c r="C4055">
        <f t="shared" si="126"/>
        <v>1.6333796147761861</v>
      </c>
      <c r="D4055">
        <v>4</v>
      </c>
      <c r="E4055">
        <f t="shared" si="127"/>
        <v>5.6698676921705889E-2</v>
      </c>
    </row>
    <row r="4056" spans="1:5" x14ac:dyDescent="0.25">
      <c r="A4056">
        <v>0</v>
      </c>
      <c r="B4056">
        <v>4.8048048048047999E-2</v>
      </c>
      <c r="C4056">
        <f t="shared" si="126"/>
        <v>1.6333796147761861</v>
      </c>
      <c r="D4056">
        <v>4</v>
      </c>
      <c r="E4056">
        <f t="shared" si="127"/>
        <v>5.6698676921705889E-2</v>
      </c>
    </row>
    <row r="4057" spans="1:5" x14ac:dyDescent="0.25">
      <c r="A4057">
        <v>0</v>
      </c>
      <c r="B4057">
        <v>4.8048048048047999E-2</v>
      </c>
      <c r="C4057">
        <f t="shared" si="126"/>
        <v>1.6333796147761861</v>
      </c>
      <c r="D4057">
        <v>4</v>
      </c>
      <c r="E4057">
        <f t="shared" si="127"/>
        <v>5.6698676921705889E-2</v>
      </c>
    </row>
    <row r="4058" spans="1:5" x14ac:dyDescent="0.25">
      <c r="A4058">
        <v>0</v>
      </c>
      <c r="B4058">
        <v>4.8048048048047999E-2</v>
      </c>
      <c r="C4058">
        <f t="shared" si="126"/>
        <v>1.6333796147761861</v>
      </c>
      <c r="D4058">
        <v>4</v>
      </c>
      <c r="E4058">
        <f t="shared" si="127"/>
        <v>5.6698676921705889E-2</v>
      </c>
    </row>
    <row r="4059" spans="1:5" x14ac:dyDescent="0.25">
      <c r="A4059">
        <v>0</v>
      </c>
      <c r="B4059">
        <v>4.8048048048047999E-2</v>
      </c>
      <c r="C4059">
        <f t="shared" si="126"/>
        <v>1.6333796147761861</v>
      </c>
      <c r="D4059">
        <v>4</v>
      </c>
      <c r="E4059">
        <f t="shared" si="127"/>
        <v>5.6698676921705889E-2</v>
      </c>
    </row>
    <row r="4060" spans="1:5" x14ac:dyDescent="0.25">
      <c r="A4060">
        <v>0</v>
      </c>
      <c r="B4060">
        <v>4.8128342245989303E-2</v>
      </c>
      <c r="C4060">
        <f t="shared" si="126"/>
        <v>1.6333314983129585</v>
      </c>
      <c r="D4060">
        <v>4</v>
      </c>
      <c r="E4060">
        <f t="shared" si="127"/>
        <v>5.6698676921705889E-2</v>
      </c>
    </row>
    <row r="4061" spans="1:5" x14ac:dyDescent="0.25">
      <c r="A4061">
        <v>0</v>
      </c>
      <c r="B4061">
        <v>4.8128342245989303E-2</v>
      </c>
      <c r="C4061">
        <f t="shared" si="126"/>
        <v>1.6333314983129585</v>
      </c>
      <c r="D4061">
        <v>4</v>
      </c>
      <c r="E4061">
        <f t="shared" si="127"/>
        <v>5.6698676921705889E-2</v>
      </c>
    </row>
    <row r="4062" spans="1:5" x14ac:dyDescent="0.25">
      <c r="A4062">
        <v>0</v>
      </c>
      <c r="B4062">
        <v>4.8333333333333298E-2</v>
      </c>
      <c r="C4062">
        <f t="shared" si="126"/>
        <v>1.633207856497322</v>
      </c>
      <c r="D4062">
        <v>4</v>
      </c>
      <c r="E4062">
        <f t="shared" si="127"/>
        <v>5.6698676921705889E-2</v>
      </c>
    </row>
    <row r="4063" spans="1:5" x14ac:dyDescent="0.25">
      <c r="A4063">
        <v>0</v>
      </c>
      <c r="B4063">
        <v>4.8333333333333298E-2</v>
      </c>
      <c r="C4063">
        <f t="shared" si="126"/>
        <v>1.633207856497322</v>
      </c>
      <c r="D4063">
        <v>4</v>
      </c>
      <c r="E4063">
        <f t="shared" si="127"/>
        <v>5.6698676921705889E-2</v>
      </c>
    </row>
    <row r="4064" spans="1:5" x14ac:dyDescent="0.25">
      <c r="A4064">
        <v>0</v>
      </c>
      <c r="B4064">
        <v>4.8951048951049E-2</v>
      </c>
      <c r="C4064">
        <f t="shared" si="126"/>
        <v>1.6328283231189231</v>
      </c>
      <c r="D4064">
        <v>4</v>
      </c>
      <c r="E4064">
        <f t="shared" si="127"/>
        <v>5.6698676921705889E-2</v>
      </c>
    </row>
    <row r="4065" spans="1:5" x14ac:dyDescent="0.25">
      <c r="A4065">
        <v>0</v>
      </c>
      <c r="B4065">
        <v>4.8951048951049E-2</v>
      </c>
      <c r="C4065">
        <f t="shared" si="126"/>
        <v>1.6328283231189231</v>
      </c>
      <c r="D4065">
        <v>4</v>
      </c>
      <c r="E4065">
        <f t="shared" si="127"/>
        <v>5.6698676921705889E-2</v>
      </c>
    </row>
    <row r="4066" spans="1:5" x14ac:dyDescent="0.25">
      <c r="A4066">
        <v>0</v>
      </c>
      <c r="B4066">
        <v>4.8951048951049E-2</v>
      </c>
      <c r="C4066">
        <f t="shared" si="126"/>
        <v>1.6328283231189231</v>
      </c>
      <c r="D4066">
        <v>4</v>
      </c>
      <c r="E4066">
        <f t="shared" si="127"/>
        <v>5.6698676921705889E-2</v>
      </c>
    </row>
    <row r="4067" spans="1:5" x14ac:dyDescent="0.25">
      <c r="A4067">
        <v>0</v>
      </c>
      <c r="B4067">
        <v>4.8951048951049E-2</v>
      </c>
      <c r="C4067">
        <f t="shared" si="126"/>
        <v>1.6328283231189231</v>
      </c>
      <c r="D4067">
        <v>4</v>
      </c>
      <c r="E4067">
        <f t="shared" si="127"/>
        <v>5.6698676921705889E-2</v>
      </c>
    </row>
    <row r="4068" spans="1:5" x14ac:dyDescent="0.25">
      <c r="A4068">
        <v>0</v>
      </c>
      <c r="B4068">
        <v>4.9000000000000002E-2</v>
      </c>
      <c r="C4068">
        <f t="shared" si="126"/>
        <v>1.6327978004931254</v>
      </c>
      <c r="D4068">
        <v>4</v>
      </c>
      <c r="E4068">
        <f t="shared" si="127"/>
        <v>5.6698676921705889E-2</v>
      </c>
    </row>
    <row r="4069" spans="1:5" x14ac:dyDescent="0.25">
      <c r="A4069">
        <v>0</v>
      </c>
      <c r="B4069">
        <v>4.9000000000000002E-2</v>
      </c>
      <c r="C4069">
        <f t="shared" si="126"/>
        <v>1.6327978004931254</v>
      </c>
      <c r="D4069">
        <v>4</v>
      </c>
      <c r="E4069">
        <f t="shared" si="127"/>
        <v>5.6698676921705889E-2</v>
      </c>
    </row>
    <row r="4070" spans="1:5" x14ac:dyDescent="0.25">
      <c r="A4070">
        <v>0</v>
      </c>
      <c r="B4070">
        <v>4.9065420560747697E-2</v>
      </c>
      <c r="C4070">
        <f t="shared" si="126"/>
        <v>1.6327569062526759</v>
      </c>
      <c r="D4070">
        <v>4</v>
      </c>
      <c r="E4070">
        <f t="shared" si="127"/>
        <v>5.6698676921705889E-2</v>
      </c>
    </row>
    <row r="4071" spans="1:5" x14ac:dyDescent="0.25">
      <c r="A4071">
        <v>0</v>
      </c>
      <c r="B4071">
        <v>4.9065420560747697E-2</v>
      </c>
      <c r="C4071">
        <f t="shared" si="126"/>
        <v>1.6327569062526759</v>
      </c>
      <c r="D4071">
        <v>4</v>
      </c>
      <c r="E4071">
        <f t="shared" si="127"/>
        <v>5.6698676921705889E-2</v>
      </c>
    </row>
    <row r="4072" spans="1:5" x14ac:dyDescent="0.25">
      <c r="A4072">
        <v>0</v>
      </c>
      <c r="B4072">
        <v>4.9065420560747697E-2</v>
      </c>
      <c r="C4072">
        <f t="shared" si="126"/>
        <v>1.6327569062526759</v>
      </c>
      <c r="D4072">
        <v>4</v>
      </c>
      <c r="E4072">
        <f t="shared" si="127"/>
        <v>5.6698676921705889E-2</v>
      </c>
    </row>
    <row r="4073" spans="1:5" x14ac:dyDescent="0.25">
      <c r="A4073">
        <v>0</v>
      </c>
      <c r="B4073">
        <v>4.9065420560747697E-2</v>
      </c>
      <c r="C4073">
        <f t="shared" si="126"/>
        <v>1.6327569062526759</v>
      </c>
      <c r="D4073">
        <v>4</v>
      </c>
      <c r="E4073">
        <f t="shared" si="127"/>
        <v>5.6698676921705889E-2</v>
      </c>
    </row>
    <row r="4074" spans="1:5" x14ac:dyDescent="0.25">
      <c r="A4074">
        <v>0</v>
      </c>
      <c r="B4074">
        <v>4.9065420560747697E-2</v>
      </c>
      <c r="C4074">
        <f t="shared" si="126"/>
        <v>1.6327569062526759</v>
      </c>
      <c r="D4074">
        <v>4</v>
      </c>
      <c r="E4074">
        <f t="shared" si="127"/>
        <v>5.6698676921705889E-2</v>
      </c>
    </row>
    <row r="4075" spans="1:5" x14ac:dyDescent="0.25">
      <c r="A4075">
        <v>0</v>
      </c>
      <c r="B4075">
        <v>4.9065420560747697E-2</v>
      </c>
      <c r="C4075">
        <f t="shared" si="126"/>
        <v>1.6327569062526759</v>
      </c>
      <c r="D4075">
        <v>4</v>
      </c>
      <c r="E4075">
        <f t="shared" si="127"/>
        <v>5.6698676921705889E-2</v>
      </c>
    </row>
    <row r="4076" spans="1:5" x14ac:dyDescent="0.25">
      <c r="A4076">
        <v>0</v>
      </c>
      <c r="B4076">
        <v>4.9333333333333299E-2</v>
      </c>
      <c r="C4076">
        <f t="shared" si="126"/>
        <v>1.632588213543928</v>
      </c>
      <c r="D4076">
        <v>4</v>
      </c>
      <c r="E4076">
        <f t="shared" si="127"/>
        <v>5.6698676921705889E-2</v>
      </c>
    </row>
    <row r="4077" spans="1:5" x14ac:dyDescent="0.25">
      <c r="A4077">
        <v>0</v>
      </c>
      <c r="B4077">
        <v>0.05</v>
      </c>
      <c r="C4077">
        <f t="shared" si="126"/>
        <v>1.6321599276362515</v>
      </c>
      <c r="D4077">
        <v>4</v>
      </c>
      <c r="E4077">
        <f t="shared" si="127"/>
        <v>5.6698676921705889E-2</v>
      </c>
    </row>
    <row r="4078" spans="1:5" x14ac:dyDescent="0.25">
      <c r="A4078">
        <v>0</v>
      </c>
      <c r="B4078">
        <v>0.05</v>
      </c>
      <c r="C4078">
        <f t="shared" si="126"/>
        <v>1.6321599276362515</v>
      </c>
      <c r="D4078">
        <v>4</v>
      </c>
      <c r="E4078">
        <f t="shared" si="127"/>
        <v>5.6698676921705889E-2</v>
      </c>
    </row>
    <row r="4079" spans="1:5" x14ac:dyDescent="0.25">
      <c r="A4079">
        <v>0</v>
      </c>
      <c r="B4079">
        <v>0.05</v>
      </c>
      <c r="C4079">
        <f t="shared" si="126"/>
        <v>1.6321599276362515</v>
      </c>
      <c r="D4079">
        <v>4</v>
      </c>
      <c r="E4079">
        <f t="shared" si="127"/>
        <v>5.6698676921705889E-2</v>
      </c>
    </row>
    <row r="4080" spans="1:5" x14ac:dyDescent="0.25">
      <c r="A4080">
        <v>0</v>
      </c>
      <c r="B4080">
        <v>0.05</v>
      </c>
      <c r="C4080">
        <f t="shared" si="126"/>
        <v>1.6321599276362515</v>
      </c>
      <c r="D4080">
        <v>4</v>
      </c>
      <c r="E4080">
        <f t="shared" si="127"/>
        <v>5.6698676921705889E-2</v>
      </c>
    </row>
    <row r="4081" spans="1:5" x14ac:dyDescent="0.25">
      <c r="A4081">
        <v>0</v>
      </c>
      <c r="B4081">
        <v>0.05</v>
      </c>
      <c r="C4081">
        <f t="shared" si="126"/>
        <v>1.6321599276362515</v>
      </c>
      <c r="D4081">
        <v>4</v>
      </c>
      <c r="E4081">
        <f t="shared" si="127"/>
        <v>5.6698676921705889E-2</v>
      </c>
    </row>
    <row r="4082" spans="1:5" x14ac:dyDescent="0.25">
      <c r="A4082">
        <v>0</v>
      </c>
      <c r="B4082">
        <v>0.05</v>
      </c>
      <c r="C4082">
        <f t="shared" si="126"/>
        <v>1.6321599276362515</v>
      </c>
      <c r="D4082">
        <v>4</v>
      </c>
      <c r="E4082">
        <f t="shared" si="127"/>
        <v>5.6698676921705889E-2</v>
      </c>
    </row>
    <row r="4083" spans="1:5" x14ac:dyDescent="0.25">
      <c r="A4083">
        <v>0</v>
      </c>
      <c r="B4083">
        <v>0.05</v>
      </c>
      <c r="C4083">
        <f t="shared" si="126"/>
        <v>1.6321599276362515</v>
      </c>
      <c r="D4083">
        <v>4</v>
      </c>
      <c r="E4083">
        <f t="shared" si="127"/>
        <v>5.6698676921705889E-2</v>
      </c>
    </row>
    <row r="4084" spans="1:5" x14ac:dyDescent="0.25">
      <c r="A4084">
        <v>0</v>
      </c>
      <c r="B4084">
        <v>0.05</v>
      </c>
      <c r="C4084">
        <f t="shared" si="126"/>
        <v>1.6321599276362515</v>
      </c>
      <c r="D4084">
        <v>4</v>
      </c>
      <c r="E4084">
        <f t="shared" si="127"/>
        <v>5.6698676921705889E-2</v>
      </c>
    </row>
    <row r="4085" spans="1:5" x14ac:dyDescent="0.25">
      <c r="A4085">
        <v>0</v>
      </c>
      <c r="B4085">
        <v>0.05</v>
      </c>
      <c r="C4085">
        <f t="shared" si="126"/>
        <v>1.6321599276362515</v>
      </c>
      <c r="D4085">
        <v>4</v>
      </c>
      <c r="E4085">
        <f t="shared" si="127"/>
        <v>5.6698676921705889E-2</v>
      </c>
    </row>
    <row r="4086" spans="1:5" x14ac:dyDescent="0.25">
      <c r="A4086">
        <v>0</v>
      </c>
      <c r="B4086">
        <v>5.06666666666667E-2</v>
      </c>
      <c r="C4086">
        <f t="shared" si="126"/>
        <v>1.6317195004271883</v>
      </c>
      <c r="D4086">
        <v>4</v>
      </c>
      <c r="E4086">
        <f t="shared" si="127"/>
        <v>5.6698676921705889E-2</v>
      </c>
    </row>
    <row r="4087" spans="1:5" x14ac:dyDescent="0.25">
      <c r="A4087">
        <v>0</v>
      </c>
      <c r="B4087">
        <v>5.06666666666667E-2</v>
      </c>
      <c r="C4087">
        <f t="shared" si="126"/>
        <v>1.6317195004271883</v>
      </c>
      <c r="D4087">
        <v>4</v>
      </c>
      <c r="E4087">
        <f t="shared" si="127"/>
        <v>5.6698676921705889E-2</v>
      </c>
    </row>
    <row r="4088" spans="1:5" x14ac:dyDescent="0.25">
      <c r="A4088">
        <v>0</v>
      </c>
      <c r="B4088">
        <v>5.06666666666667E-2</v>
      </c>
      <c r="C4088">
        <f t="shared" si="126"/>
        <v>1.6317195004271883</v>
      </c>
      <c r="D4088">
        <v>4</v>
      </c>
      <c r="E4088">
        <f t="shared" si="127"/>
        <v>5.6698676921705889E-2</v>
      </c>
    </row>
    <row r="4089" spans="1:5" x14ac:dyDescent="0.25">
      <c r="A4089">
        <v>0</v>
      </c>
      <c r="B4089">
        <v>5.06666666666667E-2</v>
      </c>
      <c r="C4089">
        <f t="shared" si="126"/>
        <v>1.6317195004271883</v>
      </c>
      <c r="D4089">
        <v>4</v>
      </c>
      <c r="E4089">
        <f t="shared" si="127"/>
        <v>5.6698676921705889E-2</v>
      </c>
    </row>
    <row r="4090" spans="1:5" x14ac:dyDescent="0.25">
      <c r="A4090">
        <v>0</v>
      </c>
      <c r="B4090">
        <v>5.06666666666667E-2</v>
      </c>
      <c r="C4090">
        <f t="shared" si="126"/>
        <v>1.6317195004271883</v>
      </c>
      <c r="D4090">
        <v>4</v>
      </c>
      <c r="E4090">
        <f t="shared" si="127"/>
        <v>5.6698676921705889E-2</v>
      </c>
    </row>
    <row r="4091" spans="1:5" x14ac:dyDescent="0.25">
      <c r="A4091">
        <v>0</v>
      </c>
      <c r="B4091">
        <v>5.06666666666667E-2</v>
      </c>
      <c r="C4091">
        <f t="shared" si="126"/>
        <v>1.6317195004271883</v>
      </c>
      <c r="D4091">
        <v>4</v>
      </c>
      <c r="E4091">
        <f t="shared" si="127"/>
        <v>5.6698676921705889E-2</v>
      </c>
    </row>
    <row r="4092" spans="1:5" x14ac:dyDescent="0.25">
      <c r="A4092">
        <v>0</v>
      </c>
      <c r="B4092">
        <v>5.06666666666667E-2</v>
      </c>
      <c r="C4092">
        <f t="shared" si="126"/>
        <v>1.6317195004271883</v>
      </c>
      <c r="D4092">
        <v>4</v>
      </c>
      <c r="E4092">
        <f t="shared" si="127"/>
        <v>5.6698676921705889E-2</v>
      </c>
    </row>
    <row r="4093" spans="1:5" x14ac:dyDescent="0.25">
      <c r="A4093">
        <v>0</v>
      </c>
      <c r="B4093">
        <v>5.06666666666667E-2</v>
      </c>
      <c r="C4093">
        <f t="shared" si="126"/>
        <v>1.6317195004271883</v>
      </c>
      <c r="D4093">
        <v>4</v>
      </c>
      <c r="E4093">
        <f t="shared" si="127"/>
        <v>5.6698676921705889E-2</v>
      </c>
    </row>
    <row r="4094" spans="1:5" x14ac:dyDescent="0.25">
      <c r="A4094">
        <v>0</v>
      </c>
      <c r="B4094">
        <v>5.06666666666667E-2</v>
      </c>
      <c r="C4094">
        <f t="shared" si="126"/>
        <v>1.6317195004271883</v>
      </c>
      <c r="D4094">
        <v>4</v>
      </c>
      <c r="E4094">
        <f t="shared" si="127"/>
        <v>5.6698676921705889E-2</v>
      </c>
    </row>
    <row r="4095" spans="1:5" x14ac:dyDescent="0.25">
      <c r="A4095">
        <v>0</v>
      </c>
      <c r="B4095">
        <v>5.06666666666667E-2</v>
      </c>
      <c r="C4095">
        <f t="shared" si="126"/>
        <v>1.6317195004271883</v>
      </c>
      <c r="D4095">
        <v>4</v>
      </c>
      <c r="E4095">
        <f t="shared" si="127"/>
        <v>5.6698676921705889E-2</v>
      </c>
    </row>
    <row r="4096" spans="1:5" x14ac:dyDescent="0.25">
      <c r="A4096">
        <v>0</v>
      </c>
      <c r="B4096">
        <v>5.06666666666667E-2</v>
      </c>
      <c r="C4096">
        <f t="shared" si="126"/>
        <v>1.6317195004271883</v>
      </c>
      <c r="D4096">
        <v>4</v>
      </c>
      <c r="E4096">
        <f t="shared" si="127"/>
        <v>5.6698676921705889E-2</v>
      </c>
    </row>
    <row r="4097" spans="1:5" x14ac:dyDescent="0.25">
      <c r="A4097">
        <v>0</v>
      </c>
      <c r="B4097">
        <v>5.0898203592814398E-2</v>
      </c>
      <c r="C4097">
        <f t="shared" si="126"/>
        <v>1.6315636988684874</v>
      </c>
      <c r="D4097">
        <v>4</v>
      </c>
      <c r="E4097">
        <f t="shared" si="127"/>
        <v>5.6698676921705889E-2</v>
      </c>
    </row>
    <row r="4098" spans="1:5" x14ac:dyDescent="0.25">
      <c r="A4098">
        <v>0</v>
      </c>
      <c r="B4098">
        <v>5.0898203592814398E-2</v>
      </c>
      <c r="C4098">
        <f t="shared" ref="C4098:C4161" si="128">_xlfn.NORM.DIST(B4098,I$10,I$13,FALSE)</f>
        <v>1.6315636988684874</v>
      </c>
      <c r="D4098">
        <v>4</v>
      </c>
      <c r="E4098">
        <f t="shared" si="127"/>
        <v>5.6698676921705889E-2</v>
      </c>
    </row>
    <row r="4099" spans="1:5" x14ac:dyDescent="0.25">
      <c r="A4099">
        <v>0</v>
      </c>
      <c r="B4099">
        <v>5.0898203592814398E-2</v>
      </c>
      <c r="C4099">
        <f t="shared" si="128"/>
        <v>1.6315636988684874</v>
      </c>
      <c r="D4099">
        <v>4</v>
      </c>
      <c r="E4099">
        <f t="shared" ref="E4099:E4162" si="129">_xlfn.NORM.DIST(D4099,I$4,I$7,FALSE)</f>
        <v>5.6698676921705889E-2</v>
      </c>
    </row>
    <row r="4100" spans="1:5" x14ac:dyDescent="0.25">
      <c r="A4100">
        <v>0</v>
      </c>
      <c r="B4100">
        <v>5.0898203592814398E-2</v>
      </c>
      <c r="C4100">
        <f t="shared" si="128"/>
        <v>1.6315636988684874</v>
      </c>
      <c r="D4100">
        <v>4</v>
      </c>
      <c r="E4100">
        <f t="shared" si="129"/>
        <v>5.6698676921705889E-2</v>
      </c>
    </row>
    <row r="4101" spans="1:5" x14ac:dyDescent="0.25">
      <c r="A4101">
        <v>0</v>
      </c>
      <c r="B4101">
        <v>5.0999999999999997E-2</v>
      </c>
      <c r="C4101">
        <f t="shared" si="128"/>
        <v>1.6314947369147572</v>
      </c>
      <c r="D4101">
        <v>4</v>
      </c>
      <c r="E4101">
        <f t="shared" si="129"/>
        <v>5.6698676921705889E-2</v>
      </c>
    </row>
    <row r="4102" spans="1:5" x14ac:dyDescent="0.25">
      <c r="A4102">
        <v>0</v>
      </c>
      <c r="B4102">
        <v>5.1051051051051101E-2</v>
      </c>
      <c r="C4102">
        <f t="shared" si="128"/>
        <v>1.6314600459388628</v>
      </c>
      <c r="D4102">
        <v>4</v>
      </c>
      <c r="E4102">
        <f t="shared" si="129"/>
        <v>5.6698676921705889E-2</v>
      </c>
    </row>
    <row r="4103" spans="1:5" x14ac:dyDescent="0.25">
      <c r="A4103">
        <v>0</v>
      </c>
      <c r="B4103">
        <v>5.1051051051051101E-2</v>
      </c>
      <c r="C4103">
        <f t="shared" si="128"/>
        <v>1.6314600459388628</v>
      </c>
      <c r="D4103">
        <v>4</v>
      </c>
      <c r="E4103">
        <f t="shared" si="129"/>
        <v>5.6698676921705889E-2</v>
      </c>
    </row>
    <row r="4104" spans="1:5" x14ac:dyDescent="0.25">
      <c r="A4104">
        <v>0</v>
      </c>
      <c r="B4104">
        <v>5.1051051051051101E-2</v>
      </c>
      <c r="C4104">
        <f t="shared" si="128"/>
        <v>1.6314600459388628</v>
      </c>
      <c r="D4104">
        <v>4</v>
      </c>
      <c r="E4104">
        <f t="shared" si="129"/>
        <v>5.6698676921705889E-2</v>
      </c>
    </row>
    <row r="4105" spans="1:5" x14ac:dyDescent="0.25">
      <c r="A4105">
        <v>0</v>
      </c>
      <c r="B4105">
        <v>5.1051051051051101E-2</v>
      </c>
      <c r="C4105">
        <f t="shared" si="128"/>
        <v>1.6314600459388628</v>
      </c>
      <c r="D4105">
        <v>4</v>
      </c>
      <c r="E4105">
        <f t="shared" si="129"/>
        <v>5.6698676921705889E-2</v>
      </c>
    </row>
    <row r="4106" spans="1:5" x14ac:dyDescent="0.25">
      <c r="A4106">
        <v>0</v>
      </c>
      <c r="B4106">
        <v>5.1051051051051101E-2</v>
      </c>
      <c r="C4106">
        <f t="shared" si="128"/>
        <v>1.6314600459388628</v>
      </c>
      <c r="D4106">
        <v>4</v>
      </c>
      <c r="E4106">
        <f t="shared" si="129"/>
        <v>5.6698676921705889E-2</v>
      </c>
    </row>
    <row r="4107" spans="1:5" x14ac:dyDescent="0.25">
      <c r="A4107">
        <v>0</v>
      </c>
      <c r="B4107">
        <v>5.1051051051051101E-2</v>
      </c>
      <c r="C4107">
        <f t="shared" si="128"/>
        <v>1.6314600459388628</v>
      </c>
      <c r="D4107">
        <v>4</v>
      </c>
      <c r="E4107">
        <f t="shared" si="129"/>
        <v>5.6698676921705889E-2</v>
      </c>
    </row>
    <row r="4108" spans="1:5" x14ac:dyDescent="0.25">
      <c r="A4108">
        <v>0</v>
      </c>
      <c r="B4108">
        <v>5.1051051051051101E-2</v>
      </c>
      <c r="C4108">
        <f t="shared" si="128"/>
        <v>1.6314600459388628</v>
      </c>
      <c r="D4108">
        <v>4</v>
      </c>
      <c r="E4108">
        <f t="shared" si="129"/>
        <v>5.6698676921705889E-2</v>
      </c>
    </row>
    <row r="4109" spans="1:5" x14ac:dyDescent="0.25">
      <c r="A4109">
        <v>0</v>
      </c>
      <c r="B4109">
        <v>5.1051051051051101E-2</v>
      </c>
      <c r="C4109">
        <f t="shared" si="128"/>
        <v>1.6314600459388628</v>
      </c>
      <c r="D4109">
        <v>4</v>
      </c>
      <c r="E4109">
        <f t="shared" si="129"/>
        <v>5.6698676921705889E-2</v>
      </c>
    </row>
    <row r="4110" spans="1:5" x14ac:dyDescent="0.25">
      <c r="A4110">
        <v>0</v>
      </c>
      <c r="B4110">
        <v>5.1282051282051301E-2</v>
      </c>
      <c r="C4110">
        <f t="shared" si="128"/>
        <v>1.6313021844799174</v>
      </c>
      <c r="D4110">
        <v>4</v>
      </c>
      <c r="E4110">
        <f t="shared" si="129"/>
        <v>5.6698676921705889E-2</v>
      </c>
    </row>
    <row r="4111" spans="1:5" x14ac:dyDescent="0.25">
      <c r="A4111">
        <v>0</v>
      </c>
      <c r="B4111">
        <v>5.1401869158878503E-2</v>
      </c>
      <c r="C4111">
        <f t="shared" si="128"/>
        <v>1.6312197298070259</v>
      </c>
      <c r="D4111">
        <v>4</v>
      </c>
      <c r="E4111">
        <f t="shared" si="129"/>
        <v>5.6698676921705889E-2</v>
      </c>
    </row>
    <row r="4112" spans="1:5" x14ac:dyDescent="0.25">
      <c r="A4112">
        <v>0</v>
      </c>
      <c r="B4112">
        <v>5.1666666666666701E-2</v>
      </c>
      <c r="C4112">
        <f t="shared" si="128"/>
        <v>1.6310361163823432</v>
      </c>
      <c r="D4112">
        <v>4</v>
      </c>
      <c r="E4112">
        <f t="shared" si="129"/>
        <v>5.6698676921705889E-2</v>
      </c>
    </row>
    <row r="4113" spans="1:5" x14ac:dyDescent="0.25">
      <c r="A4113">
        <v>0</v>
      </c>
      <c r="B4113">
        <v>5.1666666666666701E-2</v>
      </c>
      <c r="C4113">
        <f t="shared" si="128"/>
        <v>1.6310361163823432</v>
      </c>
      <c r="D4113">
        <v>4</v>
      </c>
      <c r="E4113">
        <f t="shared" si="129"/>
        <v>5.6698676921705889E-2</v>
      </c>
    </row>
    <row r="4114" spans="1:5" x14ac:dyDescent="0.25">
      <c r="A4114">
        <v>0</v>
      </c>
      <c r="B4114">
        <v>5.1666666666666701E-2</v>
      </c>
      <c r="C4114">
        <f t="shared" si="128"/>
        <v>1.6310361163823432</v>
      </c>
      <c r="D4114">
        <v>4</v>
      </c>
      <c r="E4114">
        <f t="shared" si="129"/>
        <v>5.6698676921705889E-2</v>
      </c>
    </row>
    <row r="4115" spans="1:5" x14ac:dyDescent="0.25">
      <c r="A4115">
        <v>0</v>
      </c>
      <c r="B4115">
        <v>5.1666666666666701E-2</v>
      </c>
      <c r="C4115">
        <f t="shared" si="128"/>
        <v>1.6310361163823432</v>
      </c>
      <c r="D4115">
        <v>4</v>
      </c>
      <c r="E4115">
        <f t="shared" si="129"/>
        <v>5.6698676921705889E-2</v>
      </c>
    </row>
    <row r="4116" spans="1:5" x14ac:dyDescent="0.25">
      <c r="A4116">
        <v>0</v>
      </c>
      <c r="B4116">
        <v>5.1999999999999998E-2</v>
      </c>
      <c r="C4116">
        <f t="shared" si="128"/>
        <v>1.6308022619363469</v>
      </c>
      <c r="D4116">
        <v>4</v>
      </c>
      <c r="E4116">
        <f t="shared" si="129"/>
        <v>5.6698676921705889E-2</v>
      </c>
    </row>
    <row r="4117" spans="1:5" x14ac:dyDescent="0.25">
      <c r="A4117">
        <v>0</v>
      </c>
      <c r="B4117">
        <v>5.1999999999999998E-2</v>
      </c>
      <c r="C4117">
        <f t="shared" si="128"/>
        <v>1.6308022619363469</v>
      </c>
      <c r="D4117">
        <v>4</v>
      </c>
      <c r="E4117">
        <f t="shared" si="129"/>
        <v>5.6698676921705889E-2</v>
      </c>
    </row>
    <row r="4118" spans="1:5" x14ac:dyDescent="0.25">
      <c r="A4118">
        <v>0</v>
      </c>
      <c r="B4118">
        <v>5.1999999999999998E-2</v>
      </c>
      <c r="C4118">
        <f t="shared" si="128"/>
        <v>1.6308022619363469</v>
      </c>
      <c r="D4118">
        <v>4</v>
      </c>
      <c r="E4118">
        <f t="shared" si="129"/>
        <v>5.6698676921705889E-2</v>
      </c>
    </row>
    <row r="4119" spans="1:5" x14ac:dyDescent="0.25">
      <c r="A4119">
        <v>0</v>
      </c>
      <c r="B4119">
        <v>5.1999999999999998E-2</v>
      </c>
      <c r="C4119">
        <f t="shared" si="128"/>
        <v>1.6308022619363469</v>
      </c>
      <c r="D4119">
        <v>4</v>
      </c>
      <c r="E4119">
        <f t="shared" si="129"/>
        <v>5.6698676921705889E-2</v>
      </c>
    </row>
    <row r="4120" spans="1:5" x14ac:dyDescent="0.25">
      <c r="A4120">
        <v>0</v>
      </c>
      <c r="B4120">
        <v>5.1999999999999998E-2</v>
      </c>
      <c r="C4120">
        <f t="shared" si="128"/>
        <v>1.6308022619363469</v>
      </c>
      <c r="D4120">
        <v>4</v>
      </c>
      <c r="E4120">
        <f t="shared" si="129"/>
        <v>5.6698676921705889E-2</v>
      </c>
    </row>
    <row r="4121" spans="1:5" x14ac:dyDescent="0.25">
      <c r="A4121">
        <v>0</v>
      </c>
      <c r="B4121">
        <v>5.1999999999999998E-2</v>
      </c>
      <c r="C4121">
        <f t="shared" si="128"/>
        <v>1.6308022619363469</v>
      </c>
      <c r="D4121">
        <v>4</v>
      </c>
      <c r="E4121">
        <f t="shared" si="129"/>
        <v>5.6698676921705889E-2</v>
      </c>
    </row>
    <row r="4122" spans="1:5" x14ac:dyDescent="0.25">
      <c r="A4122">
        <v>0</v>
      </c>
      <c r="B4122">
        <v>5.1999999999999998E-2</v>
      </c>
      <c r="C4122">
        <f t="shared" si="128"/>
        <v>1.6308022619363469</v>
      </c>
      <c r="D4122">
        <v>4</v>
      </c>
      <c r="E4122">
        <f t="shared" si="129"/>
        <v>5.6698676921705889E-2</v>
      </c>
    </row>
    <row r="4123" spans="1:5" x14ac:dyDescent="0.25">
      <c r="A4123">
        <v>0</v>
      </c>
      <c r="B4123">
        <v>5.1999999999999998E-2</v>
      </c>
      <c r="C4123">
        <f t="shared" si="128"/>
        <v>1.6308022619363469</v>
      </c>
      <c r="D4123">
        <v>4</v>
      </c>
      <c r="E4123">
        <f t="shared" si="129"/>
        <v>5.6698676921705889E-2</v>
      </c>
    </row>
    <row r="4124" spans="1:5" x14ac:dyDescent="0.25">
      <c r="A4124">
        <v>0</v>
      </c>
      <c r="B4124">
        <v>5.1999999999999998E-2</v>
      </c>
      <c r="C4124">
        <f t="shared" si="128"/>
        <v>1.6308022619363469</v>
      </c>
      <c r="D4124">
        <v>4</v>
      </c>
      <c r="E4124">
        <f t="shared" si="129"/>
        <v>5.6698676921705889E-2</v>
      </c>
    </row>
    <row r="4125" spans="1:5" x14ac:dyDescent="0.25">
      <c r="A4125">
        <v>0</v>
      </c>
      <c r="B4125">
        <v>5.21739130434783E-2</v>
      </c>
      <c r="C4125">
        <f t="shared" si="128"/>
        <v>1.6306790489112251</v>
      </c>
      <c r="D4125">
        <v>4</v>
      </c>
      <c r="E4125">
        <f t="shared" si="129"/>
        <v>5.6698676921705889E-2</v>
      </c>
    </row>
    <row r="4126" spans="1:5" x14ac:dyDescent="0.25">
      <c r="A4126">
        <v>0</v>
      </c>
      <c r="B4126">
        <v>5.2631578947368397E-2</v>
      </c>
      <c r="C4126">
        <f t="shared" si="128"/>
        <v>1.6303508672529248</v>
      </c>
      <c r="D4126">
        <v>4</v>
      </c>
      <c r="E4126">
        <f t="shared" si="129"/>
        <v>5.6698676921705889E-2</v>
      </c>
    </row>
    <row r="4127" spans="1:5" x14ac:dyDescent="0.25">
      <c r="A4127">
        <v>0</v>
      </c>
      <c r="B4127">
        <v>5.2631578947368397E-2</v>
      </c>
      <c r="C4127">
        <f t="shared" si="128"/>
        <v>1.6303508672529248</v>
      </c>
      <c r="D4127">
        <v>4</v>
      </c>
      <c r="E4127">
        <f t="shared" si="129"/>
        <v>5.6698676921705889E-2</v>
      </c>
    </row>
    <row r="4128" spans="1:5" x14ac:dyDescent="0.25">
      <c r="A4128">
        <v>0</v>
      </c>
      <c r="B4128">
        <v>5.2666666666666702E-2</v>
      </c>
      <c r="C4128">
        <f t="shared" si="128"/>
        <v>1.6303254712463184</v>
      </c>
      <c r="D4128">
        <v>4</v>
      </c>
      <c r="E4128">
        <f t="shared" si="129"/>
        <v>5.6698676921705889E-2</v>
      </c>
    </row>
    <row r="4129" spans="1:5" x14ac:dyDescent="0.25">
      <c r="A4129">
        <v>0</v>
      </c>
      <c r="B4129">
        <v>5.31914893617021E-2</v>
      </c>
      <c r="C4129">
        <f t="shared" si="128"/>
        <v>1.6299416125797681</v>
      </c>
      <c r="D4129">
        <v>4</v>
      </c>
      <c r="E4129">
        <f t="shared" si="129"/>
        <v>5.6698676921705889E-2</v>
      </c>
    </row>
    <row r="4130" spans="1:5" x14ac:dyDescent="0.25">
      <c r="A4130">
        <v>0</v>
      </c>
      <c r="B4130">
        <v>5.3333333333333302E-2</v>
      </c>
      <c r="C4130">
        <f t="shared" si="128"/>
        <v>1.6298365804376322</v>
      </c>
      <c r="D4130">
        <v>4</v>
      </c>
      <c r="E4130">
        <f t="shared" si="129"/>
        <v>5.6698676921705889E-2</v>
      </c>
    </row>
    <row r="4131" spans="1:5" x14ac:dyDescent="0.25">
      <c r="A4131">
        <v>0</v>
      </c>
      <c r="B4131">
        <v>5.3333333333333302E-2</v>
      </c>
      <c r="C4131">
        <f t="shared" si="128"/>
        <v>1.6298365804376322</v>
      </c>
      <c r="D4131">
        <v>4</v>
      </c>
      <c r="E4131">
        <f t="shared" si="129"/>
        <v>5.6698676921705889E-2</v>
      </c>
    </row>
    <row r="4132" spans="1:5" x14ac:dyDescent="0.25">
      <c r="A4132">
        <v>0</v>
      </c>
      <c r="B4132">
        <v>5.3333333333333302E-2</v>
      </c>
      <c r="C4132">
        <f t="shared" si="128"/>
        <v>1.6298365804376322</v>
      </c>
      <c r="D4132">
        <v>4</v>
      </c>
      <c r="E4132">
        <f t="shared" si="129"/>
        <v>5.6698676921705889E-2</v>
      </c>
    </row>
    <row r="4133" spans="1:5" x14ac:dyDescent="0.25">
      <c r="A4133">
        <v>0</v>
      </c>
      <c r="B4133">
        <v>5.3333333333333302E-2</v>
      </c>
      <c r="C4133">
        <f t="shared" si="128"/>
        <v>1.6298365804376322</v>
      </c>
      <c r="D4133">
        <v>4</v>
      </c>
      <c r="E4133">
        <f t="shared" si="129"/>
        <v>5.6698676921705889E-2</v>
      </c>
    </row>
    <row r="4134" spans="1:5" x14ac:dyDescent="0.25">
      <c r="A4134">
        <v>0</v>
      </c>
      <c r="B4134">
        <v>5.3333333333333302E-2</v>
      </c>
      <c r="C4134">
        <f t="shared" si="128"/>
        <v>1.6298365804376322</v>
      </c>
      <c r="D4134">
        <v>4</v>
      </c>
      <c r="E4134">
        <f t="shared" si="129"/>
        <v>5.6698676921705889E-2</v>
      </c>
    </row>
    <row r="4135" spans="1:5" x14ac:dyDescent="0.25">
      <c r="A4135">
        <v>0</v>
      </c>
      <c r="B4135">
        <v>5.3333333333333302E-2</v>
      </c>
      <c r="C4135">
        <f t="shared" si="128"/>
        <v>1.6298365804376322</v>
      </c>
      <c r="D4135">
        <v>4</v>
      </c>
      <c r="E4135">
        <f t="shared" si="129"/>
        <v>5.6698676921705889E-2</v>
      </c>
    </row>
    <row r="4136" spans="1:5" x14ac:dyDescent="0.25">
      <c r="A4136">
        <v>0</v>
      </c>
      <c r="B4136">
        <v>5.3333333333333302E-2</v>
      </c>
      <c r="C4136">
        <f t="shared" si="128"/>
        <v>1.6298365804376322</v>
      </c>
      <c r="D4136">
        <v>4</v>
      </c>
      <c r="E4136">
        <f t="shared" si="129"/>
        <v>5.6698676921705889E-2</v>
      </c>
    </row>
    <row r="4137" spans="1:5" x14ac:dyDescent="0.25">
      <c r="A4137">
        <v>0</v>
      </c>
      <c r="B4137">
        <v>5.3333333333333302E-2</v>
      </c>
      <c r="C4137">
        <f t="shared" si="128"/>
        <v>1.6298365804376322</v>
      </c>
      <c r="D4137">
        <v>4</v>
      </c>
      <c r="E4137">
        <f t="shared" si="129"/>
        <v>5.6698676921705889E-2</v>
      </c>
    </row>
    <row r="4138" spans="1:5" x14ac:dyDescent="0.25">
      <c r="A4138">
        <v>0</v>
      </c>
      <c r="B4138">
        <v>5.3333333333333302E-2</v>
      </c>
      <c r="C4138">
        <f t="shared" si="128"/>
        <v>1.6298365804376322</v>
      </c>
      <c r="D4138">
        <v>4</v>
      </c>
      <c r="E4138">
        <f t="shared" si="129"/>
        <v>5.6698676921705889E-2</v>
      </c>
    </row>
    <row r="4139" spans="1:5" x14ac:dyDescent="0.25">
      <c r="A4139">
        <v>0</v>
      </c>
      <c r="B4139">
        <v>5.3333333333333302E-2</v>
      </c>
      <c r="C4139">
        <f t="shared" si="128"/>
        <v>1.6298365804376322</v>
      </c>
      <c r="D4139">
        <v>4</v>
      </c>
      <c r="E4139">
        <f t="shared" si="129"/>
        <v>5.6698676921705889E-2</v>
      </c>
    </row>
    <row r="4140" spans="1:5" x14ac:dyDescent="0.25">
      <c r="A4140">
        <v>0</v>
      </c>
      <c r="B4140">
        <v>5.3333333333333302E-2</v>
      </c>
      <c r="C4140">
        <f t="shared" si="128"/>
        <v>1.6298365804376322</v>
      </c>
      <c r="D4140">
        <v>4</v>
      </c>
      <c r="E4140">
        <f t="shared" si="129"/>
        <v>5.6698676921705889E-2</v>
      </c>
    </row>
    <row r="4141" spans="1:5" x14ac:dyDescent="0.25">
      <c r="A4141">
        <v>0</v>
      </c>
      <c r="B4141">
        <v>5.3333333333333302E-2</v>
      </c>
      <c r="C4141">
        <f t="shared" si="128"/>
        <v>1.6298365804376322</v>
      </c>
      <c r="D4141">
        <v>4</v>
      </c>
      <c r="E4141">
        <f t="shared" si="129"/>
        <v>5.6698676921705889E-2</v>
      </c>
    </row>
    <row r="4142" spans="1:5" x14ac:dyDescent="0.25">
      <c r="A4142">
        <v>0</v>
      </c>
      <c r="B4142">
        <v>5.3333333333333302E-2</v>
      </c>
      <c r="C4142">
        <f t="shared" si="128"/>
        <v>1.6298365804376322</v>
      </c>
      <c r="D4142">
        <v>4</v>
      </c>
      <c r="E4142">
        <f t="shared" si="129"/>
        <v>5.6698676921705889E-2</v>
      </c>
    </row>
    <row r="4143" spans="1:5" x14ac:dyDescent="0.25">
      <c r="A4143">
        <v>0</v>
      </c>
      <c r="B4143">
        <v>5.3333333333333302E-2</v>
      </c>
      <c r="C4143">
        <f t="shared" si="128"/>
        <v>1.6298365804376322</v>
      </c>
      <c r="D4143">
        <v>4</v>
      </c>
      <c r="E4143">
        <f t="shared" si="129"/>
        <v>5.6698676921705889E-2</v>
      </c>
    </row>
    <row r="4144" spans="1:5" x14ac:dyDescent="0.25">
      <c r="A4144">
        <v>0</v>
      </c>
      <c r="B4144">
        <v>5.3333333333333302E-2</v>
      </c>
      <c r="C4144">
        <f t="shared" si="128"/>
        <v>1.6298365804376322</v>
      </c>
      <c r="D4144">
        <v>4</v>
      </c>
      <c r="E4144">
        <f t="shared" si="129"/>
        <v>5.6698676921705889E-2</v>
      </c>
    </row>
    <row r="4145" spans="1:5" x14ac:dyDescent="0.25">
      <c r="A4145">
        <v>0</v>
      </c>
      <c r="B4145">
        <v>5.3333333333333302E-2</v>
      </c>
      <c r="C4145">
        <f t="shared" si="128"/>
        <v>1.6298365804376322</v>
      </c>
      <c r="D4145">
        <v>4</v>
      </c>
      <c r="E4145">
        <f t="shared" si="129"/>
        <v>5.6698676921705889E-2</v>
      </c>
    </row>
    <row r="4146" spans="1:5" x14ac:dyDescent="0.25">
      <c r="A4146">
        <v>0</v>
      </c>
      <c r="B4146">
        <v>5.3333333333333302E-2</v>
      </c>
      <c r="C4146">
        <f t="shared" si="128"/>
        <v>1.6298365804376322</v>
      </c>
      <c r="D4146">
        <v>4</v>
      </c>
      <c r="E4146">
        <f t="shared" si="129"/>
        <v>5.6698676921705889E-2</v>
      </c>
    </row>
    <row r="4147" spans="1:5" x14ac:dyDescent="0.25">
      <c r="A4147">
        <v>0</v>
      </c>
      <c r="B4147">
        <v>5.3475935828876997E-2</v>
      </c>
      <c r="C4147">
        <f t="shared" si="128"/>
        <v>1.6297304349599013</v>
      </c>
      <c r="D4147">
        <v>4</v>
      </c>
      <c r="E4147">
        <f t="shared" si="129"/>
        <v>5.6698676921705889E-2</v>
      </c>
    </row>
    <row r="4148" spans="1:5" x14ac:dyDescent="0.25">
      <c r="A4148">
        <v>0</v>
      </c>
      <c r="B4148">
        <v>5.3613053613053602E-2</v>
      </c>
      <c r="C4148">
        <f t="shared" si="128"/>
        <v>1.6296278504669568</v>
      </c>
      <c r="D4148">
        <v>4</v>
      </c>
      <c r="E4148">
        <f t="shared" si="129"/>
        <v>5.6698676921705889E-2</v>
      </c>
    </row>
    <row r="4149" spans="1:5" x14ac:dyDescent="0.25">
      <c r="A4149">
        <v>0</v>
      </c>
      <c r="B4149">
        <v>5.3613053613053602E-2</v>
      </c>
      <c r="C4149">
        <f t="shared" si="128"/>
        <v>1.6296278504669568</v>
      </c>
      <c r="D4149">
        <v>4</v>
      </c>
      <c r="E4149">
        <f t="shared" si="129"/>
        <v>5.6698676921705889E-2</v>
      </c>
    </row>
    <row r="4150" spans="1:5" x14ac:dyDescent="0.25">
      <c r="A4150">
        <v>0</v>
      </c>
      <c r="B4150">
        <v>5.3613053613053602E-2</v>
      </c>
      <c r="C4150">
        <f t="shared" si="128"/>
        <v>1.6296278504669568</v>
      </c>
      <c r="D4150">
        <v>4</v>
      </c>
      <c r="E4150">
        <f t="shared" si="129"/>
        <v>5.6698676921705889E-2</v>
      </c>
    </row>
    <row r="4151" spans="1:5" x14ac:dyDescent="0.25">
      <c r="A4151">
        <v>0</v>
      </c>
      <c r="B4151">
        <v>5.3892215568862298E-2</v>
      </c>
      <c r="C4151">
        <f t="shared" si="128"/>
        <v>1.6294174160418256</v>
      </c>
      <c r="D4151">
        <v>4</v>
      </c>
      <c r="E4151">
        <f t="shared" si="129"/>
        <v>5.6698676921705889E-2</v>
      </c>
    </row>
    <row r="4152" spans="1:5" x14ac:dyDescent="0.25">
      <c r="A4152">
        <v>0</v>
      </c>
      <c r="B4152">
        <v>5.3999999999999999E-2</v>
      </c>
      <c r="C4152">
        <f t="shared" si="128"/>
        <v>1.629335600480438</v>
      </c>
      <c r="D4152">
        <v>4</v>
      </c>
      <c r="E4152">
        <f t="shared" si="129"/>
        <v>5.6698676921705889E-2</v>
      </c>
    </row>
    <row r="4153" spans="1:5" x14ac:dyDescent="0.25">
      <c r="A4153">
        <v>0</v>
      </c>
      <c r="B4153">
        <v>5.3999999999999999E-2</v>
      </c>
      <c r="C4153">
        <f t="shared" si="128"/>
        <v>1.629335600480438</v>
      </c>
      <c r="D4153">
        <v>4</v>
      </c>
      <c r="E4153">
        <f t="shared" si="129"/>
        <v>5.6698676921705889E-2</v>
      </c>
    </row>
    <row r="4154" spans="1:5" x14ac:dyDescent="0.25">
      <c r="A4154">
        <v>0</v>
      </c>
      <c r="B4154">
        <v>5.3999999999999999E-2</v>
      </c>
      <c r="C4154">
        <f t="shared" si="128"/>
        <v>1.629335600480438</v>
      </c>
      <c r="D4154">
        <v>4</v>
      </c>
      <c r="E4154">
        <f t="shared" si="129"/>
        <v>5.6698676921705889E-2</v>
      </c>
    </row>
    <row r="4155" spans="1:5" x14ac:dyDescent="0.25">
      <c r="A4155">
        <v>0</v>
      </c>
      <c r="B4155">
        <v>5.4054054054054099E-2</v>
      </c>
      <c r="C4155">
        <f t="shared" si="128"/>
        <v>1.6292944509852318</v>
      </c>
      <c r="D4155">
        <v>4</v>
      </c>
      <c r="E4155">
        <f t="shared" si="129"/>
        <v>5.6698676921705889E-2</v>
      </c>
    </row>
    <row r="4156" spans="1:5" x14ac:dyDescent="0.25">
      <c r="A4156">
        <v>0</v>
      </c>
      <c r="B4156">
        <v>5.4054054054054099E-2</v>
      </c>
      <c r="C4156">
        <f t="shared" si="128"/>
        <v>1.6292944509852318</v>
      </c>
      <c r="D4156">
        <v>4</v>
      </c>
      <c r="E4156">
        <f t="shared" si="129"/>
        <v>5.6698676921705889E-2</v>
      </c>
    </row>
    <row r="4157" spans="1:5" x14ac:dyDescent="0.25">
      <c r="A4157">
        <v>0</v>
      </c>
      <c r="B4157">
        <v>5.4054054054054099E-2</v>
      </c>
      <c r="C4157">
        <f t="shared" si="128"/>
        <v>1.6292944509852318</v>
      </c>
      <c r="D4157">
        <v>4</v>
      </c>
      <c r="E4157">
        <f t="shared" si="129"/>
        <v>5.6698676921705889E-2</v>
      </c>
    </row>
    <row r="4158" spans="1:5" x14ac:dyDescent="0.25">
      <c r="A4158">
        <v>0</v>
      </c>
      <c r="B4158">
        <v>5.4054054054054099E-2</v>
      </c>
      <c r="C4158">
        <f t="shared" si="128"/>
        <v>1.6292944509852318</v>
      </c>
      <c r="D4158">
        <v>4</v>
      </c>
      <c r="E4158">
        <f t="shared" si="129"/>
        <v>5.6698676921705889E-2</v>
      </c>
    </row>
    <row r="4159" spans="1:5" x14ac:dyDescent="0.25">
      <c r="A4159">
        <v>0</v>
      </c>
      <c r="B4159">
        <v>5.4054054054054099E-2</v>
      </c>
      <c r="C4159">
        <f t="shared" si="128"/>
        <v>1.6292944509852318</v>
      </c>
      <c r="D4159">
        <v>4</v>
      </c>
      <c r="E4159">
        <f t="shared" si="129"/>
        <v>5.6698676921705889E-2</v>
      </c>
    </row>
    <row r="4160" spans="1:5" x14ac:dyDescent="0.25">
      <c r="A4160">
        <v>0</v>
      </c>
      <c r="B4160">
        <v>5.4054054054054099E-2</v>
      </c>
      <c r="C4160">
        <f t="shared" si="128"/>
        <v>1.6292944509852318</v>
      </c>
      <c r="D4160">
        <v>4</v>
      </c>
      <c r="E4160">
        <f t="shared" si="129"/>
        <v>5.6698676921705889E-2</v>
      </c>
    </row>
    <row r="4161" spans="1:5" x14ac:dyDescent="0.25">
      <c r="A4161">
        <v>0</v>
      </c>
      <c r="B4161">
        <v>5.4054054054054099E-2</v>
      </c>
      <c r="C4161">
        <f t="shared" si="128"/>
        <v>1.6292944509852318</v>
      </c>
      <c r="D4161">
        <v>4</v>
      </c>
      <c r="E4161">
        <f t="shared" si="129"/>
        <v>5.6698676921705889E-2</v>
      </c>
    </row>
    <row r="4162" spans="1:5" x14ac:dyDescent="0.25">
      <c r="A4162">
        <v>0</v>
      </c>
      <c r="B4162">
        <v>5.4054054054054099E-2</v>
      </c>
      <c r="C4162">
        <f t="shared" ref="C4162:C4225" si="130">_xlfn.NORM.DIST(B4162,I$10,I$13,FALSE)</f>
        <v>1.6292944509852318</v>
      </c>
      <c r="D4162">
        <v>4</v>
      </c>
      <c r="E4162">
        <f t="shared" si="129"/>
        <v>5.6698676921705889E-2</v>
      </c>
    </row>
    <row r="4163" spans="1:5" x14ac:dyDescent="0.25">
      <c r="A4163">
        <v>0</v>
      </c>
      <c r="B4163">
        <v>5.4054054054054099E-2</v>
      </c>
      <c r="C4163">
        <f t="shared" si="130"/>
        <v>1.6292944509852318</v>
      </c>
      <c r="D4163">
        <v>4</v>
      </c>
      <c r="E4163">
        <f t="shared" ref="E4163:E4226" si="131">_xlfn.NORM.DIST(D4163,I$4,I$7,FALSE)</f>
        <v>5.6698676921705889E-2</v>
      </c>
    </row>
    <row r="4164" spans="1:5" x14ac:dyDescent="0.25">
      <c r="A4164">
        <v>0</v>
      </c>
      <c r="B4164">
        <v>5.4054054054054099E-2</v>
      </c>
      <c r="C4164">
        <f t="shared" si="130"/>
        <v>1.6292944509852318</v>
      </c>
      <c r="D4164">
        <v>4</v>
      </c>
      <c r="E4164">
        <f t="shared" si="131"/>
        <v>5.6698676921705889E-2</v>
      </c>
    </row>
    <row r="4165" spans="1:5" x14ac:dyDescent="0.25">
      <c r="A4165">
        <v>0</v>
      </c>
      <c r="B4165">
        <v>5.4054054054054099E-2</v>
      </c>
      <c r="C4165">
        <f t="shared" si="130"/>
        <v>1.6292944509852318</v>
      </c>
      <c r="D4165">
        <v>4</v>
      </c>
      <c r="E4165">
        <f t="shared" si="131"/>
        <v>5.6698676921705889E-2</v>
      </c>
    </row>
    <row r="4166" spans="1:5" x14ac:dyDescent="0.25">
      <c r="A4166">
        <v>0</v>
      </c>
      <c r="B4166">
        <v>5.5E-2</v>
      </c>
      <c r="C4166">
        <f t="shared" si="130"/>
        <v>1.6285614880502428</v>
      </c>
      <c r="D4166">
        <v>4</v>
      </c>
      <c r="E4166">
        <f t="shared" si="131"/>
        <v>5.6698676921705889E-2</v>
      </c>
    </row>
    <row r="4167" spans="1:5" x14ac:dyDescent="0.25">
      <c r="A4167">
        <v>0</v>
      </c>
      <c r="B4167">
        <v>5.5E-2</v>
      </c>
      <c r="C4167">
        <f t="shared" si="130"/>
        <v>1.6285614880502428</v>
      </c>
      <c r="D4167">
        <v>4</v>
      </c>
      <c r="E4167">
        <f t="shared" si="131"/>
        <v>5.6698676921705889E-2</v>
      </c>
    </row>
    <row r="4168" spans="1:5" x14ac:dyDescent="0.25">
      <c r="A4168">
        <v>0</v>
      </c>
      <c r="B4168">
        <v>5.5E-2</v>
      </c>
      <c r="C4168">
        <f t="shared" si="130"/>
        <v>1.6285614880502428</v>
      </c>
      <c r="D4168">
        <v>4</v>
      </c>
      <c r="E4168">
        <f t="shared" si="131"/>
        <v>5.6698676921705889E-2</v>
      </c>
    </row>
    <row r="4169" spans="1:5" x14ac:dyDescent="0.25">
      <c r="A4169">
        <v>0</v>
      </c>
      <c r="B4169">
        <v>5.5944055944055902E-2</v>
      </c>
      <c r="C4169">
        <f t="shared" si="130"/>
        <v>1.6278057804514867</v>
      </c>
      <c r="D4169">
        <v>4</v>
      </c>
      <c r="E4169">
        <f t="shared" si="131"/>
        <v>5.6698676921705889E-2</v>
      </c>
    </row>
    <row r="4170" spans="1:5" x14ac:dyDescent="0.25">
      <c r="A4170">
        <v>0</v>
      </c>
      <c r="B4170">
        <v>5.5944055944055902E-2</v>
      </c>
      <c r="C4170">
        <f t="shared" si="130"/>
        <v>1.6278057804514867</v>
      </c>
      <c r="D4170">
        <v>4</v>
      </c>
      <c r="E4170">
        <f t="shared" si="131"/>
        <v>5.6698676921705889E-2</v>
      </c>
    </row>
    <row r="4171" spans="1:5" x14ac:dyDescent="0.25">
      <c r="A4171">
        <v>0</v>
      </c>
      <c r="B4171">
        <v>5.5944055944055902E-2</v>
      </c>
      <c r="C4171">
        <f t="shared" si="130"/>
        <v>1.6278057804514867</v>
      </c>
      <c r="D4171">
        <v>4</v>
      </c>
      <c r="E4171">
        <f t="shared" si="131"/>
        <v>5.6698676921705889E-2</v>
      </c>
    </row>
    <row r="4172" spans="1:5" x14ac:dyDescent="0.25">
      <c r="A4172">
        <v>0</v>
      </c>
      <c r="B4172">
        <v>5.5944055944055902E-2</v>
      </c>
      <c r="C4172">
        <f t="shared" si="130"/>
        <v>1.6278057804514867</v>
      </c>
      <c r="D4172">
        <v>4</v>
      </c>
      <c r="E4172">
        <f t="shared" si="131"/>
        <v>5.6698676921705889E-2</v>
      </c>
    </row>
    <row r="4173" spans="1:5" x14ac:dyDescent="0.25">
      <c r="A4173">
        <v>0</v>
      </c>
      <c r="B4173">
        <v>5.5944055944055902E-2</v>
      </c>
      <c r="C4173">
        <f t="shared" si="130"/>
        <v>1.6278057804514867</v>
      </c>
      <c r="D4173">
        <v>4</v>
      </c>
      <c r="E4173">
        <f t="shared" si="131"/>
        <v>5.6698676921705889E-2</v>
      </c>
    </row>
    <row r="4174" spans="1:5" x14ac:dyDescent="0.25">
      <c r="A4174">
        <v>0</v>
      </c>
      <c r="B4174">
        <v>5.6000000000000001E-2</v>
      </c>
      <c r="C4174">
        <f t="shared" si="130"/>
        <v>1.6277602394515072</v>
      </c>
      <c r="D4174">
        <v>4</v>
      </c>
      <c r="E4174">
        <f t="shared" si="131"/>
        <v>5.6698676921705889E-2</v>
      </c>
    </row>
    <row r="4175" spans="1:5" x14ac:dyDescent="0.25">
      <c r="A4175">
        <v>0</v>
      </c>
      <c r="B4175">
        <v>5.6000000000000001E-2</v>
      </c>
      <c r="C4175">
        <f t="shared" si="130"/>
        <v>1.6277602394515072</v>
      </c>
      <c r="D4175">
        <v>4</v>
      </c>
      <c r="E4175">
        <f t="shared" si="131"/>
        <v>5.6698676921705889E-2</v>
      </c>
    </row>
    <row r="4176" spans="1:5" x14ac:dyDescent="0.25">
      <c r="A4176">
        <v>0</v>
      </c>
      <c r="B4176">
        <v>5.6000000000000001E-2</v>
      </c>
      <c r="C4176">
        <f t="shared" si="130"/>
        <v>1.6277602394515072</v>
      </c>
      <c r="D4176">
        <v>4</v>
      </c>
      <c r="E4176">
        <f t="shared" si="131"/>
        <v>5.6698676921705889E-2</v>
      </c>
    </row>
    <row r="4177" spans="1:5" x14ac:dyDescent="0.25">
      <c r="A4177">
        <v>0</v>
      </c>
      <c r="B4177">
        <v>5.6000000000000001E-2</v>
      </c>
      <c r="C4177">
        <f t="shared" si="130"/>
        <v>1.6277602394515072</v>
      </c>
      <c r="D4177">
        <v>4</v>
      </c>
      <c r="E4177">
        <f t="shared" si="131"/>
        <v>5.6698676921705889E-2</v>
      </c>
    </row>
    <row r="4178" spans="1:5" x14ac:dyDescent="0.25">
      <c r="A4178">
        <v>0</v>
      </c>
      <c r="B4178">
        <v>5.6000000000000001E-2</v>
      </c>
      <c r="C4178">
        <f t="shared" si="130"/>
        <v>1.6277602394515072</v>
      </c>
      <c r="D4178">
        <v>4</v>
      </c>
      <c r="E4178">
        <f t="shared" si="131"/>
        <v>5.6698676921705889E-2</v>
      </c>
    </row>
    <row r="4179" spans="1:5" x14ac:dyDescent="0.25">
      <c r="A4179">
        <v>0</v>
      </c>
      <c r="B4179">
        <v>5.6000000000000001E-2</v>
      </c>
      <c r="C4179">
        <f t="shared" si="130"/>
        <v>1.6277602394515072</v>
      </c>
      <c r="D4179">
        <v>4</v>
      </c>
      <c r="E4179">
        <f t="shared" si="131"/>
        <v>5.6698676921705889E-2</v>
      </c>
    </row>
    <row r="4180" spans="1:5" x14ac:dyDescent="0.25">
      <c r="A4180">
        <v>0</v>
      </c>
      <c r="B4180">
        <v>5.6000000000000001E-2</v>
      </c>
      <c r="C4180">
        <f t="shared" si="130"/>
        <v>1.6277602394515072</v>
      </c>
      <c r="D4180">
        <v>4</v>
      </c>
      <c r="E4180">
        <f t="shared" si="131"/>
        <v>5.6698676921705889E-2</v>
      </c>
    </row>
    <row r="4181" spans="1:5" x14ac:dyDescent="0.25">
      <c r="A4181">
        <v>0</v>
      </c>
      <c r="B4181">
        <v>5.6000000000000001E-2</v>
      </c>
      <c r="C4181">
        <f t="shared" si="130"/>
        <v>1.6277602394515072</v>
      </c>
      <c r="D4181">
        <v>4</v>
      </c>
      <c r="E4181">
        <f t="shared" si="131"/>
        <v>5.6698676921705889E-2</v>
      </c>
    </row>
    <row r="4182" spans="1:5" x14ac:dyDescent="0.25">
      <c r="A4182">
        <v>0</v>
      </c>
      <c r="B4182">
        <v>5.6000000000000001E-2</v>
      </c>
      <c r="C4182">
        <f t="shared" si="130"/>
        <v>1.6277602394515072</v>
      </c>
      <c r="D4182">
        <v>4</v>
      </c>
      <c r="E4182">
        <f t="shared" si="131"/>
        <v>5.6698676921705889E-2</v>
      </c>
    </row>
    <row r="4183" spans="1:5" x14ac:dyDescent="0.25">
      <c r="A4183">
        <v>0</v>
      </c>
      <c r="B4183">
        <v>5.6000000000000001E-2</v>
      </c>
      <c r="C4183">
        <f t="shared" si="130"/>
        <v>1.6277602394515072</v>
      </c>
      <c r="D4183">
        <v>4</v>
      </c>
      <c r="E4183">
        <f t="shared" si="131"/>
        <v>5.6698676921705889E-2</v>
      </c>
    </row>
    <row r="4184" spans="1:5" x14ac:dyDescent="0.25">
      <c r="A4184">
        <v>0</v>
      </c>
      <c r="B4184">
        <v>5.6000000000000001E-2</v>
      </c>
      <c r="C4184">
        <f t="shared" si="130"/>
        <v>1.6277602394515072</v>
      </c>
      <c r="D4184">
        <v>4</v>
      </c>
      <c r="E4184">
        <f t="shared" si="131"/>
        <v>5.6698676921705889E-2</v>
      </c>
    </row>
    <row r="4185" spans="1:5" x14ac:dyDescent="0.25">
      <c r="A4185">
        <v>0</v>
      </c>
      <c r="B4185">
        <v>5.6000000000000001E-2</v>
      </c>
      <c r="C4185">
        <f t="shared" si="130"/>
        <v>1.6277602394515072</v>
      </c>
      <c r="D4185">
        <v>4</v>
      </c>
      <c r="E4185">
        <f t="shared" si="131"/>
        <v>5.6698676921705889E-2</v>
      </c>
    </row>
    <row r="4186" spans="1:5" x14ac:dyDescent="0.25">
      <c r="A4186">
        <v>0</v>
      </c>
      <c r="B4186">
        <v>5.6666666666666698E-2</v>
      </c>
      <c r="C4186">
        <f t="shared" si="130"/>
        <v>1.6272110179750567</v>
      </c>
      <c r="D4186">
        <v>4</v>
      </c>
      <c r="E4186">
        <f t="shared" si="131"/>
        <v>5.6698676921705889E-2</v>
      </c>
    </row>
    <row r="4187" spans="1:5" x14ac:dyDescent="0.25">
      <c r="A4187">
        <v>0</v>
      </c>
      <c r="B4187">
        <v>5.6666666666666698E-2</v>
      </c>
      <c r="C4187">
        <f t="shared" si="130"/>
        <v>1.6272110179750567</v>
      </c>
      <c r="D4187">
        <v>4</v>
      </c>
      <c r="E4187">
        <f t="shared" si="131"/>
        <v>5.6698676921705889E-2</v>
      </c>
    </row>
    <row r="4188" spans="1:5" x14ac:dyDescent="0.25">
      <c r="A4188">
        <v>0</v>
      </c>
      <c r="B4188">
        <v>5.6666666666666698E-2</v>
      </c>
      <c r="C4188">
        <f t="shared" si="130"/>
        <v>1.6272110179750567</v>
      </c>
      <c r="D4188">
        <v>4</v>
      </c>
      <c r="E4188">
        <f t="shared" si="131"/>
        <v>5.6698676921705889E-2</v>
      </c>
    </row>
    <row r="4189" spans="1:5" x14ac:dyDescent="0.25">
      <c r="A4189">
        <v>0</v>
      </c>
      <c r="B4189">
        <v>5.6666666666666698E-2</v>
      </c>
      <c r="C4189">
        <f t="shared" si="130"/>
        <v>1.6272110179750567</v>
      </c>
      <c r="D4189">
        <v>4</v>
      </c>
      <c r="E4189">
        <f t="shared" si="131"/>
        <v>5.6698676921705889E-2</v>
      </c>
    </row>
    <row r="4190" spans="1:5" x14ac:dyDescent="0.25">
      <c r="A4190">
        <v>0</v>
      </c>
      <c r="B4190">
        <v>5.6886227544910198E-2</v>
      </c>
      <c r="C4190">
        <f t="shared" si="130"/>
        <v>1.6270275025717447</v>
      </c>
      <c r="D4190">
        <v>4</v>
      </c>
      <c r="E4190">
        <f t="shared" si="131"/>
        <v>5.6698676921705889E-2</v>
      </c>
    </row>
    <row r="4191" spans="1:5" x14ac:dyDescent="0.25">
      <c r="A4191">
        <v>0</v>
      </c>
      <c r="B4191">
        <v>5.6886227544910198E-2</v>
      </c>
      <c r="C4191">
        <f t="shared" si="130"/>
        <v>1.6270275025717447</v>
      </c>
      <c r="D4191">
        <v>4</v>
      </c>
      <c r="E4191">
        <f t="shared" si="131"/>
        <v>5.6698676921705889E-2</v>
      </c>
    </row>
    <row r="4192" spans="1:5" x14ac:dyDescent="0.25">
      <c r="A4192">
        <v>0</v>
      </c>
      <c r="B4192">
        <v>5.7057057057057103E-2</v>
      </c>
      <c r="C4192">
        <f t="shared" si="130"/>
        <v>1.6268838159646906</v>
      </c>
      <c r="D4192">
        <v>4</v>
      </c>
      <c r="E4192">
        <f t="shared" si="131"/>
        <v>5.6698676921705889E-2</v>
      </c>
    </row>
    <row r="4193" spans="1:5" x14ac:dyDescent="0.25">
      <c r="A4193">
        <v>0</v>
      </c>
      <c r="B4193">
        <v>5.7057057057057103E-2</v>
      </c>
      <c r="C4193">
        <f t="shared" si="130"/>
        <v>1.6268838159646906</v>
      </c>
      <c r="D4193">
        <v>4</v>
      </c>
      <c r="E4193">
        <f t="shared" si="131"/>
        <v>5.6698676921705889E-2</v>
      </c>
    </row>
    <row r="4194" spans="1:5" x14ac:dyDescent="0.25">
      <c r="A4194">
        <v>0</v>
      </c>
      <c r="B4194">
        <v>5.7057057057057103E-2</v>
      </c>
      <c r="C4194">
        <f t="shared" si="130"/>
        <v>1.6268838159646906</v>
      </c>
      <c r="D4194">
        <v>4</v>
      </c>
      <c r="E4194">
        <f t="shared" si="131"/>
        <v>5.6698676921705889E-2</v>
      </c>
    </row>
    <row r="4195" spans="1:5" x14ac:dyDescent="0.25">
      <c r="A4195">
        <v>0</v>
      </c>
      <c r="B4195">
        <v>5.7057057057057103E-2</v>
      </c>
      <c r="C4195">
        <f t="shared" si="130"/>
        <v>1.6268838159646906</v>
      </c>
      <c r="D4195">
        <v>4</v>
      </c>
      <c r="E4195">
        <f t="shared" si="131"/>
        <v>5.6698676921705889E-2</v>
      </c>
    </row>
    <row r="4196" spans="1:5" x14ac:dyDescent="0.25">
      <c r="A4196">
        <v>0</v>
      </c>
      <c r="B4196">
        <v>5.7057057057057103E-2</v>
      </c>
      <c r="C4196">
        <f t="shared" si="130"/>
        <v>1.6268838159646906</v>
      </c>
      <c r="D4196">
        <v>4</v>
      </c>
      <c r="E4196">
        <f t="shared" si="131"/>
        <v>5.6698676921705889E-2</v>
      </c>
    </row>
    <row r="4197" spans="1:5" x14ac:dyDescent="0.25">
      <c r="A4197">
        <v>0</v>
      </c>
      <c r="B4197">
        <v>5.7057057057057103E-2</v>
      </c>
      <c r="C4197">
        <f t="shared" si="130"/>
        <v>1.6268838159646906</v>
      </c>
      <c r="D4197">
        <v>4</v>
      </c>
      <c r="E4197">
        <f t="shared" si="131"/>
        <v>5.6698676921705889E-2</v>
      </c>
    </row>
    <row r="4198" spans="1:5" x14ac:dyDescent="0.25">
      <c r="A4198">
        <v>0</v>
      </c>
      <c r="B4198">
        <v>5.7057057057057103E-2</v>
      </c>
      <c r="C4198">
        <f t="shared" si="130"/>
        <v>1.6268838159646906</v>
      </c>
      <c r="D4198">
        <v>4</v>
      </c>
      <c r="E4198">
        <f t="shared" si="131"/>
        <v>5.6698676921705889E-2</v>
      </c>
    </row>
    <row r="4199" spans="1:5" x14ac:dyDescent="0.25">
      <c r="A4199">
        <v>0</v>
      </c>
      <c r="B4199">
        <v>5.7057057057057103E-2</v>
      </c>
      <c r="C4199">
        <f t="shared" si="130"/>
        <v>1.6268838159646906</v>
      </c>
      <c r="D4199">
        <v>4</v>
      </c>
      <c r="E4199">
        <f t="shared" si="131"/>
        <v>5.6698676921705889E-2</v>
      </c>
    </row>
    <row r="4200" spans="1:5" x14ac:dyDescent="0.25">
      <c r="A4200">
        <v>0</v>
      </c>
      <c r="B4200">
        <v>5.7333333333333299E-2</v>
      </c>
      <c r="C4200">
        <f t="shared" si="130"/>
        <v>1.6266497662270225</v>
      </c>
      <c r="D4200">
        <v>4</v>
      </c>
      <c r="E4200">
        <f t="shared" si="131"/>
        <v>5.6698676921705889E-2</v>
      </c>
    </row>
    <row r="4201" spans="1:5" x14ac:dyDescent="0.25">
      <c r="A4201">
        <v>0</v>
      </c>
      <c r="B4201">
        <v>5.8000000000000003E-2</v>
      </c>
      <c r="C4201">
        <f t="shared" si="130"/>
        <v>1.6260764967849428</v>
      </c>
      <c r="D4201">
        <v>4</v>
      </c>
      <c r="E4201">
        <f t="shared" si="131"/>
        <v>5.6698676921705889E-2</v>
      </c>
    </row>
    <row r="4202" spans="1:5" x14ac:dyDescent="0.25">
      <c r="A4202">
        <v>0</v>
      </c>
      <c r="B4202">
        <v>5.8000000000000003E-2</v>
      </c>
      <c r="C4202">
        <f t="shared" si="130"/>
        <v>1.6260764967849428</v>
      </c>
      <c r="D4202">
        <v>4</v>
      </c>
      <c r="E4202">
        <f t="shared" si="131"/>
        <v>5.6698676921705889E-2</v>
      </c>
    </row>
    <row r="4203" spans="1:5" x14ac:dyDescent="0.25">
      <c r="A4203">
        <v>0</v>
      </c>
      <c r="B4203">
        <v>5.82750582750583E-2</v>
      </c>
      <c r="C4203">
        <f t="shared" si="130"/>
        <v>1.6258364739790108</v>
      </c>
      <c r="D4203">
        <v>4</v>
      </c>
      <c r="E4203">
        <f t="shared" si="131"/>
        <v>5.6698676921705889E-2</v>
      </c>
    </row>
    <row r="4204" spans="1:5" x14ac:dyDescent="0.25">
      <c r="A4204">
        <v>0</v>
      </c>
      <c r="B4204">
        <v>5.82750582750583E-2</v>
      </c>
      <c r="C4204">
        <f t="shared" si="130"/>
        <v>1.6258364739790108</v>
      </c>
      <c r="D4204">
        <v>4</v>
      </c>
      <c r="E4204">
        <f t="shared" si="131"/>
        <v>5.6698676921705889E-2</v>
      </c>
    </row>
    <row r="4205" spans="1:5" x14ac:dyDescent="0.25">
      <c r="A4205">
        <v>0</v>
      </c>
      <c r="B4205">
        <v>5.82750582750583E-2</v>
      </c>
      <c r="C4205">
        <f t="shared" si="130"/>
        <v>1.6258364739790108</v>
      </c>
      <c r="D4205">
        <v>4</v>
      </c>
      <c r="E4205">
        <f t="shared" si="131"/>
        <v>5.6698676921705889E-2</v>
      </c>
    </row>
    <row r="4206" spans="1:5" x14ac:dyDescent="0.25">
      <c r="A4206">
        <v>0</v>
      </c>
      <c r="B4206">
        <v>5.83333333333333E-2</v>
      </c>
      <c r="C4206">
        <f t="shared" si="130"/>
        <v>1.6257853594319494</v>
      </c>
      <c r="D4206">
        <v>4</v>
      </c>
      <c r="E4206">
        <f t="shared" si="131"/>
        <v>5.6698676921705889E-2</v>
      </c>
    </row>
    <row r="4207" spans="1:5" x14ac:dyDescent="0.25">
      <c r="A4207">
        <v>0</v>
      </c>
      <c r="B4207">
        <v>5.8411214953271E-2</v>
      </c>
      <c r="C4207">
        <f t="shared" si="130"/>
        <v>1.6257169043330104</v>
      </c>
      <c r="D4207">
        <v>4</v>
      </c>
      <c r="E4207">
        <f t="shared" si="131"/>
        <v>5.6698676921705889E-2</v>
      </c>
    </row>
    <row r="4208" spans="1:5" x14ac:dyDescent="0.25">
      <c r="A4208">
        <v>0</v>
      </c>
      <c r="B4208">
        <v>5.86666666666667E-2</v>
      </c>
      <c r="C4208">
        <f t="shared" si="130"/>
        <v>1.6254912224926676</v>
      </c>
      <c r="D4208">
        <v>4</v>
      </c>
      <c r="E4208">
        <f t="shared" si="131"/>
        <v>5.6698676921705889E-2</v>
      </c>
    </row>
    <row r="4209" spans="1:5" x14ac:dyDescent="0.25">
      <c r="A4209">
        <v>0</v>
      </c>
      <c r="B4209">
        <v>5.86666666666667E-2</v>
      </c>
      <c r="C4209">
        <f t="shared" si="130"/>
        <v>1.6254912224926676</v>
      </c>
      <c r="D4209">
        <v>4</v>
      </c>
      <c r="E4209">
        <f t="shared" si="131"/>
        <v>5.6698676921705889E-2</v>
      </c>
    </row>
    <row r="4210" spans="1:5" x14ac:dyDescent="0.25">
      <c r="A4210">
        <v>0</v>
      </c>
      <c r="B4210">
        <v>5.86666666666667E-2</v>
      </c>
      <c r="C4210">
        <f t="shared" si="130"/>
        <v>1.6254912224926676</v>
      </c>
      <c r="D4210">
        <v>4</v>
      </c>
      <c r="E4210">
        <f t="shared" si="131"/>
        <v>5.6698676921705889E-2</v>
      </c>
    </row>
    <row r="4211" spans="1:5" x14ac:dyDescent="0.25">
      <c r="A4211">
        <v>0</v>
      </c>
      <c r="B4211">
        <v>5.86666666666667E-2</v>
      </c>
      <c r="C4211">
        <f t="shared" si="130"/>
        <v>1.6254912224926676</v>
      </c>
      <c r="D4211">
        <v>4</v>
      </c>
      <c r="E4211">
        <f t="shared" si="131"/>
        <v>5.6698676921705889E-2</v>
      </c>
    </row>
    <row r="4212" spans="1:5" x14ac:dyDescent="0.25">
      <c r="A4212">
        <v>0</v>
      </c>
      <c r="B4212">
        <v>5.86666666666667E-2</v>
      </c>
      <c r="C4212">
        <f t="shared" si="130"/>
        <v>1.6254912224926676</v>
      </c>
      <c r="D4212">
        <v>4</v>
      </c>
      <c r="E4212">
        <f t="shared" si="131"/>
        <v>5.6698676921705889E-2</v>
      </c>
    </row>
    <row r="4213" spans="1:5" x14ac:dyDescent="0.25">
      <c r="A4213">
        <v>0</v>
      </c>
      <c r="B4213">
        <v>5.86666666666667E-2</v>
      </c>
      <c r="C4213">
        <f t="shared" si="130"/>
        <v>1.6254912224926676</v>
      </c>
      <c r="D4213">
        <v>4</v>
      </c>
      <c r="E4213">
        <f t="shared" si="131"/>
        <v>5.6698676921705889E-2</v>
      </c>
    </row>
    <row r="4214" spans="1:5" x14ac:dyDescent="0.25">
      <c r="A4214">
        <v>0</v>
      </c>
      <c r="B4214">
        <v>5.86666666666667E-2</v>
      </c>
      <c r="C4214">
        <f t="shared" si="130"/>
        <v>1.6254912224926676</v>
      </c>
      <c r="D4214">
        <v>4</v>
      </c>
      <c r="E4214">
        <f t="shared" si="131"/>
        <v>5.6698676921705889E-2</v>
      </c>
    </row>
    <row r="4215" spans="1:5" x14ac:dyDescent="0.25">
      <c r="A4215">
        <v>0</v>
      </c>
      <c r="B4215">
        <v>5.86666666666667E-2</v>
      </c>
      <c r="C4215">
        <f t="shared" si="130"/>
        <v>1.6254912224926676</v>
      </c>
      <c r="D4215">
        <v>4</v>
      </c>
      <c r="E4215">
        <f t="shared" si="131"/>
        <v>5.6698676921705889E-2</v>
      </c>
    </row>
    <row r="4216" spans="1:5" x14ac:dyDescent="0.25">
      <c r="A4216">
        <v>0</v>
      </c>
      <c r="B4216">
        <v>5.86666666666667E-2</v>
      </c>
      <c r="C4216">
        <f t="shared" si="130"/>
        <v>1.6254912224926676</v>
      </c>
      <c r="D4216">
        <v>4</v>
      </c>
      <c r="E4216">
        <f t="shared" si="131"/>
        <v>5.6698676921705889E-2</v>
      </c>
    </row>
    <row r="4217" spans="1:5" x14ac:dyDescent="0.25">
      <c r="A4217">
        <v>0</v>
      </c>
      <c r="B4217">
        <v>5.86666666666667E-2</v>
      </c>
      <c r="C4217">
        <f t="shared" si="130"/>
        <v>1.6254912224926676</v>
      </c>
      <c r="D4217">
        <v>4</v>
      </c>
      <c r="E4217">
        <f t="shared" si="131"/>
        <v>5.6698676921705889E-2</v>
      </c>
    </row>
    <row r="4218" spans="1:5" x14ac:dyDescent="0.25">
      <c r="A4218">
        <v>0</v>
      </c>
      <c r="B4218">
        <v>5.9880239520958098E-2</v>
      </c>
      <c r="C4218">
        <f t="shared" si="130"/>
        <v>1.624395039182172</v>
      </c>
      <c r="D4218">
        <v>4</v>
      </c>
      <c r="E4218">
        <f t="shared" si="131"/>
        <v>5.6698676921705889E-2</v>
      </c>
    </row>
    <row r="4219" spans="1:5" x14ac:dyDescent="0.25">
      <c r="A4219">
        <v>0</v>
      </c>
      <c r="B4219">
        <v>5.9880239520958098E-2</v>
      </c>
      <c r="C4219">
        <f t="shared" si="130"/>
        <v>1.624395039182172</v>
      </c>
      <c r="D4219">
        <v>4</v>
      </c>
      <c r="E4219">
        <f t="shared" si="131"/>
        <v>5.6698676921705889E-2</v>
      </c>
    </row>
    <row r="4220" spans="1:5" x14ac:dyDescent="0.25">
      <c r="A4220">
        <v>0</v>
      </c>
      <c r="B4220">
        <v>5.9880239520958098E-2</v>
      </c>
      <c r="C4220">
        <f t="shared" si="130"/>
        <v>1.624395039182172</v>
      </c>
      <c r="D4220">
        <v>4</v>
      </c>
      <c r="E4220">
        <f t="shared" si="131"/>
        <v>5.6698676921705889E-2</v>
      </c>
    </row>
    <row r="4221" spans="1:5" x14ac:dyDescent="0.25">
      <c r="A4221">
        <v>0</v>
      </c>
      <c r="B4221">
        <v>5.9880239520958098E-2</v>
      </c>
      <c r="C4221">
        <f t="shared" si="130"/>
        <v>1.624395039182172</v>
      </c>
      <c r="D4221">
        <v>4</v>
      </c>
      <c r="E4221">
        <f t="shared" si="131"/>
        <v>5.6698676921705889E-2</v>
      </c>
    </row>
    <row r="4222" spans="1:5" x14ac:dyDescent="0.25">
      <c r="A4222">
        <v>0</v>
      </c>
      <c r="B4222">
        <v>5.9880239520958098E-2</v>
      </c>
      <c r="C4222">
        <f t="shared" si="130"/>
        <v>1.624395039182172</v>
      </c>
      <c r="D4222">
        <v>4</v>
      </c>
      <c r="E4222">
        <f t="shared" si="131"/>
        <v>5.6698676921705889E-2</v>
      </c>
    </row>
    <row r="4223" spans="1:5" x14ac:dyDescent="0.25">
      <c r="A4223">
        <v>0</v>
      </c>
      <c r="B4223">
        <v>5.9880239520958098E-2</v>
      </c>
      <c r="C4223">
        <f t="shared" si="130"/>
        <v>1.624395039182172</v>
      </c>
      <c r="D4223">
        <v>4</v>
      </c>
      <c r="E4223">
        <f t="shared" si="131"/>
        <v>5.6698676921705889E-2</v>
      </c>
    </row>
    <row r="4224" spans="1:5" x14ac:dyDescent="0.25">
      <c r="A4224">
        <v>0</v>
      </c>
      <c r="B4224">
        <v>0.06</v>
      </c>
      <c r="C4224">
        <f t="shared" si="130"/>
        <v>1.6242847120616024</v>
      </c>
      <c r="D4224">
        <v>4</v>
      </c>
      <c r="E4224">
        <f t="shared" si="131"/>
        <v>5.6698676921705889E-2</v>
      </c>
    </row>
    <row r="4225" spans="1:5" x14ac:dyDescent="0.25">
      <c r="A4225">
        <v>0</v>
      </c>
      <c r="B4225">
        <v>0.06</v>
      </c>
      <c r="C4225">
        <f t="shared" si="130"/>
        <v>1.6242847120616024</v>
      </c>
      <c r="D4225">
        <v>4</v>
      </c>
      <c r="E4225">
        <f t="shared" si="131"/>
        <v>5.6698676921705889E-2</v>
      </c>
    </row>
    <row r="4226" spans="1:5" x14ac:dyDescent="0.25">
      <c r="A4226">
        <v>0</v>
      </c>
      <c r="B4226">
        <v>0.06</v>
      </c>
      <c r="C4226">
        <f t="shared" ref="C4226:C4289" si="132">_xlfn.NORM.DIST(B4226,I$10,I$13,FALSE)</f>
        <v>1.6242847120616024</v>
      </c>
      <c r="D4226">
        <v>4</v>
      </c>
      <c r="E4226">
        <f t="shared" si="131"/>
        <v>5.6698676921705889E-2</v>
      </c>
    </row>
    <row r="4227" spans="1:5" x14ac:dyDescent="0.25">
      <c r="A4227">
        <v>0</v>
      </c>
      <c r="B4227">
        <v>0.06</v>
      </c>
      <c r="C4227">
        <f t="shared" si="132"/>
        <v>1.6242847120616024</v>
      </c>
      <c r="D4227">
        <v>4</v>
      </c>
      <c r="E4227">
        <f t="shared" ref="E4227:E4290" si="133">_xlfn.NORM.DIST(D4227,I$4,I$7,FALSE)</f>
        <v>5.6698676921705889E-2</v>
      </c>
    </row>
    <row r="4228" spans="1:5" x14ac:dyDescent="0.25">
      <c r="A4228">
        <v>0</v>
      </c>
      <c r="B4228">
        <v>0.06</v>
      </c>
      <c r="C4228">
        <f t="shared" si="132"/>
        <v>1.6242847120616024</v>
      </c>
      <c r="D4228">
        <v>4</v>
      </c>
      <c r="E4228">
        <f t="shared" si="133"/>
        <v>5.6698676921705889E-2</v>
      </c>
    </row>
    <row r="4229" spans="1:5" x14ac:dyDescent="0.25">
      <c r="A4229">
        <v>0</v>
      </c>
      <c r="B4229">
        <v>0.06</v>
      </c>
      <c r="C4229">
        <f t="shared" si="132"/>
        <v>1.6242847120616024</v>
      </c>
      <c r="D4229">
        <v>4</v>
      </c>
      <c r="E4229">
        <f t="shared" si="133"/>
        <v>5.6698676921705889E-2</v>
      </c>
    </row>
    <row r="4230" spans="1:5" x14ac:dyDescent="0.25">
      <c r="A4230">
        <v>0</v>
      </c>
      <c r="B4230">
        <v>0.06</v>
      </c>
      <c r="C4230">
        <f t="shared" si="132"/>
        <v>1.6242847120616024</v>
      </c>
      <c r="D4230">
        <v>4</v>
      </c>
      <c r="E4230">
        <f t="shared" si="133"/>
        <v>5.6698676921705889E-2</v>
      </c>
    </row>
    <row r="4231" spans="1:5" x14ac:dyDescent="0.25">
      <c r="A4231">
        <v>0</v>
      </c>
      <c r="B4231">
        <v>0.06</v>
      </c>
      <c r="C4231">
        <f t="shared" si="132"/>
        <v>1.6242847120616024</v>
      </c>
      <c r="D4231">
        <v>4</v>
      </c>
      <c r="E4231">
        <f t="shared" si="133"/>
        <v>5.6698676921705889E-2</v>
      </c>
    </row>
    <row r="4232" spans="1:5" x14ac:dyDescent="0.25">
      <c r="A4232">
        <v>0</v>
      </c>
      <c r="B4232">
        <v>6.0060060060060101E-2</v>
      </c>
      <c r="C4232">
        <f t="shared" si="132"/>
        <v>1.6242292374678724</v>
      </c>
      <c r="D4232">
        <v>4</v>
      </c>
      <c r="E4232">
        <f t="shared" si="133"/>
        <v>5.6698676921705889E-2</v>
      </c>
    </row>
    <row r="4233" spans="1:5" x14ac:dyDescent="0.25">
      <c r="A4233">
        <v>0</v>
      </c>
      <c r="B4233">
        <v>6.0060060060060101E-2</v>
      </c>
      <c r="C4233">
        <f t="shared" si="132"/>
        <v>1.6242292374678724</v>
      </c>
      <c r="D4233">
        <v>4</v>
      </c>
      <c r="E4233">
        <f t="shared" si="133"/>
        <v>5.6698676921705889E-2</v>
      </c>
    </row>
    <row r="4234" spans="1:5" x14ac:dyDescent="0.25">
      <c r="A4234">
        <v>0</v>
      </c>
      <c r="B4234">
        <v>6.0060060060060101E-2</v>
      </c>
      <c r="C4234">
        <f t="shared" si="132"/>
        <v>1.6242292374678724</v>
      </c>
      <c r="D4234">
        <v>4</v>
      </c>
      <c r="E4234">
        <f t="shared" si="133"/>
        <v>5.6698676921705889E-2</v>
      </c>
    </row>
    <row r="4235" spans="1:5" x14ac:dyDescent="0.25">
      <c r="A4235">
        <v>0</v>
      </c>
      <c r="B4235">
        <v>6.0060060060060101E-2</v>
      </c>
      <c r="C4235">
        <f t="shared" si="132"/>
        <v>1.6242292374678724</v>
      </c>
      <c r="D4235">
        <v>4</v>
      </c>
      <c r="E4235">
        <f t="shared" si="133"/>
        <v>5.6698676921705889E-2</v>
      </c>
    </row>
    <row r="4236" spans="1:5" x14ac:dyDescent="0.25">
      <c r="A4236">
        <v>0</v>
      </c>
      <c r="B4236">
        <v>6.0060060060060101E-2</v>
      </c>
      <c r="C4236">
        <f t="shared" si="132"/>
        <v>1.6242292374678724</v>
      </c>
      <c r="D4236">
        <v>4</v>
      </c>
      <c r="E4236">
        <f t="shared" si="133"/>
        <v>5.6698676921705889E-2</v>
      </c>
    </row>
    <row r="4237" spans="1:5" x14ac:dyDescent="0.25">
      <c r="A4237">
        <v>0</v>
      </c>
      <c r="B4237">
        <v>6.0060060060060101E-2</v>
      </c>
      <c r="C4237">
        <f t="shared" si="132"/>
        <v>1.6242292374678724</v>
      </c>
      <c r="D4237">
        <v>4</v>
      </c>
      <c r="E4237">
        <f t="shared" si="133"/>
        <v>5.6698676921705889E-2</v>
      </c>
    </row>
    <row r="4238" spans="1:5" x14ac:dyDescent="0.25">
      <c r="A4238">
        <v>0</v>
      </c>
      <c r="B4238">
        <v>6.0060060060060101E-2</v>
      </c>
      <c r="C4238">
        <f t="shared" si="132"/>
        <v>1.6242292374678724</v>
      </c>
      <c r="D4238">
        <v>4</v>
      </c>
      <c r="E4238">
        <f t="shared" si="133"/>
        <v>5.6698676921705889E-2</v>
      </c>
    </row>
    <row r="4239" spans="1:5" x14ac:dyDescent="0.25">
      <c r="A4239">
        <v>0</v>
      </c>
      <c r="B4239">
        <v>6.0060060060060101E-2</v>
      </c>
      <c r="C4239">
        <f t="shared" si="132"/>
        <v>1.6242292374678724</v>
      </c>
      <c r="D4239">
        <v>4</v>
      </c>
      <c r="E4239">
        <f t="shared" si="133"/>
        <v>5.6698676921705889E-2</v>
      </c>
    </row>
    <row r="4240" spans="1:5" x14ac:dyDescent="0.25">
      <c r="A4240">
        <v>0</v>
      </c>
      <c r="B4240">
        <v>6.0060060060060101E-2</v>
      </c>
      <c r="C4240">
        <f t="shared" si="132"/>
        <v>1.6242292374678724</v>
      </c>
      <c r="D4240">
        <v>4</v>
      </c>
      <c r="E4240">
        <f t="shared" si="133"/>
        <v>5.6698676921705889E-2</v>
      </c>
    </row>
    <row r="4241" spans="1:5" x14ac:dyDescent="0.25">
      <c r="A4241">
        <v>0</v>
      </c>
      <c r="B4241">
        <v>6.0606060606060601E-2</v>
      </c>
      <c r="C4241">
        <f t="shared" si="132"/>
        <v>1.6237204705408408</v>
      </c>
      <c r="D4241">
        <v>4</v>
      </c>
      <c r="E4241">
        <f t="shared" si="133"/>
        <v>5.6698676921705889E-2</v>
      </c>
    </row>
    <row r="4242" spans="1:5" x14ac:dyDescent="0.25">
      <c r="A4242">
        <v>0</v>
      </c>
      <c r="B4242">
        <v>6.0606060606060601E-2</v>
      </c>
      <c r="C4242">
        <f t="shared" si="132"/>
        <v>1.6237204705408408</v>
      </c>
      <c r="D4242">
        <v>4</v>
      </c>
      <c r="E4242">
        <f t="shared" si="133"/>
        <v>5.6698676921705889E-2</v>
      </c>
    </row>
    <row r="4243" spans="1:5" x14ac:dyDescent="0.25">
      <c r="A4243">
        <v>0</v>
      </c>
      <c r="B4243">
        <v>6.0606060606060601E-2</v>
      </c>
      <c r="C4243">
        <f t="shared" si="132"/>
        <v>1.6237204705408408</v>
      </c>
      <c r="D4243">
        <v>4</v>
      </c>
      <c r="E4243">
        <f t="shared" si="133"/>
        <v>5.6698676921705889E-2</v>
      </c>
    </row>
    <row r="4244" spans="1:5" x14ac:dyDescent="0.25">
      <c r="A4244">
        <v>0</v>
      </c>
      <c r="B4244">
        <v>6.0606060606060601E-2</v>
      </c>
      <c r="C4244">
        <f t="shared" si="132"/>
        <v>1.6237204705408408</v>
      </c>
      <c r="D4244">
        <v>4</v>
      </c>
      <c r="E4244">
        <f t="shared" si="133"/>
        <v>5.6698676921705889E-2</v>
      </c>
    </row>
    <row r="4245" spans="1:5" x14ac:dyDescent="0.25">
      <c r="A4245">
        <v>0</v>
      </c>
      <c r="B4245">
        <v>6.0606060606060601E-2</v>
      </c>
      <c r="C4245">
        <f t="shared" si="132"/>
        <v>1.6237204705408408</v>
      </c>
      <c r="D4245">
        <v>4</v>
      </c>
      <c r="E4245">
        <f t="shared" si="133"/>
        <v>5.6698676921705889E-2</v>
      </c>
    </row>
    <row r="4246" spans="1:5" x14ac:dyDescent="0.25">
      <c r="A4246">
        <v>0</v>
      </c>
      <c r="B4246">
        <v>6.0606060606060601E-2</v>
      </c>
      <c r="C4246">
        <f t="shared" si="132"/>
        <v>1.6237204705408408</v>
      </c>
      <c r="D4246">
        <v>4</v>
      </c>
      <c r="E4246">
        <f t="shared" si="133"/>
        <v>5.6698676921705889E-2</v>
      </c>
    </row>
    <row r="4247" spans="1:5" x14ac:dyDescent="0.25">
      <c r="A4247">
        <v>0</v>
      </c>
      <c r="B4247">
        <v>6.0666666666666702E-2</v>
      </c>
      <c r="C4247">
        <f t="shared" si="132"/>
        <v>1.6236635029377049</v>
      </c>
      <c r="D4247">
        <v>4</v>
      </c>
      <c r="E4247">
        <f t="shared" si="133"/>
        <v>5.6698676921705889E-2</v>
      </c>
    </row>
    <row r="4248" spans="1:5" x14ac:dyDescent="0.25">
      <c r="A4248">
        <v>0</v>
      </c>
      <c r="B4248">
        <v>6.0747663551401897E-2</v>
      </c>
      <c r="C4248">
        <f t="shared" si="132"/>
        <v>1.6235872144636101</v>
      </c>
      <c r="D4248">
        <v>4</v>
      </c>
      <c r="E4248">
        <f t="shared" si="133"/>
        <v>5.6698676921705889E-2</v>
      </c>
    </row>
    <row r="4249" spans="1:5" x14ac:dyDescent="0.25">
      <c r="A4249">
        <v>0</v>
      </c>
      <c r="B4249">
        <v>6.0747663551401897E-2</v>
      </c>
      <c r="C4249">
        <f t="shared" si="132"/>
        <v>1.6235872144636101</v>
      </c>
      <c r="D4249">
        <v>4</v>
      </c>
      <c r="E4249">
        <f t="shared" si="133"/>
        <v>5.6698676921705889E-2</v>
      </c>
    </row>
    <row r="4250" spans="1:5" x14ac:dyDescent="0.25">
      <c r="A4250">
        <v>0</v>
      </c>
      <c r="B4250">
        <v>6.0747663551401897E-2</v>
      </c>
      <c r="C4250">
        <f t="shared" si="132"/>
        <v>1.6235872144636101</v>
      </c>
      <c r="D4250">
        <v>4</v>
      </c>
      <c r="E4250">
        <f t="shared" si="133"/>
        <v>5.6698676921705889E-2</v>
      </c>
    </row>
    <row r="4251" spans="1:5" x14ac:dyDescent="0.25">
      <c r="A4251">
        <v>0</v>
      </c>
      <c r="B4251">
        <v>6.0747663551401897E-2</v>
      </c>
      <c r="C4251">
        <f t="shared" si="132"/>
        <v>1.6235872144636101</v>
      </c>
      <c r="D4251">
        <v>4</v>
      </c>
      <c r="E4251">
        <f t="shared" si="133"/>
        <v>5.6698676921705889E-2</v>
      </c>
    </row>
    <row r="4252" spans="1:5" x14ac:dyDescent="0.25">
      <c r="A4252">
        <v>0</v>
      </c>
      <c r="B4252">
        <v>6.1333333333333302E-2</v>
      </c>
      <c r="C4252">
        <f t="shared" si="132"/>
        <v>1.6230303429923885</v>
      </c>
      <c r="D4252">
        <v>4</v>
      </c>
      <c r="E4252">
        <f t="shared" si="133"/>
        <v>5.6698676921705889E-2</v>
      </c>
    </row>
    <row r="4253" spans="1:5" x14ac:dyDescent="0.25">
      <c r="A4253">
        <v>0</v>
      </c>
      <c r="B4253">
        <v>6.1333333333333302E-2</v>
      </c>
      <c r="C4253">
        <f t="shared" si="132"/>
        <v>1.6230303429923885</v>
      </c>
      <c r="D4253">
        <v>4</v>
      </c>
      <c r="E4253">
        <f t="shared" si="133"/>
        <v>5.6698676921705889E-2</v>
      </c>
    </row>
    <row r="4254" spans="1:5" x14ac:dyDescent="0.25">
      <c r="A4254">
        <v>0</v>
      </c>
      <c r="B4254">
        <v>6.1333333333333302E-2</v>
      </c>
      <c r="C4254">
        <f t="shared" si="132"/>
        <v>1.6230303429923885</v>
      </c>
      <c r="D4254">
        <v>4</v>
      </c>
      <c r="E4254">
        <f t="shared" si="133"/>
        <v>5.6698676921705889E-2</v>
      </c>
    </row>
    <row r="4255" spans="1:5" x14ac:dyDescent="0.25">
      <c r="A4255">
        <v>0</v>
      </c>
      <c r="B4255">
        <v>6.1333333333333302E-2</v>
      </c>
      <c r="C4255">
        <f t="shared" si="132"/>
        <v>1.6230303429923885</v>
      </c>
      <c r="D4255">
        <v>4</v>
      </c>
      <c r="E4255">
        <f t="shared" si="133"/>
        <v>5.6698676921705889E-2</v>
      </c>
    </row>
    <row r="4256" spans="1:5" x14ac:dyDescent="0.25">
      <c r="A4256">
        <v>0</v>
      </c>
      <c r="B4256">
        <v>6.1333333333333302E-2</v>
      </c>
      <c r="C4256">
        <f t="shared" si="132"/>
        <v>1.6230303429923885</v>
      </c>
      <c r="D4256">
        <v>4</v>
      </c>
      <c r="E4256">
        <f t="shared" si="133"/>
        <v>5.6698676921705889E-2</v>
      </c>
    </row>
    <row r="4257" spans="1:5" x14ac:dyDescent="0.25">
      <c r="A4257">
        <v>0</v>
      </c>
      <c r="B4257">
        <v>6.1333333333333302E-2</v>
      </c>
      <c r="C4257">
        <f t="shared" si="132"/>
        <v>1.6230303429923885</v>
      </c>
      <c r="D4257">
        <v>4</v>
      </c>
      <c r="E4257">
        <f t="shared" si="133"/>
        <v>5.6698676921705889E-2</v>
      </c>
    </row>
    <row r="4258" spans="1:5" x14ac:dyDescent="0.25">
      <c r="A4258">
        <v>0</v>
      </c>
      <c r="B4258">
        <v>6.1333333333333302E-2</v>
      </c>
      <c r="C4258">
        <f t="shared" si="132"/>
        <v>1.6230303429923885</v>
      </c>
      <c r="D4258">
        <v>4</v>
      </c>
      <c r="E4258">
        <f t="shared" si="133"/>
        <v>5.6698676921705889E-2</v>
      </c>
    </row>
    <row r="4259" spans="1:5" x14ac:dyDescent="0.25">
      <c r="A4259">
        <v>0</v>
      </c>
      <c r="B4259">
        <v>6.1333333333333302E-2</v>
      </c>
      <c r="C4259">
        <f t="shared" si="132"/>
        <v>1.6230303429923885</v>
      </c>
      <c r="D4259">
        <v>4</v>
      </c>
      <c r="E4259">
        <f t="shared" si="133"/>
        <v>5.6698676921705889E-2</v>
      </c>
    </row>
    <row r="4260" spans="1:5" x14ac:dyDescent="0.25">
      <c r="A4260">
        <v>0</v>
      </c>
      <c r="B4260">
        <v>6.1333333333333302E-2</v>
      </c>
      <c r="C4260">
        <f t="shared" si="132"/>
        <v>1.6230303429923885</v>
      </c>
      <c r="D4260">
        <v>4</v>
      </c>
      <c r="E4260">
        <f t="shared" si="133"/>
        <v>5.6698676921705889E-2</v>
      </c>
    </row>
    <row r="4261" spans="1:5" x14ac:dyDescent="0.25">
      <c r="A4261">
        <v>0</v>
      </c>
      <c r="B4261">
        <v>6.1666666666666703E-2</v>
      </c>
      <c r="C4261">
        <f t="shared" si="132"/>
        <v>1.6227092858789127</v>
      </c>
      <c r="D4261">
        <v>4</v>
      </c>
      <c r="E4261">
        <f t="shared" si="133"/>
        <v>5.6698676921705889E-2</v>
      </c>
    </row>
    <row r="4262" spans="1:5" x14ac:dyDescent="0.25">
      <c r="A4262">
        <v>0</v>
      </c>
      <c r="B4262">
        <v>6.1666666666666703E-2</v>
      </c>
      <c r="C4262">
        <f t="shared" si="132"/>
        <v>1.6227092858789127</v>
      </c>
      <c r="D4262">
        <v>4</v>
      </c>
      <c r="E4262">
        <f t="shared" si="133"/>
        <v>5.6698676921705889E-2</v>
      </c>
    </row>
    <row r="4263" spans="1:5" x14ac:dyDescent="0.25">
      <c r="A4263">
        <v>0</v>
      </c>
      <c r="B4263">
        <v>6.1666666666666703E-2</v>
      </c>
      <c r="C4263">
        <f t="shared" si="132"/>
        <v>1.6227092858789127</v>
      </c>
      <c r="D4263">
        <v>4</v>
      </c>
      <c r="E4263">
        <f t="shared" si="133"/>
        <v>5.6698676921705889E-2</v>
      </c>
    </row>
    <row r="4264" spans="1:5" x14ac:dyDescent="0.25">
      <c r="A4264">
        <v>0</v>
      </c>
      <c r="B4264">
        <v>6.2E-2</v>
      </c>
      <c r="C4264">
        <f t="shared" si="132"/>
        <v>1.6223852463936712</v>
      </c>
      <c r="D4264">
        <v>4</v>
      </c>
      <c r="E4264">
        <f t="shared" si="133"/>
        <v>5.6698676921705889E-2</v>
      </c>
    </row>
    <row r="4265" spans="1:5" x14ac:dyDescent="0.25">
      <c r="A4265">
        <v>0</v>
      </c>
      <c r="B4265">
        <v>6.2E-2</v>
      </c>
      <c r="C4265">
        <f t="shared" si="132"/>
        <v>1.6223852463936712</v>
      </c>
      <c r="D4265">
        <v>4</v>
      </c>
      <c r="E4265">
        <f t="shared" si="133"/>
        <v>5.6698676921705889E-2</v>
      </c>
    </row>
    <row r="4266" spans="1:5" x14ac:dyDescent="0.25">
      <c r="A4266">
        <v>0</v>
      </c>
      <c r="B4266">
        <v>6.2E-2</v>
      </c>
      <c r="C4266">
        <f t="shared" si="132"/>
        <v>1.6223852463936712</v>
      </c>
      <c r="D4266">
        <v>4</v>
      </c>
      <c r="E4266">
        <f t="shared" si="133"/>
        <v>5.6698676921705889E-2</v>
      </c>
    </row>
    <row r="4267" spans="1:5" x14ac:dyDescent="0.25">
      <c r="A4267">
        <v>0</v>
      </c>
      <c r="B4267">
        <v>6.2E-2</v>
      </c>
      <c r="C4267">
        <f t="shared" si="132"/>
        <v>1.6223852463936712</v>
      </c>
      <c r="D4267">
        <v>4</v>
      </c>
      <c r="E4267">
        <f t="shared" si="133"/>
        <v>5.6698676921705889E-2</v>
      </c>
    </row>
    <row r="4268" spans="1:5" x14ac:dyDescent="0.25">
      <c r="A4268">
        <v>0</v>
      </c>
      <c r="B4268">
        <v>6.2E-2</v>
      </c>
      <c r="C4268">
        <f t="shared" si="132"/>
        <v>1.6223852463936712</v>
      </c>
      <c r="D4268">
        <v>4</v>
      </c>
      <c r="E4268">
        <f t="shared" si="133"/>
        <v>5.6698676921705889E-2</v>
      </c>
    </row>
    <row r="4269" spans="1:5" x14ac:dyDescent="0.25">
      <c r="A4269">
        <v>0</v>
      </c>
      <c r="B4269">
        <v>6.2E-2</v>
      </c>
      <c r="C4269">
        <f t="shared" si="132"/>
        <v>1.6223852463936712</v>
      </c>
      <c r="D4269">
        <v>4</v>
      </c>
      <c r="E4269">
        <f t="shared" si="133"/>
        <v>5.6698676921705889E-2</v>
      </c>
    </row>
    <row r="4270" spans="1:5" x14ac:dyDescent="0.25">
      <c r="A4270">
        <v>0</v>
      </c>
      <c r="B4270">
        <v>6.2874251497005998E-2</v>
      </c>
      <c r="C4270">
        <f t="shared" si="132"/>
        <v>1.6215212150479212</v>
      </c>
      <c r="D4270">
        <v>4</v>
      </c>
      <c r="E4270">
        <f t="shared" si="133"/>
        <v>5.6698676921705889E-2</v>
      </c>
    </row>
    <row r="4271" spans="1:5" x14ac:dyDescent="0.25">
      <c r="A4271">
        <v>0</v>
      </c>
      <c r="B4271">
        <v>6.2874251497005998E-2</v>
      </c>
      <c r="C4271">
        <f t="shared" si="132"/>
        <v>1.6215212150479212</v>
      </c>
      <c r="D4271">
        <v>4</v>
      </c>
      <c r="E4271">
        <f t="shared" si="133"/>
        <v>5.6698676921705889E-2</v>
      </c>
    </row>
    <row r="4272" spans="1:5" x14ac:dyDescent="0.25">
      <c r="A4272">
        <v>0</v>
      </c>
      <c r="B4272">
        <v>6.2874251497005998E-2</v>
      </c>
      <c r="C4272">
        <f t="shared" si="132"/>
        <v>1.6215212150479212</v>
      </c>
      <c r="D4272">
        <v>4</v>
      </c>
      <c r="E4272">
        <f t="shared" si="133"/>
        <v>5.6698676921705889E-2</v>
      </c>
    </row>
    <row r="4273" spans="1:5" x14ac:dyDescent="0.25">
      <c r="A4273">
        <v>0</v>
      </c>
      <c r="B4273">
        <v>6.2874251497005998E-2</v>
      </c>
      <c r="C4273">
        <f t="shared" si="132"/>
        <v>1.6215212150479212</v>
      </c>
      <c r="D4273">
        <v>4</v>
      </c>
      <c r="E4273">
        <f t="shared" si="133"/>
        <v>5.6698676921705889E-2</v>
      </c>
    </row>
    <row r="4274" spans="1:5" x14ac:dyDescent="0.25">
      <c r="A4274">
        <v>0</v>
      </c>
      <c r="B4274">
        <v>6.2937062937062901E-2</v>
      </c>
      <c r="C4274">
        <f t="shared" si="132"/>
        <v>1.6214583493277801</v>
      </c>
      <c r="D4274">
        <v>4</v>
      </c>
      <c r="E4274">
        <f t="shared" si="133"/>
        <v>5.6698676921705889E-2</v>
      </c>
    </row>
    <row r="4275" spans="1:5" x14ac:dyDescent="0.25">
      <c r="A4275">
        <v>0</v>
      </c>
      <c r="B4275">
        <v>6.2937062937062901E-2</v>
      </c>
      <c r="C4275">
        <f t="shared" si="132"/>
        <v>1.6214583493277801</v>
      </c>
      <c r="D4275">
        <v>4</v>
      </c>
      <c r="E4275">
        <f t="shared" si="133"/>
        <v>5.6698676921705889E-2</v>
      </c>
    </row>
    <row r="4276" spans="1:5" x14ac:dyDescent="0.25">
      <c r="A4276">
        <v>0</v>
      </c>
      <c r="B4276">
        <v>6.3E-2</v>
      </c>
      <c r="C4276">
        <f t="shared" si="132"/>
        <v>1.6213952519108101</v>
      </c>
      <c r="D4276">
        <v>4</v>
      </c>
      <c r="E4276">
        <f t="shared" si="133"/>
        <v>5.6698676921705889E-2</v>
      </c>
    </row>
    <row r="4277" spans="1:5" x14ac:dyDescent="0.25">
      <c r="A4277">
        <v>0</v>
      </c>
      <c r="B4277">
        <v>6.3063063063063099E-2</v>
      </c>
      <c r="C4277">
        <f t="shared" si="132"/>
        <v>1.6213319217953039</v>
      </c>
      <c r="D4277">
        <v>4</v>
      </c>
      <c r="E4277">
        <f t="shared" si="133"/>
        <v>5.6698676921705889E-2</v>
      </c>
    </row>
    <row r="4278" spans="1:5" x14ac:dyDescent="0.25">
      <c r="A4278">
        <v>0</v>
      </c>
      <c r="B4278">
        <v>6.3063063063063099E-2</v>
      </c>
      <c r="C4278">
        <f t="shared" si="132"/>
        <v>1.6213319217953039</v>
      </c>
      <c r="D4278">
        <v>4</v>
      </c>
      <c r="E4278">
        <f t="shared" si="133"/>
        <v>5.6698676921705889E-2</v>
      </c>
    </row>
    <row r="4279" spans="1:5" x14ac:dyDescent="0.25">
      <c r="A4279">
        <v>0</v>
      </c>
      <c r="B4279">
        <v>6.3063063063063099E-2</v>
      </c>
      <c r="C4279">
        <f t="shared" si="132"/>
        <v>1.6213319217953039</v>
      </c>
      <c r="D4279">
        <v>4</v>
      </c>
      <c r="E4279">
        <f t="shared" si="133"/>
        <v>5.6698676921705889E-2</v>
      </c>
    </row>
    <row r="4280" spans="1:5" x14ac:dyDescent="0.25">
      <c r="A4280">
        <v>0</v>
      </c>
      <c r="B4280">
        <v>6.3063063063063099E-2</v>
      </c>
      <c r="C4280">
        <f t="shared" si="132"/>
        <v>1.6213319217953039</v>
      </c>
      <c r="D4280">
        <v>4</v>
      </c>
      <c r="E4280">
        <f t="shared" si="133"/>
        <v>5.6698676921705889E-2</v>
      </c>
    </row>
    <row r="4281" spans="1:5" x14ac:dyDescent="0.25">
      <c r="A4281">
        <v>0</v>
      </c>
      <c r="B4281">
        <v>6.3063063063063099E-2</v>
      </c>
      <c r="C4281">
        <f t="shared" si="132"/>
        <v>1.6213319217953039</v>
      </c>
      <c r="D4281">
        <v>4</v>
      </c>
      <c r="E4281">
        <f t="shared" si="133"/>
        <v>5.6698676921705889E-2</v>
      </c>
    </row>
    <row r="4282" spans="1:5" x14ac:dyDescent="0.25">
      <c r="A4282">
        <v>0</v>
      </c>
      <c r="B4282">
        <v>6.3063063063063099E-2</v>
      </c>
      <c r="C4282">
        <f t="shared" si="132"/>
        <v>1.6213319217953039</v>
      </c>
      <c r="D4282">
        <v>4</v>
      </c>
      <c r="E4282">
        <f t="shared" si="133"/>
        <v>5.6698676921705889E-2</v>
      </c>
    </row>
    <row r="4283" spans="1:5" x14ac:dyDescent="0.25">
      <c r="A4283">
        <v>0</v>
      </c>
      <c r="B4283">
        <v>6.3084112149532703E-2</v>
      </c>
      <c r="C4283">
        <f t="shared" si="132"/>
        <v>1.6213107598721366</v>
      </c>
      <c r="D4283">
        <v>4</v>
      </c>
      <c r="E4283">
        <f t="shared" si="133"/>
        <v>5.6698676921705889E-2</v>
      </c>
    </row>
    <row r="4284" spans="1:5" x14ac:dyDescent="0.25">
      <c r="A4284">
        <v>0</v>
      </c>
      <c r="B4284">
        <v>6.3084112149532703E-2</v>
      </c>
      <c r="C4284">
        <f t="shared" si="132"/>
        <v>1.6213107598721366</v>
      </c>
      <c r="D4284">
        <v>4</v>
      </c>
      <c r="E4284">
        <f t="shared" si="133"/>
        <v>5.6698676921705889E-2</v>
      </c>
    </row>
    <row r="4285" spans="1:5" x14ac:dyDescent="0.25">
      <c r="A4285">
        <v>0</v>
      </c>
      <c r="B4285">
        <v>6.3333333333333297E-2</v>
      </c>
      <c r="C4285">
        <f t="shared" si="132"/>
        <v>1.6210593012240058</v>
      </c>
      <c r="D4285">
        <v>4</v>
      </c>
      <c r="E4285">
        <f t="shared" si="133"/>
        <v>5.6698676921705889E-2</v>
      </c>
    </row>
    <row r="4286" spans="1:5" x14ac:dyDescent="0.25">
      <c r="A4286">
        <v>0</v>
      </c>
      <c r="B4286">
        <v>6.3333333333333297E-2</v>
      </c>
      <c r="C4286">
        <f t="shared" si="132"/>
        <v>1.6210593012240058</v>
      </c>
      <c r="D4286">
        <v>4</v>
      </c>
      <c r="E4286">
        <f t="shared" si="133"/>
        <v>5.6698676921705889E-2</v>
      </c>
    </row>
    <row r="4287" spans="1:5" x14ac:dyDescent="0.25">
      <c r="A4287">
        <v>0</v>
      </c>
      <c r="B4287">
        <v>6.4000000000000001E-2</v>
      </c>
      <c r="C4287">
        <f t="shared" si="132"/>
        <v>1.6203784823033685</v>
      </c>
      <c r="D4287">
        <v>4</v>
      </c>
      <c r="E4287">
        <f t="shared" si="133"/>
        <v>5.6698676921705889E-2</v>
      </c>
    </row>
    <row r="4288" spans="1:5" x14ac:dyDescent="0.25">
      <c r="A4288">
        <v>0</v>
      </c>
      <c r="B4288">
        <v>6.4000000000000001E-2</v>
      </c>
      <c r="C4288">
        <f t="shared" si="132"/>
        <v>1.6203784823033685</v>
      </c>
      <c r="D4288">
        <v>4</v>
      </c>
      <c r="E4288">
        <f t="shared" si="133"/>
        <v>5.6698676921705889E-2</v>
      </c>
    </row>
    <row r="4289" spans="1:5" x14ac:dyDescent="0.25">
      <c r="A4289">
        <v>0</v>
      </c>
      <c r="B4289">
        <v>6.4000000000000001E-2</v>
      </c>
      <c r="C4289">
        <f t="shared" si="132"/>
        <v>1.6203784823033685</v>
      </c>
      <c r="D4289">
        <v>4</v>
      </c>
      <c r="E4289">
        <f t="shared" si="133"/>
        <v>5.6698676921705889E-2</v>
      </c>
    </row>
    <row r="4290" spans="1:5" x14ac:dyDescent="0.25">
      <c r="A4290">
        <v>0</v>
      </c>
      <c r="B4290">
        <v>6.4000000000000001E-2</v>
      </c>
      <c r="C4290">
        <f t="shared" ref="C4290:C4353" si="134">_xlfn.NORM.DIST(B4290,I$10,I$13,FALSE)</f>
        <v>1.6203784823033685</v>
      </c>
      <c r="D4290">
        <v>4</v>
      </c>
      <c r="E4290">
        <f t="shared" si="133"/>
        <v>5.6698676921705889E-2</v>
      </c>
    </row>
    <row r="4291" spans="1:5" x14ac:dyDescent="0.25">
      <c r="A4291">
        <v>0</v>
      </c>
      <c r="B4291">
        <v>6.4000000000000001E-2</v>
      </c>
      <c r="C4291">
        <f t="shared" si="134"/>
        <v>1.6203784823033685</v>
      </c>
      <c r="D4291">
        <v>4</v>
      </c>
      <c r="E4291">
        <f t="shared" ref="E4291:E4354" si="135">_xlfn.NORM.DIST(D4291,I$4,I$7,FALSE)</f>
        <v>5.6698676921705889E-2</v>
      </c>
    </row>
    <row r="4292" spans="1:5" x14ac:dyDescent="0.25">
      <c r="A4292">
        <v>0</v>
      </c>
      <c r="B4292">
        <v>6.4000000000000001E-2</v>
      </c>
      <c r="C4292">
        <f t="shared" si="134"/>
        <v>1.6203784823033685</v>
      </c>
      <c r="D4292">
        <v>4</v>
      </c>
      <c r="E4292">
        <f t="shared" si="135"/>
        <v>5.6698676921705889E-2</v>
      </c>
    </row>
    <row r="4293" spans="1:5" x14ac:dyDescent="0.25">
      <c r="A4293">
        <v>0</v>
      </c>
      <c r="B4293">
        <v>6.4000000000000001E-2</v>
      </c>
      <c r="C4293">
        <f t="shared" si="134"/>
        <v>1.6203784823033685</v>
      </c>
      <c r="D4293">
        <v>4</v>
      </c>
      <c r="E4293">
        <f t="shared" si="135"/>
        <v>5.6698676921705889E-2</v>
      </c>
    </row>
    <row r="4294" spans="1:5" x14ac:dyDescent="0.25">
      <c r="A4294">
        <v>0</v>
      </c>
      <c r="B4294">
        <v>6.4000000000000001E-2</v>
      </c>
      <c r="C4294">
        <f t="shared" si="134"/>
        <v>1.6203784823033685</v>
      </c>
      <c r="D4294">
        <v>4</v>
      </c>
      <c r="E4294">
        <f t="shared" si="135"/>
        <v>5.6698676921705889E-2</v>
      </c>
    </row>
    <row r="4295" spans="1:5" x14ac:dyDescent="0.25">
      <c r="A4295">
        <v>0</v>
      </c>
      <c r="B4295">
        <v>6.4000000000000001E-2</v>
      </c>
      <c r="C4295">
        <f t="shared" si="134"/>
        <v>1.6203784823033685</v>
      </c>
      <c r="D4295">
        <v>4</v>
      </c>
      <c r="E4295">
        <f t="shared" si="135"/>
        <v>5.6698676921705889E-2</v>
      </c>
    </row>
    <row r="4296" spans="1:5" x14ac:dyDescent="0.25">
      <c r="A4296">
        <v>0</v>
      </c>
      <c r="B4296">
        <v>6.4000000000000001E-2</v>
      </c>
      <c r="C4296">
        <f t="shared" si="134"/>
        <v>1.6203784823033685</v>
      </c>
      <c r="D4296">
        <v>4</v>
      </c>
      <c r="E4296">
        <f t="shared" si="135"/>
        <v>5.6698676921705889E-2</v>
      </c>
    </row>
    <row r="4297" spans="1:5" x14ac:dyDescent="0.25">
      <c r="A4297">
        <v>0</v>
      </c>
      <c r="B4297">
        <v>6.4000000000000001E-2</v>
      </c>
      <c r="C4297">
        <f t="shared" si="134"/>
        <v>1.6203784823033685</v>
      </c>
      <c r="D4297">
        <v>4</v>
      </c>
      <c r="E4297">
        <f t="shared" si="135"/>
        <v>5.6698676921705889E-2</v>
      </c>
    </row>
    <row r="4298" spans="1:5" x14ac:dyDescent="0.25">
      <c r="A4298">
        <v>0</v>
      </c>
      <c r="B4298">
        <v>6.4000000000000001E-2</v>
      </c>
      <c r="C4298">
        <f t="shared" si="134"/>
        <v>1.6203784823033685</v>
      </c>
      <c r="D4298">
        <v>4</v>
      </c>
      <c r="E4298">
        <f t="shared" si="135"/>
        <v>5.6698676921705889E-2</v>
      </c>
    </row>
    <row r="4299" spans="1:5" x14ac:dyDescent="0.25">
      <c r="A4299">
        <v>0</v>
      </c>
      <c r="B4299">
        <v>6.5000000000000002E-2</v>
      </c>
      <c r="C4299">
        <f t="shared" si="134"/>
        <v>1.6193349887108781</v>
      </c>
      <c r="D4299">
        <v>4</v>
      </c>
      <c r="E4299">
        <f t="shared" si="135"/>
        <v>5.6698676921705889E-2</v>
      </c>
    </row>
    <row r="4300" spans="1:5" x14ac:dyDescent="0.25">
      <c r="A4300">
        <v>0</v>
      </c>
      <c r="B4300">
        <v>6.5000000000000002E-2</v>
      </c>
      <c r="C4300">
        <f t="shared" si="134"/>
        <v>1.6193349887108781</v>
      </c>
      <c r="D4300">
        <v>4</v>
      </c>
      <c r="E4300">
        <f t="shared" si="135"/>
        <v>5.6698676921705889E-2</v>
      </c>
    </row>
    <row r="4301" spans="1:5" x14ac:dyDescent="0.25">
      <c r="A4301">
        <v>0</v>
      </c>
      <c r="B4301">
        <v>6.5268065268065306E-2</v>
      </c>
      <c r="C4301">
        <f t="shared" si="134"/>
        <v>1.6190507289659144</v>
      </c>
      <c r="D4301">
        <v>4</v>
      </c>
      <c r="E4301">
        <f t="shared" si="135"/>
        <v>5.6698676921705889E-2</v>
      </c>
    </row>
    <row r="4302" spans="1:5" x14ac:dyDescent="0.25">
      <c r="A4302">
        <v>0</v>
      </c>
      <c r="B4302">
        <v>6.5268065268065306E-2</v>
      </c>
      <c r="C4302">
        <f t="shared" si="134"/>
        <v>1.6190507289659144</v>
      </c>
      <c r="D4302">
        <v>4</v>
      </c>
      <c r="E4302">
        <f t="shared" si="135"/>
        <v>5.6698676921705889E-2</v>
      </c>
    </row>
    <row r="4303" spans="1:5" x14ac:dyDescent="0.25">
      <c r="A4303">
        <v>0</v>
      </c>
      <c r="B4303">
        <v>6.5268065268065306E-2</v>
      </c>
      <c r="C4303">
        <f t="shared" si="134"/>
        <v>1.6190507289659144</v>
      </c>
      <c r="D4303">
        <v>4</v>
      </c>
      <c r="E4303">
        <f t="shared" si="135"/>
        <v>5.6698676921705889E-2</v>
      </c>
    </row>
    <row r="4304" spans="1:5" x14ac:dyDescent="0.25">
      <c r="A4304">
        <v>0</v>
      </c>
      <c r="B4304">
        <v>6.5268065268065306E-2</v>
      </c>
      <c r="C4304">
        <f t="shared" si="134"/>
        <v>1.6190507289659144</v>
      </c>
      <c r="D4304">
        <v>4</v>
      </c>
      <c r="E4304">
        <f t="shared" si="135"/>
        <v>5.6698676921705889E-2</v>
      </c>
    </row>
    <row r="4305" spans="1:5" x14ac:dyDescent="0.25">
      <c r="A4305">
        <v>0</v>
      </c>
      <c r="B4305">
        <v>6.5420560747663503E-2</v>
      </c>
      <c r="C4305">
        <f t="shared" si="134"/>
        <v>1.6188881659804848</v>
      </c>
      <c r="D4305">
        <v>4</v>
      </c>
      <c r="E4305">
        <f t="shared" si="135"/>
        <v>5.6698676921705889E-2</v>
      </c>
    </row>
    <row r="4306" spans="1:5" x14ac:dyDescent="0.25">
      <c r="A4306">
        <v>0</v>
      </c>
      <c r="B4306">
        <v>6.5420560747663503E-2</v>
      </c>
      <c r="C4306">
        <f t="shared" si="134"/>
        <v>1.6188881659804848</v>
      </c>
      <c r="D4306">
        <v>4</v>
      </c>
      <c r="E4306">
        <f t="shared" si="135"/>
        <v>5.6698676921705889E-2</v>
      </c>
    </row>
    <row r="4307" spans="1:5" x14ac:dyDescent="0.25">
      <c r="A4307">
        <v>0</v>
      </c>
      <c r="B4307">
        <v>6.5420560747663503E-2</v>
      </c>
      <c r="C4307">
        <f t="shared" si="134"/>
        <v>1.6188881659804848</v>
      </c>
      <c r="D4307">
        <v>4</v>
      </c>
      <c r="E4307">
        <f t="shared" si="135"/>
        <v>5.6698676921705889E-2</v>
      </c>
    </row>
    <row r="4308" spans="1:5" x14ac:dyDescent="0.25">
      <c r="A4308">
        <v>0</v>
      </c>
      <c r="B4308">
        <v>6.5868263473053898E-2</v>
      </c>
      <c r="C4308">
        <f t="shared" si="134"/>
        <v>1.6184073268994328</v>
      </c>
      <c r="D4308">
        <v>4</v>
      </c>
      <c r="E4308">
        <f t="shared" si="135"/>
        <v>5.6698676921705889E-2</v>
      </c>
    </row>
    <row r="4309" spans="1:5" x14ac:dyDescent="0.25">
      <c r="A4309">
        <v>0</v>
      </c>
      <c r="B4309">
        <v>6.5868263473053898E-2</v>
      </c>
      <c r="C4309">
        <f t="shared" si="134"/>
        <v>1.6184073268994328</v>
      </c>
      <c r="D4309">
        <v>4</v>
      </c>
      <c r="E4309">
        <f t="shared" si="135"/>
        <v>5.6698676921705889E-2</v>
      </c>
    </row>
    <row r="4310" spans="1:5" x14ac:dyDescent="0.25">
      <c r="A4310">
        <v>0</v>
      </c>
      <c r="B4310">
        <v>6.6000000000000003E-2</v>
      </c>
      <c r="C4310">
        <f t="shared" si="134"/>
        <v>1.6182648235945651</v>
      </c>
      <c r="D4310">
        <v>4</v>
      </c>
      <c r="E4310">
        <f t="shared" si="135"/>
        <v>5.6698676921705889E-2</v>
      </c>
    </row>
    <row r="4311" spans="1:5" x14ac:dyDescent="0.25">
      <c r="A4311">
        <v>0</v>
      </c>
      <c r="B4311">
        <v>6.6000000000000003E-2</v>
      </c>
      <c r="C4311">
        <f t="shared" si="134"/>
        <v>1.6182648235945651</v>
      </c>
      <c r="D4311">
        <v>4</v>
      </c>
      <c r="E4311">
        <f t="shared" si="135"/>
        <v>5.6698676921705889E-2</v>
      </c>
    </row>
    <row r="4312" spans="1:5" x14ac:dyDescent="0.25">
      <c r="A4312">
        <v>0</v>
      </c>
      <c r="B4312">
        <v>6.6000000000000003E-2</v>
      </c>
      <c r="C4312">
        <f t="shared" si="134"/>
        <v>1.6182648235945651</v>
      </c>
      <c r="D4312">
        <v>4</v>
      </c>
      <c r="E4312">
        <f t="shared" si="135"/>
        <v>5.6698676921705889E-2</v>
      </c>
    </row>
    <row r="4313" spans="1:5" x14ac:dyDescent="0.25">
      <c r="A4313">
        <v>0</v>
      </c>
      <c r="B4313">
        <v>6.6000000000000003E-2</v>
      </c>
      <c r="C4313">
        <f t="shared" si="134"/>
        <v>1.6182648235945651</v>
      </c>
      <c r="D4313">
        <v>4</v>
      </c>
      <c r="E4313">
        <f t="shared" si="135"/>
        <v>5.6698676921705889E-2</v>
      </c>
    </row>
    <row r="4314" spans="1:5" x14ac:dyDescent="0.25">
      <c r="A4314">
        <v>0</v>
      </c>
      <c r="B4314">
        <v>6.6000000000000003E-2</v>
      </c>
      <c r="C4314">
        <f t="shared" si="134"/>
        <v>1.6182648235945651</v>
      </c>
      <c r="D4314">
        <v>4</v>
      </c>
      <c r="E4314">
        <f t="shared" si="135"/>
        <v>5.6698676921705889E-2</v>
      </c>
    </row>
    <row r="4315" spans="1:5" x14ac:dyDescent="0.25">
      <c r="A4315">
        <v>0</v>
      </c>
      <c r="B4315">
        <v>6.6000000000000003E-2</v>
      </c>
      <c r="C4315">
        <f t="shared" si="134"/>
        <v>1.6182648235945651</v>
      </c>
      <c r="D4315">
        <v>4</v>
      </c>
      <c r="E4315">
        <f t="shared" si="135"/>
        <v>5.6698676921705889E-2</v>
      </c>
    </row>
    <row r="4316" spans="1:5" x14ac:dyDescent="0.25">
      <c r="A4316">
        <v>0</v>
      </c>
      <c r="B4316">
        <v>6.6000000000000003E-2</v>
      </c>
      <c r="C4316">
        <f t="shared" si="134"/>
        <v>1.6182648235945651</v>
      </c>
      <c r="D4316">
        <v>4</v>
      </c>
      <c r="E4316">
        <f t="shared" si="135"/>
        <v>5.6698676921705889E-2</v>
      </c>
    </row>
    <row r="4317" spans="1:5" x14ac:dyDescent="0.25">
      <c r="A4317">
        <v>0</v>
      </c>
      <c r="B4317">
        <v>6.6066066066066104E-2</v>
      </c>
      <c r="C4317">
        <f t="shared" si="134"/>
        <v>1.6181931840438439</v>
      </c>
      <c r="D4317">
        <v>4</v>
      </c>
      <c r="E4317">
        <f t="shared" si="135"/>
        <v>5.6698676921705889E-2</v>
      </c>
    </row>
    <row r="4318" spans="1:5" x14ac:dyDescent="0.25">
      <c r="A4318">
        <v>0</v>
      </c>
      <c r="B4318">
        <v>6.6066066066066104E-2</v>
      </c>
      <c r="C4318">
        <f t="shared" si="134"/>
        <v>1.6181931840438439</v>
      </c>
      <c r="D4318">
        <v>4</v>
      </c>
      <c r="E4318">
        <f t="shared" si="135"/>
        <v>5.6698676921705889E-2</v>
      </c>
    </row>
    <row r="4319" spans="1:5" x14ac:dyDescent="0.25">
      <c r="A4319">
        <v>0</v>
      </c>
      <c r="B4319">
        <v>6.6066066066066104E-2</v>
      </c>
      <c r="C4319">
        <f t="shared" si="134"/>
        <v>1.6181931840438439</v>
      </c>
      <c r="D4319">
        <v>4</v>
      </c>
      <c r="E4319">
        <f t="shared" si="135"/>
        <v>5.6698676921705889E-2</v>
      </c>
    </row>
    <row r="4320" spans="1:5" x14ac:dyDescent="0.25">
      <c r="A4320">
        <v>0</v>
      </c>
      <c r="B4320">
        <v>6.6066066066066104E-2</v>
      </c>
      <c r="C4320">
        <f t="shared" si="134"/>
        <v>1.6181931840438439</v>
      </c>
      <c r="D4320">
        <v>4</v>
      </c>
      <c r="E4320">
        <f t="shared" si="135"/>
        <v>5.6698676921705889E-2</v>
      </c>
    </row>
    <row r="4321" spans="1:5" x14ac:dyDescent="0.25">
      <c r="A4321">
        <v>0</v>
      </c>
      <c r="B4321">
        <v>6.6066066066066104E-2</v>
      </c>
      <c r="C4321">
        <f t="shared" si="134"/>
        <v>1.6181931840438439</v>
      </c>
      <c r="D4321">
        <v>4</v>
      </c>
      <c r="E4321">
        <f t="shared" si="135"/>
        <v>5.6698676921705889E-2</v>
      </c>
    </row>
    <row r="4322" spans="1:5" x14ac:dyDescent="0.25">
      <c r="A4322">
        <v>0</v>
      </c>
      <c r="B4322">
        <v>6.6066066066066104E-2</v>
      </c>
      <c r="C4322">
        <f t="shared" si="134"/>
        <v>1.6181931840438439</v>
      </c>
      <c r="D4322">
        <v>4</v>
      </c>
      <c r="E4322">
        <f t="shared" si="135"/>
        <v>5.6698676921705889E-2</v>
      </c>
    </row>
    <row r="4323" spans="1:5" x14ac:dyDescent="0.25">
      <c r="A4323">
        <v>0</v>
      </c>
      <c r="B4323">
        <v>6.6066066066066104E-2</v>
      </c>
      <c r="C4323">
        <f t="shared" si="134"/>
        <v>1.6181931840438439</v>
      </c>
      <c r="D4323">
        <v>4</v>
      </c>
      <c r="E4323">
        <f t="shared" si="135"/>
        <v>5.6698676921705889E-2</v>
      </c>
    </row>
    <row r="4324" spans="1:5" x14ac:dyDescent="0.25">
      <c r="A4324">
        <v>0</v>
      </c>
      <c r="B4324">
        <v>6.6066066066066104E-2</v>
      </c>
      <c r="C4324">
        <f t="shared" si="134"/>
        <v>1.6181931840438439</v>
      </c>
      <c r="D4324">
        <v>4</v>
      </c>
      <c r="E4324">
        <f t="shared" si="135"/>
        <v>5.6698676921705889E-2</v>
      </c>
    </row>
    <row r="4325" spans="1:5" x14ac:dyDescent="0.25">
      <c r="A4325">
        <v>0</v>
      </c>
      <c r="B4325">
        <v>6.6066066066066104E-2</v>
      </c>
      <c r="C4325">
        <f t="shared" si="134"/>
        <v>1.6181931840438439</v>
      </c>
      <c r="D4325">
        <v>4</v>
      </c>
      <c r="E4325">
        <f t="shared" si="135"/>
        <v>5.6698676921705889E-2</v>
      </c>
    </row>
    <row r="4326" spans="1:5" x14ac:dyDescent="0.25">
      <c r="A4326">
        <v>0</v>
      </c>
      <c r="B4326">
        <v>6.6066066066066104E-2</v>
      </c>
      <c r="C4326">
        <f t="shared" si="134"/>
        <v>1.6181931840438439</v>
      </c>
      <c r="D4326">
        <v>4</v>
      </c>
      <c r="E4326">
        <f t="shared" si="135"/>
        <v>5.6698676921705889E-2</v>
      </c>
    </row>
    <row r="4327" spans="1:5" x14ac:dyDescent="0.25">
      <c r="A4327">
        <v>0</v>
      </c>
      <c r="B4327">
        <v>6.6066066066066104E-2</v>
      </c>
      <c r="C4327">
        <f t="shared" si="134"/>
        <v>1.6181931840438439</v>
      </c>
      <c r="D4327">
        <v>4</v>
      </c>
      <c r="E4327">
        <f t="shared" si="135"/>
        <v>5.6698676921705889E-2</v>
      </c>
    </row>
    <row r="4328" spans="1:5" x14ac:dyDescent="0.25">
      <c r="A4328">
        <v>0</v>
      </c>
      <c r="B4328">
        <v>6.6666666666666693E-2</v>
      </c>
      <c r="C4328">
        <f t="shared" si="134"/>
        <v>1.6175365891736762</v>
      </c>
      <c r="D4328">
        <v>4</v>
      </c>
      <c r="E4328">
        <f t="shared" si="135"/>
        <v>5.6698676921705889E-2</v>
      </c>
    </row>
    <row r="4329" spans="1:5" x14ac:dyDescent="0.25">
      <c r="A4329">
        <v>0</v>
      </c>
      <c r="B4329">
        <v>6.6666666666666693E-2</v>
      </c>
      <c r="C4329">
        <f t="shared" si="134"/>
        <v>1.6175365891736762</v>
      </c>
      <c r="D4329">
        <v>4</v>
      </c>
      <c r="E4329">
        <f t="shared" si="135"/>
        <v>5.6698676921705889E-2</v>
      </c>
    </row>
    <row r="4330" spans="1:5" x14ac:dyDescent="0.25">
      <c r="A4330">
        <v>0</v>
      </c>
      <c r="B4330">
        <v>6.6666666666666693E-2</v>
      </c>
      <c r="C4330">
        <f t="shared" si="134"/>
        <v>1.6175365891736762</v>
      </c>
      <c r="D4330">
        <v>4</v>
      </c>
      <c r="E4330">
        <f t="shared" si="135"/>
        <v>5.6698676921705889E-2</v>
      </c>
    </row>
    <row r="4331" spans="1:5" x14ac:dyDescent="0.25">
      <c r="A4331">
        <v>0</v>
      </c>
      <c r="B4331">
        <v>6.6666666666666693E-2</v>
      </c>
      <c r="C4331">
        <f t="shared" si="134"/>
        <v>1.6175365891736762</v>
      </c>
      <c r="D4331">
        <v>4</v>
      </c>
      <c r="E4331">
        <f t="shared" si="135"/>
        <v>5.6698676921705889E-2</v>
      </c>
    </row>
    <row r="4332" spans="1:5" x14ac:dyDescent="0.25">
      <c r="A4332">
        <v>0</v>
      </c>
      <c r="B4332">
        <v>6.6666666666666693E-2</v>
      </c>
      <c r="C4332">
        <f t="shared" si="134"/>
        <v>1.6175365891736762</v>
      </c>
      <c r="D4332">
        <v>4</v>
      </c>
      <c r="E4332">
        <f t="shared" si="135"/>
        <v>5.6698676921705889E-2</v>
      </c>
    </row>
    <row r="4333" spans="1:5" x14ac:dyDescent="0.25">
      <c r="A4333">
        <v>0</v>
      </c>
      <c r="B4333">
        <v>6.6666666666666693E-2</v>
      </c>
      <c r="C4333">
        <f t="shared" si="134"/>
        <v>1.6175365891736762</v>
      </c>
      <c r="D4333">
        <v>4</v>
      </c>
      <c r="E4333">
        <f t="shared" si="135"/>
        <v>5.6698676921705889E-2</v>
      </c>
    </row>
    <row r="4334" spans="1:5" x14ac:dyDescent="0.25">
      <c r="A4334">
        <v>0</v>
      </c>
      <c r="B4334">
        <v>6.7333333333333301E-2</v>
      </c>
      <c r="C4334">
        <f t="shared" si="134"/>
        <v>1.6167965408754672</v>
      </c>
      <c r="D4334">
        <v>4</v>
      </c>
      <c r="E4334">
        <f t="shared" si="135"/>
        <v>5.6698676921705889E-2</v>
      </c>
    </row>
    <row r="4335" spans="1:5" x14ac:dyDescent="0.25">
      <c r="A4335">
        <v>0</v>
      </c>
      <c r="B4335">
        <v>6.7333333333333301E-2</v>
      </c>
      <c r="C4335">
        <f t="shared" si="134"/>
        <v>1.6167965408754672</v>
      </c>
      <c r="D4335">
        <v>4</v>
      </c>
      <c r="E4335">
        <f t="shared" si="135"/>
        <v>5.6698676921705889E-2</v>
      </c>
    </row>
    <row r="4336" spans="1:5" x14ac:dyDescent="0.25">
      <c r="A4336">
        <v>0</v>
      </c>
      <c r="B4336">
        <v>6.75990675990676E-2</v>
      </c>
      <c r="C4336">
        <f t="shared" si="134"/>
        <v>1.6164982672346613</v>
      </c>
      <c r="D4336">
        <v>4</v>
      </c>
      <c r="E4336">
        <f t="shared" si="135"/>
        <v>5.6698676921705889E-2</v>
      </c>
    </row>
    <row r="4337" spans="1:5" x14ac:dyDescent="0.25">
      <c r="A4337">
        <v>0</v>
      </c>
      <c r="B4337">
        <v>6.77570093457944E-2</v>
      </c>
      <c r="C4337">
        <f t="shared" si="134"/>
        <v>1.6163200977125225</v>
      </c>
      <c r="D4337">
        <v>4</v>
      </c>
      <c r="E4337">
        <f t="shared" si="135"/>
        <v>5.6698676921705889E-2</v>
      </c>
    </row>
    <row r="4338" spans="1:5" x14ac:dyDescent="0.25">
      <c r="A4338">
        <v>0</v>
      </c>
      <c r="B4338">
        <v>6.77570093457944E-2</v>
      </c>
      <c r="C4338">
        <f t="shared" si="134"/>
        <v>1.6163200977125225</v>
      </c>
      <c r="D4338">
        <v>4</v>
      </c>
      <c r="E4338">
        <f t="shared" si="135"/>
        <v>5.6698676921705889E-2</v>
      </c>
    </row>
    <row r="4339" spans="1:5" x14ac:dyDescent="0.25">
      <c r="A4339">
        <v>0</v>
      </c>
      <c r="B4339">
        <v>6.77570093457944E-2</v>
      </c>
      <c r="C4339">
        <f t="shared" si="134"/>
        <v>1.6163200977125225</v>
      </c>
      <c r="D4339">
        <v>4</v>
      </c>
      <c r="E4339">
        <f t="shared" si="135"/>
        <v>5.6698676921705889E-2</v>
      </c>
    </row>
    <row r="4340" spans="1:5" x14ac:dyDescent="0.25">
      <c r="A4340">
        <v>0</v>
      </c>
      <c r="B4340">
        <v>6.77570093457944E-2</v>
      </c>
      <c r="C4340">
        <f t="shared" si="134"/>
        <v>1.6163200977125225</v>
      </c>
      <c r="D4340">
        <v>4</v>
      </c>
      <c r="E4340">
        <f t="shared" si="135"/>
        <v>5.6698676921705889E-2</v>
      </c>
    </row>
    <row r="4341" spans="1:5" x14ac:dyDescent="0.25">
      <c r="A4341">
        <v>0</v>
      </c>
      <c r="B4341">
        <v>6.8000000000000005E-2</v>
      </c>
      <c r="C4341">
        <f t="shared" si="134"/>
        <v>1.6160446952173644</v>
      </c>
      <c r="D4341">
        <v>4</v>
      </c>
      <c r="E4341">
        <f t="shared" si="135"/>
        <v>5.6698676921705889E-2</v>
      </c>
    </row>
    <row r="4342" spans="1:5" x14ac:dyDescent="0.25">
      <c r="A4342">
        <v>0</v>
      </c>
      <c r="B4342">
        <v>6.8000000000000005E-2</v>
      </c>
      <c r="C4342">
        <f t="shared" si="134"/>
        <v>1.6160446952173644</v>
      </c>
      <c r="D4342">
        <v>4</v>
      </c>
      <c r="E4342">
        <f t="shared" si="135"/>
        <v>5.6698676921705889E-2</v>
      </c>
    </row>
    <row r="4343" spans="1:5" x14ac:dyDescent="0.25">
      <c r="A4343">
        <v>0</v>
      </c>
      <c r="B4343">
        <v>6.8000000000000005E-2</v>
      </c>
      <c r="C4343">
        <f t="shared" si="134"/>
        <v>1.6160446952173644</v>
      </c>
      <c r="D4343">
        <v>4</v>
      </c>
      <c r="E4343">
        <f t="shared" si="135"/>
        <v>5.6698676921705889E-2</v>
      </c>
    </row>
    <row r="4344" spans="1:5" x14ac:dyDescent="0.25">
      <c r="A4344">
        <v>0</v>
      </c>
      <c r="B4344">
        <v>6.8000000000000005E-2</v>
      </c>
      <c r="C4344">
        <f t="shared" si="134"/>
        <v>1.6160446952173644</v>
      </c>
      <c r="D4344">
        <v>4</v>
      </c>
      <c r="E4344">
        <f t="shared" si="135"/>
        <v>5.6698676921705889E-2</v>
      </c>
    </row>
    <row r="4345" spans="1:5" x14ac:dyDescent="0.25">
      <c r="A4345">
        <v>0</v>
      </c>
      <c r="B4345">
        <v>6.8000000000000005E-2</v>
      </c>
      <c r="C4345">
        <f t="shared" si="134"/>
        <v>1.6160446952173644</v>
      </c>
      <c r="D4345">
        <v>4</v>
      </c>
      <c r="E4345">
        <f t="shared" si="135"/>
        <v>5.6698676921705889E-2</v>
      </c>
    </row>
    <row r="4346" spans="1:5" x14ac:dyDescent="0.25">
      <c r="A4346">
        <v>0</v>
      </c>
      <c r="B4346">
        <v>6.8000000000000005E-2</v>
      </c>
      <c r="C4346">
        <f t="shared" si="134"/>
        <v>1.6160446952173644</v>
      </c>
      <c r="D4346">
        <v>4</v>
      </c>
      <c r="E4346">
        <f t="shared" si="135"/>
        <v>5.6698676921705889E-2</v>
      </c>
    </row>
    <row r="4347" spans="1:5" x14ac:dyDescent="0.25">
      <c r="A4347">
        <v>0</v>
      </c>
      <c r="B4347">
        <v>6.8000000000000005E-2</v>
      </c>
      <c r="C4347">
        <f t="shared" si="134"/>
        <v>1.6160446952173644</v>
      </c>
      <c r="D4347">
        <v>4</v>
      </c>
      <c r="E4347">
        <f t="shared" si="135"/>
        <v>5.6698676921705889E-2</v>
      </c>
    </row>
    <row r="4348" spans="1:5" x14ac:dyDescent="0.25">
      <c r="A4348">
        <v>0</v>
      </c>
      <c r="B4348">
        <v>6.8000000000000005E-2</v>
      </c>
      <c r="C4348">
        <f t="shared" si="134"/>
        <v>1.6160446952173644</v>
      </c>
      <c r="D4348">
        <v>4</v>
      </c>
      <c r="E4348">
        <f t="shared" si="135"/>
        <v>5.6698676921705889E-2</v>
      </c>
    </row>
    <row r="4349" spans="1:5" x14ac:dyDescent="0.25">
      <c r="A4349">
        <v>0</v>
      </c>
      <c r="B4349">
        <v>6.8000000000000005E-2</v>
      </c>
      <c r="C4349">
        <f t="shared" si="134"/>
        <v>1.6160446952173644</v>
      </c>
      <c r="D4349">
        <v>4</v>
      </c>
      <c r="E4349">
        <f t="shared" si="135"/>
        <v>5.6698676921705889E-2</v>
      </c>
    </row>
    <row r="4350" spans="1:5" x14ac:dyDescent="0.25">
      <c r="A4350">
        <v>0</v>
      </c>
      <c r="B4350">
        <v>6.8333333333333302E-2</v>
      </c>
      <c r="C4350">
        <f t="shared" si="134"/>
        <v>1.6156643536106405</v>
      </c>
      <c r="D4350">
        <v>4</v>
      </c>
      <c r="E4350">
        <f t="shared" si="135"/>
        <v>5.6698676921705889E-2</v>
      </c>
    </row>
    <row r="4351" spans="1:5" x14ac:dyDescent="0.25">
      <c r="A4351">
        <v>0</v>
      </c>
      <c r="B4351">
        <v>6.8333333333333302E-2</v>
      </c>
      <c r="C4351">
        <f t="shared" si="134"/>
        <v>1.6156643536106405</v>
      </c>
      <c r="D4351">
        <v>4</v>
      </c>
      <c r="E4351">
        <f t="shared" si="135"/>
        <v>5.6698676921705889E-2</v>
      </c>
    </row>
    <row r="4352" spans="1:5" x14ac:dyDescent="0.25">
      <c r="A4352">
        <v>0</v>
      </c>
      <c r="B4352">
        <v>6.8493150684931503E-2</v>
      </c>
      <c r="C4352">
        <f t="shared" si="134"/>
        <v>1.6154809541306443</v>
      </c>
      <c r="D4352">
        <v>4</v>
      </c>
      <c r="E4352">
        <f t="shared" si="135"/>
        <v>5.6698676921705889E-2</v>
      </c>
    </row>
    <row r="4353" spans="1:5" x14ac:dyDescent="0.25">
      <c r="A4353">
        <v>0</v>
      </c>
      <c r="B4353">
        <v>6.8862275449101798E-2</v>
      </c>
      <c r="C4353">
        <f t="shared" si="134"/>
        <v>1.6150547780476523</v>
      </c>
      <c r="D4353">
        <v>4</v>
      </c>
      <c r="E4353">
        <f t="shared" si="135"/>
        <v>5.6698676921705889E-2</v>
      </c>
    </row>
    <row r="4354" spans="1:5" x14ac:dyDescent="0.25">
      <c r="A4354">
        <v>0</v>
      </c>
      <c r="B4354">
        <v>6.8862275449101798E-2</v>
      </c>
      <c r="C4354">
        <f t="shared" ref="C4354:C4417" si="136">_xlfn.NORM.DIST(B4354,I$10,I$13,FALSE)</f>
        <v>1.6150547780476523</v>
      </c>
      <c r="D4354">
        <v>4</v>
      </c>
      <c r="E4354">
        <f t="shared" si="135"/>
        <v>5.6698676921705889E-2</v>
      </c>
    </row>
    <row r="4355" spans="1:5" x14ac:dyDescent="0.25">
      <c r="A4355">
        <v>0</v>
      </c>
      <c r="B4355">
        <v>6.8862275449101798E-2</v>
      </c>
      <c r="C4355">
        <f t="shared" si="136"/>
        <v>1.6150547780476523</v>
      </c>
      <c r="D4355">
        <v>4</v>
      </c>
      <c r="E4355">
        <f t="shared" ref="E4355:E4418" si="137">_xlfn.NORM.DIST(D4355,I$4,I$7,FALSE)</f>
        <v>5.6698676921705889E-2</v>
      </c>
    </row>
    <row r="4356" spans="1:5" x14ac:dyDescent="0.25">
      <c r="A4356">
        <v>0</v>
      </c>
      <c r="B4356">
        <v>6.8862275449101798E-2</v>
      </c>
      <c r="C4356">
        <f t="shared" si="136"/>
        <v>1.6150547780476523</v>
      </c>
      <c r="D4356">
        <v>4</v>
      </c>
      <c r="E4356">
        <f t="shared" si="137"/>
        <v>5.6698676921705889E-2</v>
      </c>
    </row>
    <row r="4357" spans="1:5" x14ac:dyDescent="0.25">
      <c r="A4357">
        <v>0</v>
      </c>
      <c r="B4357">
        <v>6.8862275449101798E-2</v>
      </c>
      <c r="C4357">
        <f t="shared" si="136"/>
        <v>1.6150547780476523</v>
      </c>
      <c r="D4357">
        <v>4</v>
      </c>
      <c r="E4357">
        <f t="shared" si="137"/>
        <v>5.6698676921705889E-2</v>
      </c>
    </row>
    <row r="4358" spans="1:5" x14ac:dyDescent="0.25">
      <c r="A4358">
        <v>0</v>
      </c>
      <c r="B4358">
        <v>6.9069069069069094E-2</v>
      </c>
      <c r="C4358">
        <f t="shared" si="136"/>
        <v>1.6148144471118822</v>
      </c>
      <c r="D4358">
        <v>4</v>
      </c>
      <c r="E4358">
        <f t="shared" si="137"/>
        <v>5.6698676921705889E-2</v>
      </c>
    </row>
    <row r="4359" spans="1:5" x14ac:dyDescent="0.25">
      <c r="A4359">
        <v>0</v>
      </c>
      <c r="B4359">
        <v>6.9069069069069094E-2</v>
      </c>
      <c r="C4359">
        <f t="shared" si="136"/>
        <v>1.6148144471118822</v>
      </c>
      <c r="D4359">
        <v>4</v>
      </c>
      <c r="E4359">
        <f t="shared" si="137"/>
        <v>5.6698676921705889E-2</v>
      </c>
    </row>
    <row r="4360" spans="1:5" x14ac:dyDescent="0.25">
      <c r="A4360">
        <v>0</v>
      </c>
      <c r="B4360">
        <v>6.9069069069069094E-2</v>
      </c>
      <c r="C4360">
        <f t="shared" si="136"/>
        <v>1.6148144471118822</v>
      </c>
      <c r="D4360">
        <v>4</v>
      </c>
      <c r="E4360">
        <f t="shared" si="137"/>
        <v>5.6698676921705889E-2</v>
      </c>
    </row>
    <row r="4361" spans="1:5" x14ac:dyDescent="0.25">
      <c r="A4361">
        <v>0</v>
      </c>
      <c r="B4361">
        <v>6.9069069069069094E-2</v>
      </c>
      <c r="C4361">
        <f t="shared" si="136"/>
        <v>1.6148144471118822</v>
      </c>
      <c r="D4361">
        <v>4</v>
      </c>
      <c r="E4361">
        <f t="shared" si="137"/>
        <v>5.6698676921705889E-2</v>
      </c>
    </row>
    <row r="4362" spans="1:5" x14ac:dyDescent="0.25">
      <c r="A4362">
        <v>0</v>
      </c>
      <c r="B4362">
        <v>6.9069069069069094E-2</v>
      </c>
      <c r="C4362">
        <f t="shared" si="136"/>
        <v>1.6148144471118822</v>
      </c>
      <c r="D4362">
        <v>4</v>
      </c>
      <c r="E4362">
        <f t="shared" si="137"/>
        <v>5.6698676921705889E-2</v>
      </c>
    </row>
    <row r="4363" spans="1:5" x14ac:dyDescent="0.25">
      <c r="A4363">
        <v>0</v>
      </c>
      <c r="B4363">
        <v>6.9069069069069094E-2</v>
      </c>
      <c r="C4363">
        <f t="shared" si="136"/>
        <v>1.6148144471118822</v>
      </c>
      <c r="D4363">
        <v>4</v>
      </c>
      <c r="E4363">
        <f t="shared" si="137"/>
        <v>5.6698676921705889E-2</v>
      </c>
    </row>
    <row r="4364" spans="1:5" x14ac:dyDescent="0.25">
      <c r="A4364">
        <v>0</v>
      </c>
      <c r="B4364">
        <v>6.9069069069069094E-2</v>
      </c>
      <c r="C4364">
        <f t="shared" si="136"/>
        <v>1.6148144471118822</v>
      </c>
      <c r="D4364">
        <v>4</v>
      </c>
      <c r="E4364">
        <f t="shared" si="137"/>
        <v>5.6698676921705889E-2</v>
      </c>
    </row>
    <row r="4365" spans="1:5" x14ac:dyDescent="0.25">
      <c r="A4365">
        <v>0</v>
      </c>
      <c r="B4365">
        <v>6.9069069069069094E-2</v>
      </c>
      <c r="C4365">
        <f t="shared" si="136"/>
        <v>1.6148144471118822</v>
      </c>
      <c r="D4365">
        <v>4</v>
      </c>
      <c r="E4365">
        <f t="shared" si="137"/>
        <v>5.6698676921705889E-2</v>
      </c>
    </row>
    <row r="4366" spans="1:5" x14ac:dyDescent="0.25">
      <c r="A4366">
        <v>0</v>
      </c>
      <c r="B4366">
        <v>6.9148936170212796E-2</v>
      </c>
      <c r="C4366">
        <f t="shared" si="136"/>
        <v>1.6147213245971808</v>
      </c>
      <c r="D4366">
        <v>4</v>
      </c>
      <c r="E4366">
        <f t="shared" si="137"/>
        <v>5.6698676921705889E-2</v>
      </c>
    </row>
    <row r="4367" spans="1:5" x14ac:dyDescent="0.25">
      <c r="A4367">
        <v>0</v>
      </c>
      <c r="B4367">
        <v>6.9333333333333302E-2</v>
      </c>
      <c r="C4367">
        <f t="shared" si="136"/>
        <v>1.6145056791810652</v>
      </c>
      <c r="D4367">
        <v>4</v>
      </c>
      <c r="E4367">
        <f t="shared" si="137"/>
        <v>5.6698676921705889E-2</v>
      </c>
    </row>
    <row r="4368" spans="1:5" x14ac:dyDescent="0.25">
      <c r="A4368">
        <v>0</v>
      </c>
      <c r="B4368">
        <v>6.9333333333333302E-2</v>
      </c>
      <c r="C4368">
        <f t="shared" si="136"/>
        <v>1.6145056791810652</v>
      </c>
      <c r="D4368">
        <v>4</v>
      </c>
      <c r="E4368">
        <f t="shared" si="137"/>
        <v>5.6698676921705889E-2</v>
      </c>
    </row>
    <row r="4369" spans="1:5" x14ac:dyDescent="0.25">
      <c r="A4369">
        <v>0</v>
      </c>
      <c r="B4369">
        <v>6.9333333333333302E-2</v>
      </c>
      <c r="C4369">
        <f t="shared" si="136"/>
        <v>1.6145056791810652</v>
      </c>
      <c r="D4369">
        <v>4</v>
      </c>
      <c r="E4369">
        <f t="shared" si="137"/>
        <v>5.6698676921705889E-2</v>
      </c>
    </row>
    <row r="4370" spans="1:5" x14ac:dyDescent="0.25">
      <c r="A4370">
        <v>0</v>
      </c>
      <c r="B4370">
        <v>6.9333333333333302E-2</v>
      </c>
      <c r="C4370">
        <f t="shared" si="136"/>
        <v>1.6145056791810652</v>
      </c>
      <c r="D4370">
        <v>4</v>
      </c>
      <c r="E4370">
        <f t="shared" si="137"/>
        <v>5.6698676921705889E-2</v>
      </c>
    </row>
    <row r="4371" spans="1:5" x14ac:dyDescent="0.25">
      <c r="A4371">
        <v>0</v>
      </c>
      <c r="B4371">
        <v>6.9333333333333302E-2</v>
      </c>
      <c r="C4371">
        <f t="shared" si="136"/>
        <v>1.6145056791810652</v>
      </c>
      <c r="D4371">
        <v>4</v>
      </c>
      <c r="E4371">
        <f t="shared" si="137"/>
        <v>5.6698676921705889E-2</v>
      </c>
    </row>
    <row r="4372" spans="1:5" x14ac:dyDescent="0.25">
      <c r="A4372">
        <v>0</v>
      </c>
      <c r="B4372">
        <v>6.9333333333333302E-2</v>
      </c>
      <c r="C4372">
        <f t="shared" si="136"/>
        <v>1.6145056791810652</v>
      </c>
      <c r="D4372">
        <v>4</v>
      </c>
      <c r="E4372">
        <f t="shared" si="137"/>
        <v>5.6698676921705889E-2</v>
      </c>
    </row>
    <row r="4373" spans="1:5" x14ac:dyDescent="0.25">
      <c r="A4373">
        <v>0</v>
      </c>
      <c r="B4373">
        <v>6.9333333333333302E-2</v>
      </c>
      <c r="C4373">
        <f t="shared" si="136"/>
        <v>1.6145056791810652</v>
      </c>
      <c r="D4373">
        <v>4</v>
      </c>
      <c r="E4373">
        <f t="shared" si="137"/>
        <v>5.6698676921705889E-2</v>
      </c>
    </row>
    <row r="4374" spans="1:5" x14ac:dyDescent="0.25">
      <c r="A4374">
        <v>0</v>
      </c>
      <c r="B4374">
        <v>6.9333333333333302E-2</v>
      </c>
      <c r="C4374">
        <f t="shared" si="136"/>
        <v>1.6145056791810652</v>
      </c>
      <c r="D4374">
        <v>4</v>
      </c>
      <c r="E4374">
        <f t="shared" si="137"/>
        <v>5.6698676921705889E-2</v>
      </c>
    </row>
    <row r="4375" spans="1:5" x14ac:dyDescent="0.25">
      <c r="A4375">
        <v>0</v>
      </c>
      <c r="B4375">
        <v>6.9333333333333302E-2</v>
      </c>
      <c r="C4375">
        <f t="shared" si="136"/>
        <v>1.6145056791810652</v>
      </c>
      <c r="D4375">
        <v>4</v>
      </c>
      <c r="E4375">
        <f t="shared" si="137"/>
        <v>5.6698676921705889E-2</v>
      </c>
    </row>
    <row r="4376" spans="1:5" x14ac:dyDescent="0.25">
      <c r="A4376">
        <v>0</v>
      </c>
      <c r="B4376">
        <v>6.9333333333333302E-2</v>
      </c>
      <c r="C4376">
        <f t="shared" si="136"/>
        <v>1.6145056791810652</v>
      </c>
      <c r="D4376">
        <v>4</v>
      </c>
      <c r="E4376">
        <f t="shared" si="137"/>
        <v>5.6698676921705889E-2</v>
      </c>
    </row>
    <row r="4377" spans="1:5" x14ac:dyDescent="0.25">
      <c r="A4377">
        <v>0</v>
      </c>
      <c r="B4377">
        <v>6.9333333333333302E-2</v>
      </c>
      <c r="C4377">
        <f t="shared" si="136"/>
        <v>1.6145056791810652</v>
      </c>
      <c r="D4377">
        <v>4</v>
      </c>
      <c r="E4377">
        <f t="shared" si="137"/>
        <v>5.6698676921705889E-2</v>
      </c>
    </row>
    <row r="4378" spans="1:5" x14ac:dyDescent="0.25">
      <c r="A4378">
        <v>0</v>
      </c>
      <c r="B4378">
        <v>6.9930069930069894E-2</v>
      </c>
      <c r="C4378">
        <f t="shared" si="136"/>
        <v>1.6138016607672716</v>
      </c>
      <c r="D4378">
        <v>4</v>
      </c>
      <c r="E4378">
        <f t="shared" si="137"/>
        <v>5.6698676921705889E-2</v>
      </c>
    </row>
    <row r="4379" spans="1:5" x14ac:dyDescent="0.25">
      <c r="A4379">
        <v>0</v>
      </c>
      <c r="B4379">
        <v>6.9930069930069894E-2</v>
      </c>
      <c r="C4379">
        <f t="shared" si="136"/>
        <v>1.6138016607672716</v>
      </c>
      <c r="D4379">
        <v>4</v>
      </c>
      <c r="E4379">
        <f t="shared" si="137"/>
        <v>5.6698676921705889E-2</v>
      </c>
    </row>
    <row r="4380" spans="1:5" x14ac:dyDescent="0.25">
      <c r="A4380">
        <v>0</v>
      </c>
      <c r="B4380">
        <v>6.9930069930069894E-2</v>
      </c>
      <c r="C4380">
        <f t="shared" si="136"/>
        <v>1.6138016607672716</v>
      </c>
      <c r="D4380">
        <v>4</v>
      </c>
      <c r="E4380">
        <f t="shared" si="137"/>
        <v>5.6698676921705889E-2</v>
      </c>
    </row>
    <row r="4381" spans="1:5" x14ac:dyDescent="0.25">
      <c r="A4381">
        <v>0</v>
      </c>
      <c r="B4381">
        <v>7.0000000000000007E-2</v>
      </c>
      <c r="C4381">
        <f t="shared" si="136"/>
        <v>1.6137185431257184</v>
      </c>
      <c r="D4381">
        <v>4</v>
      </c>
      <c r="E4381">
        <f t="shared" si="137"/>
        <v>5.6698676921705889E-2</v>
      </c>
    </row>
    <row r="4382" spans="1:5" x14ac:dyDescent="0.25">
      <c r="A4382">
        <v>0</v>
      </c>
      <c r="B4382">
        <v>7.0000000000000007E-2</v>
      </c>
      <c r="C4382">
        <f t="shared" si="136"/>
        <v>1.6137185431257184</v>
      </c>
      <c r="D4382">
        <v>4</v>
      </c>
      <c r="E4382">
        <f t="shared" si="137"/>
        <v>5.6698676921705889E-2</v>
      </c>
    </row>
    <row r="4383" spans="1:5" x14ac:dyDescent="0.25">
      <c r="A4383">
        <v>0</v>
      </c>
      <c r="B4383">
        <v>7.0000000000000007E-2</v>
      </c>
      <c r="C4383">
        <f t="shared" si="136"/>
        <v>1.6137185431257184</v>
      </c>
      <c r="D4383">
        <v>4</v>
      </c>
      <c r="E4383">
        <f t="shared" si="137"/>
        <v>5.6698676921705889E-2</v>
      </c>
    </row>
    <row r="4384" spans="1:5" x14ac:dyDescent="0.25">
      <c r="A4384">
        <v>0</v>
      </c>
      <c r="B4384">
        <v>7.0000000000000007E-2</v>
      </c>
      <c r="C4384">
        <f t="shared" si="136"/>
        <v>1.6137185431257184</v>
      </c>
      <c r="D4384">
        <v>4</v>
      </c>
      <c r="E4384">
        <f t="shared" si="137"/>
        <v>5.6698676921705889E-2</v>
      </c>
    </row>
    <row r="4385" spans="1:5" x14ac:dyDescent="0.25">
      <c r="A4385">
        <v>0</v>
      </c>
      <c r="B4385">
        <v>7.0000000000000007E-2</v>
      </c>
      <c r="C4385">
        <f t="shared" si="136"/>
        <v>1.6137185431257184</v>
      </c>
      <c r="D4385">
        <v>4</v>
      </c>
      <c r="E4385">
        <f t="shared" si="137"/>
        <v>5.6698676921705889E-2</v>
      </c>
    </row>
    <row r="4386" spans="1:5" x14ac:dyDescent="0.25">
      <c r="A4386">
        <v>0</v>
      </c>
      <c r="B4386">
        <v>7.0000000000000007E-2</v>
      </c>
      <c r="C4386">
        <f t="shared" si="136"/>
        <v>1.6137185431257184</v>
      </c>
      <c r="D4386">
        <v>4</v>
      </c>
      <c r="E4386">
        <f t="shared" si="137"/>
        <v>5.6698676921705889E-2</v>
      </c>
    </row>
    <row r="4387" spans="1:5" x14ac:dyDescent="0.25">
      <c r="A4387">
        <v>0</v>
      </c>
      <c r="B4387">
        <v>7.0000000000000007E-2</v>
      </c>
      <c r="C4387">
        <f t="shared" si="136"/>
        <v>1.6137185431257184</v>
      </c>
      <c r="D4387">
        <v>4</v>
      </c>
      <c r="E4387">
        <f t="shared" si="137"/>
        <v>5.6698676921705889E-2</v>
      </c>
    </row>
    <row r="4388" spans="1:5" x14ac:dyDescent="0.25">
      <c r="A4388">
        <v>0</v>
      </c>
      <c r="B4388">
        <v>7.0000000000000007E-2</v>
      </c>
      <c r="C4388">
        <f t="shared" si="136"/>
        <v>1.6137185431257184</v>
      </c>
      <c r="D4388">
        <v>4</v>
      </c>
      <c r="E4388">
        <f t="shared" si="137"/>
        <v>5.6698676921705889E-2</v>
      </c>
    </row>
    <row r="4389" spans="1:5" x14ac:dyDescent="0.25">
      <c r="A4389">
        <v>0</v>
      </c>
      <c r="B4389">
        <v>7.00934579439252E-2</v>
      </c>
      <c r="C4389">
        <f t="shared" si="136"/>
        <v>1.6136072591899422</v>
      </c>
      <c r="D4389">
        <v>4</v>
      </c>
      <c r="E4389">
        <f t="shared" si="137"/>
        <v>5.6698676921705889E-2</v>
      </c>
    </row>
    <row r="4390" spans="1:5" x14ac:dyDescent="0.25">
      <c r="A4390">
        <v>0</v>
      </c>
      <c r="B4390">
        <v>7.00934579439252E-2</v>
      </c>
      <c r="C4390">
        <f t="shared" si="136"/>
        <v>1.6136072591899422</v>
      </c>
      <c r="D4390">
        <v>4</v>
      </c>
      <c r="E4390">
        <f t="shared" si="137"/>
        <v>5.6698676921705889E-2</v>
      </c>
    </row>
    <row r="4391" spans="1:5" x14ac:dyDescent="0.25">
      <c r="A4391">
        <v>0</v>
      </c>
      <c r="B4391">
        <v>7.00934579439252E-2</v>
      </c>
      <c r="C4391">
        <f t="shared" si="136"/>
        <v>1.6136072591899422</v>
      </c>
      <c r="D4391">
        <v>4</v>
      </c>
      <c r="E4391">
        <f t="shared" si="137"/>
        <v>5.6698676921705889E-2</v>
      </c>
    </row>
    <row r="4392" spans="1:5" x14ac:dyDescent="0.25">
      <c r="A4392">
        <v>0</v>
      </c>
      <c r="B4392">
        <v>7.0422535211267595E-2</v>
      </c>
      <c r="C4392">
        <f t="shared" si="136"/>
        <v>1.6132135803627996</v>
      </c>
      <c r="D4392">
        <v>4</v>
      </c>
      <c r="E4392">
        <f t="shared" si="137"/>
        <v>5.6698676921705889E-2</v>
      </c>
    </row>
    <row r="4393" spans="1:5" x14ac:dyDescent="0.25">
      <c r="A4393">
        <v>0</v>
      </c>
      <c r="B4393">
        <v>7.0666666666666697E-2</v>
      </c>
      <c r="C4393">
        <f t="shared" si="136"/>
        <v>1.6129196783549036</v>
      </c>
      <c r="D4393">
        <v>4</v>
      </c>
      <c r="E4393">
        <f t="shared" si="137"/>
        <v>5.6698676921705889E-2</v>
      </c>
    </row>
    <row r="4394" spans="1:5" x14ac:dyDescent="0.25">
      <c r="A4394">
        <v>0</v>
      </c>
      <c r="B4394">
        <v>7.1666666666666698E-2</v>
      </c>
      <c r="C4394">
        <f t="shared" si="136"/>
        <v>1.6116994288678816</v>
      </c>
      <c r="D4394">
        <v>4</v>
      </c>
      <c r="E4394">
        <f t="shared" si="137"/>
        <v>5.6698676921705889E-2</v>
      </c>
    </row>
    <row r="4395" spans="1:5" x14ac:dyDescent="0.25">
      <c r="A4395">
        <v>0</v>
      </c>
      <c r="B4395">
        <v>7.1666666666666698E-2</v>
      </c>
      <c r="C4395">
        <f t="shared" si="136"/>
        <v>1.6116994288678816</v>
      </c>
      <c r="D4395">
        <v>4</v>
      </c>
      <c r="E4395">
        <f t="shared" si="137"/>
        <v>5.6698676921705889E-2</v>
      </c>
    </row>
    <row r="4396" spans="1:5" x14ac:dyDescent="0.25">
      <c r="A4396">
        <v>0</v>
      </c>
      <c r="B4396">
        <v>7.1666666666666698E-2</v>
      </c>
      <c r="C4396">
        <f t="shared" si="136"/>
        <v>1.6116994288678816</v>
      </c>
      <c r="D4396">
        <v>4</v>
      </c>
      <c r="E4396">
        <f t="shared" si="137"/>
        <v>5.6698676921705889E-2</v>
      </c>
    </row>
    <row r="4397" spans="1:5" x14ac:dyDescent="0.25">
      <c r="A4397">
        <v>0</v>
      </c>
      <c r="B4397">
        <v>7.1666666666666698E-2</v>
      </c>
      <c r="C4397">
        <f t="shared" si="136"/>
        <v>1.6116994288678816</v>
      </c>
      <c r="D4397">
        <v>4</v>
      </c>
      <c r="E4397">
        <f t="shared" si="137"/>
        <v>5.6698676921705889E-2</v>
      </c>
    </row>
    <row r="4398" spans="1:5" x14ac:dyDescent="0.25">
      <c r="A4398">
        <v>0</v>
      </c>
      <c r="B4398">
        <v>7.1666666666666698E-2</v>
      </c>
      <c r="C4398">
        <f t="shared" si="136"/>
        <v>1.6116994288678816</v>
      </c>
      <c r="D4398">
        <v>4</v>
      </c>
      <c r="E4398">
        <f t="shared" si="137"/>
        <v>5.6698676921705889E-2</v>
      </c>
    </row>
    <row r="4399" spans="1:5" x14ac:dyDescent="0.25">
      <c r="A4399">
        <v>0</v>
      </c>
      <c r="B4399">
        <v>7.1666666666666698E-2</v>
      </c>
      <c r="C4399">
        <f t="shared" si="136"/>
        <v>1.6116994288678816</v>
      </c>
      <c r="D4399">
        <v>4</v>
      </c>
      <c r="E4399">
        <f t="shared" si="137"/>
        <v>5.6698676921705889E-2</v>
      </c>
    </row>
    <row r="4400" spans="1:5" x14ac:dyDescent="0.25">
      <c r="A4400">
        <v>0</v>
      </c>
      <c r="B4400">
        <v>7.1856287425149698E-2</v>
      </c>
      <c r="C4400">
        <f t="shared" si="136"/>
        <v>1.6114650773300805</v>
      </c>
      <c r="D4400">
        <v>4</v>
      </c>
      <c r="E4400">
        <f t="shared" si="137"/>
        <v>5.6698676921705889E-2</v>
      </c>
    </row>
    <row r="4401" spans="1:5" x14ac:dyDescent="0.25">
      <c r="A4401">
        <v>0</v>
      </c>
      <c r="B4401">
        <v>7.1856287425149698E-2</v>
      </c>
      <c r="C4401">
        <f t="shared" si="136"/>
        <v>1.6114650773300805</v>
      </c>
      <c r="D4401">
        <v>4</v>
      </c>
      <c r="E4401">
        <f t="shared" si="137"/>
        <v>5.6698676921705889E-2</v>
      </c>
    </row>
    <row r="4402" spans="1:5" x14ac:dyDescent="0.25">
      <c r="A4402">
        <v>0</v>
      </c>
      <c r="B4402">
        <v>7.1856287425149698E-2</v>
      </c>
      <c r="C4402">
        <f t="shared" si="136"/>
        <v>1.6114650773300805</v>
      </c>
      <c r="D4402">
        <v>4</v>
      </c>
      <c r="E4402">
        <f t="shared" si="137"/>
        <v>5.6698676921705889E-2</v>
      </c>
    </row>
    <row r="4403" spans="1:5" x14ac:dyDescent="0.25">
      <c r="A4403">
        <v>0</v>
      </c>
      <c r="B4403">
        <v>7.1856287425149698E-2</v>
      </c>
      <c r="C4403">
        <f t="shared" si="136"/>
        <v>1.6114650773300805</v>
      </c>
      <c r="D4403">
        <v>4</v>
      </c>
      <c r="E4403">
        <f t="shared" si="137"/>
        <v>5.6698676921705889E-2</v>
      </c>
    </row>
    <row r="4404" spans="1:5" x14ac:dyDescent="0.25">
      <c r="A4404">
        <v>0</v>
      </c>
      <c r="B4404">
        <v>7.1856287425149698E-2</v>
      </c>
      <c r="C4404">
        <f t="shared" si="136"/>
        <v>1.6114650773300805</v>
      </c>
      <c r="D4404">
        <v>4</v>
      </c>
      <c r="E4404">
        <f t="shared" si="137"/>
        <v>5.6698676921705889E-2</v>
      </c>
    </row>
    <row r="4405" spans="1:5" x14ac:dyDescent="0.25">
      <c r="A4405">
        <v>0</v>
      </c>
      <c r="B4405">
        <v>7.1999999999999995E-2</v>
      </c>
      <c r="C4405">
        <f t="shared" si="136"/>
        <v>1.6112868341281379</v>
      </c>
      <c r="D4405">
        <v>4</v>
      </c>
      <c r="E4405">
        <f t="shared" si="137"/>
        <v>5.6698676921705889E-2</v>
      </c>
    </row>
    <row r="4406" spans="1:5" x14ac:dyDescent="0.25">
      <c r="A4406">
        <v>0</v>
      </c>
      <c r="B4406">
        <v>7.1999999999999995E-2</v>
      </c>
      <c r="C4406">
        <f t="shared" si="136"/>
        <v>1.6112868341281379</v>
      </c>
      <c r="D4406">
        <v>4</v>
      </c>
      <c r="E4406">
        <f t="shared" si="137"/>
        <v>5.6698676921705889E-2</v>
      </c>
    </row>
    <row r="4407" spans="1:5" x14ac:dyDescent="0.25">
      <c r="A4407">
        <v>0</v>
      </c>
      <c r="B4407">
        <v>7.1999999999999995E-2</v>
      </c>
      <c r="C4407">
        <f t="shared" si="136"/>
        <v>1.6112868341281379</v>
      </c>
      <c r="D4407">
        <v>4</v>
      </c>
      <c r="E4407">
        <f t="shared" si="137"/>
        <v>5.6698676921705889E-2</v>
      </c>
    </row>
    <row r="4408" spans="1:5" x14ac:dyDescent="0.25">
      <c r="A4408">
        <v>0</v>
      </c>
      <c r="B4408">
        <v>7.1999999999999995E-2</v>
      </c>
      <c r="C4408">
        <f t="shared" si="136"/>
        <v>1.6112868341281379</v>
      </c>
      <c r="D4408">
        <v>4</v>
      </c>
      <c r="E4408">
        <f t="shared" si="137"/>
        <v>5.6698676921705889E-2</v>
      </c>
    </row>
    <row r="4409" spans="1:5" x14ac:dyDescent="0.25">
      <c r="A4409">
        <v>0</v>
      </c>
      <c r="B4409">
        <v>7.1999999999999995E-2</v>
      </c>
      <c r="C4409">
        <f t="shared" si="136"/>
        <v>1.6112868341281379</v>
      </c>
      <c r="D4409">
        <v>4</v>
      </c>
      <c r="E4409">
        <f t="shared" si="137"/>
        <v>5.6698676921705889E-2</v>
      </c>
    </row>
    <row r="4410" spans="1:5" x14ac:dyDescent="0.25">
      <c r="A4410">
        <v>0</v>
      </c>
      <c r="B4410">
        <v>7.1999999999999995E-2</v>
      </c>
      <c r="C4410">
        <f t="shared" si="136"/>
        <v>1.6112868341281379</v>
      </c>
      <c r="D4410">
        <v>4</v>
      </c>
      <c r="E4410">
        <f t="shared" si="137"/>
        <v>5.6698676921705889E-2</v>
      </c>
    </row>
    <row r="4411" spans="1:5" x14ac:dyDescent="0.25">
      <c r="A4411">
        <v>0</v>
      </c>
      <c r="B4411">
        <v>7.1999999999999995E-2</v>
      </c>
      <c r="C4411">
        <f t="shared" si="136"/>
        <v>1.6112868341281379</v>
      </c>
      <c r="D4411">
        <v>4</v>
      </c>
      <c r="E4411">
        <f t="shared" si="137"/>
        <v>5.6698676921705889E-2</v>
      </c>
    </row>
    <row r="4412" spans="1:5" x14ac:dyDescent="0.25">
      <c r="A4412">
        <v>0</v>
      </c>
      <c r="B4412">
        <v>7.2072072072072099E-2</v>
      </c>
      <c r="C4412">
        <f t="shared" si="136"/>
        <v>1.611197240624338</v>
      </c>
      <c r="D4412">
        <v>4</v>
      </c>
      <c r="E4412">
        <f t="shared" si="137"/>
        <v>5.6698676921705889E-2</v>
      </c>
    </row>
    <row r="4413" spans="1:5" x14ac:dyDescent="0.25">
      <c r="A4413">
        <v>0</v>
      </c>
      <c r="B4413">
        <v>7.2072072072072099E-2</v>
      </c>
      <c r="C4413">
        <f t="shared" si="136"/>
        <v>1.611197240624338</v>
      </c>
      <c r="D4413">
        <v>4</v>
      </c>
      <c r="E4413">
        <f t="shared" si="137"/>
        <v>5.6698676921705889E-2</v>
      </c>
    </row>
    <row r="4414" spans="1:5" x14ac:dyDescent="0.25">
      <c r="A4414">
        <v>0</v>
      </c>
      <c r="B4414">
        <v>7.2261072261072298E-2</v>
      </c>
      <c r="C4414">
        <f t="shared" si="136"/>
        <v>1.6109616447339674</v>
      </c>
      <c r="D4414">
        <v>4</v>
      </c>
      <c r="E4414">
        <f t="shared" si="137"/>
        <v>5.6698676921705889E-2</v>
      </c>
    </row>
    <row r="4415" spans="1:5" x14ac:dyDescent="0.25">
      <c r="A4415">
        <v>0</v>
      </c>
      <c r="B4415">
        <v>7.2261072261072298E-2</v>
      </c>
      <c r="C4415">
        <f t="shared" si="136"/>
        <v>1.6109616447339674</v>
      </c>
      <c r="D4415">
        <v>4</v>
      </c>
      <c r="E4415">
        <f t="shared" si="137"/>
        <v>5.6698676921705889E-2</v>
      </c>
    </row>
    <row r="4416" spans="1:5" x14ac:dyDescent="0.25">
      <c r="A4416">
        <v>0</v>
      </c>
      <c r="B4416">
        <v>7.2429906542056097E-2</v>
      </c>
      <c r="C4416">
        <f t="shared" si="136"/>
        <v>1.6107503934105163</v>
      </c>
      <c r="D4416">
        <v>4</v>
      </c>
      <c r="E4416">
        <f t="shared" si="137"/>
        <v>5.6698676921705889E-2</v>
      </c>
    </row>
    <row r="4417" spans="1:5" x14ac:dyDescent="0.25">
      <c r="A4417">
        <v>0</v>
      </c>
      <c r="B4417">
        <v>7.2429906542056097E-2</v>
      </c>
      <c r="C4417">
        <f t="shared" si="136"/>
        <v>1.6107503934105163</v>
      </c>
      <c r="D4417">
        <v>4</v>
      </c>
      <c r="E4417">
        <f t="shared" si="137"/>
        <v>5.6698676921705889E-2</v>
      </c>
    </row>
    <row r="4418" spans="1:5" x14ac:dyDescent="0.25">
      <c r="A4418">
        <v>0</v>
      </c>
      <c r="B4418">
        <v>7.2429906542056097E-2</v>
      </c>
      <c r="C4418">
        <f t="shared" ref="C4418:C4481" si="138">_xlfn.NORM.DIST(B4418,I$10,I$13,FALSE)</f>
        <v>1.6107503934105163</v>
      </c>
      <c r="D4418">
        <v>4</v>
      </c>
      <c r="E4418">
        <f t="shared" si="137"/>
        <v>5.6698676921705889E-2</v>
      </c>
    </row>
    <row r="4419" spans="1:5" x14ac:dyDescent="0.25">
      <c r="A4419">
        <v>0</v>
      </c>
      <c r="B4419">
        <v>7.3333333333333306E-2</v>
      </c>
      <c r="C4419">
        <f t="shared" si="138"/>
        <v>1.609607291968153</v>
      </c>
      <c r="D4419">
        <v>4</v>
      </c>
      <c r="E4419">
        <f t="shared" ref="E4419:E4482" si="139">_xlfn.NORM.DIST(D4419,I$4,I$7,FALSE)</f>
        <v>5.6698676921705889E-2</v>
      </c>
    </row>
    <row r="4420" spans="1:5" x14ac:dyDescent="0.25">
      <c r="A4420">
        <v>0</v>
      </c>
      <c r="B4420">
        <v>7.3333333333333306E-2</v>
      </c>
      <c r="C4420">
        <f t="shared" si="138"/>
        <v>1.609607291968153</v>
      </c>
      <c r="D4420">
        <v>4</v>
      </c>
      <c r="E4420">
        <f t="shared" si="139"/>
        <v>5.6698676921705889E-2</v>
      </c>
    </row>
    <row r="4421" spans="1:5" x14ac:dyDescent="0.25">
      <c r="A4421">
        <v>0</v>
      </c>
      <c r="B4421">
        <v>7.3333333333333306E-2</v>
      </c>
      <c r="C4421">
        <f t="shared" si="138"/>
        <v>1.609607291968153</v>
      </c>
      <c r="D4421">
        <v>4</v>
      </c>
      <c r="E4421">
        <f t="shared" si="139"/>
        <v>5.6698676921705889E-2</v>
      </c>
    </row>
    <row r="4422" spans="1:5" x14ac:dyDescent="0.25">
      <c r="A4422">
        <v>0</v>
      </c>
      <c r="B4422">
        <v>7.3333333333333306E-2</v>
      </c>
      <c r="C4422">
        <f t="shared" si="138"/>
        <v>1.609607291968153</v>
      </c>
      <c r="D4422">
        <v>4</v>
      </c>
      <c r="E4422">
        <f t="shared" si="139"/>
        <v>5.6698676921705889E-2</v>
      </c>
    </row>
    <row r="4423" spans="1:5" x14ac:dyDescent="0.25">
      <c r="A4423">
        <v>0</v>
      </c>
      <c r="B4423">
        <v>7.3333333333333306E-2</v>
      </c>
      <c r="C4423">
        <f t="shared" si="138"/>
        <v>1.609607291968153</v>
      </c>
      <c r="D4423">
        <v>4</v>
      </c>
      <c r="E4423">
        <f t="shared" si="139"/>
        <v>5.6698676921705889E-2</v>
      </c>
    </row>
    <row r="4424" spans="1:5" x14ac:dyDescent="0.25">
      <c r="A4424">
        <v>0</v>
      </c>
      <c r="B4424">
        <v>7.3999999999999996E-2</v>
      </c>
      <c r="C4424">
        <f t="shared" si="138"/>
        <v>1.608750055731571</v>
      </c>
      <c r="D4424">
        <v>4</v>
      </c>
      <c r="E4424">
        <f t="shared" si="139"/>
        <v>5.6698676921705889E-2</v>
      </c>
    </row>
    <row r="4425" spans="1:5" x14ac:dyDescent="0.25">
      <c r="A4425">
        <v>0</v>
      </c>
      <c r="B4425">
        <v>7.3999999999999996E-2</v>
      </c>
      <c r="C4425">
        <f t="shared" si="138"/>
        <v>1.608750055731571</v>
      </c>
      <c r="D4425">
        <v>4</v>
      </c>
      <c r="E4425">
        <f t="shared" si="139"/>
        <v>5.6698676921705889E-2</v>
      </c>
    </row>
    <row r="4426" spans="1:5" x14ac:dyDescent="0.25">
      <c r="A4426">
        <v>0</v>
      </c>
      <c r="B4426">
        <v>7.3999999999999996E-2</v>
      </c>
      <c r="C4426">
        <f t="shared" si="138"/>
        <v>1.608750055731571</v>
      </c>
      <c r="D4426">
        <v>4</v>
      </c>
      <c r="E4426">
        <f t="shared" si="139"/>
        <v>5.6698676921705889E-2</v>
      </c>
    </row>
    <row r="4427" spans="1:5" x14ac:dyDescent="0.25">
      <c r="A4427">
        <v>0</v>
      </c>
      <c r="B4427">
        <v>7.3999999999999996E-2</v>
      </c>
      <c r="C4427">
        <f t="shared" si="138"/>
        <v>1.608750055731571</v>
      </c>
      <c r="D4427">
        <v>4</v>
      </c>
      <c r="E4427">
        <f t="shared" si="139"/>
        <v>5.6698676921705889E-2</v>
      </c>
    </row>
    <row r="4428" spans="1:5" x14ac:dyDescent="0.25">
      <c r="A4428">
        <v>0</v>
      </c>
      <c r="B4428">
        <v>7.3999999999999996E-2</v>
      </c>
      <c r="C4428">
        <f t="shared" si="138"/>
        <v>1.608750055731571</v>
      </c>
      <c r="D4428">
        <v>4</v>
      </c>
      <c r="E4428">
        <f t="shared" si="139"/>
        <v>5.6698676921705889E-2</v>
      </c>
    </row>
    <row r="4429" spans="1:5" x14ac:dyDescent="0.25">
      <c r="A4429">
        <v>0</v>
      </c>
      <c r="B4429">
        <v>7.3999999999999996E-2</v>
      </c>
      <c r="C4429">
        <f t="shared" si="138"/>
        <v>1.608750055731571</v>
      </c>
      <c r="D4429">
        <v>4</v>
      </c>
      <c r="E4429">
        <f t="shared" si="139"/>
        <v>5.6698676921705889E-2</v>
      </c>
    </row>
    <row r="4430" spans="1:5" x14ac:dyDescent="0.25">
      <c r="A4430">
        <v>0</v>
      </c>
      <c r="B4430">
        <v>7.4074074074074098E-2</v>
      </c>
      <c r="C4430">
        <f t="shared" si="138"/>
        <v>1.608654089743208</v>
      </c>
      <c r="D4430">
        <v>4</v>
      </c>
      <c r="E4430">
        <f t="shared" si="139"/>
        <v>5.6698676921705889E-2</v>
      </c>
    </row>
    <row r="4431" spans="1:5" x14ac:dyDescent="0.25">
      <c r="A4431">
        <v>0</v>
      </c>
      <c r="B4431">
        <v>7.4074074074074098E-2</v>
      </c>
      <c r="C4431">
        <f t="shared" si="138"/>
        <v>1.608654089743208</v>
      </c>
      <c r="D4431">
        <v>4</v>
      </c>
      <c r="E4431">
        <f t="shared" si="139"/>
        <v>5.6698676921705889E-2</v>
      </c>
    </row>
    <row r="4432" spans="1:5" x14ac:dyDescent="0.25">
      <c r="A4432">
        <v>0</v>
      </c>
      <c r="B4432">
        <v>7.4592074592074606E-2</v>
      </c>
      <c r="C4432">
        <f t="shared" si="138"/>
        <v>1.6079789925079193</v>
      </c>
      <c r="D4432">
        <v>4</v>
      </c>
      <c r="E4432">
        <f t="shared" si="139"/>
        <v>5.6698676921705889E-2</v>
      </c>
    </row>
    <row r="4433" spans="1:5" x14ac:dyDescent="0.25">
      <c r="A4433">
        <v>0</v>
      </c>
      <c r="B4433">
        <v>7.4666666666666701E-2</v>
      </c>
      <c r="C4433">
        <f t="shared" si="138"/>
        <v>1.6078812013988628</v>
      </c>
      <c r="D4433">
        <v>4</v>
      </c>
      <c r="E4433">
        <f t="shared" si="139"/>
        <v>5.6698676921705889E-2</v>
      </c>
    </row>
    <row r="4434" spans="1:5" x14ac:dyDescent="0.25">
      <c r="A4434">
        <v>0</v>
      </c>
      <c r="B4434">
        <v>7.4666666666666701E-2</v>
      </c>
      <c r="C4434">
        <f t="shared" si="138"/>
        <v>1.6078812013988628</v>
      </c>
      <c r="D4434">
        <v>4</v>
      </c>
      <c r="E4434">
        <f t="shared" si="139"/>
        <v>5.6698676921705889E-2</v>
      </c>
    </row>
    <row r="4435" spans="1:5" x14ac:dyDescent="0.25">
      <c r="A4435">
        <v>0</v>
      </c>
      <c r="B4435">
        <v>7.4666666666666701E-2</v>
      </c>
      <c r="C4435">
        <f t="shared" si="138"/>
        <v>1.6078812013988628</v>
      </c>
      <c r="D4435">
        <v>4</v>
      </c>
      <c r="E4435">
        <f t="shared" si="139"/>
        <v>5.6698676921705889E-2</v>
      </c>
    </row>
    <row r="4436" spans="1:5" x14ac:dyDescent="0.25">
      <c r="A4436">
        <v>0</v>
      </c>
      <c r="B4436">
        <v>7.4666666666666701E-2</v>
      </c>
      <c r="C4436">
        <f t="shared" si="138"/>
        <v>1.6078812013988628</v>
      </c>
      <c r="D4436">
        <v>4</v>
      </c>
      <c r="E4436">
        <f t="shared" si="139"/>
        <v>5.6698676921705889E-2</v>
      </c>
    </row>
    <row r="4437" spans="1:5" x14ac:dyDescent="0.25">
      <c r="A4437">
        <v>0</v>
      </c>
      <c r="B4437">
        <v>7.4666666666666701E-2</v>
      </c>
      <c r="C4437">
        <f t="shared" si="138"/>
        <v>1.6078812013988628</v>
      </c>
      <c r="D4437">
        <v>4</v>
      </c>
      <c r="E4437">
        <f t="shared" si="139"/>
        <v>5.6698676921705889E-2</v>
      </c>
    </row>
    <row r="4438" spans="1:5" x14ac:dyDescent="0.25">
      <c r="A4438">
        <v>0</v>
      </c>
      <c r="B4438">
        <v>7.4666666666666701E-2</v>
      </c>
      <c r="C4438">
        <f t="shared" si="138"/>
        <v>1.6078812013988628</v>
      </c>
      <c r="D4438">
        <v>4</v>
      </c>
      <c r="E4438">
        <f t="shared" si="139"/>
        <v>5.6698676921705889E-2</v>
      </c>
    </row>
    <row r="4439" spans="1:5" x14ac:dyDescent="0.25">
      <c r="A4439">
        <v>0</v>
      </c>
      <c r="B4439">
        <v>7.4666666666666701E-2</v>
      </c>
      <c r="C4439">
        <f t="shared" si="138"/>
        <v>1.6078812013988628</v>
      </c>
      <c r="D4439">
        <v>4</v>
      </c>
      <c r="E4439">
        <f t="shared" si="139"/>
        <v>5.6698676921705889E-2</v>
      </c>
    </row>
    <row r="4440" spans="1:5" x14ac:dyDescent="0.25">
      <c r="A4440">
        <v>0</v>
      </c>
      <c r="B4440">
        <v>7.4666666666666701E-2</v>
      </c>
      <c r="C4440">
        <f t="shared" si="138"/>
        <v>1.6078812013988628</v>
      </c>
      <c r="D4440">
        <v>4</v>
      </c>
      <c r="E4440">
        <f t="shared" si="139"/>
        <v>5.6698676921705889E-2</v>
      </c>
    </row>
    <row r="4441" spans="1:5" x14ac:dyDescent="0.25">
      <c r="A4441">
        <v>0</v>
      </c>
      <c r="B4441">
        <v>7.4666666666666701E-2</v>
      </c>
      <c r="C4441">
        <f t="shared" si="138"/>
        <v>1.6078812013988628</v>
      </c>
      <c r="D4441">
        <v>4</v>
      </c>
      <c r="E4441">
        <f t="shared" si="139"/>
        <v>5.6698676921705889E-2</v>
      </c>
    </row>
    <row r="4442" spans="1:5" x14ac:dyDescent="0.25">
      <c r="A4442">
        <v>0</v>
      </c>
      <c r="B4442">
        <v>7.4666666666666701E-2</v>
      </c>
      <c r="C4442">
        <f t="shared" si="138"/>
        <v>1.6078812013988628</v>
      </c>
      <c r="D4442">
        <v>4</v>
      </c>
      <c r="E4442">
        <f t="shared" si="139"/>
        <v>5.6698676921705889E-2</v>
      </c>
    </row>
    <row r="4443" spans="1:5" x14ac:dyDescent="0.25">
      <c r="A4443">
        <v>0</v>
      </c>
      <c r="B4443">
        <v>7.4766355140186896E-2</v>
      </c>
      <c r="C4443">
        <f t="shared" si="138"/>
        <v>1.6077502819089666</v>
      </c>
      <c r="D4443">
        <v>4</v>
      </c>
      <c r="E4443">
        <f t="shared" si="139"/>
        <v>5.6698676921705889E-2</v>
      </c>
    </row>
    <row r="4444" spans="1:5" x14ac:dyDescent="0.25">
      <c r="A4444">
        <v>0</v>
      </c>
      <c r="B4444">
        <v>7.4766355140186896E-2</v>
      </c>
      <c r="C4444">
        <f t="shared" si="138"/>
        <v>1.6077502819089666</v>
      </c>
      <c r="D4444">
        <v>4</v>
      </c>
      <c r="E4444">
        <f t="shared" si="139"/>
        <v>5.6698676921705889E-2</v>
      </c>
    </row>
    <row r="4445" spans="1:5" x14ac:dyDescent="0.25">
      <c r="A4445">
        <v>0</v>
      </c>
      <c r="B4445">
        <v>7.4850299401197598E-2</v>
      </c>
      <c r="C4445">
        <f t="shared" si="138"/>
        <v>1.6076398379791008</v>
      </c>
      <c r="D4445">
        <v>4</v>
      </c>
      <c r="E4445">
        <f t="shared" si="139"/>
        <v>5.6698676921705889E-2</v>
      </c>
    </row>
    <row r="4446" spans="1:5" x14ac:dyDescent="0.25">
      <c r="A4446">
        <v>0</v>
      </c>
      <c r="B4446">
        <v>7.4850299401197598E-2</v>
      </c>
      <c r="C4446">
        <f t="shared" si="138"/>
        <v>1.6076398379791008</v>
      </c>
      <c r="D4446">
        <v>4</v>
      </c>
      <c r="E4446">
        <f t="shared" si="139"/>
        <v>5.6698676921705889E-2</v>
      </c>
    </row>
    <row r="4447" spans="1:5" x14ac:dyDescent="0.25">
      <c r="A4447">
        <v>0</v>
      </c>
      <c r="B4447">
        <v>7.4999999999999997E-2</v>
      </c>
      <c r="C4447">
        <f t="shared" si="138"/>
        <v>1.6074424234743725</v>
      </c>
      <c r="D4447">
        <v>4</v>
      </c>
      <c r="E4447">
        <f t="shared" si="139"/>
        <v>5.6698676921705889E-2</v>
      </c>
    </row>
    <row r="4448" spans="1:5" x14ac:dyDescent="0.25">
      <c r="A4448">
        <v>0</v>
      </c>
      <c r="B4448">
        <v>7.4999999999999997E-2</v>
      </c>
      <c r="C4448">
        <f t="shared" si="138"/>
        <v>1.6074424234743725</v>
      </c>
      <c r="D4448">
        <v>4</v>
      </c>
      <c r="E4448">
        <f t="shared" si="139"/>
        <v>5.6698676921705889E-2</v>
      </c>
    </row>
    <row r="4449" spans="1:5" x14ac:dyDescent="0.25">
      <c r="A4449">
        <v>0</v>
      </c>
      <c r="B4449">
        <v>7.4999999999999997E-2</v>
      </c>
      <c r="C4449">
        <f t="shared" si="138"/>
        <v>1.6074424234743725</v>
      </c>
      <c r="D4449">
        <v>4</v>
      </c>
      <c r="E4449">
        <f t="shared" si="139"/>
        <v>5.6698676921705889E-2</v>
      </c>
    </row>
    <row r="4450" spans="1:5" x14ac:dyDescent="0.25">
      <c r="A4450">
        <v>0</v>
      </c>
      <c r="B4450">
        <v>7.5075075075075104E-2</v>
      </c>
      <c r="C4450">
        <f t="shared" si="138"/>
        <v>1.6073431997786076</v>
      </c>
      <c r="D4450">
        <v>4</v>
      </c>
      <c r="E4450">
        <f t="shared" si="139"/>
        <v>5.6698676921705889E-2</v>
      </c>
    </row>
    <row r="4451" spans="1:5" x14ac:dyDescent="0.25">
      <c r="A4451">
        <v>0</v>
      </c>
      <c r="B4451">
        <v>7.5075075075075104E-2</v>
      </c>
      <c r="C4451">
        <f t="shared" si="138"/>
        <v>1.6073431997786076</v>
      </c>
      <c r="D4451">
        <v>4</v>
      </c>
      <c r="E4451">
        <f t="shared" si="139"/>
        <v>5.6698676921705889E-2</v>
      </c>
    </row>
    <row r="4452" spans="1:5" x14ac:dyDescent="0.25">
      <c r="A4452">
        <v>0</v>
      </c>
      <c r="B4452">
        <v>7.5075075075075104E-2</v>
      </c>
      <c r="C4452">
        <f t="shared" si="138"/>
        <v>1.6073431997786076</v>
      </c>
      <c r="D4452">
        <v>4</v>
      </c>
      <c r="E4452">
        <f t="shared" si="139"/>
        <v>5.6698676921705889E-2</v>
      </c>
    </row>
    <row r="4453" spans="1:5" x14ac:dyDescent="0.25">
      <c r="A4453">
        <v>0</v>
      </c>
      <c r="B4453">
        <v>7.5075075075075104E-2</v>
      </c>
      <c r="C4453">
        <f t="shared" si="138"/>
        <v>1.6073431997786076</v>
      </c>
      <c r="D4453">
        <v>4</v>
      </c>
      <c r="E4453">
        <f t="shared" si="139"/>
        <v>5.6698676921705889E-2</v>
      </c>
    </row>
    <row r="4454" spans="1:5" x14ac:dyDescent="0.25">
      <c r="A4454">
        <v>0</v>
      </c>
      <c r="B4454">
        <v>7.5075075075075104E-2</v>
      </c>
      <c r="C4454">
        <f t="shared" si="138"/>
        <v>1.6073431997786076</v>
      </c>
      <c r="D4454">
        <v>4</v>
      </c>
      <c r="E4454">
        <f t="shared" si="139"/>
        <v>5.6698676921705889E-2</v>
      </c>
    </row>
    <row r="4455" spans="1:5" x14ac:dyDescent="0.25">
      <c r="A4455">
        <v>0</v>
      </c>
      <c r="B4455">
        <v>7.5075075075075104E-2</v>
      </c>
      <c r="C4455">
        <f t="shared" si="138"/>
        <v>1.6073431997786076</v>
      </c>
      <c r="D4455">
        <v>4</v>
      </c>
      <c r="E4455">
        <f t="shared" si="139"/>
        <v>5.6698676921705889E-2</v>
      </c>
    </row>
    <row r="4456" spans="1:5" x14ac:dyDescent="0.25">
      <c r="A4456">
        <v>0</v>
      </c>
      <c r="B4456">
        <v>7.5075075075075104E-2</v>
      </c>
      <c r="C4456">
        <f t="shared" si="138"/>
        <v>1.6073431997786076</v>
      </c>
      <c r="D4456">
        <v>4</v>
      </c>
      <c r="E4456">
        <f t="shared" si="139"/>
        <v>5.6698676921705889E-2</v>
      </c>
    </row>
    <row r="4457" spans="1:5" x14ac:dyDescent="0.25">
      <c r="A4457">
        <v>0</v>
      </c>
      <c r="B4457">
        <v>7.5999999999999998E-2</v>
      </c>
      <c r="C4457">
        <f t="shared" si="138"/>
        <v>1.6061087159785268</v>
      </c>
      <c r="D4457">
        <v>4</v>
      </c>
      <c r="E4457">
        <f t="shared" si="139"/>
        <v>5.6698676921705889E-2</v>
      </c>
    </row>
    <row r="4458" spans="1:5" x14ac:dyDescent="0.25">
      <c r="A4458">
        <v>0</v>
      </c>
      <c r="B4458">
        <v>7.5999999999999998E-2</v>
      </c>
      <c r="C4458">
        <f t="shared" si="138"/>
        <v>1.6061087159785268</v>
      </c>
      <c r="D4458">
        <v>4</v>
      </c>
      <c r="E4458">
        <f t="shared" si="139"/>
        <v>5.6698676921705889E-2</v>
      </c>
    </row>
    <row r="4459" spans="1:5" x14ac:dyDescent="0.25">
      <c r="A4459">
        <v>0</v>
      </c>
      <c r="B4459">
        <v>7.5999999999999998E-2</v>
      </c>
      <c r="C4459">
        <f t="shared" si="138"/>
        <v>1.6061087159785268</v>
      </c>
      <c r="D4459">
        <v>4</v>
      </c>
      <c r="E4459">
        <f t="shared" si="139"/>
        <v>5.6698676921705889E-2</v>
      </c>
    </row>
    <row r="4460" spans="1:5" x14ac:dyDescent="0.25">
      <c r="A4460">
        <v>0</v>
      </c>
      <c r="B4460">
        <v>7.5999999999999998E-2</v>
      </c>
      <c r="C4460">
        <f t="shared" si="138"/>
        <v>1.6061087159785268</v>
      </c>
      <c r="D4460">
        <v>4</v>
      </c>
      <c r="E4460">
        <f t="shared" si="139"/>
        <v>5.6698676921705889E-2</v>
      </c>
    </row>
    <row r="4461" spans="1:5" x14ac:dyDescent="0.25">
      <c r="A4461">
        <v>0</v>
      </c>
      <c r="B4461">
        <v>7.6666666666666702E-2</v>
      </c>
      <c r="C4461">
        <f t="shared" si="138"/>
        <v>1.605205124283722</v>
      </c>
      <c r="D4461">
        <v>4</v>
      </c>
      <c r="E4461">
        <f t="shared" si="139"/>
        <v>5.6698676921705889E-2</v>
      </c>
    </row>
    <row r="4462" spans="1:5" x14ac:dyDescent="0.25">
      <c r="A4462">
        <v>0</v>
      </c>
      <c r="B4462">
        <v>7.69230769230769E-2</v>
      </c>
      <c r="C4462">
        <f t="shared" si="138"/>
        <v>1.6048545153142766</v>
      </c>
      <c r="D4462">
        <v>4</v>
      </c>
      <c r="E4462">
        <f t="shared" si="139"/>
        <v>5.6698676921705889E-2</v>
      </c>
    </row>
    <row r="4463" spans="1:5" x14ac:dyDescent="0.25">
      <c r="A4463">
        <v>0</v>
      </c>
      <c r="B4463">
        <v>7.69230769230769E-2</v>
      </c>
      <c r="C4463">
        <f t="shared" si="138"/>
        <v>1.6048545153142766</v>
      </c>
      <c r="D4463">
        <v>4</v>
      </c>
      <c r="E4463">
        <f t="shared" si="139"/>
        <v>5.6698676921705889E-2</v>
      </c>
    </row>
    <row r="4464" spans="1:5" x14ac:dyDescent="0.25">
      <c r="A4464">
        <v>0</v>
      </c>
      <c r="B4464">
        <v>7.69230769230769E-2</v>
      </c>
      <c r="C4464">
        <f t="shared" si="138"/>
        <v>1.6048545153142766</v>
      </c>
      <c r="D4464">
        <v>4</v>
      </c>
      <c r="E4464">
        <f t="shared" si="139"/>
        <v>5.6698676921705889E-2</v>
      </c>
    </row>
    <row r="4465" spans="1:5" x14ac:dyDescent="0.25">
      <c r="A4465">
        <v>0</v>
      </c>
      <c r="B4465">
        <v>7.69230769230769E-2</v>
      </c>
      <c r="C4465">
        <f t="shared" si="138"/>
        <v>1.6048545153142766</v>
      </c>
      <c r="D4465">
        <v>4</v>
      </c>
      <c r="E4465">
        <f t="shared" si="139"/>
        <v>5.6698676921705889E-2</v>
      </c>
    </row>
    <row r="4466" spans="1:5" x14ac:dyDescent="0.25">
      <c r="A4466">
        <v>0</v>
      </c>
      <c r="B4466">
        <v>7.69230769230769E-2</v>
      </c>
      <c r="C4466">
        <f t="shared" si="138"/>
        <v>1.6048545153142766</v>
      </c>
      <c r="D4466">
        <v>4</v>
      </c>
      <c r="E4466">
        <f t="shared" si="139"/>
        <v>5.6698676921705889E-2</v>
      </c>
    </row>
    <row r="4467" spans="1:5" x14ac:dyDescent="0.25">
      <c r="A4467">
        <v>0</v>
      </c>
      <c r="B4467">
        <v>7.6999999999999999E-2</v>
      </c>
      <c r="C4467">
        <f t="shared" si="138"/>
        <v>1.6047489999302087</v>
      </c>
      <c r="D4467">
        <v>4</v>
      </c>
      <c r="E4467">
        <f t="shared" si="139"/>
        <v>5.6698676921705889E-2</v>
      </c>
    </row>
    <row r="4468" spans="1:5" x14ac:dyDescent="0.25">
      <c r="A4468">
        <v>0</v>
      </c>
      <c r="B4468">
        <v>7.6999999999999999E-2</v>
      </c>
      <c r="C4468">
        <f t="shared" si="138"/>
        <v>1.6047489999302087</v>
      </c>
      <c r="D4468">
        <v>4</v>
      </c>
      <c r="E4468">
        <f t="shared" si="139"/>
        <v>5.6698676921705889E-2</v>
      </c>
    </row>
    <row r="4469" spans="1:5" x14ac:dyDescent="0.25">
      <c r="A4469">
        <v>0</v>
      </c>
      <c r="B4469">
        <v>7.6999999999999999E-2</v>
      </c>
      <c r="C4469">
        <f t="shared" si="138"/>
        <v>1.6047489999302087</v>
      </c>
      <c r="D4469">
        <v>4</v>
      </c>
      <c r="E4469">
        <f t="shared" si="139"/>
        <v>5.6698676921705889E-2</v>
      </c>
    </row>
    <row r="4470" spans="1:5" x14ac:dyDescent="0.25">
      <c r="A4470">
        <v>0</v>
      </c>
      <c r="B4470">
        <v>7.6999999999999999E-2</v>
      </c>
      <c r="C4470">
        <f t="shared" si="138"/>
        <v>1.6047489999302087</v>
      </c>
      <c r="D4470">
        <v>4</v>
      </c>
      <c r="E4470">
        <f t="shared" si="139"/>
        <v>5.6698676921705889E-2</v>
      </c>
    </row>
    <row r="4471" spans="1:5" x14ac:dyDescent="0.25">
      <c r="A4471">
        <v>0</v>
      </c>
      <c r="B4471">
        <v>7.7102803738317793E-2</v>
      </c>
      <c r="C4471">
        <f t="shared" si="138"/>
        <v>1.6046077444006606</v>
      </c>
      <c r="D4471">
        <v>4</v>
      </c>
      <c r="E4471">
        <f t="shared" si="139"/>
        <v>5.6698676921705889E-2</v>
      </c>
    </row>
    <row r="4472" spans="1:5" x14ac:dyDescent="0.25">
      <c r="A4472">
        <v>0</v>
      </c>
      <c r="B4472">
        <v>7.7102803738317793E-2</v>
      </c>
      <c r="C4472">
        <f t="shared" si="138"/>
        <v>1.6046077444006606</v>
      </c>
      <c r="D4472">
        <v>4</v>
      </c>
      <c r="E4472">
        <f t="shared" si="139"/>
        <v>5.6698676921705889E-2</v>
      </c>
    </row>
    <row r="4473" spans="1:5" x14ac:dyDescent="0.25">
      <c r="A4473">
        <v>0</v>
      </c>
      <c r="B4473">
        <v>7.7333333333333296E-2</v>
      </c>
      <c r="C4473">
        <f t="shared" si="138"/>
        <v>1.6042899932769801</v>
      </c>
      <c r="D4473">
        <v>4</v>
      </c>
      <c r="E4473">
        <f t="shared" si="139"/>
        <v>5.6698676921705889E-2</v>
      </c>
    </row>
    <row r="4474" spans="1:5" x14ac:dyDescent="0.25">
      <c r="A4474">
        <v>0</v>
      </c>
      <c r="B4474">
        <v>7.7333333333333296E-2</v>
      </c>
      <c r="C4474">
        <f t="shared" si="138"/>
        <v>1.6042899932769801</v>
      </c>
      <c r="D4474">
        <v>4</v>
      </c>
      <c r="E4474">
        <f t="shared" si="139"/>
        <v>5.6698676921705889E-2</v>
      </c>
    </row>
    <row r="4475" spans="1:5" x14ac:dyDescent="0.25">
      <c r="A4475">
        <v>0</v>
      </c>
      <c r="B4475">
        <v>7.7333333333333296E-2</v>
      </c>
      <c r="C4475">
        <f t="shared" si="138"/>
        <v>1.6042899932769801</v>
      </c>
      <c r="D4475">
        <v>4</v>
      </c>
      <c r="E4475">
        <f t="shared" si="139"/>
        <v>5.6698676921705889E-2</v>
      </c>
    </row>
    <row r="4476" spans="1:5" x14ac:dyDescent="0.25">
      <c r="A4476">
        <v>0</v>
      </c>
      <c r="B4476">
        <v>7.7333333333333296E-2</v>
      </c>
      <c r="C4476">
        <f t="shared" si="138"/>
        <v>1.6042899932769801</v>
      </c>
      <c r="D4476">
        <v>4</v>
      </c>
      <c r="E4476">
        <f t="shared" si="139"/>
        <v>5.6698676921705889E-2</v>
      </c>
    </row>
    <row r="4477" spans="1:5" x14ac:dyDescent="0.25">
      <c r="A4477">
        <v>0</v>
      </c>
      <c r="B4477">
        <v>7.7333333333333296E-2</v>
      </c>
      <c r="C4477">
        <f t="shared" si="138"/>
        <v>1.6042899932769801</v>
      </c>
      <c r="D4477">
        <v>4</v>
      </c>
      <c r="E4477">
        <f t="shared" si="139"/>
        <v>5.6698676921705889E-2</v>
      </c>
    </row>
    <row r="4478" spans="1:5" x14ac:dyDescent="0.25">
      <c r="A4478">
        <v>0</v>
      </c>
      <c r="B4478">
        <v>7.7333333333333296E-2</v>
      </c>
      <c r="C4478">
        <f t="shared" si="138"/>
        <v>1.6042899932769801</v>
      </c>
      <c r="D4478">
        <v>4</v>
      </c>
      <c r="E4478">
        <f t="shared" si="139"/>
        <v>5.6698676921705889E-2</v>
      </c>
    </row>
    <row r="4479" spans="1:5" x14ac:dyDescent="0.25">
      <c r="A4479">
        <v>0</v>
      </c>
      <c r="B4479">
        <v>7.7333333333333296E-2</v>
      </c>
      <c r="C4479">
        <f t="shared" si="138"/>
        <v>1.6042899932769801</v>
      </c>
      <c r="D4479">
        <v>4</v>
      </c>
      <c r="E4479">
        <f t="shared" si="139"/>
        <v>5.6698676921705889E-2</v>
      </c>
    </row>
    <row r="4480" spans="1:5" x14ac:dyDescent="0.25">
      <c r="A4480">
        <v>0</v>
      </c>
      <c r="B4480">
        <v>7.7666666666666703E-2</v>
      </c>
      <c r="C4480">
        <f t="shared" si="138"/>
        <v>1.6038281068716977</v>
      </c>
      <c r="D4480">
        <v>4</v>
      </c>
      <c r="E4480">
        <f t="shared" si="139"/>
        <v>5.6698676921705889E-2</v>
      </c>
    </row>
    <row r="4481" spans="1:5" x14ac:dyDescent="0.25">
      <c r="A4481">
        <v>0</v>
      </c>
      <c r="B4481">
        <v>7.7669902912621394E-2</v>
      </c>
      <c r="C4481">
        <f t="shared" si="138"/>
        <v>1.6038236084309683</v>
      </c>
      <c r="D4481">
        <v>4</v>
      </c>
      <c r="E4481">
        <f t="shared" si="139"/>
        <v>5.6698676921705889E-2</v>
      </c>
    </row>
    <row r="4482" spans="1:5" x14ac:dyDescent="0.25">
      <c r="A4482">
        <v>0</v>
      </c>
      <c r="B4482">
        <v>7.7844311377245498E-2</v>
      </c>
      <c r="C4482">
        <f t="shared" ref="C4482:C4545" si="140">_xlfn.NORM.DIST(B4482,I$10,I$13,FALSE)</f>
        <v>1.6035807764137711</v>
      </c>
      <c r="D4482">
        <v>4</v>
      </c>
      <c r="E4482">
        <f t="shared" si="139"/>
        <v>5.6698676921705889E-2</v>
      </c>
    </row>
    <row r="4483" spans="1:5" x14ac:dyDescent="0.25">
      <c r="A4483">
        <v>0</v>
      </c>
      <c r="B4483">
        <v>7.7844311377245498E-2</v>
      </c>
      <c r="C4483">
        <f t="shared" si="140"/>
        <v>1.6035807764137711</v>
      </c>
      <c r="D4483">
        <v>4</v>
      </c>
      <c r="E4483">
        <f t="shared" ref="E4483:E4546" si="141">_xlfn.NORM.DIST(D4483,I$4,I$7,FALSE)</f>
        <v>5.6698676921705889E-2</v>
      </c>
    </row>
    <row r="4484" spans="1:5" x14ac:dyDescent="0.25">
      <c r="A4484">
        <v>0</v>
      </c>
      <c r="B4484">
        <v>7.7844311377245498E-2</v>
      </c>
      <c r="C4484">
        <f t="shared" si="140"/>
        <v>1.6035807764137711</v>
      </c>
      <c r="D4484">
        <v>4</v>
      </c>
      <c r="E4484">
        <f t="shared" si="141"/>
        <v>5.6698676921705889E-2</v>
      </c>
    </row>
    <row r="4485" spans="1:5" x14ac:dyDescent="0.25">
      <c r="A4485">
        <v>0</v>
      </c>
      <c r="B4485">
        <v>7.7844311377245498E-2</v>
      </c>
      <c r="C4485">
        <f t="shared" si="140"/>
        <v>1.6035807764137711</v>
      </c>
      <c r="D4485">
        <v>4</v>
      </c>
      <c r="E4485">
        <f t="shared" si="141"/>
        <v>5.6698676921705889E-2</v>
      </c>
    </row>
    <row r="4486" spans="1:5" x14ac:dyDescent="0.25">
      <c r="A4486">
        <v>0</v>
      </c>
      <c r="B4486">
        <v>7.8E-2</v>
      </c>
      <c r="C4486">
        <f t="shared" si="140"/>
        <v>1.6033633432775094</v>
      </c>
      <c r="D4486">
        <v>4</v>
      </c>
      <c r="E4486">
        <f t="shared" si="141"/>
        <v>5.6698676921705889E-2</v>
      </c>
    </row>
    <row r="4487" spans="1:5" x14ac:dyDescent="0.25">
      <c r="A4487">
        <v>0</v>
      </c>
      <c r="B4487">
        <v>7.8E-2</v>
      </c>
      <c r="C4487">
        <f t="shared" si="140"/>
        <v>1.6033633432775094</v>
      </c>
      <c r="D4487">
        <v>4</v>
      </c>
      <c r="E4487">
        <f t="shared" si="141"/>
        <v>5.6698676921705889E-2</v>
      </c>
    </row>
    <row r="4488" spans="1:5" x14ac:dyDescent="0.25">
      <c r="A4488">
        <v>0</v>
      </c>
      <c r="B4488">
        <v>7.8E-2</v>
      </c>
      <c r="C4488">
        <f t="shared" si="140"/>
        <v>1.6033633432775094</v>
      </c>
      <c r="D4488">
        <v>4</v>
      </c>
      <c r="E4488">
        <f t="shared" si="141"/>
        <v>5.6698676921705889E-2</v>
      </c>
    </row>
    <row r="4489" spans="1:5" x14ac:dyDescent="0.25">
      <c r="A4489">
        <v>0</v>
      </c>
      <c r="B4489">
        <v>7.8078078078078095E-2</v>
      </c>
      <c r="C4489">
        <f t="shared" si="140"/>
        <v>1.6032540641126731</v>
      </c>
      <c r="D4489">
        <v>4</v>
      </c>
      <c r="E4489">
        <f t="shared" si="141"/>
        <v>5.6698676921705889E-2</v>
      </c>
    </row>
    <row r="4490" spans="1:5" x14ac:dyDescent="0.25">
      <c r="A4490">
        <v>0</v>
      </c>
      <c r="B4490">
        <v>7.8078078078078095E-2</v>
      </c>
      <c r="C4490">
        <f t="shared" si="140"/>
        <v>1.6032540641126731</v>
      </c>
      <c r="D4490">
        <v>4</v>
      </c>
      <c r="E4490">
        <f t="shared" si="141"/>
        <v>5.6698676921705889E-2</v>
      </c>
    </row>
    <row r="4491" spans="1:5" x14ac:dyDescent="0.25">
      <c r="A4491">
        <v>0</v>
      </c>
      <c r="B4491">
        <v>7.8078078078078095E-2</v>
      </c>
      <c r="C4491">
        <f t="shared" si="140"/>
        <v>1.6032540641126731</v>
      </c>
      <c r="D4491">
        <v>4</v>
      </c>
      <c r="E4491">
        <f t="shared" si="141"/>
        <v>5.6698676921705889E-2</v>
      </c>
    </row>
    <row r="4492" spans="1:5" x14ac:dyDescent="0.25">
      <c r="A4492">
        <v>0</v>
      </c>
      <c r="B4492">
        <v>7.8078078078078095E-2</v>
      </c>
      <c r="C4492">
        <f t="shared" si="140"/>
        <v>1.6032540641126731</v>
      </c>
      <c r="D4492">
        <v>4</v>
      </c>
      <c r="E4492">
        <f t="shared" si="141"/>
        <v>5.6698676921705889E-2</v>
      </c>
    </row>
    <row r="4493" spans="1:5" x14ac:dyDescent="0.25">
      <c r="A4493">
        <v>0</v>
      </c>
      <c r="B4493">
        <v>7.8078078078078095E-2</v>
      </c>
      <c r="C4493">
        <f t="shared" si="140"/>
        <v>1.6032540641126731</v>
      </c>
      <c r="D4493">
        <v>4</v>
      </c>
      <c r="E4493">
        <f t="shared" si="141"/>
        <v>5.6698676921705889E-2</v>
      </c>
    </row>
    <row r="4494" spans="1:5" x14ac:dyDescent="0.25">
      <c r="A4494">
        <v>0</v>
      </c>
      <c r="B4494">
        <v>7.8078078078078095E-2</v>
      </c>
      <c r="C4494">
        <f t="shared" si="140"/>
        <v>1.6032540641126731</v>
      </c>
      <c r="D4494">
        <v>4</v>
      </c>
      <c r="E4494">
        <f t="shared" si="141"/>
        <v>5.6698676921705889E-2</v>
      </c>
    </row>
    <row r="4495" spans="1:5" x14ac:dyDescent="0.25">
      <c r="A4495">
        <v>0</v>
      </c>
      <c r="B4495">
        <v>7.8333333333333297E-2</v>
      </c>
      <c r="C4495">
        <f t="shared" si="140"/>
        <v>1.602895705073025</v>
      </c>
      <c r="D4495">
        <v>4</v>
      </c>
      <c r="E4495">
        <f t="shared" si="141"/>
        <v>5.6698676921705889E-2</v>
      </c>
    </row>
    <row r="4496" spans="1:5" x14ac:dyDescent="0.25">
      <c r="A4496">
        <v>0</v>
      </c>
      <c r="B4496">
        <v>7.8666666666666704E-2</v>
      </c>
      <c r="C4496">
        <f t="shared" si="140"/>
        <v>1.6024251948522934</v>
      </c>
      <c r="D4496">
        <v>4</v>
      </c>
      <c r="E4496">
        <f t="shared" si="141"/>
        <v>5.6698676921705889E-2</v>
      </c>
    </row>
    <row r="4497" spans="1:5" x14ac:dyDescent="0.25">
      <c r="A4497">
        <v>0</v>
      </c>
      <c r="B4497">
        <v>7.9254079254079193E-2</v>
      </c>
      <c r="C4497">
        <f t="shared" si="140"/>
        <v>1.6015890618624704</v>
      </c>
      <c r="D4497">
        <v>4</v>
      </c>
      <c r="E4497">
        <f t="shared" si="141"/>
        <v>5.6698676921705889E-2</v>
      </c>
    </row>
    <row r="4498" spans="1:5" x14ac:dyDescent="0.25">
      <c r="A4498">
        <v>0</v>
      </c>
      <c r="B4498">
        <v>7.9333333333333297E-2</v>
      </c>
      <c r="C4498">
        <f t="shared" si="140"/>
        <v>1.6014755688153279</v>
      </c>
      <c r="D4498">
        <v>4</v>
      </c>
      <c r="E4498">
        <f t="shared" si="141"/>
        <v>5.6698676921705889E-2</v>
      </c>
    </row>
    <row r="4499" spans="1:5" x14ac:dyDescent="0.25">
      <c r="A4499">
        <v>0</v>
      </c>
      <c r="B4499">
        <v>7.9439252336448593E-2</v>
      </c>
      <c r="C4499">
        <f t="shared" si="140"/>
        <v>1.6013236384083649</v>
      </c>
      <c r="D4499">
        <v>4</v>
      </c>
      <c r="E4499">
        <f t="shared" si="141"/>
        <v>5.6698676921705889E-2</v>
      </c>
    </row>
    <row r="4500" spans="1:5" x14ac:dyDescent="0.25">
      <c r="A4500">
        <v>0</v>
      </c>
      <c r="B4500">
        <v>7.9439252336448593E-2</v>
      </c>
      <c r="C4500">
        <f t="shared" si="140"/>
        <v>1.6013236384083649</v>
      </c>
      <c r="D4500">
        <v>4</v>
      </c>
      <c r="E4500">
        <f t="shared" si="141"/>
        <v>5.6698676921705889E-2</v>
      </c>
    </row>
    <row r="4501" spans="1:5" x14ac:dyDescent="0.25">
      <c r="A4501">
        <v>0</v>
      </c>
      <c r="B4501">
        <v>0.08</v>
      </c>
      <c r="C4501">
        <f t="shared" si="140"/>
        <v>1.6005144862268541</v>
      </c>
      <c r="D4501">
        <v>4</v>
      </c>
      <c r="E4501">
        <f t="shared" si="141"/>
        <v>5.6698676921705889E-2</v>
      </c>
    </row>
    <row r="4502" spans="1:5" x14ac:dyDescent="0.25">
      <c r="A4502">
        <v>0</v>
      </c>
      <c r="B4502">
        <v>0.08</v>
      </c>
      <c r="C4502">
        <f t="shared" si="140"/>
        <v>1.6005144862268541</v>
      </c>
      <c r="D4502">
        <v>4</v>
      </c>
      <c r="E4502">
        <f t="shared" si="141"/>
        <v>5.6698676921705889E-2</v>
      </c>
    </row>
    <row r="4503" spans="1:5" x14ac:dyDescent="0.25">
      <c r="A4503">
        <v>0</v>
      </c>
      <c r="B4503">
        <v>0.08</v>
      </c>
      <c r="C4503">
        <f t="shared" si="140"/>
        <v>1.6005144862268541</v>
      </c>
      <c r="D4503">
        <v>4</v>
      </c>
      <c r="E4503">
        <f t="shared" si="141"/>
        <v>5.6698676921705889E-2</v>
      </c>
    </row>
    <row r="4504" spans="1:5" x14ac:dyDescent="0.25">
      <c r="A4504">
        <v>0</v>
      </c>
      <c r="B4504">
        <v>0.08</v>
      </c>
      <c r="C4504">
        <f t="shared" si="140"/>
        <v>1.6005144862268541</v>
      </c>
      <c r="D4504">
        <v>4</v>
      </c>
      <c r="E4504">
        <f t="shared" si="141"/>
        <v>5.6698676921705889E-2</v>
      </c>
    </row>
    <row r="4505" spans="1:5" x14ac:dyDescent="0.25">
      <c r="A4505">
        <v>0</v>
      </c>
      <c r="B4505">
        <v>0.08</v>
      </c>
      <c r="C4505">
        <f t="shared" si="140"/>
        <v>1.6005144862268541</v>
      </c>
      <c r="D4505">
        <v>4</v>
      </c>
      <c r="E4505">
        <f t="shared" si="141"/>
        <v>5.6698676921705889E-2</v>
      </c>
    </row>
    <row r="4506" spans="1:5" x14ac:dyDescent="0.25">
      <c r="A4506">
        <v>0</v>
      </c>
      <c r="B4506">
        <v>0.08</v>
      </c>
      <c r="C4506">
        <f t="shared" si="140"/>
        <v>1.6005144862268541</v>
      </c>
      <c r="D4506">
        <v>4</v>
      </c>
      <c r="E4506">
        <f t="shared" si="141"/>
        <v>5.6698676921705889E-2</v>
      </c>
    </row>
    <row r="4507" spans="1:5" x14ac:dyDescent="0.25">
      <c r="A4507">
        <v>0</v>
      </c>
      <c r="B4507">
        <v>0.08</v>
      </c>
      <c r="C4507">
        <f t="shared" si="140"/>
        <v>1.6005144862268541</v>
      </c>
      <c r="D4507">
        <v>4</v>
      </c>
      <c r="E4507">
        <f t="shared" si="141"/>
        <v>5.6698676921705889E-2</v>
      </c>
    </row>
    <row r="4508" spans="1:5" x14ac:dyDescent="0.25">
      <c r="A4508">
        <v>0</v>
      </c>
      <c r="B4508">
        <v>0.08</v>
      </c>
      <c r="C4508">
        <f t="shared" si="140"/>
        <v>1.6005144862268541</v>
      </c>
      <c r="D4508">
        <v>4</v>
      </c>
      <c r="E4508">
        <f t="shared" si="141"/>
        <v>5.6698676921705889E-2</v>
      </c>
    </row>
    <row r="4509" spans="1:5" x14ac:dyDescent="0.25">
      <c r="A4509">
        <v>0</v>
      </c>
      <c r="B4509">
        <v>0.08</v>
      </c>
      <c r="C4509">
        <f t="shared" si="140"/>
        <v>1.6005144862268541</v>
      </c>
      <c r="D4509">
        <v>4</v>
      </c>
      <c r="E4509">
        <f t="shared" si="141"/>
        <v>5.6698676921705889E-2</v>
      </c>
    </row>
    <row r="4510" spans="1:5" x14ac:dyDescent="0.25">
      <c r="A4510">
        <v>0</v>
      </c>
      <c r="B4510">
        <v>0.08</v>
      </c>
      <c r="C4510">
        <f t="shared" si="140"/>
        <v>1.6005144862268541</v>
      </c>
      <c r="D4510">
        <v>4</v>
      </c>
      <c r="E4510">
        <f t="shared" si="141"/>
        <v>5.6698676921705889E-2</v>
      </c>
    </row>
    <row r="4511" spans="1:5" x14ac:dyDescent="0.25">
      <c r="A4511">
        <v>0</v>
      </c>
      <c r="B4511">
        <v>0.08</v>
      </c>
      <c r="C4511">
        <f t="shared" si="140"/>
        <v>1.6005144862268541</v>
      </c>
      <c r="D4511">
        <v>4</v>
      </c>
      <c r="E4511">
        <f t="shared" si="141"/>
        <v>5.6698676921705889E-2</v>
      </c>
    </row>
    <row r="4512" spans="1:5" x14ac:dyDescent="0.25">
      <c r="A4512">
        <v>0</v>
      </c>
      <c r="B4512">
        <v>0.08</v>
      </c>
      <c r="C4512">
        <f t="shared" si="140"/>
        <v>1.6005144862268541</v>
      </c>
      <c r="D4512">
        <v>4</v>
      </c>
      <c r="E4512">
        <f t="shared" si="141"/>
        <v>5.6698676921705889E-2</v>
      </c>
    </row>
    <row r="4513" spans="1:5" x14ac:dyDescent="0.25">
      <c r="A4513">
        <v>0</v>
      </c>
      <c r="B4513">
        <v>0.08</v>
      </c>
      <c r="C4513">
        <f t="shared" si="140"/>
        <v>1.6005144862268541</v>
      </c>
      <c r="D4513">
        <v>4</v>
      </c>
      <c r="E4513">
        <f t="shared" si="141"/>
        <v>5.6698676921705889E-2</v>
      </c>
    </row>
    <row r="4514" spans="1:5" x14ac:dyDescent="0.25">
      <c r="A4514">
        <v>0</v>
      </c>
      <c r="B4514">
        <v>0.08</v>
      </c>
      <c r="C4514">
        <f t="shared" si="140"/>
        <v>1.6005144862268541</v>
      </c>
      <c r="D4514">
        <v>4</v>
      </c>
      <c r="E4514">
        <f t="shared" si="141"/>
        <v>5.6698676921705889E-2</v>
      </c>
    </row>
    <row r="4515" spans="1:5" x14ac:dyDescent="0.25">
      <c r="A4515">
        <v>0</v>
      </c>
      <c r="B4515">
        <v>0.08</v>
      </c>
      <c r="C4515">
        <f t="shared" si="140"/>
        <v>1.6005144862268541</v>
      </c>
      <c r="D4515">
        <v>4</v>
      </c>
      <c r="E4515">
        <f t="shared" si="141"/>
        <v>5.6698676921705889E-2</v>
      </c>
    </row>
    <row r="4516" spans="1:5" x14ac:dyDescent="0.25">
      <c r="A4516">
        <v>0</v>
      </c>
      <c r="B4516">
        <v>0.08</v>
      </c>
      <c r="C4516">
        <f t="shared" si="140"/>
        <v>1.6005144862268541</v>
      </c>
      <c r="D4516">
        <v>4</v>
      </c>
      <c r="E4516">
        <f t="shared" si="141"/>
        <v>5.6698676921705889E-2</v>
      </c>
    </row>
    <row r="4517" spans="1:5" x14ac:dyDescent="0.25">
      <c r="A4517">
        <v>0</v>
      </c>
      <c r="B4517">
        <v>0.08</v>
      </c>
      <c r="C4517">
        <f t="shared" si="140"/>
        <v>1.6005144862268541</v>
      </c>
      <c r="D4517">
        <v>4</v>
      </c>
      <c r="E4517">
        <f t="shared" si="141"/>
        <v>5.6698676921705889E-2</v>
      </c>
    </row>
    <row r="4518" spans="1:5" x14ac:dyDescent="0.25">
      <c r="A4518">
        <v>0</v>
      </c>
      <c r="B4518">
        <v>0.08</v>
      </c>
      <c r="C4518">
        <f t="shared" si="140"/>
        <v>1.6005144862268541</v>
      </c>
      <c r="D4518">
        <v>4</v>
      </c>
      <c r="E4518">
        <f t="shared" si="141"/>
        <v>5.6698676921705889E-2</v>
      </c>
    </row>
    <row r="4519" spans="1:5" x14ac:dyDescent="0.25">
      <c r="A4519">
        <v>0</v>
      </c>
      <c r="B4519">
        <v>0.08</v>
      </c>
      <c r="C4519">
        <f t="shared" si="140"/>
        <v>1.6005144862268541</v>
      </c>
      <c r="D4519">
        <v>4</v>
      </c>
      <c r="E4519">
        <f t="shared" si="141"/>
        <v>5.6698676921705889E-2</v>
      </c>
    </row>
    <row r="4520" spans="1:5" x14ac:dyDescent="0.25">
      <c r="A4520">
        <v>0</v>
      </c>
      <c r="B4520">
        <v>8.0645161290322606E-2</v>
      </c>
      <c r="C4520">
        <f t="shared" si="140"/>
        <v>1.5995735182054198</v>
      </c>
      <c r="D4520">
        <v>4</v>
      </c>
      <c r="E4520">
        <f t="shared" si="141"/>
        <v>5.6698676921705889E-2</v>
      </c>
    </row>
    <row r="4521" spans="1:5" x14ac:dyDescent="0.25">
      <c r="A4521">
        <v>0</v>
      </c>
      <c r="B4521">
        <v>8.0838323353293398E-2</v>
      </c>
      <c r="C4521">
        <f t="shared" si="140"/>
        <v>1.5992897109563491</v>
      </c>
      <c r="D4521">
        <v>4</v>
      </c>
      <c r="E4521">
        <f t="shared" si="141"/>
        <v>5.6698676921705889E-2</v>
      </c>
    </row>
    <row r="4522" spans="1:5" x14ac:dyDescent="0.25">
      <c r="A4522">
        <v>0</v>
      </c>
      <c r="B4522">
        <v>8.1081081081081099E-2</v>
      </c>
      <c r="C4522">
        <f t="shared" si="140"/>
        <v>1.5989316761966703</v>
      </c>
      <c r="D4522">
        <v>4</v>
      </c>
      <c r="E4522">
        <f t="shared" si="141"/>
        <v>5.6698676921705889E-2</v>
      </c>
    </row>
    <row r="4523" spans="1:5" x14ac:dyDescent="0.25">
      <c r="A4523">
        <v>0</v>
      </c>
      <c r="B4523">
        <v>8.1081081081081099E-2</v>
      </c>
      <c r="C4523">
        <f t="shared" si="140"/>
        <v>1.5989316761966703</v>
      </c>
      <c r="D4523">
        <v>4</v>
      </c>
      <c r="E4523">
        <f t="shared" si="141"/>
        <v>5.6698676921705889E-2</v>
      </c>
    </row>
    <row r="4524" spans="1:5" x14ac:dyDescent="0.25">
      <c r="A4524">
        <v>0</v>
      </c>
      <c r="B4524">
        <v>8.1081081081081099E-2</v>
      </c>
      <c r="C4524">
        <f t="shared" si="140"/>
        <v>1.5989316761966703</v>
      </c>
      <c r="D4524">
        <v>4</v>
      </c>
      <c r="E4524">
        <f t="shared" si="141"/>
        <v>5.6698676921705889E-2</v>
      </c>
    </row>
    <row r="4525" spans="1:5" x14ac:dyDescent="0.25">
      <c r="A4525">
        <v>0</v>
      </c>
      <c r="B4525">
        <v>8.1081081081081099E-2</v>
      </c>
      <c r="C4525">
        <f t="shared" si="140"/>
        <v>1.5989316761966703</v>
      </c>
      <c r="D4525">
        <v>4</v>
      </c>
      <c r="E4525">
        <f t="shared" si="141"/>
        <v>5.6698676921705889E-2</v>
      </c>
    </row>
    <row r="4526" spans="1:5" x14ac:dyDescent="0.25">
      <c r="A4526">
        <v>0</v>
      </c>
      <c r="B4526">
        <v>8.1081081081081099E-2</v>
      </c>
      <c r="C4526">
        <f t="shared" si="140"/>
        <v>1.5989316761966703</v>
      </c>
      <c r="D4526">
        <v>4</v>
      </c>
      <c r="E4526">
        <f t="shared" si="141"/>
        <v>5.6698676921705889E-2</v>
      </c>
    </row>
    <row r="4527" spans="1:5" x14ac:dyDescent="0.25">
      <c r="A4527">
        <v>0</v>
      </c>
      <c r="B4527">
        <v>8.1081081081081099E-2</v>
      </c>
      <c r="C4527">
        <f t="shared" si="140"/>
        <v>1.5989316761966703</v>
      </c>
      <c r="D4527">
        <v>4</v>
      </c>
      <c r="E4527">
        <f t="shared" si="141"/>
        <v>5.6698676921705889E-2</v>
      </c>
    </row>
    <row r="4528" spans="1:5" x14ac:dyDescent="0.25">
      <c r="A4528">
        <v>0</v>
      </c>
      <c r="B4528">
        <v>8.1081081081081099E-2</v>
      </c>
      <c r="C4528">
        <f t="shared" si="140"/>
        <v>1.5989316761966703</v>
      </c>
      <c r="D4528">
        <v>4</v>
      </c>
      <c r="E4528">
        <f t="shared" si="141"/>
        <v>5.6698676921705889E-2</v>
      </c>
    </row>
    <row r="4529" spans="1:5" x14ac:dyDescent="0.25">
      <c r="A4529">
        <v>0</v>
      </c>
      <c r="B4529">
        <v>8.1081081081081099E-2</v>
      </c>
      <c r="C4529">
        <f t="shared" si="140"/>
        <v>1.5989316761966703</v>
      </c>
      <c r="D4529">
        <v>4</v>
      </c>
      <c r="E4529">
        <f t="shared" si="141"/>
        <v>5.6698676921705889E-2</v>
      </c>
    </row>
    <row r="4530" spans="1:5" x14ac:dyDescent="0.25">
      <c r="A4530">
        <v>0</v>
      </c>
      <c r="B4530">
        <v>8.1081081081081099E-2</v>
      </c>
      <c r="C4530">
        <f t="shared" si="140"/>
        <v>1.5989316761966703</v>
      </c>
      <c r="D4530">
        <v>4</v>
      </c>
      <c r="E4530">
        <f t="shared" si="141"/>
        <v>5.6698676921705889E-2</v>
      </c>
    </row>
    <row r="4531" spans="1:5" x14ac:dyDescent="0.25">
      <c r="A4531">
        <v>0</v>
      </c>
      <c r="B4531">
        <v>8.1081081081081099E-2</v>
      </c>
      <c r="C4531">
        <f t="shared" si="140"/>
        <v>1.5989316761966703</v>
      </c>
      <c r="D4531">
        <v>4</v>
      </c>
      <c r="E4531">
        <f t="shared" si="141"/>
        <v>5.6698676921705889E-2</v>
      </c>
    </row>
    <row r="4532" spans="1:5" x14ac:dyDescent="0.25">
      <c r="A4532">
        <v>0</v>
      </c>
      <c r="B4532">
        <v>8.1081081081081099E-2</v>
      </c>
      <c r="C4532">
        <f t="shared" si="140"/>
        <v>1.5989316761966703</v>
      </c>
      <c r="D4532">
        <v>4</v>
      </c>
      <c r="E4532">
        <f t="shared" si="141"/>
        <v>5.6698676921705889E-2</v>
      </c>
    </row>
    <row r="4533" spans="1:5" x14ac:dyDescent="0.25">
      <c r="A4533">
        <v>0</v>
      </c>
      <c r="B4533">
        <v>8.1081081081081099E-2</v>
      </c>
      <c r="C4533">
        <f t="shared" si="140"/>
        <v>1.5989316761966703</v>
      </c>
      <c r="D4533">
        <v>4</v>
      </c>
      <c r="E4533">
        <f t="shared" si="141"/>
        <v>5.6698676921705889E-2</v>
      </c>
    </row>
    <row r="4534" spans="1:5" x14ac:dyDescent="0.25">
      <c r="A4534">
        <v>0</v>
      </c>
      <c r="B4534">
        <v>8.1081081081081099E-2</v>
      </c>
      <c r="C4534">
        <f t="shared" si="140"/>
        <v>1.5989316761966703</v>
      </c>
      <c r="D4534">
        <v>4</v>
      </c>
      <c r="E4534">
        <f t="shared" si="141"/>
        <v>5.6698676921705889E-2</v>
      </c>
    </row>
    <row r="4535" spans="1:5" x14ac:dyDescent="0.25">
      <c r="A4535">
        <v>0</v>
      </c>
      <c r="B4535">
        <v>8.1081081081081099E-2</v>
      </c>
      <c r="C4535">
        <f t="shared" si="140"/>
        <v>1.5989316761966703</v>
      </c>
      <c r="D4535">
        <v>4</v>
      </c>
      <c r="E4535">
        <f t="shared" si="141"/>
        <v>5.6698676921705889E-2</v>
      </c>
    </row>
    <row r="4536" spans="1:5" x14ac:dyDescent="0.25">
      <c r="A4536">
        <v>0</v>
      </c>
      <c r="B4536">
        <v>8.1081081081081099E-2</v>
      </c>
      <c r="C4536">
        <f t="shared" si="140"/>
        <v>1.5989316761966703</v>
      </c>
      <c r="D4536">
        <v>4</v>
      </c>
      <c r="E4536">
        <f t="shared" si="141"/>
        <v>5.6698676921705889E-2</v>
      </c>
    </row>
    <row r="4537" spans="1:5" x14ac:dyDescent="0.25">
      <c r="A4537">
        <v>0</v>
      </c>
      <c r="B4537">
        <v>8.1585081585081598E-2</v>
      </c>
      <c r="C4537">
        <f t="shared" si="140"/>
        <v>1.5981835179620285</v>
      </c>
      <c r="D4537">
        <v>4</v>
      </c>
      <c r="E4537">
        <f t="shared" si="141"/>
        <v>5.6698676921705889E-2</v>
      </c>
    </row>
    <row r="4538" spans="1:5" x14ac:dyDescent="0.25">
      <c r="A4538">
        <v>0</v>
      </c>
      <c r="B4538">
        <v>8.1666666666666707E-2</v>
      </c>
      <c r="C4538">
        <f t="shared" si="140"/>
        <v>1.5980617977634575</v>
      </c>
      <c r="D4538">
        <v>4</v>
      </c>
      <c r="E4538">
        <f t="shared" si="141"/>
        <v>5.6698676921705889E-2</v>
      </c>
    </row>
    <row r="4539" spans="1:5" x14ac:dyDescent="0.25">
      <c r="A4539">
        <v>0</v>
      </c>
      <c r="B4539">
        <v>8.1666666666666707E-2</v>
      </c>
      <c r="C4539">
        <f t="shared" si="140"/>
        <v>1.5980617977634575</v>
      </c>
      <c r="D4539">
        <v>4</v>
      </c>
      <c r="E4539">
        <f t="shared" si="141"/>
        <v>5.6698676921705889E-2</v>
      </c>
    </row>
    <row r="4540" spans="1:5" x14ac:dyDescent="0.25">
      <c r="A4540">
        <v>0</v>
      </c>
      <c r="B4540">
        <v>8.1775700934579407E-2</v>
      </c>
      <c r="C4540">
        <f t="shared" si="140"/>
        <v>1.597898858872292</v>
      </c>
      <c r="D4540">
        <v>4</v>
      </c>
      <c r="E4540">
        <f t="shared" si="141"/>
        <v>5.6698676921705889E-2</v>
      </c>
    </row>
    <row r="4541" spans="1:5" x14ac:dyDescent="0.25">
      <c r="A4541">
        <v>0</v>
      </c>
      <c r="B4541">
        <v>8.1775700934579407E-2</v>
      </c>
      <c r="C4541">
        <f t="shared" si="140"/>
        <v>1.597898858872292</v>
      </c>
      <c r="D4541">
        <v>4</v>
      </c>
      <c r="E4541">
        <f t="shared" si="141"/>
        <v>5.6698676921705889E-2</v>
      </c>
    </row>
    <row r="4542" spans="1:5" x14ac:dyDescent="0.25">
      <c r="A4542">
        <v>0</v>
      </c>
      <c r="B4542">
        <v>8.2000000000000003E-2</v>
      </c>
      <c r="C4542">
        <f t="shared" si="140"/>
        <v>1.5975627134320376</v>
      </c>
      <c r="D4542">
        <v>4</v>
      </c>
      <c r="E4542">
        <f t="shared" si="141"/>
        <v>5.6698676921705889E-2</v>
      </c>
    </row>
    <row r="4543" spans="1:5" x14ac:dyDescent="0.25">
      <c r="A4543">
        <v>0</v>
      </c>
      <c r="B4543">
        <v>8.2000000000000003E-2</v>
      </c>
      <c r="C4543">
        <f t="shared" si="140"/>
        <v>1.5975627134320376</v>
      </c>
      <c r="D4543">
        <v>5</v>
      </c>
      <c r="E4543">
        <f t="shared" si="141"/>
        <v>5.6111083198493512E-2</v>
      </c>
    </row>
    <row r="4544" spans="1:5" x14ac:dyDescent="0.25">
      <c r="A4544">
        <v>0</v>
      </c>
      <c r="B4544">
        <v>8.2666666666666694E-2</v>
      </c>
      <c r="C4544">
        <f t="shared" si="140"/>
        <v>1.596556020137387</v>
      </c>
      <c r="D4544">
        <v>5</v>
      </c>
      <c r="E4544">
        <f t="shared" si="141"/>
        <v>5.6111083198493512E-2</v>
      </c>
    </row>
    <row r="4545" spans="1:5" x14ac:dyDescent="0.25">
      <c r="A4545">
        <v>0</v>
      </c>
      <c r="B4545">
        <v>8.2666666666666694E-2</v>
      </c>
      <c r="C4545">
        <f t="shared" si="140"/>
        <v>1.596556020137387</v>
      </c>
      <c r="D4545">
        <v>5</v>
      </c>
      <c r="E4545">
        <f t="shared" si="141"/>
        <v>5.6111083198493512E-2</v>
      </c>
    </row>
    <row r="4546" spans="1:5" x14ac:dyDescent="0.25">
      <c r="A4546">
        <v>0</v>
      </c>
      <c r="B4546">
        <v>8.2666666666666694E-2</v>
      </c>
      <c r="C4546">
        <f t="shared" ref="C4546:C4609" si="142">_xlfn.NORM.DIST(B4546,I$10,I$13,FALSE)</f>
        <v>1.596556020137387</v>
      </c>
      <c r="D4546">
        <v>5</v>
      </c>
      <c r="E4546">
        <f t="shared" si="141"/>
        <v>5.6111083198493512E-2</v>
      </c>
    </row>
    <row r="4547" spans="1:5" x14ac:dyDescent="0.25">
      <c r="A4547">
        <v>0</v>
      </c>
      <c r="B4547">
        <v>8.2666666666666694E-2</v>
      </c>
      <c r="C4547">
        <f t="shared" si="142"/>
        <v>1.596556020137387</v>
      </c>
      <c r="D4547">
        <v>5</v>
      </c>
      <c r="E4547">
        <f t="shared" ref="E4547:E4610" si="143">_xlfn.NORM.DIST(D4547,I$4,I$7,FALSE)</f>
        <v>5.6111083198493512E-2</v>
      </c>
    </row>
    <row r="4548" spans="1:5" x14ac:dyDescent="0.25">
      <c r="A4548">
        <v>0</v>
      </c>
      <c r="B4548">
        <v>8.2666666666666694E-2</v>
      </c>
      <c r="C4548">
        <f t="shared" si="142"/>
        <v>1.596556020137387</v>
      </c>
      <c r="D4548">
        <v>5</v>
      </c>
      <c r="E4548">
        <f t="shared" si="143"/>
        <v>5.6111083198493512E-2</v>
      </c>
    </row>
    <row r="4549" spans="1:5" x14ac:dyDescent="0.25">
      <c r="A4549">
        <v>0</v>
      </c>
      <c r="B4549">
        <v>8.2666666666666694E-2</v>
      </c>
      <c r="C4549">
        <f t="shared" si="142"/>
        <v>1.596556020137387</v>
      </c>
      <c r="D4549">
        <v>5</v>
      </c>
      <c r="E4549">
        <f t="shared" si="143"/>
        <v>5.6111083198493512E-2</v>
      </c>
    </row>
    <row r="4550" spans="1:5" x14ac:dyDescent="0.25">
      <c r="A4550">
        <v>0</v>
      </c>
      <c r="B4550">
        <v>8.2666666666666694E-2</v>
      </c>
      <c r="C4550">
        <f t="shared" si="142"/>
        <v>1.596556020137387</v>
      </c>
      <c r="D4550">
        <v>5</v>
      </c>
      <c r="E4550">
        <f t="shared" si="143"/>
        <v>5.6111083198493512E-2</v>
      </c>
    </row>
    <row r="4551" spans="1:5" x14ac:dyDescent="0.25">
      <c r="A4551">
        <v>0</v>
      </c>
      <c r="B4551">
        <v>8.2666666666666694E-2</v>
      </c>
      <c r="C4551">
        <f t="shared" si="142"/>
        <v>1.596556020137387</v>
      </c>
      <c r="D4551">
        <v>5</v>
      </c>
      <c r="E4551">
        <f t="shared" si="143"/>
        <v>5.6111083198493512E-2</v>
      </c>
    </row>
    <row r="4552" spans="1:5" x14ac:dyDescent="0.25">
      <c r="A4552">
        <v>0</v>
      </c>
      <c r="B4552">
        <v>8.2666666666666694E-2</v>
      </c>
      <c r="C4552">
        <f t="shared" si="142"/>
        <v>1.596556020137387</v>
      </c>
      <c r="D4552">
        <v>5</v>
      </c>
      <c r="E4552">
        <f t="shared" si="143"/>
        <v>5.6111083198493512E-2</v>
      </c>
    </row>
    <row r="4553" spans="1:5" x14ac:dyDescent="0.25">
      <c r="A4553">
        <v>0</v>
      </c>
      <c r="B4553">
        <v>8.3333333333333301E-2</v>
      </c>
      <c r="C4553">
        <f t="shared" si="142"/>
        <v>1.5955379792585418</v>
      </c>
      <c r="D4553">
        <v>5</v>
      </c>
      <c r="E4553">
        <f t="shared" si="143"/>
        <v>5.6111083198493512E-2</v>
      </c>
    </row>
    <row r="4554" spans="1:5" x14ac:dyDescent="0.25">
      <c r="A4554">
        <v>0</v>
      </c>
      <c r="B4554">
        <v>8.3333333333333301E-2</v>
      </c>
      <c r="C4554">
        <f t="shared" si="142"/>
        <v>1.5955379792585418</v>
      </c>
      <c r="D4554">
        <v>5</v>
      </c>
      <c r="E4554">
        <f t="shared" si="143"/>
        <v>5.6111083198493512E-2</v>
      </c>
    </row>
    <row r="4555" spans="1:5" x14ac:dyDescent="0.25">
      <c r="A4555">
        <v>0</v>
      </c>
      <c r="B4555">
        <v>8.3832335329341298E-2</v>
      </c>
      <c r="C4555">
        <f t="shared" si="142"/>
        <v>1.5947685604748907</v>
      </c>
      <c r="D4555">
        <v>5</v>
      </c>
      <c r="E4555">
        <f t="shared" si="143"/>
        <v>5.6111083198493512E-2</v>
      </c>
    </row>
    <row r="4556" spans="1:5" x14ac:dyDescent="0.25">
      <c r="A4556">
        <v>0</v>
      </c>
      <c r="B4556">
        <v>8.3916083916083906E-2</v>
      </c>
      <c r="C4556">
        <f t="shared" si="142"/>
        <v>1.594638806122139</v>
      </c>
      <c r="D4556">
        <v>5</v>
      </c>
      <c r="E4556">
        <f t="shared" si="143"/>
        <v>5.6111083198493512E-2</v>
      </c>
    </row>
    <row r="4557" spans="1:5" x14ac:dyDescent="0.25">
      <c r="A4557">
        <v>0</v>
      </c>
      <c r="B4557">
        <v>8.3916083916083906E-2</v>
      </c>
      <c r="C4557">
        <f t="shared" si="142"/>
        <v>1.594638806122139</v>
      </c>
      <c r="D4557">
        <v>5</v>
      </c>
      <c r="E4557">
        <f t="shared" si="143"/>
        <v>5.6111083198493512E-2</v>
      </c>
    </row>
    <row r="4558" spans="1:5" x14ac:dyDescent="0.25">
      <c r="A4558">
        <v>0</v>
      </c>
      <c r="B4558">
        <v>8.4000000000000005E-2</v>
      </c>
      <c r="C4558">
        <f t="shared" si="142"/>
        <v>1.5945086133165558</v>
      </c>
      <c r="D4558">
        <v>5</v>
      </c>
      <c r="E4558">
        <f t="shared" si="143"/>
        <v>5.6111083198493512E-2</v>
      </c>
    </row>
    <row r="4559" spans="1:5" x14ac:dyDescent="0.25">
      <c r="A4559">
        <v>0</v>
      </c>
      <c r="B4559">
        <v>8.4000000000000005E-2</v>
      </c>
      <c r="C4559">
        <f t="shared" si="142"/>
        <v>1.5945086133165558</v>
      </c>
      <c r="D4559">
        <v>5</v>
      </c>
      <c r="E4559">
        <f t="shared" si="143"/>
        <v>5.6111083198493512E-2</v>
      </c>
    </row>
    <row r="4560" spans="1:5" x14ac:dyDescent="0.25">
      <c r="A4560">
        <v>0</v>
      </c>
      <c r="B4560">
        <v>8.4000000000000005E-2</v>
      </c>
      <c r="C4560">
        <f t="shared" si="142"/>
        <v>1.5945086133165558</v>
      </c>
      <c r="D4560">
        <v>5</v>
      </c>
      <c r="E4560">
        <f t="shared" si="143"/>
        <v>5.6111083198493512E-2</v>
      </c>
    </row>
    <row r="4561" spans="1:5" x14ac:dyDescent="0.25">
      <c r="A4561">
        <v>0</v>
      </c>
      <c r="B4561">
        <v>8.4084084084084104E-2</v>
      </c>
      <c r="C4561">
        <f t="shared" si="142"/>
        <v>1.5943779802493003</v>
      </c>
      <c r="D4561">
        <v>5</v>
      </c>
      <c r="E4561">
        <f t="shared" si="143"/>
        <v>5.6111083198493512E-2</v>
      </c>
    </row>
    <row r="4562" spans="1:5" x14ac:dyDescent="0.25">
      <c r="A4562">
        <v>0</v>
      </c>
      <c r="B4562">
        <v>8.4084084084084104E-2</v>
      </c>
      <c r="C4562">
        <f t="shared" si="142"/>
        <v>1.5943779802493003</v>
      </c>
      <c r="D4562">
        <v>5</v>
      </c>
      <c r="E4562">
        <f t="shared" si="143"/>
        <v>5.6111083198493512E-2</v>
      </c>
    </row>
    <row r="4563" spans="1:5" x14ac:dyDescent="0.25">
      <c r="A4563">
        <v>0</v>
      </c>
      <c r="B4563">
        <v>8.4084084084084104E-2</v>
      </c>
      <c r="C4563">
        <f t="shared" si="142"/>
        <v>1.5943779802493003</v>
      </c>
      <c r="D4563">
        <v>5</v>
      </c>
      <c r="E4563">
        <f t="shared" si="143"/>
        <v>5.6111083198493512E-2</v>
      </c>
    </row>
    <row r="4564" spans="1:5" x14ac:dyDescent="0.25">
      <c r="A4564">
        <v>0</v>
      </c>
      <c r="B4564">
        <v>8.4084084084084104E-2</v>
      </c>
      <c r="C4564">
        <f t="shared" si="142"/>
        <v>1.5943779802493003</v>
      </c>
      <c r="D4564">
        <v>5</v>
      </c>
      <c r="E4564">
        <f t="shared" si="143"/>
        <v>5.6111083198493512E-2</v>
      </c>
    </row>
    <row r="4565" spans="1:5" x14ac:dyDescent="0.25">
      <c r="A4565">
        <v>0</v>
      </c>
      <c r="B4565">
        <v>8.4084084084084104E-2</v>
      </c>
      <c r="C4565">
        <f t="shared" si="142"/>
        <v>1.5943779802493003</v>
      </c>
      <c r="D4565">
        <v>5</v>
      </c>
      <c r="E4565">
        <f t="shared" si="143"/>
        <v>5.6111083198493512E-2</v>
      </c>
    </row>
    <row r="4566" spans="1:5" x14ac:dyDescent="0.25">
      <c r="A4566">
        <v>0</v>
      </c>
      <c r="B4566">
        <v>8.4084084084084104E-2</v>
      </c>
      <c r="C4566">
        <f t="shared" si="142"/>
        <v>1.5943779802493003</v>
      </c>
      <c r="D4566">
        <v>5</v>
      </c>
      <c r="E4566">
        <f t="shared" si="143"/>
        <v>5.6111083198493512E-2</v>
      </c>
    </row>
    <row r="4567" spans="1:5" x14ac:dyDescent="0.25">
      <c r="A4567">
        <v>0</v>
      </c>
      <c r="B4567">
        <v>8.4112149532710304E-2</v>
      </c>
      <c r="C4567">
        <f t="shared" si="142"/>
        <v>1.5943343377436898</v>
      </c>
      <c r="D4567">
        <v>5</v>
      </c>
      <c r="E4567">
        <f t="shared" si="143"/>
        <v>5.6111083198493512E-2</v>
      </c>
    </row>
    <row r="4568" spans="1:5" x14ac:dyDescent="0.25">
      <c r="A4568">
        <v>0</v>
      </c>
      <c r="B4568">
        <v>8.4112149532710304E-2</v>
      </c>
      <c r="C4568">
        <f t="shared" si="142"/>
        <v>1.5943343377436898</v>
      </c>
      <c r="D4568">
        <v>5</v>
      </c>
      <c r="E4568">
        <f t="shared" si="143"/>
        <v>5.6111083198493512E-2</v>
      </c>
    </row>
    <row r="4569" spans="1:5" x14ac:dyDescent="0.25">
      <c r="A4569">
        <v>0</v>
      </c>
      <c r="B4569">
        <v>8.5000000000000006E-2</v>
      </c>
      <c r="C4569">
        <f t="shared" si="142"/>
        <v>1.5929433797669212</v>
      </c>
      <c r="D4569">
        <v>5</v>
      </c>
      <c r="E4569">
        <f t="shared" si="143"/>
        <v>5.6111083198493512E-2</v>
      </c>
    </row>
    <row r="4570" spans="1:5" x14ac:dyDescent="0.25">
      <c r="A4570">
        <v>0</v>
      </c>
      <c r="B4570">
        <v>8.5000000000000006E-2</v>
      </c>
      <c r="C4570">
        <f t="shared" si="142"/>
        <v>1.5929433797669212</v>
      </c>
      <c r="D4570">
        <v>5</v>
      </c>
      <c r="E4570">
        <f t="shared" si="143"/>
        <v>5.6111083198493512E-2</v>
      </c>
    </row>
    <row r="4571" spans="1:5" x14ac:dyDescent="0.25">
      <c r="A4571">
        <v>0</v>
      </c>
      <c r="B4571">
        <v>8.5000000000000006E-2</v>
      </c>
      <c r="C4571">
        <f t="shared" si="142"/>
        <v>1.5929433797669212</v>
      </c>
      <c r="D4571">
        <v>5</v>
      </c>
      <c r="E4571">
        <f t="shared" si="143"/>
        <v>5.6111083198493512E-2</v>
      </c>
    </row>
    <row r="4572" spans="1:5" x14ac:dyDescent="0.25">
      <c r="A4572">
        <v>0</v>
      </c>
      <c r="B4572">
        <v>8.5000000000000006E-2</v>
      </c>
      <c r="C4572">
        <f t="shared" si="142"/>
        <v>1.5929433797669212</v>
      </c>
      <c r="D4572">
        <v>5</v>
      </c>
      <c r="E4572">
        <f t="shared" si="143"/>
        <v>5.6111083198493512E-2</v>
      </c>
    </row>
    <row r="4573" spans="1:5" x14ac:dyDescent="0.25">
      <c r="A4573">
        <v>0</v>
      </c>
      <c r="B4573">
        <v>8.5106382978723402E-2</v>
      </c>
      <c r="C4573">
        <f t="shared" si="142"/>
        <v>1.5927753721976428</v>
      </c>
      <c r="D4573">
        <v>5</v>
      </c>
      <c r="E4573">
        <f t="shared" si="143"/>
        <v>5.6111083198493512E-2</v>
      </c>
    </row>
    <row r="4574" spans="1:5" x14ac:dyDescent="0.25">
      <c r="A4574">
        <v>0</v>
      </c>
      <c r="B4574">
        <v>8.5333333333333303E-2</v>
      </c>
      <c r="C4574">
        <f t="shared" si="142"/>
        <v>1.5924159975296044</v>
      </c>
      <c r="D4574">
        <v>5</v>
      </c>
      <c r="E4574">
        <f t="shared" si="143"/>
        <v>5.6111083198493512E-2</v>
      </c>
    </row>
    <row r="4575" spans="1:5" x14ac:dyDescent="0.25">
      <c r="A4575">
        <v>0</v>
      </c>
      <c r="B4575">
        <v>8.5333333333333303E-2</v>
      </c>
      <c r="C4575">
        <f t="shared" si="142"/>
        <v>1.5924159975296044</v>
      </c>
      <c r="D4575">
        <v>5</v>
      </c>
      <c r="E4575">
        <f t="shared" si="143"/>
        <v>5.6111083198493512E-2</v>
      </c>
    </row>
    <row r="4576" spans="1:5" x14ac:dyDescent="0.25">
      <c r="A4576">
        <v>0</v>
      </c>
      <c r="B4576">
        <v>8.5333333333333303E-2</v>
      </c>
      <c r="C4576">
        <f t="shared" si="142"/>
        <v>1.5924159975296044</v>
      </c>
      <c r="D4576">
        <v>5</v>
      </c>
      <c r="E4576">
        <f t="shared" si="143"/>
        <v>5.6111083198493512E-2</v>
      </c>
    </row>
    <row r="4577" spans="1:5" x14ac:dyDescent="0.25">
      <c r="A4577">
        <v>0</v>
      </c>
      <c r="B4577">
        <v>8.5333333333333303E-2</v>
      </c>
      <c r="C4577">
        <f t="shared" si="142"/>
        <v>1.5924159975296044</v>
      </c>
      <c r="D4577">
        <v>5</v>
      </c>
      <c r="E4577">
        <f t="shared" si="143"/>
        <v>5.6111083198493512E-2</v>
      </c>
    </row>
    <row r="4578" spans="1:5" x14ac:dyDescent="0.25">
      <c r="A4578">
        <v>0</v>
      </c>
      <c r="B4578">
        <v>8.5333333333333303E-2</v>
      </c>
      <c r="C4578">
        <f t="shared" si="142"/>
        <v>1.5924159975296044</v>
      </c>
      <c r="D4578">
        <v>5</v>
      </c>
      <c r="E4578">
        <f t="shared" si="143"/>
        <v>5.6111083198493512E-2</v>
      </c>
    </row>
    <row r="4579" spans="1:5" x14ac:dyDescent="0.25">
      <c r="A4579">
        <v>0</v>
      </c>
      <c r="B4579">
        <v>8.5333333333333303E-2</v>
      </c>
      <c r="C4579">
        <f t="shared" si="142"/>
        <v>1.5924159975296044</v>
      </c>
      <c r="D4579">
        <v>5</v>
      </c>
      <c r="E4579">
        <f t="shared" si="143"/>
        <v>5.6111083198493512E-2</v>
      </c>
    </row>
    <row r="4580" spans="1:5" x14ac:dyDescent="0.25">
      <c r="A4580">
        <v>0</v>
      </c>
      <c r="B4580">
        <v>8.5333333333333303E-2</v>
      </c>
      <c r="C4580">
        <f t="shared" si="142"/>
        <v>1.5924159975296044</v>
      </c>
      <c r="D4580">
        <v>5</v>
      </c>
      <c r="E4580">
        <f t="shared" si="143"/>
        <v>5.6111083198493512E-2</v>
      </c>
    </row>
    <row r="4581" spans="1:5" x14ac:dyDescent="0.25">
      <c r="A4581">
        <v>0</v>
      </c>
      <c r="B4581">
        <v>8.5999999999999993E-2</v>
      </c>
      <c r="C4581">
        <f t="shared" si="142"/>
        <v>1.5913527939264498</v>
      </c>
      <c r="D4581">
        <v>5</v>
      </c>
      <c r="E4581">
        <f t="shared" si="143"/>
        <v>5.6111083198493512E-2</v>
      </c>
    </row>
    <row r="4582" spans="1:5" x14ac:dyDescent="0.25">
      <c r="A4582">
        <v>0</v>
      </c>
      <c r="B4582">
        <v>8.6247086247086199E-2</v>
      </c>
      <c r="C4582">
        <f t="shared" si="142"/>
        <v>1.590955885135221</v>
      </c>
      <c r="D4582">
        <v>5</v>
      </c>
      <c r="E4582">
        <f t="shared" si="143"/>
        <v>5.6111083198493512E-2</v>
      </c>
    </row>
    <row r="4583" spans="1:5" x14ac:dyDescent="0.25">
      <c r="A4583">
        <v>0</v>
      </c>
      <c r="B4583">
        <v>8.6247086247086199E-2</v>
      </c>
      <c r="C4583">
        <f t="shared" si="142"/>
        <v>1.590955885135221</v>
      </c>
      <c r="D4583">
        <v>5</v>
      </c>
      <c r="E4583">
        <f t="shared" si="143"/>
        <v>5.6111083198493512E-2</v>
      </c>
    </row>
    <row r="4584" spans="1:5" x14ac:dyDescent="0.25">
      <c r="A4584">
        <v>0</v>
      </c>
      <c r="B4584">
        <v>8.6448598130841103E-2</v>
      </c>
      <c r="C4584">
        <f t="shared" si="142"/>
        <v>1.5906310435622319</v>
      </c>
      <c r="D4584">
        <v>5</v>
      </c>
      <c r="E4584">
        <f t="shared" si="143"/>
        <v>5.6111083198493512E-2</v>
      </c>
    </row>
    <row r="4585" spans="1:5" x14ac:dyDescent="0.25">
      <c r="A4585">
        <v>0</v>
      </c>
      <c r="B4585">
        <v>8.6666666666666697E-2</v>
      </c>
      <c r="C4585">
        <f t="shared" si="142"/>
        <v>1.5902783577420723</v>
      </c>
      <c r="D4585">
        <v>5</v>
      </c>
      <c r="E4585">
        <f t="shared" si="143"/>
        <v>5.6111083198493512E-2</v>
      </c>
    </row>
    <row r="4586" spans="1:5" x14ac:dyDescent="0.25">
      <c r="A4586">
        <v>0</v>
      </c>
      <c r="B4586">
        <v>8.6666666666666697E-2</v>
      </c>
      <c r="C4586">
        <f t="shared" si="142"/>
        <v>1.5902783577420723</v>
      </c>
      <c r="D4586">
        <v>5</v>
      </c>
      <c r="E4586">
        <f t="shared" si="143"/>
        <v>5.6111083198493512E-2</v>
      </c>
    </row>
    <row r="4587" spans="1:5" x14ac:dyDescent="0.25">
      <c r="A4587">
        <v>0</v>
      </c>
      <c r="B4587">
        <v>8.6666666666666697E-2</v>
      </c>
      <c r="C4587">
        <f t="shared" si="142"/>
        <v>1.5902783577420723</v>
      </c>
      <c r="D4587">
        <v>5</v>
      </c>
      <c r="E4587">
        <f t="shared" si="143"/>
        <v>5.6111083198493512E-2</v>
      </c>
    </row>
    <row r="4588" spans="1:5" x14ac:dyDescent="0.25">
      <c r="A4588">
        <v>0</v>
      </c>
      <c r="B4588">
        <v>8.6666666666666697E-2</v>
      </c>
      <c r="C4588">
        <f t="shared" si="142"/>
        <v>1.5902783577420723</v>
      </c>
      <c r="D4588">
        <v>5</v>
      </c>
      <c r="E4588">
        <f t="shared" si="143"/>
        <v>5.6111083198493512E-2</v>
      </c>
    </row>
    <row r="4589" spans="1:5" x14ac:dyDescent="0.25">
      <c r="A4589">
        <v>0</v>
      </c>
      <c r="B4589">
        <v>8.6666666666666697E-2</v>
      </c>
      <c r="C4589">
        <f t="shared" si="142"/>
        <v>1.5902783577420723</v>
      </c>
      <c r="D4589">
        <v>5</v>
      </c>
      <c r="E4589">
        <f t="shared" si="143"/>
        <v>5.6111083198493512E-2</v>
      </c>
    </row>
    <row r="4590" spans="1:5" x14ac:dyDescent="0.25">
      <c r="A4590">
        <v>0</v>
      </c>
      <c r="B4590">
        <v>8.6666666666666697E-2</v>
      </c>
      <c r="C4590">
        <f t="shared" si="142"/>
        <v>1.5902783577420723</v>
      </c>
      <c r="D4590">
        <v>5</v>
      </c>
      <c r="E4590">
        <f t="shared" si="143"/>
        <v>5.6111083198493512E-2</v>
      </c>
    </row>
    <row r="4591" spans="1:5" x14ac:dyDescent="0.25">
      <c r="A4591">
        <v>0</v>
      </c>
      <c r="B4591">
        <v>8.6666666666666697E-2</v>
      </c>
      <c r="C4591">
        <f t="shared" si="142"/>
        <v>1.5902783577420723</v>
      </c>
      <c r="D4591">
        <v>5</v>
      </c>
      <c r="E4591">
        <f t="shared" si="143"/>
        <v>5.6111083198493512E-2</v>
      </c>
    </row>
    <row r="4592" spans="1:5" x14ac:dyDescent="0.25">
      <c r="A4592">
        <v>0</v>
      </c>
      <c r="B4592">
        <v>8.6666666666666697E-2</v>
      </c>
      <c r="C4592">
        <f t="shared" si="142"/>
        <v>1.5902783577420723</v>
      </c>
      <c r="D4592">
        <v>5</v>
      </c>
      <c r="E4592">
        <f t="shared" si="143"/>
        <v>5.6111083198493512E-2</v>
      </c>
    </row>
    <row r="4593" spans="1:5" x14ac:dyDescent="0.25">
      <c r="A4593">
        <v>0</v>
      </c>
      <c r="B4593">
        <v>8.6666666666666697E-2</v>
      </c>
      <c r="C4593">
        <f t="shared" si="142"/>
        <v>1.5902783577420723</v>
      </c>
      <c r="D4593">
        <v>5</v>
      </c>
      <c r="E4593">
        <f t="shared" si="143"/>
        <v>5.6111083198493512E-2</v>
      </c>
    </row>
    <row r="4594" spans="1:5" x14ac:dyDescent="0.25">
      <c r="A4594">
        <v>0</v>
      </c>
      <c r="B4594">
        <v>8.6826347305389198E-2</v>
      </c>
      <c r="C4594">
        <f t="shared" si="142"/>
        <v>1.5900193429533451</v>
      </c>
      <c r="D4594">
        <v>5</v>
      </c>
      <c r="E4594">
        <f t="shared" si="143"/>
        <v>5.6111083198493512E-2</v>
      </c>
    </row>
    <row r="4595" spans="1:5" x14ac:dyDescent="0.25">
      <c r="A4595">
        <v>0</v>
      </c>
      <c r="B4595">
        <v>8.6826347305389198E-2</v>
      </c>
      <c r="C4595">
        <f t="shared" si="142"/>
        <v>1.5900193429533451</v>
      </c>
      <c r="D4595">
        <v>5</v>
      </c>
      <c r="E4595">
        <f t="shared" si="143"/>
        <v>5.6111083198493512E-2</v>
      </c>
    </row>
    <row r="4596" spans="1:5" x14ac:dyDescent="0.25">
      <c r="A4596">
        <v>0</v>
      </c>
      <c r="B4596">
        <v>8.6826347305389198E-2</v>
      </c>
      <c r="C4596">
        <f t="shared" si="142"/>
        <v>1.5900193429533451</v>
      </c>
      <c r="D4596">
        <v>5</v>
      </c>
      <c r="E4596">
        <f t="shared" si="143"/>
        <v>5.6111083198493512E-2</v>
      </c>
    </row>
    <row r="4597" spans="1:5" x14ac:dyDescent="0.25">
      <c r="A4597">
        <v>0</v>
      </c>
      <c r="B4597">
        <v>8.6826347305389198E-2</v>
      </c>
      <c r="C4597">
        <f t="shared" si="142"/>
        <v>1.5900193429533451</v>
      </c>
      <c r="D4597">
        <v>5</v>
      </c>
      <c r="E4597">
        <f t="shared" si="143"/>
        <v>5.6111083198493512E-2</v>
      </c>
    </row>
    <row r="4598" spans="1:5" x14ac:dyDescent="0.25">
      <c r="A4598">
        <v>0</v>
      </c>
      <c r="B4598">
        <v>8.6826347305389198E-2</v>
      </c>
      <c r="C4598">
        <f t="shared" si="142"/>
        <v>1.5900193429533451</v>
      </c>
      <c r="D4598">
        <v>5</v>
      </c>
      <c r="E4598">
        <f t="shared" si="143"/>
        <v>5.6111083198493512E-2</v>
      </c>
    </row>
    <row r="4599" spans="1:5" x14ac:dyDescent="0.25">
      <c r="A4599">
        <v>0</v>
      </c>
      <c r="B4599">
        <v>8.7087087087087095E-2</v>
      </c>
      <c r="C4599">
        <f t="shared" si="142"/>
        <v>1.5895950206805323</v>
      </c>
      <c r="D4599">
        <v>5</v>
      </c>
      <c r="E4599">
        <f t="shared" si="143"/>
        <v>5.6111083198493512E-2</v>
      </c>
    </row>
    <row r="4600" spans="1:5" x14ac:dyDescent="0.25">
      <c r="A4600">
        <v>0</v>
      </c>
      <c r="B4600">
        <v>8.7087087087087095E-2</v>
      </c>
      <c r="C4600">
        <f t="shared" si="142"/>
        <v>1.5895950206805323</v>
      </c>
      <c r="D4600">
        <v>5</v>
      </c>
      <c r="E4600">
        <f t="shared" si="143"/>
        <v>5.6111083198493512E-2</v>
      </c>
    </row>
    <row r="4601" spans="1:5" x14ac:dyDescent="0.25">
      <c r="A4601">
        <v>0</v>
      </c>
      <c r="B4601">
        <v>8.7087087087087095E-2</v>
      </c>
      <c r="C4601">
        <f t="shared" si="142"/>
        <v>1.5895950206805323</v>
      </c>
      <c r="D4601">
        <v>5</v>
      </c>
      <c r="E4601">
        <f t="shared" si="143"/>
        <v>5.6111083198493512E-2</v>
      </c>
    </row>
    <row r="4602" spans="1:5" x14ac:dyDescent="0.25">
      <c r="A4602">
        <v>0</v>
      </c>
      <c r="B4602">
        <v>8.7087087087087095E-2</v>
      </c>
      <c r="C4602">
        <f t="shared" si="142"/>
        <v>1.5895950206805323</v>
      </c>
      <c r="D4602">
        <v>5</v>
      </c>
      <c r="E4602">
        <f t="shared" si="143"/>
        <v>5.6111083198493512E-2</v>
      </c>
    </row>
    <row r="4603" spans="1:5" x14ac:dyDescent="0.25">
      <c r="A4603">
        <v>0</v>
      </c>
      <c r="B4603">
        <v>8.7087087087087095E-2</v>
      </c>
      <c r="C4603">
        <f t="shared" si="142"/>
        <v>1.5895950206805323</v>
      </c>
      <c r="D4603">
        <v>5</v>
      </c>
      <c r="E4603">
        <f t="shared" si="143"/>
        <v>5.6111083198493512E-2</v>
      </c>
    </row>
    <row r="4604" spans="1:5" x14ac:dyDescent="0.25">
      <c r="A4604">
        <v>0</v>
      </c>
      <c r="B4604">
        <v>8.7087087087087095E-2</v>
      </c>
      <c r="C4604">
        <f t="shared" si="142"/>
        <v>1.5895950206805323</v>
      </c>
      <c r="D4604">
        <v>5</v>
      </c>
      <c r="E4604">
        <f t="shared" si="143"/>
        <v>5.6111083198493512E-2</v>
      </c>
    </row>
    <row r="4605" spans="1:5" x14ac:dyDescent="0.25">
      <c r="A4605">
        <v>0</v>
      </c>
      <c r="B4605">
        <v>8.7999999999999995E-2</v>
      </c>
      <c r="C4605">
        <f t="shared" si="142"/>
        <v>1.5880958827285772</v>
      </c>
      <c r="D4605">
        <v>5</v>
      </c>
      <c r="E4605">
        <f t="shared" si="143"/>
        <v>5.6111083198493512E-2</v>
      </c>
    </row>
    <row r="4606" spans="1:5" x14ac:dyDescent="0.25">
      <c r="A4606">
        <v>0</v>
      </c>
      <c r="B4606">
        <v>8.7999999999999995E-2</v>
      </c>
      <c r="C4606">
        <f t="shared" si="142"/>
        <v>1.5880958827285772</v>
      </c>
      <c r="D4606">
        <v>5</v>
      </c>
      <c r="E4606">
        <f t="shared" si="143"/>
        <v>5.6111083198493512E-2</v>
      </c>
    </row>
    <row r="4607" spans="1:5" x14ac:dyDescent="0.25">
      <c r="A4607">
        <v>0</v>
      </c>
      <c r="B4607">
        <v>8.7999999999999995E-2</v>
      </c>
      <c r="C4607">
        <f t="shared" si="142"/>
        <v>1.5880958827285772</v>
      </c>
      <c r="D4607">
        <v>5</v>
      </c>
      <c r="E4607">
        <f t="shared" si="143"/>
        <v>5.6111083198493512E-2</v>
      </c>
    </row>
    <row r="4608" spans="1:5" x14ac:dyDescent="0.25">
      <c r="A4608">
        <v>0</v>
      </c>
      <c r="B4608">
        <v>8.7999999999999995E-2</v>
      </c>
      <c r="C4608">
        <f t="shared" si="142"/>
        <v>1.5880958827285772</v>
      </c>
      <c r="D4608">
        <v>5</v>
      </c>
      <c r="E4608">
        <f t="shared" si="143"/>
        <v>5.6111083198493512E-2</v>
      </c>
    </row>
    <row r="4609" spans="1:5" x14ac:dyDescent="0.25">
      <c r="A4609">
        <v>0</v>
      </c>
      <c r="B4609">
        <v>8.7999999999999995E-2</v>
      </c>
      <c r="C4609">
        <f t="shared" si="142"/>
        <v>1.5880958827285772</v>
      </c>
      <c r="D4609">
        <v>5</v>
      </c>
      <c r="E4609">
        <f t="shared" si="143"/>
        <v>5.6111083198493512E-2</v>
      </c>
    </row>
    <row r="4610" spans="1:5" x14ac:dyDescent="0.25">
      <c r="A4610">
        <v>0</v>
      </c>
      <c r="B4610">
        <v>8.7999999999999995E-2</v>
      </c>
      <c r="C4610">
        <f t="shared" ref="C4610:C4673" si="144">_xlfn.NORM.DIST(B4610,I$10,I$13,FALSE)</f>
        <v>1.5880958827285772</v>
      </c>
      <c r="D4610">
        <v>5</v>
      </c>
      <c r="E4610">
        <f t="shared" si="143"/>
        <v>5.6111083198493512E-2</v>
      </c>
    </row>
    <row r="4611" spans="1:5" x14ac:dyDescent="0.25">
      <c r="A4611">
        <v>0</v>
      </c>
      <c r="B4611">
        <v>8.7999999999999995E-2</v>
      </c>
      <c r="C4611">
        <f t="shared" si="144"/>
        <v>1.5880958827285772</v>
      </c>
      <c r="D4611">
        <v>5</v>
      </c>
      <c r="E4611">
        <f t="shared" ref="E4611:E4674" si="145">_xlfn.NORM.DIST(D4611,I$4,I$7,FALSE)</f>
        <v>5.6111083198493512E-2</v>
      </c>
    </row>
    <row r="4612" spans="1:5" x14ac:dyDescent="0.25">
      <c r="A4612">
        <v>0</v>
      </c>
      <c r="B4612">
        <v>8.7999999999999995E-2</v>
      </c>
      <c r="C4612">
        <f t="shared" si="144"/>
        <v>1.5880958827285772</v>
      </c>
      <c r="D4612">
        <v>5</v>
      </c>
      <c r="E4612">
        <f t="shared" si="145"/>
        <v>5.6111083198493512E-2</v>
      </c>
    </row>
    <row r="4613" spans="1:5" x14ac:dyDescent="0.25">
      <c r="A4613">
        <v>0</v>
      </c>
      <c r="B4613">
        <v>8.7999999999999995E-2</v>
      </c>
      <c r="C4613">
        <f t="shared" si="144"/>
        <v>1.5880958827285772</v>
      </c>
      <c r="D4613">
        <v>5</v>
      </c>
      <c r="E4613">
        <f t="shared" si="145"/>
        <v>5.6111083198493512E-2</v>
      </c>
    </row>
    <row r="4614" spans="1:5" x14ac:dyDescent="0.25">
      <c r="A4614">
        <v>0</v>
      </c>
      <c r="B4614">
        <v>8.7999999999999995E-2</v>
      </c>
      <c r="C4614">
        <f t="shared" si="144"/>
        <v>1.5880958827285772</v>
      </c>
      <c r="D4614">
        <v>5</v>
      </c>
      <c r="E4614">
        <f t="shared" si="145"/>
        <v>5.6111083198493512E-2</v>
      </c>
    </row>
    <row r="4615" spans="1:5" x14ac:dyDescent="0.25">
      <c r="A4615">
        <v>0</v>
      </c>
      <c r="B4615">
        <v>8.7999999999999995E-2</v>
      </c>
      <c r="C4615">
        <f t="shared" si="144"/>
        <v>1.5880958827285772</v>
      </c>
      <c r="D4615">
        <v>5</v>
      </c>
      <c r="E4615">
        <f t="shared" si="145"/>
        <v>5.6111083198493512E-2</v>
      </c>
    </row>
    <row r="4616" spans="1:5" x14ac:dyDescent="0.25">
      <c r="A4616">
        <v>0</v>
      </c>
      <c r="B4616">
        <v>8.8578088578088604E-2</v>
      </c>
      <c r="C4616">
        <f t="shared" si="144"/>
        <v>1.5871357496447618</v>
      </c>
      <c r="D4616">
        <v>5</v>
      </c>
      <c r="E4616">
        <f t="shared" si="145"/>
        <v>5.6111083198493512E-2</v>
      </c>
    </row>
    <row r="4617" spans="1:5" x14ac:dyDescent="0.25">
      <c r="A4617">
        <v>0</v>
      </c>
      <c r="B4617">
        <v>8.8578088578088604E-2</v>
      </c>
      <c r="C4617">
        <f t="shared" si="144"/>
        <v>1.5871357496447618</v>
      </c>
      <c r="D4617">
        <v>5</v>
      </c>
      <c r="E4617">
        <f t="shared" si="145"/>
        <v>5.6111083198493512E-2</v>
      </c>
    </row>
    <row r="4618" spans="1:5" x14ac:dyDescent="0.25">
      <c r="A4618">
        <v>0</v>
      </c>
      <c r="B4618">
        <v>8.8578088578088604E-2</v>
      </c>
      <c r="C4618">
        <f t="shared" si="144"/>
        <v>1.5871357496447618</v>
      </c>
      <c r="D4618">
        <v>5</v>
      </c>
      <c r="E4618">
        <f t="shared" si="145"/>
        <v>5.6111083198493512E-2</v>
      </c>
    </row>
    <row r="4619" spans="1:5" x14ac:dyDescent="0.25">
      <c r="A4619">
        <v>0</v>
      </c>
      <c r="B4619">
        <v>8.8578088578088604E-2</v>
      </c>
      <c r="C4619">
        <f t="shared" si="144"/>
        <v>1.5871357496447618</v>
      </c>
      <c r="D4619">
        <v>5</v>
      </c>
      <c r="E4619">
        <f t="shared" si="145"/>
        <v>5.6111083198493512E-2</v>
      </c>
    </row>
    <row r="4620" spans="1:5" x14ac:dyDescent="0.25">
      <c r="A4620">
        <v>0</v>
      </c>
      <c r="B4620">
        <v>8.8607594936708903E-2</v>
      </c>
      <c r="C4620">
        <f t="shared" si="144"/>
        <v>1.5870865184518752</v>
      </c>
      <c r="D4620">
        <v>5</v>
      </c>
      <c r="E4620">
        <f t="shared" si="145"/>
        <v>5.6111083198493512E-2</v>
      </c>
    </row>
    <row r="4621" spans="1:5" x14ac:dyDescent="0.25">
      <c r="A4621">
        <v>0</v>
      </c>
      <c r="B4621">
        <v>8.8607594936708903E-2</v>
      </c>
      <c r="C4621">
        <f t="shared" si="144"/>
        <v>1.5870865184518752</v>
      </c>
      <c r="D4621">
        <v>5</v>
      </c>
      <c r="E4621">
        <f t="shared" si="145"/>
        <v>5.6111083198493512E-2</v>
      </c>
    </row>
    <row r="4622" spans="1:5" x14ac:dyDescent="0.25">
      <c r="A4622">
        <v>0</v>
      </c>
      <c r="B4622">
        <v>8.8785046728972E-2</v>
      </c>
      <c r="C4622">
        <f t="shared" si="144"/>
        <v>1.5867899810174744</v>
      </c>
      <c r="D4622">
        <v>5</v>
      </c>
      <c r="E4622">
        <f t="shared" si="145"/>
        <v>5.6111083198493512E-2</v>
      </c>
    </row>
    <row r="4623" spans="1:5" x14ac:dyDescent="0.25">
      <c r="A4623">
        <v>0</v>
      </c>
      <c r="B4623">
        <v>8.8785046728972E-2</v>
      </c>
      <c r="C4623">
        <f t="shared" si="144"/>
        <v>1.5867899810174744</v>
      </c>
      <c r="D4623">
        <v>5</v>
      </c>
      <c r="E4623">
        <f t="shared" si="145"/>
        <v>5.6111083198493512E-2</v>
      </c>
    </row>
    <row r="4624" spans="1:5" x14ac:dyDescent="0.25">
      <c r="A4624">
        <v>0</v>
      </c>
      <c r="B4624">
        <v>8.9333333333333306E-2</v>
      </c>
      <c r="C4624">
        <f t="shared" si="144"/>
        <v>1.5858687650450372</v>
      </c>
      <c r="D4624">
        <v>5</v>
      </c>
      <c r="E4624">
        <f t="shared" si="145"/>
        <v>5.6111083198493512E-2</v>
      </c>
    </row>
    <row r="4625" spans="1:5" x14ac:dyDescent="0.25">
      <c r="A4625">
        <v>0</v>
      </c>
      <c r="B4625">
        <v>8.9333333333333306E-2</v>
      </c>
      <c r="C4625">
        <f t="shared" si="144"/>
        <v>1.5858687650450372</v>
      </c>
      <c r="D4625">
        <v>5</v>
      </c>
      <c r="E4625">
        <f t="shared" si="145"/>
        <v>5.6111083198493512E-2</v>
      </c>
    </row>
    <row r="4626" spans="1:5" x14ac:dyDescent="0.25">
      <c r="A4626">
        <v>0</v>
      </c>
      <c r="B4626">
        <v>8.9333333333333306E-2</v>
      </c>
      <c r="C4626">
        <f t="shared" si="144"/>
        <v>1.5858687650450372</v>
      </c>
      <c r="D4626">
        <v>5</v>
      </c>
      <c r="E4626">
        <f t="shared" si="145"/>
        <v>5.6111083198493512E-2</v>
      </c>
    </row>
    <row r="4627" spans="1:5" x14ac:dyDescent="0.25">
      <c r="A4627">
        <v>0</v>
      </c>
      <c r="B4627">
        <v>8.9333333333333306E-2</v>
      </c>
      <c r="C4627">
        <f t="shared" si="144"/>
        <v>1.5858687650450372</v>
      </c>
      <c r="D4627">
        <v>5</v>
      </c>
      <c r="E4627">
        <f t="shared" si="145"/>
        <v>5.6111083198493512E-2</v>
      </c>
    </row>
    <row r="4628" spans="1:5" x14ac:dyDescent="0.25">
      <c r="A4628">
        <v>0</v>
      </c>
      <c r="B4628">
        <v>8.9820359281437098E-2</v>
      </c>
      <c r="C4628">
        <f t="shared" si="144"/>
        <v>1.585044173990634</v>
      </c>
      <c r="D4628">
        <v>5</v>
      </c>
      <c r="E4628">
        <f t="shared" si="145"/>
        <v>5.6111083198493512E-2</v>
      </c>
    </row>
    <row r="4629" spans="1:5" x14ac:dyDescent="0.25">
      <c r="A4629">
        <v>0</v>
      </c>
      <c r="B4629">
        <v>8.9820359281437098E-2</v>
      </c>
      <c r="C4629">
        <f t="shared" si="144"/>
        <v>1.585044173990634</v>
      </c>
      <c r="D4629">
        <v>5</v>
      </c>
      <c r="E4629">
        <f t="shared" si="145"/>
        <v>5.6111083198493512E-2</v>
      </c>
    </row>
    <row r="4630" spans="1:5" x14ac:dyDescent="0.25">
      <c r="A4630">
        <v>0</v>
      </c>
      <c r="B4630">
        <v>8.9820359281437098E-2</v>
      </c>
      <c r="C4630">
        <f t="shared" si="144"/>
        <v>1.585044173990634</v>
      </c>
      <c r="D4630">
        <v>5</v>
      </c>
      <c r="E4630">
        <f t="shared" si="145"/>
        <v>5.6111083198493512E-2</v>
      </c>
    </row>
    <row r="4631" spans="1:5" x14ac:dyDescent="0.25">
      <c r="A4631">
        <v>0</v>
      </c>
      <c r="B4631">
        <v>0.09</v>
      </c>
      <c r="C4631">
        <f t="shared" si="144"/>
        <v>1.5847385264027176</v>
      </c>
      <c r="D4631">
        <v>5</v>
      </c>
      <c r="E4631">
        <f t="shared" si="145"/>
        <v>5.6111083198493512E-2</v>
      </c>
    </row>
    <row r="4632" spans="1:5" x14ac:dyDescent="0.25">
      <c r="A4632">
        <v>0</v>
      </c>
      <c r="B4632">
        <v>0.09</v>
      </c>
      <c r="C4632">
        <f t="shared" si="144"/>
        <v>1.5847385264027176</v>
      </c>
      <c r="D4632">
        <v>5</v>
      </c>
      <c r="E4632">
        <f t="shared" si="145"/>
        <v>5.6111083198493512E-2</v>
      </c>
    </row>
    <row r="4633" spans="1:5" x14ac:dyDescent="0.25">
      <c r="A4633">
        <v>0</v>
      </c>
      <c r="B4633">
        <v>0.09</v>
      </c>
      <c r="C4633">
        <f t="shared" si="144"/>
        <v>1.5847385264027176</v>
      </c>
      <c r="D4633">
        <v>5</v>
      </c>
      <c r="E4633">
        <f t="shared" si="145"/>
        <v>5.6111083198493512E-2</v>
      </c>
    </row>
    <row r="4634" spans="1:5" x14ac:dyDescent="0.25">
      <c r="A4634">
        <v>0</v>
      </c>
      <c r="B4634">
        <v>0.09</v>
      </c>
      <c r="C4634">
        <f t="shared" si="144"/>
        <v>1.5847385264027176</v>
      </c>
      <c r="D4634">
        <v>5</v>
      </c>
      <c r="E4634">
        <f t="shared" si="145"/>
        <v>5.6111083198493512E-2</v>
      </c>
    </row>
    <row r="4635" spans="1:5" x14ac:dyDescent="0.25">
      <c r="A4635">
        <v>0</v>
      </c>
      <c r="B4635">
        <v>0.09</v>
      </c>
      <c r="C4635">
        <f t="shared" si="144"/>
        <v>1.5847385264027176</v>
      </c>
      <c r="D4635">
        <v>5</v>
      </c>
      <c r="E4635">
        <f t="shared" si="145"/>
        <v>5.6111083198493512E-2</v>
      </c>
    </row>
    <row r="4636" spans="1:5" x14ac:dyDescent="0.25">
      <c r="A4636">
        <v>0</v>
      </c>
      <c r="B4636">
        <v>0.09</v>
      </c>
      <c r="C4636">
        <f t="shared" si="144"/>
        <v>1.5847385264027176</v>
      </c>
      <c r="D4636">
        <v>5</v>
      </c>
      <c r="E4636">
        <f t="shared" si="145"/>
        <v>5.6111083198493512E-2</v>
      </c>
    </row>
    <row r="4637" spans="1:5" x14ac:dyDescent="0.25">
      <c r="A4637">
        <v>0</v>
      </c>
      <c r="B4637">
        <v>0.09</v>
      </c>
      <c r="C4637">
        <f t="shared" si="144"/>
        <v>1.5847385264027176</v>
      </c>
      <c r="D4637">
        <v>5</v>
      </c>
      <c r="E4637">
        <f t="shared" si="145"/>
        <v>5.6111083198493512E-2</v>
      </c>
    </row>
    <row r="4638" spans="1:5" x14ac:dyDescent="0.25">
      <c r="A4638">
        <v>0</v>
      </c>
      <c r="B4638">
        <v>0.09</v>
      </c>
      <c r="C4638">
        <f t="shared" si="144"/>
        <v>1.5847385264027176</v>
      </c>
      <c r="D4638">
        <v>5</v>
      </c>
      <c r="E4638">
        <f t="shared" si="145"/>
        <v>5.6111083198493512E-2</v>
      </c>
    </row>
    <row r="4639" spans="1:5" x14ac:dyDescent="0.25">
      <c r="A4639">
        <v>0</v>
      </c>
      <c r="B4639">
        <v>9.00900900900901E-2</v>
      </c>
      <c r="C4639">
        <f t="shared" si="144"/>
        <v>1.58458494056213</v>
      </c>
      <c r="D4639">
        <v>5</v>
      </c>
      <c r="E4639">
        <f t="shared" si="145"/>
        <v>5.6111083198493512E-2</v>
      </c>
    </row>
    <row r="4640" spans="1:5" x14ac:dyDescent="0.25">
      <c r="A4640">
        <v>0</v>
      </c>
      <c r="B4640">
        <v>9.00900900900901E-2</v>
      </c>
      <c r="C4640">
        <f t="shared" si="144"/>
        <v>1.58458494056213</v>
      </c>
      <c r="D4640">
        <v>5</v>
      </c>
      <c r="E4640">
        <f t="shared" si="145"/>
        <v>5.6111083198493512E-2</v>
      </c>
    </row>
    <row r="4641" spans="1:5" x14ac:dyDescent="0.25">
      <c r="A4641">
        <v>0</v>
      </c>
      <c r="B4641">
        <v>9.00900900900901E-2</v>
      </c>
      <c r="C4641">
        <f t="shared" si="144"/>
        <v>1.58458494056213</v>
      </c>
      <c r="D4641">
        <v>5</v>
      </c>
      <c r="E4641">
        <f t="shared" si="145"/>
        <v>5.6111083198493512E-2</v>
      </c>
    </row>
    <row r="4642" spans="1:5" x14ac:dyDescent="0.25">
      <c r="A4642">
        <v>0</v>
      </c>
      <c r="B4642">
        <v>9.0666666666666701E-2</v>
      </c>
      <c r="C4642">
        <f t="shared" si="144"/>
        <v>1.5835972010003605</v>
      </c>
      <c r="D4642">
        <v>5</v>
      </c>
      <c r="E4642">
        <f t="shared" si="145"/>
        <v>5.6111083198493512E-2</v>
      </c>
    </row>
    <row r="4643" spans="1:5" x14ac:dyDescent="0.25">
      <c r="A4643">
        <v>0</v>
      </c>
      <c r="B4643">
        <v>9.0666666666666701E-2</v>
      </c>
      <c r="C4643">
        <f t="shared" si="144"/>
        <v>1.5835972010003605</v>
      </c>
      <c r="D4643">
        <v>5</v>
      </c>
      <c r="E4643">
        <f t="shared" si="145"/>
        <v>5.6111083198493512E-2</v>
      </c>
    </row>
    <row r="4644" spans="1:5" x14ac:dyDescent="0.25">
      <c r="A4644">
        <v>0</v>
      </c>
      <c r="B4644">
        <v>9.0666666666666701E-2</v>
      </c>
      <c r="C4644">
        <f t="shared" si="144"/>
        <v>1.5835972010003605</v>
      </c>
      <c r="D4644">
        <v>5</v>
      </c>
      <c r="E4644">
        <f t="shared" si="145"/>
        <v>5.6111083198493512E-2</v>
      </c>
    </row>
    <row r="4645" spans="1:5" x14ac:dyDescent="0.25">
      <c r="A4645">
        <v>0</v>
      </c>
      <c r="B4645">
        <v>9.0666666666666701E-2</v>
      </c>
      <c r="C4645">
        <f t="shared" si="144"/>
        <v>1.5835972010003605</v>
      </c>
      <c r="D4645">
        <v>5</v>
      </c>
      <c r="E4645">
        <f t="shared" si="145"/>
        <v>5.6111083198493512E-2</v>
      </c>
    </row>
    <row r="4646" spans="1:5" x14ac:dyDescent="0.25">
      <c r="A4646">
        <v>0</v>
      </c>
      <c r="B4646">
        <v>9.0666666666666701E-2</v>
      </c>
      <c r="C4646">
        <f t="shared" si="144"/>
        <v>1.5835972010003605</v>
      </c>
      <c r="D4646">
        <v>5</v>
      </c>
      <c r="E4646">
        <f t="shared" si="145"/>
        <v>5.6111083198493512E-2</v>
      </c>
    </row>
    <row r="4647" spans="1:5" x14ac:dyDescent="0.25">
      <c r="A4647">
        <v>0</v>
      </c>
      <c r="B4647">
        <v>9.0909090909090898E-2</v>
      </c>
      <c r="C4647">
        <f t="shared" si="144"/>
        <v>1.5831794296976984</v>
      </c>
      <c r="D4647">
        <v>5</v>
      </c>
      <c r="E4647">
        <f t="shared" si="145"/>
        <v>5.6111083198493512E-2</v>
      </c>
    </row>
    <row r="4648" spans="1:5" x14ac:dyDescent="0.25">
      <c r="A4648">
        <v>0</v>
      </c>
      <c r="B4648">
        <v>9.0909090909090898E-2</v>
      </c>
      <c r="C4648">
        <f t="shared" si="144"/>
        <v>1.5831794296976984</v>
      </c>
      <c r="D4648">
        <v>5</v>
      </c>
      <c r="E4648">
        <f t="shared" si="145"/>
        <v>5.6111083198493512E-2</v>
      </c>
    </row>
    <row r="4649" spans="1:5" x14ac:dyDescent="0.25">
      <c r="A4649">
        <v>0</v>
      </c>
      <c r="B4649">
        <v>9.0909090909090898E-2</v>
      </c>
      <c r="C4649">
        <f t="shared" si="144"/>
        <v>1.5831794296976984</v>
      </c>
      <c r="D4649">
        <v>5</v>
      </c>
      <c r="E4649">
        <f t="shared" si="145"/>
        <v>5.6111083198493512E-2</v>
      </c>
    </row>
    <row r="4650" spans="1:5" x14ac:dyDescent="0.25">
      <c r="A4650">
        <v>0</v>
      </c>
      <c r="B4650">
        <v>9.11214953271028E-2</v>
      </c>
      <c r="C4650">
        <f t="shared" si="144"/>
        <v>1.5828121904946617</v>
      </c>
      <c r="D4650">
        <v>5</v>
      </c>
      <c r="E4650">
        <f t="shared" si="145"/>
        <v>5.6111083198493512E-2</v>
      </c>
    </row>
    <row r="4651" spans="1:5" x14ac:dyDescent="0.25">
      <c r="A4651">
        <v>0</v>
      </c>
      <c r="B4651">
        <v>9.11214953271028E-2</v>
      </c>
      <c r="C4651">
        <f t="shared" si="144"/>
        <v>1.5828121904946617</v>
      </c>
      <c r="D4651">
        <v>5</v>
      </c>
      <c r="E4651">
        <f t="shared" si="145"/>
        <v>5.6111083198493512E-2</v>
      </c>
    </row>
    <row r="4652" spans="1:5" x14ac:dyDescent="0.25">
      <c r="A4652">
        <v>0</v>
      </c>
      <c r="B4652">
        <v>9.1333333333333294E-2</v>
      </c>
      <c r="C4652">
        <f t="shared" si="144"/>
        <v>1.5824448139582536</v>
      </c>
      <c r="D4652">
        <v>5</v>
      </c>
      <c r="E4652">
        <f t="shared" si="145"/>
        <v>5.6111083198493512E-2</v>
      </c>
    </row>
    <row r="4653" spans="1:5" x14ac:dyDescent="0.25">
      <c r="A4653">
        <v>0</v>
      </c>
      <c r="B4653">
        <v>9.1999999999999998E-2</v>
      </c>
      <c r="C4653">
        <f t="shared" si="144"/>
        <v>1.5812813906276135</v>
      </c>
      <c r="D4653">
        <v>5</v>
      </c>
      <c r="E4653">
        <f t="shared" si="145"/>
        <v>5.6111083198493512E-2</v>
      </c>
    </row>
    <row r="4654" spans="1:5" x14ac:dyDescent="0.25">
      <c r="A4654">
        <v>0</v>
      </c>
      <c r="B4654">
        <v>9.1999999999999998E-2</v>
      </c>
      <c r="C4654">
        <f t="shared" si="144"/>
        <v>1.5812813906276135</v>
      </c>
      <c r="D4654">
        <v>5</v>
      </c>
      <c r="E4654">
        <f t="shared" si="145"/>
        <v>5.6111083198493512E-2</v>
      </c>
    </row>
    <row r="4655" spans="1:5" x14ac:dyDescent="0.25">
      <c r="A4655">
        <v>0</v>
      </c>
      <c r="B4655">
        <v>9.1999999999999998E-2</v>
      </c>
      <c r="C4655">
        <f t="shared" si="144"/>
        <v>1.5812813906276135</v>
      </c>
      <c r="D4655">
        <v>5</v>
      </c>
      <c r="E4655">
        <f t="shared" si="145"/>
        <v>5.6111083198493512E-2</v>
      </c>
    </row>
    <row r="4656" spans="1:5" x14ac:dyDescent="0.25">
      <c r="A4656">
        <v>0</v>
      </c>
      <c r="B4656">
        <v>9.1999999999999998E-2</v>
      </c>
      <c r="C4656">
        <f t="shared" si="144"/>
        <v>1.5812813906276135</v>
      </c>
      <c r="D4656">
        <v>5</v>
      </c>
      <c r="E4656">
        <f t="shared" si="145"/>
        <v>5.6111083198493512E-2</v>
      </c>
    </row>
    <row r="4657" spans="1:5" x14ac:dyDescent="0.25">
      <c r="A4657">
        <v>0</v>
      </c>
      <c r="B4657">
        <v>9.2814371257484998E-2</v>
      </c>
      <c r="C4657">
        <f t="shared" si="144"/>
        <v>1.5798452652302792</v>
      </c>
      <c r="D4657">
        <v>5</v>
      </c>
      <c r="E4657">
        <f t="shared" si="145"/>
        <v>5.6111083198493512E-2</v>
      </c>
    </row>
    <row r="4658" spans="1:5" x14ac:dyDescent="0.25">
      <c r="A4658">
        <v>0</v>
      </c>
      <c r="B4658">
        <v>9.2814371257484998E-2</v>
      </c>
      <c r="C4658">
        <f t="shared" si="144"/>
        <v>1.5798452652302792</v>
      </c>
      <c r="D4658">
        <v>5</v>
      </c>
      <c r="E4658">
        <f t="shared" si="145"/>
        <v>5.6111083198493512E-2</v>
      </c>
    </row>
    <row r="4659" spans="1:5" x14ac:dyDescent="0.25">
      <c r="A4659">
        <v>0</v>
      </c>
      <c r="B4659">
        <v>9.2814371257484998E-2</v>
      </c>
      <c r="C4659">
        <f t="shared" si="144"/>
        <v>1.5798452652302792</v>
      </c>
      <c r="D4659">
        <v>5</v>
      </c>
      <c r="E4659">
        <f t="shared" si="145"/>
        <v>5.6111083198493512E-2</v>
      </c>
    </row>
    <row r="4660" spans="1:5" x14ac:dyDescent="0.25">
      <c r="A4660">
        <v>0</v>
      </c>
      <c r="B4660">
        <v>9.2999999999999999E-2</v>
      </c>
      <c r="C4660">
        <f t="shared" si="144"/>
        <v>1.5795156186122274</v>
      </c>
      <c r="D4660">
        <v>5</v>
      </c>
      <c r="E4660">
        <f t="shared" si="145"/>
        <v>5.6111083198493512E-2</v>
      </c>
    </row>
    <row r="4661" spans="1:5" x14ac:dyDescent="0.25">
      <c r="A4661">
        <v>0</v>
      </c>
      <c r="B4661">
        <v>9.2999999999999999E-2</v>
      </c>
      <c r="C4661">
        <f t="shared" si="144"/>
        <v>1.5795156186122274</v>
      </c>
      <c r="D4661">
        <v>5</v>
      </c>
      <c r="E4661">
        <f t="shared" si="145"/>
        <v>5.6111083198493512E-2</v>
      </c>
    </row>
    <row r="4662" spans="1:5" x14ac:dyDescent="0.25">
      <c r="A4662">
        <v>0</v>
      </c>
      <c r="B4662">
        <v>9.3093093093093104E-2</v>
      </c>
      <c r="C4662">
        <f t="shared" si="144"/>
        <v>1.5793499800276016</v>
      </c>
      <c r="D4662">
        <v>5</v>
      </c>
      <c r="E4662">
        <f t="shared" si="145"/>
        <v>5.6111083198493512E-2</v>
      </c>
    </row>
    <row r="4663" spans="1:5" x14ac:dyDescent="0.25">
      <c r="A4663">
        <v>0</v>
      </c>
      <c r="B4663">
        <v>9.3093093093093104E-2</v>
      </c>
      <c r="C4663">
        <f t="shared" si="144"/>
        <v>1.5793499800276016</v>
      </c>
      <c r="D4663">
        <v>5</v>
      </c>
      <c r="E4663">
        <f t="shared" si="145"/>
        <v>5.6111083198493512E-2</v>
      </c>
    </row>
    <row r="4664" spans="1:5" x14ac:dyDescent="0.25">
      <c r="A4664">
        <v>0</v>
      </c>
      <c r="B4664">
        <v>9.3093093093093104E-2</v>
      </c>
      <c r="C4664">
        <f t="shared" si="144"/>
        <v>1.5793499800276016</v>
      </c>
      <c r="D4664">
        <v>5</v>
      </c>
      <c r="E4664">
        <f t="shared" si="145"/>
        <v>5.6111083198493512E-2</v>
      </c>
    </row>
    <row r="4665" spans="1:5" x14ac:dyDescent="0.25">
      <c r="A4665">
        <v>0</v>
      </c>
      <c r="B4665">
        <v>9.3093093093093104E-2</v>
      </c>
      <c r="C4665">
        <f t="shared" si="144"/>
        <v>1.5793499800276016</v>
      </c>
      <c r="D4665">
        <v>5</v>
      </c>
      <c r="E4665">
        <f t="shared" si="145"/>
        <v>5.6111083198493512E-2</v>
      </c>
    </row>
    <row r="4666" spans="1:5" x14ac:dyDescent="0.25">
      <c r="A4666">
        <v>0</v>
      </c>
      <c r="B4666">
        <v>9.3093093093093104E-2</v>
      </c>
      <c r="C4666">
        <f t="shared" si="144"/>
        <v>1.5793499800276016</v>
      </c>
      <c r="D4666">
        <v>5</v>
      </c>
      <c r="E4666">
        <f t="shared" si="145"/>
        <v>5.6111083198493512E-2</v>
      </c>
    </row>
    <row r="4667" spans="1:5" x14ac:dyDescent="0.25">
      <c r="A4667">
        <v>0</v>
      </c>
      <c r="B4667">
        <v>9.3093093093093104E-2</v>
      </c>
      <c r="C4667">
        <f t="shared" si="144"/>
        <v>1.5793499800276016</v>
      </c>
      <c r="D4667">
        <v>5</v>
      </c>
      <c r="E4667">
        <f t="shared" si="145"/>
        <v>5.6111083198493512E-2</v>
      </c>
    </row>
    <row r="4668" spans="1:5" x14ac:dyDescent="0.25">
      <c r="A4668">
        <v>0</v>
      </c>
      <c r="B4668">
        <v>9.3240093240093205E-2</v>
      </c>
      <c r="C4668">
        <f t="shared" si="144"/>
        <v>1.5790879902816177</v>
      </c>
      <c r="D4668">
        <v>5</v>
      </c>
      <c r="E4668">
        <f t="shared" si="145"/>
        <v>5.6111083198493512E-2</v>
      </c>
    </row>
    <row r="4669" spans="1:5" x14ac:dyDescent="0.25">
      <c r="A4669">
        <v>0</v>
      </c>
      <c r="B4669">
        <v>9.3333333333333296E-2</v>
      </c>
      <c r="C4669">
        <f t="shared" si="144"/>
        <v>1.5789215376546673</v>
      </c>
      <c r="D4669">
        <v>5</v>
      </c>
      <c r="E4669">
        <f t="shared" si="145"/>
        <v>5.6111083198493512E-2</v>
      </c>
    </row>
    <row r="4670" spans="1:5" x14ac:dyDescent="0.25">
      <c r="A4670">
        <v>0</v>
      </c>
      <c r="B4670">
        <v>9.3333333333333296E-2</v>
      </c>
      <c r="C4670">
        <f t="shared" si="144"/>
        <v>1.5789215376546673</v>
      </c>
      <c r="D4670">
        <v>5</v>
      </c>
      <c r="E4670">
        <f t="shared" si="145"/>
        <v>5.6111083198493512E-2</v>
      </c>
    </row>
    <row r="4671" spans="1:5" x14ac:dyDescent="0.25">
      <c r="A4671">
        <v>0</v>
      </c>
      <c r="B4671">
        <v>9.3333333333333296E-2</v>
      </c>
      <c r="C4671">
        <f t="shared" si="144"/>
        <v>1.5789215376546673</v>
      </c>
      <c r="D4671">
        <v>5</v>
      </c>
      <c r="E4671">
        <f t="shared" si="145"/>
        <v>5.6111083198493512E-2</v>
      </c>
    </row>
    <row r="4672" spans="1:5" x14ac:dyDescent="0.25">
      <c r="A4672">
        <v>0</v>
      </c>
      <c r="B4672">
        <v>9.3333333333333296E-2</v>
      </c>
      <c r="C4672">
        <f t="shared" si="144"/>
        <v>1.5789215376546673</v>
      </c>
      <c r="D4672">
        <v>5</v>
      </c>
      <c r="E4672">
        <f t="shared" si="145"/>
        <v>5.6111083198493512E-2</v>
      </c>
    </row>
    <row r="4673" spans="1:5" x14ac:dyDescent="0.25">
      <c r="A4673">
        <v>0</v>
      </c>
      <c r="B4673">
        <v>9.3333333333333296E-2</v>
      </c>
      <c r="C4673">
        <f t="shared" si="144"/>
        <v>1.5789215376546673</v>
      </c>
      <c r="D4673">
        <v>5</v>
      </c>
      <c r="E4673">
        <f t="shared" si="145"/>
        <v>5.6111083198493512E-2</v>
      </c>
    </row>
    <row r="4674" spans="1:5" x14ac:dyDescent="0.25">
      <c r="A4674">
        <v>0</v>
      </c>
      <c r="B4674">
        <v>9.3333333333333296E-2</v>
      </c>
      <c r="C4674">
        <f t="shared" ref="C4674:C4737" si="146">_xlfn.NORM.DIST(B4674,I$10,I$13,FALSE)</f>
        <v>1.5789215376546673</v>
      </c>
      <c r="D4674">
        <v>5</v>
      </c>
      <c r="E4674">
        <f t="shared" si="145"/>
        <v>5.6111083198493512E-2</v>
      </c>
    </row>
    <row r="4675" spans="1:5" x14ac:dyDescent="0.25">
      <c r="A4675">
        <v>0</v>
      </c>
      <c r="B4675">
        <v>9.3333333333333296E-2</v>
      </c>
      <c r="C4675">
        <f t="shared" si="146"/>
        <v>1.5789215376546673</v>
      </c>
      <c r="D4675">
        <v>5</v>
      </c>
      <c r="E4675">
        <f t="shared" ref="E4675:E4738" si="147">_xlfn.NORM.DIST(D4675,I$4,I$7,FALSE)</f>
        <v>5.6111083198493512E-2</v>
      </c>
    </row>
    <row r="4676" spans="1:5" x14ac:dyDescent="0.25">
      <c r="A4676">
        <v>0</v>
      </c>
      <c r="B4676">
        <v>9.3333333333333296E-2</v>
      </c>
      <c r="C4676">
        <f t="shared" si="146"/>
        <v>1.5789215376546673</v>
      </c>
      <c r="D4676">
        <v>5</v>
      </c>
      <c r="E4676">
        <f t="shared" si="147"/>
        <v>5.6111083198493512E-2</v>
      </c>
    </row>
    <row r="4677" spans="1:5" x14ac:dyDescent="0.25">
      <c r="A4677">
        <v>0</v>
      </c>
      <c r="B4677">
        <v>9.3333333333333296E-2</v>
      </c>
      <c r="C4677">
        <f t="shared" si="146"/>
        <v>1.5789215376546673</v>
      </c>
      <c r="D4677">
        <v>5</v>
      </c>
      <c r="E4677">
        <f t="shared" si="147"/>
        <v>5.6111083198493512E-2</v>
      </c>
    </row>
    <row r="4678" spans="1:5" x14ac:dyDescent="0.25">
      <c r="A4678">
        <v>0</v>
      </c>
      <c r="B4678">
        <v>9.3333333333333296E-2</v>
      </c>
      <c r="C4678">
        <f t="shared" si="146"/>
        <v>1.5789215376546673</v>
      </c>
      <c r="D4678">
        <v>5</v>
      </c>
      <c r="E4678">
        <f t="shared" si="147"/>
        <v>5.6111083198493512E-2</v>
      </c>
    </row>
    <row r="4679" spans="1:5" x14ac:dyDescent="0.25">
      <c r="A4679">
        <v>0</v>
      </c>
      <c r="B4679">
        <v>9.34579439252336E-2</v>
      </c>
      <c r="C4679">
        <f t="shared" si="146"/>
        <v>1.578698747605167</v>
      </c>
      <c r="D4679">
        <v>5</v>
      </c>
      <c r="E4679">
        <f t="shared" si="147"/>
        <v>5.6111083198493512E-2</v>
      </c>
    </row>
    <row r="4680" spans="1:5" x14ac:dyDescent="0.25">
      <c r="A4680">
        <v>0</v>
      </c>
      <c r="B4680">
        <v>9.4E-2</v>
      </c>
      <c r="C4680">
        <f t="shared" si="146"/>
        <v>1.5777251598610387</v>
      </c>
      <c r="D4680">
        <v>5</v>
      </c>
      <c r="E4680">
        <f t="shared" si="147"/>
        <v>5.6111083198493512E-2</v>
      </c>
    </row>
    <row r="4681" spans="1:5" x14ac:dyDescent="0.25">
      <c r="A4681">
        <v>0</v>
      </c>
      <c r="B4681">
        <v>9.4E-2</v>
      </c>
      <c r="C4681">
        <f t="shared" si="146"/>
        <v>1.5777251598610387</v>
      </c>
      <c r="D4681">
        <v>5</v>
      </c>
      <c r="E4681">
        <f t="shared" si="147"/>
        <v>5.6111083198493512E-2</v>
      </c>
    </row>
    <row r="4682" spans="1:5" x14ac:dyDescent="0.25">
      <c r="A4682">
        <v>0</v>
      </c>
      <c r="B4682">
        <v>9.4E-2</v>
      </c>
      <c r="C4682">
        <f t="shared" si="146"/>
        <v>1.5777251598610387</v>
      </c>
      <c r="D4682">
        <v>5</v>
      </c>
      <c r="E4682">
        <f t="shared" si="147"/>
        <v>5.6111083198493512E-2</v>
      </c>
    </row>
    <row r="4683" spans="1:5" x14ac:dyDescent="0.25">
      <c r="A4683">
        <v>0</v>
      </c>
      <c r="B4683">
        <v>9.4E-2</v>
      </c>
      <c r="C4683">
        <f t="shared" si="146"/>
        <v>1.5777251598610387</v>
      </c>
      <c r="D4683">
        <v>5</v>
      </c>
      <c r="E4683">
        <f t="shared" si="147"/>
        <v>5.6111083198493512E-2</v>
      </c>
    </row>
    <row r="4684" spans="1:5" x14ac:dyDescent="0.25">
      <c r="A4684">
        <v>0</v>
      </c>
      <c r="B4684">
        <v>9.4E-2</v>
      </c>
      <c r="C4684">
        <f t="shared" si="146"/>
        <v>1.5777251598610387</v>
      </c>
      <c r="D4684">
        <v>5</v>
      </c>
      <c r="E4684">
        <f t="shared" si="147"/>
        <v>5.6111083198493512E-2</v>
      </c>
    </row>
    <row r="4685" spans="1:5" x14ac:dyDescent="0.25">
      <c r="A4685">
        <v>0</v>
      </c>
      <c r="B4685">
        <v>9.4E-2</v>
      </c>
      <c r="C4685">
        <f t="shared" si="146"/>
        <v>1.5777251598610387</v>
      </c>
      <c r="D4685">
        <v>5</v>
      </c>
      <c r="E4685">
        <f t="shared" si="147"/>
        <v>5.6111083198493512E-2</v>
      </c>
    </row>
    <row r="4686" spans="1:5" x14ac:dyDescent="0.25">
      <c r="A4686">
        <v>0</v>
      </c>
      <c r="B4686">
        <v>9.4E-2</v>
      </c>
      <c r="C4686">
        <f t="shared" si="146"/>
        <v>1.5777251598610387</v>
      </c>
      <c r="D4686">
        <v>5</v>
      </c>
      <c r="E4686">
        <f t="shared" si="147"/>
        <v>5.6111083198493512E-2</v>
      </c>
    </row>
    <row r="4687" spans="1:5" x14ac:dyDescent="0.25">
      <c r="A4687">
        <v>0</v>
      </c>
      <c r="B4687">
        <v>9.5571095571095596E-2</v>
      </c>
      <c r="C4687">
        <f t="shared" si="146"/>
        <v>1.5748625308470727</v>
      </c>
      <c r="D4687">
        <v>5</v>
      </c>
      <c r="E4687">
        <f t="shared" si="147"/>
        <v>5.6111083198493512E-2</v>
      </c>
    </row>
    <row r="4688" spans="1:5" x14ac:dyDescent="0.25">
      <c r="A4688">
        <v>0</v>
      </c>
      <c r="B4688">
        <v>9.5571095571095596E-2</v>
      </c>
      <c r="C4688">
        <f t="shared" si="146"/>
        <v>1.5748625308470727</v>
      </c>
      <c r="D4688">
        <v>5</v>
      </c>
      <c r="E4688">
        <f t="shared" si="147"/>
        <v>5.6111083198493512E-2</v>
      </c>
    </row>
    <row r="4689" spans="1:5" x14ac:dyDescent="0.25">
      <c r="A4689">
        <v>0</v>
      </c>
      <c r="B4689">
        <v>9.5794392523364497E-2</v>
      </c>
      <c r="C4689">
        <f t="shared" si="146"/>
        <v>1.5744507627018602</v>
      </c>
      <c r="D4689">
        <v>5</v>
      </c>
      <c r="E4689">
        <f t="shared" si="147"/>
        <v>5.6111083198493512E-2</v>
      </c>
    </row>
    <row r="4690" spans="1:5" x14ac:dyDescent="0.25">
      <c r="A4690">
        <v>0</v>
      </c>
      <c r="B4690">
        <v>9.5794392523364497E-2</v>
      </c>
      <c r="C4690">
        <f t="shared" si="146"/>
        <v>1.5744507627018602</v>
      </c>
      <c r="D4690">
        <v>5</v>
      </c>
      <c r="E4690">
        <f t="shared" si="147"/>
        <v>5.6111083198493512E-2</v>
      </c>
    </row>
    <row r="4691" spans="1:5" x14ac:dyDescent="0.25">
      <c r="A4691">
        <v>0</v>
      </c>
      <c r="B4691">
        <v>9.5808383233532898E-2</v>
      </c>
      <c r="C4691">
        <f t="shared" si="146"/>
        <v>1.5744249227222102</v>
      </c>
      <c r="D4691">
        <v>5</v>
      </c>
      <c r="E4691">
        <f t="shared" si="147"/>
        <v>5.6111083198493512E-2</v>
      </c>
    </row>
    <row r="4692" spans="1:5" x14ac:dyDescent="0.25">
      <c r="A4692">
        <v>0</v>
      </c>
      <c r="B4692">
        <v>9.6000000000000002E-2</v>
      </c>
      <c r="C4692">
        <f t="shared" si="146"/>
        <v>1.5740705371140054</v>
      </c>
      <c r="D4692">
        <v>5</v>
      </c>
      <c r="E4692">
        <f t="shared" si="147"/>
        <v>5.6111083198493512E-2</v>
      </c>
    </row>
    <row r="4693" spans="1:5" x14ac:dyDescent="0.25">
      <c r="A4693">
        <v>0</v>
      </c>
      <c r="B4693">
        <v>9.6000000000000002E-2</v>
      </c>
      <c r="C4693">
        <f t="shared" si="146"/>
        <v>1.5740705371140054</v>
      </c>
      <c r="D4693">
        <v>5</v>
      </c>
      <c r="E4693">
        <f t="shared" si="147"/>
        <v>5.6111083198493512E-2</v>
      </c>
    </row>
    <row r="4694" spans="1:5" x14ac:dyDescent="0.25">
      <c r="A4694">
        <v>0</v>
      </c>
      <c r="B4694">
        <v>9.6000000000000002E-2</v>
      </c>
      <c r="C4694">
        <f t="shared" si="146"/>
        <v>1.5740705371140054</v>
      </c>
      <c r="D4694">
        <v>5</v>
      </c>
      <c r="E4694">
        <f t="shared" si="147"/>
        <v>5.6111083198493512E-2</v>
      </c>
    </row>
    <row r="4695" spans="1:5" x14ac:dyDescent="0.25">
      <c r="A4695">
        <v>0</v>
      </c>
      <c r="B4695">
        <v>9.6000000000000002E-2</v>
      </c>
      <c r="C4695">
        <f t="shared" si="146"/>
        <v>1.5740705371140054</v>
      </c>
      <c r="D4695">
        <v>5</v>
      </c>
      <c r="E4695">
        <f t="shared" si="147"/>
        <v>5.6111083198493512E-2</v>
      </c>
    </row>
    <row r="4696" spans="1:5" x14ac:dyDescent="0.25">
      <c r="A4696">
        <v>0</v>
      </c>
      <c r="B4696">
        <v>9.6000000000000002E-2</v>
      </c>
      <c r="C4696">
        <f t="shared" si="146"/>
        <v>1.5740705371140054</v>
      </c>
      <c r="D4696">
        <v>5</v>
      </c>
      <c r="E4696">
        <f t="shared" si="147"/>
        <v>5.6111083198493512E-2</v>
      </c>
    </row>
    <row r="4697" spans="1:5" x14ac:dyDescent="0.25">
      <c r="A4697">
        <v>0</v>
      </c>
      <c r="B4697">
        <v>9.6000000000000002E-2</v>
      </c>
      <c r="C4697">
        <f t="shared" si="146"/>
        <v>1.5740705371140054</v>
      </c>
      <c r="D4697">
        <v>5</v>
      </c>
      <c r="E4697">
        <f t="shared" si="147"/>
        <v>5.6111083198493512E-2</v>
      </c>
    </row>
    <row r="4698" spans="1:5" x14ac:dyDescent="0.25">
      <c r="A4698">
        <v>0</v>
      </c>
      <c r="B4698">
        <v>9.6000000000000002E-2</v>
      </c>
      <c r="C4698">
        <f t="shared" si="146"/>
        <v>1.5740705371140054</v>
      </c>
      <c r="D4698">
        <v>5</v>
      </c>
      <c r="E4698">
        <f t="shared" si="147"/>
        <v>5.6111083198493512E-2</v>
      </c>
    </row>
    <row r="4699" spans="1:5" x14ac:dyDescent="0.25">
      <c r="A4699">
        <v>0</v>
      </c>
      <c r="B4699">
        <v>9.6000000000000002E-2</v>
      </c>
      <c r="C4699">
        <f t="shared" si="146"/>
        <v>1.5740705371140054</v>
      </c>
      <c r="D4699">
        <v>5</v>
      </c>
      <c r="E4699">
        <f t="shared" si="147"/>
        <v>5.6111083198493512E-2</v>
      </c>
    </row>
    <row r="4700" spans="1:5" x14ac:dyDescent="0.25">
      <c r="A4700">
        <v>0</v>
      </c>
      <c r="B4700">
        <v>9.6000000000000002E-2</v>
      </c>
      <c r="C4700">
        <f t="shared" si="146"/>
        <v>1.5740705371140054</v>
      </c>
      <c r="D4700">
        <v>5</v>
      </c>
      <c r="E4700">
        <f t="shared" si="147"/>
        <v>5.6111083198493512E-2</v>
      </c>
    </row>
    <row r="4701" spans="1:5" x14ac:dyDescent="0.25">
      <c r="A4701">
        <v>0</v>
      </c>
      <c r="B4701">
        <v>9.6000000000000002E-2</v>
      </c>
      <c r="C4701">
        <f t="shared" si="146"/>
        <v>1.5740705371140054</v>
      </c>
      <c r="D4701">
        <v>5</v>
      </c>
      <c r="E4701">
        <f t="shared" si="147"/>
        <v>5.6111083198493512E-2</v>
      </c>
    </row>
    <row r="4702" spans="1:5" x14ac:dyDescent="0.25">
      <c r="A4702">
        <v>0</v>
      </c>
      <c r="B4702">
        <v>9.6000000000000002E-2</v>
      </c>
      <c r="C4702">
        <f t="shared" si="146"/>
        <v>1.5740705371140054</v>
      </c>
      <c r="D4702">
        <v>5</v>
      </c>
      <c r="E4702">
        <f t="shared" si="147"/>
        <v>5.6111083198493512E-2</v>
      </c>
    </row>
    <row r="4703" spans="1:5" x14ac:dyDescent="0.25">
      <c r="A4703">
        <v>0</v>
      </c>
      <c r="B4703">
        <v>9.6000000000000002E-2</v>
      </c>
      <c r="C4703">
        <f t="shared" si="146"/>
        <v>1.5740705371140054</v>
      </c>
      <c r="D4703">
        <v>5</v>
      </c>
      <c r="E4703">
        <f t="shared" si="147"/>
        <v>5.6111083198493512E-2</v>
      </c>
    </row>
    <row r="4704" spans="1:5" x14ac:dyDescent="0.25">
      <c r="A4704">
        <v>0</v>
      </c>
      <c r="B4704">
        <v>9.6000000000000002E-2</v>
      </c>
      <c r="C4704">
        <f t="shared" si="146"/>
        <v>1.5740705371140054</v>
      </c>
      <c r="D4704">
        <v>5</v>
      </c>
      <c r="E4704">
        <f t="shared" si="147"/>
        <v>5.6111083198493512E-2</v>
      </c>
    </row>
    <row r="4705" spans="1:5" x14ac:dyDescent="0.25">
      <c r="A4705">
        <v>0</v>
      </c>
      <c r="B4705">
        <v>9.6000000000000002E-2</v>
      </c>
      <c r="C4705">
        <f t="shared" si="146"/>
        <v>1.5740705371140054</v>
      </c>
      <c r="D4705">
        <v>5</v>
      </c>
      <c r="E4705">
        <f t="shared" si="147"/>
        <v>5.6111083198493512E-2</v>
      </c>
    </row>
    <row r="4706" spans="1:5" x14ac:dyDescent="0.25">
      <c r="A4706">
        <v>0</v>
      </c>
      <c r="B4706">
        <v>9.6000000000000002E-2</v>
      </c>
      <c r="C4706">
        <f t="shared" si="146"/>
        <v>1.5740705371140054</v>
      </c>
      <c r="D4706">
        <v>5</v>
      </c>
      <c r="E4706">
        <f t="shared" si="147"/>
        <v>5.6111083198493512E-2</v>
      </c>
    </row>
    <row r="4707" spans="1:5" x14ac:dyDescent="0.25">
      <c r="A4707">
        <v>0</v>
      </c>
      <c r="B4707">
        <v>9.6000000000000002E-2</v>
      </c>
      <c r="C4707">
        <f t="shared" si="146"/>
        <v>1.5740705371140054</v>
      </c>
      <c r="D4707">
        <v>5</v>
      </c>
      <c r="E4707">
        <f t="shared" si="147"/>
        <v>5.6111083198493512E-2</v>
      </c>
    </row>
    <row r="4708" spans="1:5" x14ac:dyDescent="0.25">
      <c r="A4708">
        <v>0</v>
      </c>
      <c r="B4708">
        <v>9.6000000000000002E-2</v>
      </c>
      <c r="C4708">
        <f t="shared" si="146"/>
        <v>1.5740705371140054</v>
      </c>
      <c r="D4708">
        <v>5</v>
      </c>
      <c r="E4708">
        <f t="shared" si="147"/>
        <v>5.6111083198493512E-2</v>
      </c>
    </row>
    <row r="4709" spans="1:5" x14ac:dyDescent="0.25">
      <c r="A4709">
        <v>0</v>
      </c>
      <c r="B4709">
        <v>9.6000000000000002E-2</v>
      </c>
      <c r="C4709">
        <f t="shared" si="146"/>
        <v>1.5740705371140054</v>
      </c>
      <c r="D4709">
        <v>5</v>
      </c>
      <c r="E4709">
        <f t="shared" si="147"/>
        <v>5.6111083198493512E-2</v>
      </c>
    </row>
    <row r="4710" spans="1:5" x14ac:dyDescent="0.25">
      <c r="A4710">
        <v>0</v>
      </c>
      <c r="B4710">
        <v>9.6096096096096095E-2</v>
      </c>
      <c r="C4710">
        <f t="shared" si="146"/>
        <v>1.5738924746032483</v>
      </c>
      <c r="D4710">
        <v>5</v>
      </c>
      <c r="E4710">
        <f t="shared" si="147"/>
        <v>5.6111083198493512E-2</v>
      </c>
    </row>
    <row r="4711" spans="1:5" x14ac:dyDescent="0.25">
      <c r="A4711">
        <v>0</v>
      </c>
      <c r="B4711">
        <v>9.6096096096096095E-2</v>
      </c>
      <c r="C4711">
        <f t="shared" si="146"/>
        <v>1.5738924746032483</v>
      </c>
      <c r="D4711">
        <v>5</v>
      </c>
      <c r="E4711">
        <f t="shared" si="147"/>
        <v>5.6111083198493512E-2</v>
      </c>
    </row>
    <row r="4712" spans="1:5" x14ac:dyDescent="0.25">
      <c r="A4712">
        <v>0</v>
      </c>
      <c r="B4712">
        <v>9.6096096096096095E-2</v>
      </c>
      <c r="C4712">
        <f t="shared" si="146"/>
        <v>1.5738924746032483</v>
      </c>
      <c r="D4712">
        <v>5</v>
      </c>
      <c r="E4712">
        <f t="shared" si="147"/>
        <v>5.6111083198493512E-2</v>
      </c>
    </row>
    <row r="4713" spans="1:5" x14ac:dyDescent="0.25">
      <c r="A4713">
        <v>0</v>
      </c>
      <c r="B4713">
        <v>9.6096096096096095E-2</v>
      </c>
      <c r="C4713">
        <f t="shared" si="146"/>
        <v>1.5738924746032483</v>
      </c>
      <c r="D4713">
        <v>5</v>
      </c>
      <c r="E4713">
        <f t="shared" si="147"/>
        <v>5.6111083198493512E-2</v>
      </c>
    </row>
    <row r="4714" spans="1:5" x14ac:dyDescent="0.25">
      <c r="A4714">
        <v>0</v>
      </c>
      <c r="B4714">
        <v>9.6096096096096095E-2</v>
      </c>
      <c r="C4714">
        <f t="shared" si="146"/>
        <v>1.5738924746032483</v>
      </c>
      <c r="D4714">
        <v>5</v>
      </c>
      <c r="E4714">
        <f t="shared" si="147"/>
        <v>5.6111083198493512E-2</v>
      </c>
    </row>
    <row r="4715" spans="1:5" x14ac:dyDescent="0.25">
      <c r="A4715">
        <v>0</v>
      </c>
      <c r="B4715">
        <v>9.6096096096096095E-2</v>
      </c>
      <c r="C4715">
        <f t="shared" si="146"/>
        <v>1.5738924746032483</v>
      </c>
      <c r="D4715">
        <v>5</v>
      </c>
      <c r="E4715">
        <f t="shared" si="147"/>
        <v>5.6111083198493512E-2</v>
      </c>
    </row>
    <row r="4716" spans="1:5" x14ac:dyDescent="0.25">
      <c r="A4716">
        <v>0</v>
      </c>
      <c r="B4716">
        <v>9.8000000000000004E-2</v>
      </c>
      <c r="C4716">
        <f t="shared" si="146"/>
        <v>1.5703182437192049</v>
      </c>
      <c r="D4716">
        <v>5</v>
      </c>
      <c r="E4716">
        <f t="shared" si="147"/>
        <v>5.6111083198493512E-2</v>
      </c>
    </row>
    <row r="4717" spans="1:5" x14ac:dyDescent="0.25">
      <c r="A4717">
        <v>0</v>
      </c>
      <c r="B4717">
        <v>9.8000000000000004E-2</v>
      </c>
      <c r="C4717">
        <f t="shared" si="146"/>
        <v>1.5703182437192049</v>
      </c>
      <c r="D4717">
        <v>5</v>
      </c>
      <c r="E4717">
        <f t="shared" si="147"/>
        <v>5.6111083198493512E-2</v>
      </c>
    </row>
    <row r="4718" spans="1:5" x14ac:dyDescent="0.25">
      <c r="A4718">
        <v>0</v>
      </c>
      <c r="B4718">
        <v>9.8000000000000004E-2</v>
      </c>
      <c r="C4718">
        <f t="shared" si="146"/>
        <v>1.5703182437192049</v>
      </c>
      <c r="D4718">
        <v>5</v>
      </c>
      <c r="E4718">
        <f t="shared" si="147"/>
        <v>5.6111083198493512E-2</v>
      </c>
    </row>
    <row r="4719" spans="1:5" x14ac:dyDescent="0.25">
      <c r="A4719">
        <v>0</v>
      </c>
      <c r="B4719">
        <v>9.8130841121495296E-2</v>
      </c>
      <c r="C4719">
        <f t="shared" si="146"/>
        <v>1.5700693803797166</v>
      </c>
      <c r="D4719">
        <v>5</v>
      </c>
      <c r="E4719">
        <f t="shared" si="147"/>
        <v>5.6111083198493512E-2</v>
      </c>
    </row>
    <row r="4720" spans="1:5" x14ac:dyDescent="0.25">
      <c r="A4720">
        <v>0</v>
      </c>
      <c r="B4720">
        <v>9.8130841121495296E-2</v>
      </c>
      <c r="C4720">
        <f t="shared" si="146"/>
        <v>1.5700693803797166</v>
      </c>
      <c r="D4720">
        <v>5</v>
      </c>
      <c r="E4720">
        <f t="shared" si="147"/>
        <v>5.6111083198493512E-2</v>
      </c>
    </row>
    <row r="4721" spans="1:5" x14ac:dyDescent="0.25">
      <c r="A4721">
        <v>0</v>
      </c>
      <c r="B4721">
        <v>9.8130841121495296E-2</v>
      </c>
      <c r="C4721">
        <f t="shared" si="146"/>
        <v>1.5700693803797166</v>
      </c>
      <c r="D4721">
        <v>5</v>
      </c>
      <c r="E4721">
        <f t="shared" si="147"/>
        <v>5.6111083198493512E-2</v>
      </c>
    </row>
    <row r="4722" spans="1:5" x14ac:dyDescent="0.25">
      <c r="A4722">
        <v>0</v>
      </c>
      <c r="B4722">
        <v>9.83333333333333E-2</v>
      </c>
      <c r="C4722">
        <f t="shared" si="146"/>
        <v>1.569683417385956</v>
      </c>
      <c r="D4722">
        <v>5</v>
      </c>
      <c r="E4722">
        <f t="shared" si="147"/>
        <v>5.6111083198493512E-2</v>
      </c>
    </row>
    <row r="4723" spans="1:5" x14ac:dyDescent="0.25">
      <c r="A4723">
        <v>0</v>
      </c>
      <c r="B4723">
        <v>9.8666666666666694E-2</v>
      </c>
      <c r="C4723">
        <f t="shared" si="146"/>
        <v>1.5690459019500562</v>
      </c>
      <c r="D4723">
        <v>5</v>
      </c>
      <c r="E4723">
        <f t="shared" si="147"/>
        <v>5.6111083198493512E-2</v>
      </c>
    </row>
    <row r="4724" spans="1:5" x14ac:dyDescent="0.25">
      <c r="A4724">
        <v>0</v>
      </c>
      <c r="B4724">
        <v>9.8666666666666694E-2</v>
      </c>
      <c r="C4724">
        <f t="shared" si="146"/>
        <v>1.5690459019500562</v>
      </c>
      <c r="D4724">
        <v>5</v>
      </c>
      <c r="E4724">
        <f t="shared" si="147"/>
        <v>5.6111083198493512E-2</v>
      </c>
    </row>
    <row r="4725" spans="1:5" x14ac:dyDescent="0.25">
      <c r="A4725">
        <v>0</v>
      </c>
      <c r="B4725">
        <v>9.8666666666666694E-2</v>
      </c>
      <c r="C4725">
        <f t="shared" si="146"/>
        <v>1.5690459019500562</v>
      </c>
      <c r="D4725">
        <v>5</v>
      </c>
      <c r="E4725">
        <f t="shared" si="147"/>
        <v>5.6111083198493512E-2</v>
      </c>
    </row>
    <row r="4726" spans="1:5" x14ac:dyDescent="0.25">
      <c r="A4726">
        <v>0</v>
      </c>
      <c r="B4726">
        <v>9.8666666666666694E-2</v>
      </c>
      <c r="C4726">
        <f t="shared" si="146"/>
        <v>1.5690459019500562</v>
      </c>
      <c r="D4726">
        <v>5</v>
      </c>
      <c r="E4726">
        <f t="shared" si="147"/>
        <v>5.6111083198493512E-2</v>
      </c>
    </row>
    <row r="4727" spans="1:5" x14ac:dyDescent="0.25">
      <c r="A4727">
        <v>0</v>
      </c>
      <c r="B4727">
        <v>9.8765432098765399E-2</v>
      </c>
      <c r="C4727">
        <f t="shared" si="146"/>
        <v>1.5688564925738091</v>
      </c>
      <c r="D4727">
        <v>5</v>
      </c>
      <c r="E4727">
        <f t="shared" si="147"/>
        <v>5.6111083198493512E-2</v>
      </c>
    </row>
    <row r="4728" spans="1:5" x14ac:dyDescent="0.25">
      <c r="A4728">
        <v>0</v>
      </c>
      <c r="B4728">
        <v>9.8802395209580798E-2</v>
      </c>
      <c r="C4728">
        <f t="shared" si="146"/>
        <v>1.5687855452184507</v>
      </c>
      <c r="D4728">
        <v>5</v>
      </c>
      <c r="E4728">
        <f t="shared" si="147"/>
        <v>5.6111083198493512E-2</v>
      </c>
    </row>
    <row r="4729" spans="1:5" x14ac:dyDescent="0.25">
      <c r="A4729">
        <v>0</v>
      </c>
      <c r="B4729">
        <v>9.8802395209580798E-2</v>
      </c>
      <c r="C4729">
        <f t="shared" si="146"/>
        <v>1.5687855452184507</v>
      </c>
      <c r="D4729">
        <v>5</v>
      </c>
      <c r="E4729">
        <f t="shared" si="147"/>
        <v>5.6111083198493512E-2</v>
      </c>
    </row>
    <row r="4730" spans="1:5" x14ac:dyDescent="0.25">
      <c r="A4730">
        <v>0</v>
      </c>
      <c r="B4730">
        <v>9.8802395209580798E-2</v>
      </c>
      <c r="C4730">
        <f t="shared" si="146"/>
        <v>1.5687855452184507</v>
      </c>
      <c r="D4730">
        <v>5</v>
      </c>
      <c r="E4730">
        <f t="shared" si="147"/>
        <v>5.6111083198493512E-2</v>
      </c>
    </row>
    <row r="4731" spans="1:5" x14ac:dyDescent="0.25">
      <c r="A4731">
        <v>0</v>
      </c>
      <c r="B4731">
        <v>9.8802395209580798E-2</v>
      </c>
      <c r="C4731">
        <f t="shared" si="146"/>
        <v>1.5687855452184507</v>
      </c>
      <c r="D4731">
        <v>5</v>
      </c>
      <c r="E4731">
        <f t="shared" si="147"/>
        <v>5.6111083198493512E-2</v>
      </c>
    </row>
    <row r="4732" spans="1:5" x14ac:dyDescent="0.25">
      <c r="A4732">
        <v>0</v>
      </c>
      <c r="B4732">
        <v>9.8802395209580798E-2</v>
      </c>
      <c r="C4732">
        <f t="shared" si="146"/>
        <v>1.5687855452184507</v>
      </c>
      <c r="D4732">
        <v>5</v>
      </c>
      <c r="E4732">
        <f t="shared" si="147"/>
        <v>5.6111083198493512E-2</v>
      </c>
    </row>
    <row r="4733" spans="1:5" x14ac:dyDescent="0.25">
      <c r="A4733">
        <v>0</v>
      </c>
      <c r="B4733">
        <v>9.8901098901098897E-2</v>
      </c>
      <c r="C4733">
        <f t="shared" si="146"/>
        <v>1.5685959306574055</v>
      </c>
      <c r="D4733">
        <v>5</v>
      </c>
      <c r="E4733">
        <f t="shared" si="147"/>
        <v>5.6111083198493512E-2</v>
      </c>
    </row>
    <row r="4734" spans="1:5" x14ac:dyDescent="0.25">
      <c r="A4734">
        <v>0</v>
      </c>
      <c r="B4734">
        <v>9.9000000000000005E-2</v>
      </c>
      <c r="C4734">
        <f t="shared" si="146"/>
        <v>1.5684057008969299</v>
      </c>
      <c r="D4734">
        <v>5</v>
      </c>
      <c r="E4734">
        <f t="shared" si="147"/>
        <v>5.6111083198493512E-2</v>
      </c>
    </row>
    <row r="4735" spans="1:5" x14ac:dyDescent="0.25">
      <c r="A4735">
        <v>0</v>
      </c>
      <c r="B4735">
        <v>9.90990990990991E-2</v>
      </c>
      <c r="C4735">
        <f t="shared" si="146"/>
        <v>1.5682148534720468</v>
      </c>
      <c r="D4735">
        <v>5</v>
      </c>
      <c r="E4735">
        <f t="shared" si="147"/>
        <v>5.6111083198493512E-2</v>
      </c>
    </row>
    <row r="4736" spans="1:5" x14ac:dyDescent="0.25">
      <c r="A4736">
        <v>0</v>
      </c>
      <c r="B4736">
        <v>9.90990990990991E-2</v>
      </c>
      <c r="C4736">
        <f t="shared" si="146"/>
        <v>1.5682148534720468</v>
      </c>
      <c r="D4736">
        <v>5</v>
      </c>
      <c r="E4736">
        <f t="shared" si="147"/>
        <v>5.6111083198493512E-2</v>
      </c>
    </row>
    <row r="4737" spans="1:5" x14ac:dyDescent="0.25">
      <c r="A4737">
        <v>0</v>
      </c>
      <c r="B4737">
        <v>9.90990990990991E-2</v>
      </c>
      <c r="C4737">
        <f t="shared" si="146"/>
        <v>1.5682148534720468</v>
      </c>
      <c r="D4737">
        <v>5</v>
      </c>
      <c r="E4737">
        <f t="shared" si="147"/>
        <v>5.6111083198493512E-2</v>
      </c>
    </row>
    <row r="4738" spans="1:5" x14ac:dyDescent="0.25">
      <c r="A4738">
        <v>0</v>
      </c>
      <c r="B4738">
        <v>9.90990990990991E-2</v>
      </c>
      <c r="C4738">
        <f t="shared" ref="C4738:C4801" si="148">_xlfn.NORM.DIST(B4738,I$10,I$13,FALSE)</f>
        <v>1.5682148534720468</v>
      </c>
      <c r="D4738">
        <v>5</v>
      </c>
      <c r="E4738">
        <f t="shared" si="147"/>
        <v>5.6111083198493512E-2</v>
      </c>
    </row>
    <row r="4739" spans="1:5" x14ac:dyDescent="0.25">
      <c r="A4739">
        <v>0</v>
      </c>
      <c r="B4739">
        <v>0.1</v>
      </c>
      <c r="C4739">
        <f t="shared" si="148"/>
        <v>1.5664690190937951</v>
      </c>
      <c r="D4739">
        <v>5</v>
      </c>
      <c r="E4739">
        <f t="shared" ref="E4739:E4802" si="149">_xlfn.NORM.DIST(D4739,I$4,I$7,FALSE)</f>
        <v>5.6111083198493512E-2</v>
      </c>
    </row>
    <row r="4740" spans="1:5" x14ac:dyDescent="0.25">
      <c r="A4740">
        <v>0</v>
      </c>
      <c r="B4740">
        <v>0.1</v>
      </c>
      <c r="C4740">
        <f t="shared" si="148"/>
        <v>1.5664690190937951</v>
      </c>
      <c r="D4740">
        <v>5</v>
      </c>
      <c r="E4740">
        <f t="shared" si="149"/>
        <v>5.6111083198493512E-2</v>
      </c>
    </row>
    <row r="4741" spans="1:5" x14ac:dyDescent="0.25">
      <c r="A4741">
        <v>0</v>
      </c>
      <c r="B4741">
        <v>0.1</v>
      </c>
      <c r="C4741">
        <f t="shared" si="148"/>
        <v>1.5664690190937951</v>
      </c>
      <c r="D4741">
        <v>5</v>
      </c>
      <c r="E4741">
        <f t="shared" si="149"/>
        <v>5.6111083198493512E-2</v>
      </c>
    </row>
    <row r="4742" spans="1:5" x14ac:dyDescent="0.25">
      <c r="A4742">
        <v>0</v>
      </c>
      <c r="B4742">
        <v>0.1</v>
      </c>
      <c r="C4742">
        <f t="shared" si="148"/>
        <v>1.5664690190937951</v>
      </c>
      <c r="D4742">
        <v>5</v>
      </c>
      <c r="E4742">
        <f t="shared" si="149"/>
        <v>5.6111083198493512E-2</v>
      </c>
    </row>
    <row r="4743" spans="1:5" x14ac:dyDescent="0.25">
      <c r="A4743">
        <v>0</v>
      </c>
      <c r="B4743">
        <v>0.1</v>
      </c>
      <c r="C4743">
        <f t="shared" si="148"/>
        <v>1.5664690190937951</v>
      </c>
      <c r="D4743">
        <v>5</v>
      </c>
      <c r="E4743">
        <f t="shared" si="149"/>
        <v>5.6111083198493512E-2</v>
      </c>
    </row>
    <row r="4744" spans="1:5" x14ac:dyDescent="0.25">
      <c r="A4744">
        <v>0</v>
      </c>
      <c r="B4744">
        <v>0.100467289719626</v>
      </c>
      <c r="C4744">
        <f t="shared" si="148"/>
        <v>1.5655557789619721</v>
      </c>
      <c r="D4744">
        <v>5</v>
      </c>
      <c r="E4744">
        <f t="shared" si="149"/>
        <v>5.6111083198493512E-2</v>
      </c>
    </row>
    <row r="4745" spans="1:5" x14ac:dyDescent="0.25">
      <c r="A4745">
        <v>0</v>
      </c>
      <c r="B4745">
        <v>0.10100000000000001</v>
      </c>
      <c r="C4745">
        <f t="shared" si="148"/>
        <v>1.564508293522815</v>
      </c>
      <c r="D4745">
        <v>5</v>
      </c>
      <c r="E4745">
        <f t="shared" si="149"/>
        <v>5.6111083198493512E-2</v>
      </c>
    </row>
    <row r="4746" spans="1:5" x14ac:dyDescent="0.25">
      <c r="A4746">
        <v>0</v>
      </c>
      <c r="B4746">
        <v>0.10100000000000001</v>
      </c>
      <c r="C4746">
        <f t="shared" si="148"/>
        <v>1.564508293522815</v>
      </c>
      <c r="D4746">
        <v>5</v>
      </c>
      <c r="E4746">
        <f t="shared" si="149"/>
        <v>5.6111083198493512E-2</v>
      </c>
    </row>
    <row r="4747" spans="1:5" x14ac:dyDescent="0.25">
      <c r="A4747">
        <v>0</v>
      </c>
      <c r="B4747">
        <v>0.101333333333333</v>
      </c>
      <c r="C4747">
        <f t="shared" si="148"/>
        <v>1.5638493918880731</v>
      </c>
      <c r="D4747">
        <v>5</v>
      </c>
      <c r="E4747">
        <f t="shared" si="149"/>
        <v>5.6111083198493512E-2</v>
      </c>
    </row>
    <row r="4748" spans="1:5" x14ac:dyDescent="0.25">
      <c r="A4748">
        <v>0</v>
      </c>
      <c r="B4748">
        <v>0.101333333333333</v>
      </c>
      <c r="C4748">
        <f t="shared" si="148"/>
        <v>1.5638493918880731</v>
      </c>
      <c r="D4748">
        <v>5</v>
      </c>
      <c r="E4748">
        <f t="shared" si="149"/>
        <v>5.6111083198493512E-2</v>
      </c>
    </row>
    <row r="4749" spans="1:5" x14ac:dyDescent="0.25">
      <c r="A4749">
        <v>0</v>
      </c>
      <c r="B4749">
        <v>0.101333333333333</v>
      </c>
      <c r="C4749">
        <f t="shared" si="148"/>
        <v>1.5638493918880731</v>
      </c>
      <c r="D4749">
        <v>5</v>
      </c>
      <c r="E4749">
        <f t="shared" si="149"/>
        <v>5.6111083198493512E-2</v>
      </c>
    </row>
    <row r="4750" spans="1:5" x14ac:dyDescent="0.25">
      <c r="A4750">
        <v>0</v>
      </c>
      <c r="B4750">
        <v>0.101333333333333</v>
      </c>
      <c r="C4750">
        <f t="shared" si="148"/>
        <v>1.5638493918880731</v>
      </c>
      <c r="D4750">
        <v>5</v>
      </c>
      <c r="E4750">
        <f t="shared" si="149"/>
        <v>5.6111083198493512E-2</v>
      </c>
    </row>
    <row r="4751" spans="1:5" x14ac:dyDescent="0.25">
      <c r="A4751">
        <v>0</v>
      </c>
      <c r="B4751">
        <v>0.101333333333333</v>
      </c>
      <c r="C4751">
        <f t="shared" si="148"/>
        <v>1.5638493918880731</v>
      </c>
      <c r="D4751">
        <v>5</v>
      </c>
      <c r="E4751">
        <f t="shared" si="149"/>
        <v>5.6111083198493512E-2</v>
      </c>
    </row>
    <row r="4752" spans="1:5" x14ac:dyDescent="0.25">
      <c r="A4752">
        <v>0</v>
      </c>
      <c r="B4752">
        <v>0.101333333333333</v>
      </c>
      <c r="C4752">
        <f t="shared" si="148"/>
        <v>1.5638493918880731</v>
      </c>
      <c r="D4752">
        <v>5</v>
      </c>
      <c r="E4752">
        <f t="shared" si="149"/>
        <v>5.6111083198493512E-2</v>
      </c>
    </row>
    <row r="4753" spans="1:5" x14ac:dyDescent="0.25">
      <c r="A4753">
        <v>0</v>
      </c>
      <c r="B4753">
        <v>0.101333333333333</v>
      </c>
      <c r="C4753">
        <f t="shared" si="148"/>
        <v>1.5638493918880731</v>
      </c>
      <c r="D4753">
        <v>5</v>
      </c>
      <c r="E4753">
        <f t="shared" si="149"/>
        <v>5.6111083198493512E-2</v>
      </c>
    </row>
    <row r="4754" spans="1:5" x14ac:dyDescent="0.25">
      <c r="A4754">
        <v>0</v>
      </c>
      <c r="B4754">
        <v>0.101333333333333</v>
      </c>
      <c r="C4754">
        <f t="shared" si="148"/>
        <v>1.5638493918880731</v>
      </c>
      <c r="D4754">
        <v>5</v>
      </c>
      <c r="E4754">
        <f t="shared" si="149"/>
        <v>5.6111083198493512E-2</v>
      </c>
    </row>
    <row r="4755" spans="1:5" x14ac:dyDescent="0.25">
      <c r="A4755">
        <v>0</v>
      </c>
      <c r="B4755">
        <v>0.101666666666667</v>
      </c>
      <c r="C4755">
        <f t="shared" si="148"/>
        <v>1.5631878330101456</v>
      </c>
      <c r="D4755">
        <v>5</v>
      </c>
      <c r="E4755">
        <f t="shared" si="149"/>
        <v>5.6111083198493512E-2</v>
      </c>
    </row>
    <row r="4756" spans="1:5" x14ac:dyDescent="0.25">
      <c r="A4756">
        <v>0</v>
      </c>
      <c r="B4756">
        <v>0.101666666666667</v>
      </c>
      <c r="C4756">
        <f t="shared" si="148"/>
        <v>1.5631878330101456</v>
      </c>
      <c r="D4756">
        <v>5</v>
      </c>
      <c r="E4756">
        <f t="shared" si="149"/>
        <v>5.6111083198493512E-2</v>
      </c>
    </row>
    <row r="4757" spans="1:5" x14ac:dyDescent="0.25">
      <c r="A4757">
        <v>0</v>
      </c>
      <c r="B4757">
        <v>0.101694915254237</v>
      </c>
      <c r="C4757">
        <f t="shared" si="148"/>
        <v>1.563131646676587</v>
      </c>
      <c r="D4757">
        <v>5</v>
      </c>
      <c r="E4757">
        <f t="shared" si="149"/>
        <v>5.6111083198493512E-2</v>
      </c>
    </row>
    <row r="4758" spans="1:5" x14ac:dyDescent="0.25">
      <c r="A4758">
        <v>0</v>
      </c>
      <c r="B4758">
        <v>0.10199999999999999</v>
      </c>
      <c r="C4758">
        <f t="shared" si="148"/>
        <v>1.5625236204966402</v>
      </c>
      <c r="D4758">
        <v>5</v>
      </c>
      <c r="E4758">
        <f t="shared" si="149"/>
        <v>5.6111083198493512E-2</v>
      </c>
    </row>
    <row r="4759" spans="1:5" x14ac:dyDescent="0.25">
      <c r="A4759">
        <v>0</v>
      </c>
      <c r="B4759">
        <v>0.10199999999999999</v>
      </c>
      <c r="C4759">
        <f t="shared" si="148"/>
        <v>1.5625236204966402</v>
      </c>
      <c r="D4759">
        <v>5</v>
      </c>
      <c r="E4759">
        <f t="shared" si="149"/>
        <v>5.6111083198493512E-2</v>
      </c>
    </row>
    <row r="4760" spans="1:5" x14ac:dyDescent="0.25">
      <c r="A4760">
        <v>0</v>
      </c>
      <c r="B4760">
        <v>0.10199999999999999</v>
      </c>
      <c r="C4760">
        <f t="shared" si="148"/>
        <v>1.5625236204966402</v>
      </c>
      <c r="D4760">
        <v>5</v>
      </c>
      <c r="E4760">
        <f t="shared" si="149"/>
        <v>5.6111083198493512E-2</v>
      </c>
    </row>
    <row r="4761" spans="1:5" x14ac:dyDescent="0.25">
      <c r="A4761">
        <v>0</v>
      </c>
      <c r="B4761">
        <v>0.10199999999999999</v>
      </c>
      <c r="C4761">
        <f t="shared" si="148"/>
        <v>1.5625236204966402</v>
      </c>
      <c r="D4761">
        <v>5</v>
      </c>
      <c r="E4761">
        <f t="shared" si="149"/>
        <v>5.6111083198493512E-2</v>
      </c>
    </row>
    <row r="4762" spans="1:5" x14ac:dyDescent="0.25">
      <c r="A4762">
        <v>0</v>
      </c>
      <c r="B4762">
        <v>0.10199999999999999</v>
      </c>
      <c r="C4762">
        <f t="shared" si="148"/>
        <v>1.5625236204966402</v>
      </c>
      <c r="D4762">
        <v>5</v>
      </c>
      <c r="E4762">
        <f t="shared" si="149"/>
        <v>5.6111083198493512E-2</v>
      </c>
    </row>
    <row r="4763" spans="1:5" x14ac:dyDescent="0.25">
      <c r="A4763">
        <v>0</v>
      </c>
      <c r="B4763">
        <v>0.10210210210210199</v>
      </c>
      <c r="C4763">
        <f t="shared" si="148"/>
        <v>1.5623196376721784</v>
      </c>
      <c r="D4763">
        <v>5</v>
      </c>
      <c r="E4763">
        <f t="shared" si="149"/>
        <v>5.6111083198493512E-2</v>
      </c>
    </row>
    <row r="4764" spans="1:5" x14ac:dyDescent="0.25">
      <c r="A4764">
        <v>0</v>
      </c>
      <c r="B4764">
        <v>0.10210210210210199</v>
      </c>
      <c r="C4764">
        <f t="shared" si="148"/>
        <v>1.5623196376721784</v>
      </c>
      <c r="D4764">
        <v>5</v>
      </c>
      <c r="E4764">
        <f t="shared" si="149"/>
        <v>5.6111083198493512E-2</v>
      </c>
    </row>
    <row r="4765" spans="1:5" x14ac:dyDescent="0.25">
      <c r="A4765">
        <v>0</v>
      </c>
      <c r="B4765">
        <v>0.10210210210210199</v>
      </c>
      <c r="C4765">
        <f t="shared" si="148"/>
        <v>1.5623196376721784</v>
      </c>
      <c r="D4765">
        <v>5</v>
      </c>
      <c r="E4765">
        <f t="shared" si="149"/>
        <v>5.6111083198493512E-2</v>
      </c>
    </row>
    <row r="4766" spans="1:5" x14ac:dyDescent="0.25">
      <c r="A4766">
        <v>0</v>
      </c>
      <c r="B4766">
        <v>0.102564102564103</v>
      </c>
      <c r="C4766">
        <f t="shared" si="148"/>
        <v>1.5613935334454041</v>
      </c>
      <c r="D4766">
        <v>5</v>
      </c>
      <c r="E4766">
        <f t="shared" si="149"/>
        <v>5.6111083198493512E-2</v>
      </c>
    </row>
    <row r="4767" spans="1:5" x14ac:dyDescent="0.25">
      <c r="A4767">
        <v>0</v>
      </c>
      <c r="B4767">
        <v>0.10280373831775701</v>
      </c>
      <c r="C4767">
        <f t="shared" si="148"/>
        <v>1.5609111699721536</v>
      </c>
      <c r="D4767">
        <v>5</v>
      </c>
      <c r="E4767">
        <f t="shared" si="149"/>
        <v>5.6111083198493512E-2</v>
      </c>
    </row>
    <row r="4768" spans="1:5" x14ac:dyDescent="0.25">
      <c r="A4768">
        <v>0</v>
      </c>
      <c r="B4768">
        <v>0.103333333333333</v>
      </c>
      <c r="C4768">
        <f t="shared" si="148"/>
        <v>1.5598403067076532</v>
      </c>
      <c r="D4768">
        <v>5</v>
      </c>
      <c r="E4768">
        <f t="shared" si="149"/>
        <v>5.6111083198493512E-2</v>
      </c>
    </row>
    <row r="4769" spans="1:5" x14ac:dyDescent="0.25">
      <c r="A4769">
        <v>0</v>
      </c>
      <c r="B4769">
        <v>0.104</v>
      </c>
      <c r="C4769">
        <f t="shared" si="148"/>
        <v>1.5584828227801171</v>
      </c>
      <c r="D4769">
        <v>5</v>
      </c>
      <c r="E4769">
        <f t="shared" si="149"/>
        <v>5.6111083198493512E-2</v>
      </c>
    </row>
    <row r="4770" spans="1:5" x14ac:dyDescent="0.25">
      <c r="A4770">
        <v>0</v>
      </c>
      <c r="B4770">
        <v>0.104</v>
      </c>
      <c r="C4770">
        <f t="shared" si="148"/>
        <v>1.5584828227801171</v>
      </c>
      <c r="D4770">
        <v>5</v>
      </c>
      <c r="E4770">
        <f t="shared" si="149"/>
        <v>5.6111083198493512E-2</v>
      </c>
    </row>
    <row r="4771" spans="1:5" x14ac:dyDescent="0.25">
      <c r="A4771">
        <v>0</v>
      </c>
      <c r="B4771">
        <v>0.104</v>
      </c>
      <c r="C4771">
        <f t="shared" si="148"/>
        <v>1.5584828227801171</v>
      </c>
      <c r="D4771">
        <v>5</v>
      </c>
      <c r="E4771">
        <f t="shared" si="149"/>
        <v>5.6111083198493512E-2</v>
      </c>
    </row>
    <row r="4772" spans="1:5" x14ac:dyDescent="0.25">
      <c r="A4772">
        <v>0</v>
      </c>
      <c r="B4772">
        <v>0.104</v>
      </c>
      <c r="C4772">
        <f t="shared" si="148"/>
        <v>1.5584828227801171</v>
      </c>
      <c r="D4772">
        <v>5</v>
      </c>
      <c r="E4772">
        <f t="shared" si="149"/>
        <v>5.6111083198493512E-2</v>
      </c>
    </row>
    <row r="4773" spans="1:5" x14ac:dyDescent="0.25">
      <c r="A4773">
        <v>0</v>
      </c>
      <c r="B4773">
        <v>0.104</v>
      </c>
      <c r="C4773">
        <f t="shared" si="148"/>
        <v>1.5584828227801171</v>
      </c>
      <c r="D4773">
        <v>5</v>
      </c>
      <c r="E4773">
        <f t="shared" si="149"/>
        <v>5.6111083198493512E-2</v>
      </c>
    </row>
    <row r="4774" spans="1:5" x14ac:dyDescent="0.25">
      <c r="A4774">
        <v>0</v>
      </c>
      <c r="B4774">
        <v>0.104</v>
      </c>
      <c r="C4774">
        <f t="shared" si="148"/>
        <v>1.5584828227801171</v>
      </c>
      <c r="D4774">
        <v>5</v>
      </c>
      <c r="E4774">
        <f t="shared" si="149"/>
        <v>5.6111083198493512E-2</v>
      </c>
    </row>
    <row r="4775" spans="1:5" x14ac:dyDescent="0.25">
      <c r="A4775">
        <v>0</v>
      </c>
      <c r="B4775">
        <v>0.104</v>
      </c>
      <c r="C4775">
        <f t="shared" si="148"/>
        <v>1.5584828227801171</v>
      </c>
      <c r="D4775">
        <v>5</v>
      </c>
      <c r="E4775">
        <f t="shared" si="149"/>
        <v>5.6111083198493512E-2</v>
      </c>
    </row>
    <row r="4776" spans="1:5" x14ac:dyDescent="0.25">
      <c r="A4776">
        <v>0</v>
      </c>
      <c r="B4776">
        <v>0.104</v>
      </c>
      <c r="C4776">
        <f t="shared" si="148"/>
        <v>1.5584828227801171</v>
      </c>
      <c r="D4776">
        <v>5</v>
      </c>
      <c r="E4776">
        <f t="shared" si="149"/>
        <v>5.6111083198493512E-2</v>
      </c>
    </row>
    <row r="4777" spans="1:5" x14ac:dyDescent="0.25">
      <c r="A4777">
        <v>0</v>
      </c>
      <c r="B4777">
        <v>0.104</v>
      </c>
      <c r="C4777">
        <f t="shared" si="148"/>
        <v>1.5584828227801171</v>
      </c>
      <c r="D4777">
        <v>5</v>
      </c>
      <c r="E4777">
        <f t="shared" si="149"/>
        <v>5.6111083198493512E-2</v>
      </c>
    </row>
    <row r="4778" spans="1:5" x14ac:dyDescent="0.25">
      <c r="A4778">
        <v>0</v>
      </c>
      <c r="B4778">
        <v>0.104790419161677</v>
      </c>
      <c r="C4778">
        <f t="shared" si="148"/>
        <v>1.5568597330678413</v>
      </c>
      <c r="D4778">
        <v>5</v>
      </c>
      <c r="E4778">
        <f t="shared" si="149"/>
        <v>5.6111083198493512E-2</v>
      </c>
    </row>
    <row r="4779" spans="1:5" x14ac:dyDescent="0.25">
      <c r="A4779">
        <v>0</v>
      </c>
      <c r="B4779">
        <v>0.104790419161677</v>
      </c>
      <c r="C4779">
        <f t="shared" si="148"/>
        <v>1.5568597330678413</v>
      </c>
      <c r="D4779">
        <v>5</v>
      </c>
      <c r="E4779">
        <f t="shared" si="149"/>
        <v>5.6111083198493512E-2</v>
      </c>
    </row>
    <row r="4780" spans="1:5" x14ac:dyDescent="0.25">
      <c r="A4780">
        <v>0</v>
      </c>
      <c r="B4780">
        <v>0.10489510489510501</v>
      </c>
      <c r="C4780">
        <f t="shared" si="148"/>
        <v>1.5566436601748337</v>
      </c>
      <c r="D4780">
        <v>5</v>
      </c>
      <c r="E4780">
        <f t="shared" si="149"/>
        <v>5.6111083198493512E-2</v>
      </c>
    </row>
    <row r="4781" spans="1:5" x14ac:dyDescent="0.25">
      <c r="A4781">
        <v>0</v>
      </c>
      <c r="B4781">
        <v>0.10489510489510501</v>
      </c>
      <c r="C4781">
        <f t="shared" si="148"/>
        <v>1.5566436601748337</v>
      </c>
      <c r="D4781">
        <v>5</v>
      </c>
      <c r="E4781">
        <f t="shared" si="149"/>
        <v>5.6111083198493512E-2</v>
      </c>
    </row>
    <row r="4782" spans="1:5" x14ac:dyDescent="0.25">
      <c r="A4782">
        <v>0</v>
      </c>
      <c r="B4782">
        <v>0.105</v>
      </c>
      <c r="C4782">
        <f t="shared" si="148"/>
        <v>1.5564268961419052</v>
      </c>
      <c r="D4782">
        <v>5</v>
      </c>
      <c r="E4782">
        <f t="shared" si="149"/>
        <v>5.6111083198493512E-2</v>
      </c>
    </row>
    <row r="4783" spans="1:5" x14ac:dyDescent="0.25">
      <c r="A4783">
        <v>0</v>
      </c>
      <c r="B4783">
        <v>0.105105105105105</v>
      </c>
      <c r="C4783">
        <f t="shared" si="148"/>
        <v>1.5562094382320675</v>
      </c>
      <c r="D4783">
        <v>5</v>
      </c>
      <c r="E4783">
        <f t="shared" si="149"/>
        <v>5.6111083198493512E-2</v>
      </c>
    </row>
    <row r="4784" spans="1:5" x14ac:dyDescent="0.25">
      <c r="A4784">
        <v>0</v>
      </c>
      <c r="B4784">
        <v>0.105105105105105</v>
      </c>
      <c r="C4784">
        <f t="shared" si="148"/>
        <v>1.5562094382320675</v>
      </c>
      <c r="D4784">
        <v>5</v>
      </c>
      <c r="E4784">
        <f t="shared" si="149"/>
        <v>5.6111083198493512E-2</v>
      </c>
    </row>
    <row r="4785" spans="1:5" x14ac:dyDescent="0.25">
      <c r="A4785">
        <v>0</v>
      </c>
      <c r="B4785">
        <v>0.105105105105105</v>
      </c>
      <c r="C4785">
        <f t="shared" si="148"/>
        <v>1.5562094382320675</v>
      </c>
      <c r="D4785">
        <v>5</v>
      </c>
      <c r="E4785">
        <f t="shared" si="149"/>
        <v>5.6111083198493512E-2</v>
      </c>
    </row>
    <row r="4786" spans="1:5" x14ac:dyDescent="0.25">
      <c r="A4786">
        <v>0</v>
      </c>
      <c r="B4786">
        <v>0.105105105105105</v>
      </c>
      <c r="C4786">
        <f t="shared" si="148"/>
        <v>1.5562094382320675</v>
      </c>
      <c r="D4786">
        <v>5</v>
      </c>
      <c r="E4786">
        <f t="shared" si="149"/>
        <v>5.6111083198493512E-2</v>
      </c>
    </row>
    <row r="4787" spans="1:5" x14ac:dyDescent="0.25">
      <c r="A4787">
        <v>0</v>
      </c>
      <c r="B4787">
        <v>0.105105105105105</v>
      </c>
      <c r="C4787">
        <f t="shared" si="148"/>
        <v>1.5562094382320675</v>
      </c>
      <c r="D4787">
        <v>5</v>
      </c>
      <c r="E4787">
        <f t="shared" si="149"/>
        <v>5.6111083198493512E-2</v>
      </c>
    </row>
    <row r="4788" spans="1:5" x14ac:dyDescent="0.25">
      <c r="A4788">
        <v>0</v>
      </c>
      <c r="B4788">
        <v>0.105263157894737</v>
      </c>
      <c r="C4788">
        <f t="shared" si="148"/>
        <v>1.5558819443288734</v>
      </c>
      <c r="D4788">
        <v>5</v>
      </c>
      <c r="E4788">
        <f t="shared" si="149"/>
        <v>5.6111083198493512E-2</v>
      </c>
    </row>
    <row r="4789" spans="1:5" x14ac:dyDescent="0.25">
      <c r="A4789">
        <v>0</v>
      </c>
      <c r="B4789">
        <v>0.105263157894737</v>
      </c>
      <c r="C4789">
        <f t="shared" si="148"/>
        <v>1.5558819443288734</v>
      </c>
      <c r="D4789">
        <v>5</v>
      </c>
      <c r="E4789">
        <f t="shared" si="149"/>
        <v>5.6111083198493512E-2</v>
      </c>
    </row>
    <row r="4790" spans="1:5" x14ac:dyDescent="0.25">
      <c r="A4790">
        <v>0</v>
      </c>
      <c r="B4790">
        <v>0.105333333333333</v>
      </c>
      <c r="C4790">
        <f t="shared" si="148"/>
        <v>1.5557363486253128</v>
      </c>
      <c r="D4790">
        <v>5</v>
      </c>
      <c r="E4790">
        <f t="shared" si="149"/>
        <v>5.6111083198493512E-2</v>
      </c>
    </row>
    <row r="4791" spans="1:5" x14ac:dyDescent="0.25">
      <c r="A4791">
        <v>0</v>
      </c>
      <c r="B4791">
        <v>0.106</v>
      </c>
      <c r="C4791">
        <f t="shared" si="148"/>
        <v>1.5543474181365999</v>
      </c>
      <c r="D4791">
        <v>5</v>
      </c>
      <c r="E4791">
        <f t="shared" si="149"/>
        <v>5.6111083198493512E-2</v>
      </c>
    </row>
    <row r="4792" spans="1:5" x14ac:dyDescent="0.25">
      <c r="A4792">
        <v>0</v>
      </c>
      <c r="B4792">
        <v>0.106</v>
      </c>
      <c r="C4792">
        <f t="shared" si="148"/>
        <v>1.5543474181365999</v>
      </c>
      <c r="D4792">
        <v>5</v>
      </c>
      <c r="E4792">
        <f t="shared" si="149"/>
        <v>5.6111083198493512E-2</v>
      </c>
    </row>
    <row r="4793" spans="1:5" x14ac:dyDescent="0.25">
      <c r="A4793">
        <v>0</v>
      </c>
      <c r="B4793">
        <v>0.106</v>
      </c>
      <c r="C4793">
        <f t="shared" si="148"/>
        <v>1.5543474181365999</v>
      </c>
      <c r="D4793">
        <v>5</v>
      </c>
      <c r="E4793">
        <f t="shared" si="149"/>
        <v>5.6111083198493512E-2</v>
      </c>
    </row>
    <row r="4794" spans="1:5" x14ac:dyDescent="0.25">
      <c r="A4794">
        <v>0</v>
      </c>
      <c r="B4794">
        <v>0.106</v>
      </c>
      <c r="C4794">
        <f t="shared" si="148"/>
        <v>1.5543474181365999</v>
      </c>
      <c r="D4794">
        <v>5</v>
      </c>
      <c r="E4794">
        <f t="shared" si="149"/>
        <v>5.6111083198493512E-2</v>
      </c>
    </row>
    <row r="4795" spans="1:5" x14ac:dyDescent="0.25">
      <c r="A4795">
        <v>0</v>
      </c>
      <c r="B4795">
        <v>0.106</v>
      </c>
      <c r="C4795">
        <f t="shared" si="148"/>
        <v>1.5543474181365999</v>
      </c>
      <c r="D4795">
        <v>5</v>
      </c>
      <c r="E4795">
        <f t="shared" si="149"/>
        <v>5.6111083198493512E-2</v>
      </c>
    </row>
    <row r="4796" spans="1:5" x14ac:dyDescent="0.25">
      <c r="A4796">
        <v>0</v>
      </c>
      <c r="B4796">
        <v>0.106</v>
      </c>
      <c r="C4796">
        <f t="shared" si="148"/>
        <v>1.5543474181365999</v>
      </c>
      <c r="D4796">
        <v>5</v>
      </c>
      <c r="E4796">
        <f t="shared" si="149"/>
        <v>5.6111083198493512E-2</v>
      </c>
    </row>
    <row r="4797" spans="1:5" x14ac:dyDescent="0.25">
      <c r="A4797">
        <v>0</v>
      </c>
      <c r="B4797">
        <v>0.10666666666666701</v>
      </c>
      <c r="C4797">
        <f t="shared" si="148"/>
        <v>1.5529480655479835</v>
      </c>
      <c r="D4797">
        <v>5</v>
      </c>
      <c r="E4797">
        <f t="shared" si="149"/>
        <v>5.6111083198493512E-2</v>
      </c>
    </row>
    <row r="4798" spans="1:5" x14ac:dyDescent="0.25">
      <c r="A4798">
        <v>0</v>
      </c>
      <c r="B4798">
        <v>0.10666666666666701</v>
      </c>
      <c r="C4798">
        <f t="shared" si="148"/>
        <v>1.5529480655479835</v>
      </c>
      <c r="D4798">
        <v>5</v>
      </c>
      <c r="E4798">
        <f t="shared" si="149"/>
        <v>5.6111083198493512E-2</v>
      </c>
    </row>
    <row r="4799" spans="1:5" x14ac:dyDescent="0.25">
      <c r="A4799">
        <v>0</v>
      </c>
      <c r="B4799">
        <v>0.10666666666666701</v>
      </c>
      <c r="C4799">
        <f t="shared" si="148"/>
        <v>1.5529480655479835</v>
      </c>
      <c r="D4799">
        <v>5</v>
      </c>
      <c r="E4799">
        <f t="shared" si="149"/>
        <v>5.6111083198493512E-2</v>
      </c>
    </row>
    <row r="4800" spans="1:5" x14ac:dyDescent="0.25">
      <c r="A4800">
        <v>0</v>
      </c>
      <c r="B4800">
        <v>0.10666666666666701</v>
      </c>
      <c r="C4800">
        <f t="shared" si="148"/>
        <v>1.5529480655479835</v>
      </c>
      <c r="D4800">
        <v>5</v>
      </c>
      <c r="E4800">
        <f t="shared" si="149"/>
        <v>5.6111083198493512E-2</v>
      </c>
    </row>
    <row r="4801" spans="1:5" x14ac:dyDescent="0.25">
      <c r="A4801">
        <v>0</v>
      </c>
      <c r="B4801">
        <v>0.10666666666666701</v>
      </c>
      <c r="C4801">
        <f t="shared" si="148"/>
        <v>1.5529480655479835</v>
      </c>
      <c r="D4801">
        <v>5</v>
      </c>
      <c r="E4801">
        <f t="shared" si="149"/>
        <v>5.6111083198493512E-2</v>
      </c>
    </row>
    <row r="4802" spans="1:5" x14ac:dyDescent="0.25">
      <c r="A4802">
        <v>0</v>
      </c>
      <c r="B4802">
        <v>0.10666666666666701</v>
      </c>
      <c r="C4802">
        <f t="shared" ref="C4802:C4865" si="150">_xlfn.NORM.DIST(B4802,I$10,I$13,FALSE)</f>
        <v>1.5529480655479835</v>
      </c>
      <c r="D4802">
        <v>5</v>
      </c>
      <c r="E4802">
        <f t="shared" si="149"/>
        <v>5.6111083198493512E-2</v>
      </c>
    </row>
    <row r="4803" spans="1:5" x14ac:dyDescent="0.25">
      <c r="A4803">
        <v>0</v>
      </c>
      <c r="B4803">
        <v>0.10666666666666701</v>
      </c>
      <c r="C4803">
        <f t="shared" si="150"/>
        <v>1.5529480655479835</v>
      </c>
      <c r="D4803">
        <v>5</v>
      </c>
      <c r="E4803">
        <f t="shared" ref="E4803:E4866" si="151">_xlfn.NORM.DIST(D4803,I$4,I$7,FALSE)</f>
        <v>5.6111083198493512E-2</v>
      </c>
    </row>
    <row r="4804" spans="1:5" x14ac:dyDescent="0.25">
      <c r="A4804">
        <v>0</v>
      </c>
      <c r="B4804">
        <v>0.10666666666666701</v>
      </c>
      <c r="C4804">
        <f t="shared" si="150"/>
        <v>1.5529480655479835</v>
      </c>
      <c r="D4804">
        <v>5</v>
      </c>
      <c r="E4804">
        <f t="shared" si="151"/>
        <v>5.6111083198493512E-2</v>
      </c>
    </row>
    <row r="4805" spans="1:5" x14ac:dyDescent="0.25">
      <c r="A4805">
        <v>0</v>
      </c>
      <c r="B4805">
        <v>0.10666666666666701</v>
      </c>
      <c r="C4805">
        <f t="shared" si="150"/>
        <v>1.5529480655479835</v>
      </c>
      <c r="D4805">
        <v>5</v>
      </c>
      <c r="E4805">
        <f t="shared" si="151"/>
        <v>5.6111083198493512E-2</v>
      </c>
    </row>
    <row r="4806" spans="1:5" x14ac:dyDescent="0.25">
      <c r="A4806">
        <v>0</v>
      </c>
      <c r="B4806">
        <v>0.106796116504854</v>
      </c>
      <c r="C4806">
        <f t="shared" si="150"/>
        <v>1.5526751408412975</v>
      </c>
      <c r="D4806">
        <v>5</v>
      </c>
      <c r="E4806">
        <f t="shared" si="151"/>
        <v>5.6111083198493512E-2</v>
      </c>
    </row>
    <row r="4807" spans="1:5" x14ac:dyDescent="0.25">
      <c r="A4807">
        <v>0</v>
      </c>
      <c r="B4807">
        <v>0.107</v>
      </c>
      <c r="C4807">
        <f t="shared" si="150"/>
        <v>1.552244490455176</v>
      </c>
      <c r="D4807">
        <v>5</v>
      </c>
      <c r="E4807">
        <f t="shared" si="151"/>
        <v>5.6111083198493512E-2</v>
      </c>
    </row>
    <row r="4808" spans="1:5" x14ac:dyDescent="0.25">
      <c r="A4808">
        <v>0</v>
      </c>
      <c r="B4808">
        <v>0.107226107226107</v>
      </c>
      <c r="C4808">
        <f t="shared" si="150"/>
        <v>1.5517657633606219</v>
      </c>
      <c r="D4808">
        <v>5</v>
      </c>
      <c r="E4808">
        <f t="shared" si="151"/>
        <v>5.6111083198493512E-2</v>
      </c>
    </row>
    <row r="4809" spans="1:5" x14ac:dyDescent="0.25">
      <c r="A4809">
        <v>0</v>
      </c>
      <c r="B4809">
        <v>0.107226107226107</v>
      </c>
      <c r="C4809">
        <f t="shared" si="150"/>
        <v>1.5517657633606219</v>
      </c>
      <c r="D4809">
        <v>5</v>
      </c>
      <c r="E4809">
        <f t="shared" si="151"/>
        <v>5.6111083198493512E-2</v>
      </c>
    </row>
    <row r="4810" spans="1:5" x14ac:dyDescent="0.25">
      <c r="A4810">
        <v>0</v>
      </c>
      <c r="B4810">
        <v>0.107226107226107</v>
      </c>
      <c r="C4810">
        <f t="shared" si="150"/>
        <v>1.5517657633606219</v>
      </c>
      <c r="D4810">
        <v>5</v>
      </c>
      <c r="E4810">
        <f t="shared" si="151"/>
        <v>5.6111083198493512E-2</v>
      </c>
    </row>
    <row r="4811" spans="1:5" x14ac:dyDescent="0.25">
      <c r="A4811">
        <v>0</v>
      </c>
      <c r="B4811">
        <v>0.107226107226107</v>
      </c>
      <c r="C4811">
        <f t="shared" si="150"/>
        <v>1.5517657633606219</v>
      </c>
      <c r="D4811">
        <v>5</v>
      </c>
      <c r="E4811">
        <f t="shared" si="151"/>
        <v>5.6111083198493512E-2</v>
      </c>
    </row>
    <row r="4812" spans="1:5" x14ac:dyDescent="0.25">
      <c r="A4812">
        <v>0</v>
      </c>
      <c r="B4812">
        <v>0.107333333333333</v>
      </c>
      <c r="C4812">
        <f t="shared" si="150"/>
        <v>1.5515383212500067</v>
      </c>
      <c r="D4812">
        <v>5</v>
      </c>
      <c r="E4812">
        <f t="shared" si="151"/>
        <v>5.6111083198493512E-2</v>
      </c>
    </row>
    <row r="4813" spans="1:5" x14ac:dyDescent="0.25">
      <c r="A4813">
        <v>0</v>
      </c>
      <c r="B4813">
        <v>0.10747663551401899</v>
      </c>
      <c r="C4813">
        <f t="shared" si="150"/>
        <v>1.5512339381078257</v>
      </c>
      <c r="D4813">
        <v>5</v>
      </c>
      <c r="E4813">
        <f t="shared" si="151"/>
        <v>5.6111083198493512E-2</v>
      </c>
    </row>
    <row r="4814" spans="1:5" x14ac:dyDescent="0.25">
      <c r="A4814">
        <v>0</v>
      </c>
      <c r="B4814">
        <v>0.107784431137725</v>
      </c>
      <c r="C4814">
        <f t="shared" si="150"/>
        <v>1.550578543206659</v>
      </c>
      <c r="D4814">
        <v>5</v>
      </c>
      <c r="E4814">
        <f t="shared" si="151"/>
        <v>5.6111083198493512E-2</v>
      </c>
    </row>
    <row r="4815" spans="1:5" x14ac:dyDescent="0.25">
      <c r="A4815">
        <v>0</v>
      </c>
      <c r="B4815">
        <v>0.107784431137725</v>
      </c>
      <c r="C4815">
        <f t="shared" si="150"/>
        <v>1.550578543206659</v>
      </c>
      <c r="D4815">
        <v>5</v>
      </c>
      <c r="E4815">
        <f t="shared" si="151"/>
        <v>5.6111083198493512E-2</v>
      </c>
    </row>
    <row r="4816" spans="1:5" x14ac:dyDescent="0.25">
      <c r="A4816">
        <v>0</v>
      </c>
      <c r="B4816">
        <v>0.107784431137725</v>
      </c>
      <c r="C4816">
        <f t="shared" si="150"/>
        <v>1.550578543206659</v>
      </c>
      <c r="D4816">
        <v>5</v>
      </c>
      <c r="E4816">
        <f t="shared" si="151"/>
        <v>5.6111083198493512E-2</v>
      </c>
    </row>
    <row r="4817" spans="1:5" x14ac:dyDescent="0.25">
      <c r="A4817">
        <v>0</v>
      </c>
      <c r="B4817">
        <v>0.108</v>
      </c>
      <c r="C4817">
        <f t="shared" si="150"/>
        <v>1.5501182158397391</v>
      </c>
      <c r="D4817">
        <v>5</v>
      </c>
      <c r="E4817">
        <f t="shared" si="151"/>
        <v>5.6111083198493512E-2</v>
      </c>
    </row>
    <row r="4818" spans="1:5" x14ac:dyDescent="0.25">
      <c r="A4818">
        <v>0</v>
      </c>
      <c r="B4818">
        <v>0.108</v>
      </c>
      <c r="C4818">
        <f t="shared" si="150"/>
        <v>1.5501182158397391</v>
      </c>
      <c r="D4818">
        <v>5</v>
      </c>
      <c r="E4818">
        <f t="shared" si="151"/>
        <v>5.6111083198493512E-2</v>
      </c>
    </row>
    <row r="4819" spans="1:5" x14ac:dyDescent="0.25">
      <c r="A4819">
        <v>0</v>
      </c>
      <c r="B4819">
        <v>0.108</v>
      </c>
      <c r="C4819">
        <f t="shared" si="150"/>
        <v>1.5501182158397391</v>
      </c>
      <c r="D4819">
        <v>5</v>
      </c>
      <c r="E4819">
        <f t="shared" si="151"/>
        <v>5.6111083198493512E-2</v>
      </c>
    </row>
    <row r="4820" spans="1:5" x14ac:dyDescent="0.25">
      <c r="A4820">
        <v>0</v>
      </c>
      <c r="B4820">
        <v>0.108108108108108</v>
      </c>
      <c r="C4820">
        <f t="shared" si="150"/>
        <v>1.5498869542438656</v>
      </c>
      <c r="D4820">
        <v>5</v>
      </c>
      <c r="E4820">
        <f t="shared" si="151"/>
        <v>5.6111083198493512E-2</v>
      </c>
    </row>
    <row r="4821" spans="1:5" x14ac:dyDescent="0.25">
      <c r="A4821">
        <v>0</v>
      </c>
      <c r="B4821">
        <v>0.108108108108108</v>
      </c>
      <c r="C4821">
        <f t="shared" si="150"/>
        <v>1.5498869542438656</v>
      </c>
      <c r="D4821">
        <v>5</v>
      </c>
      <c r="E4821">
        <f t="shared" si="151"/>
        <v>5.6111083198493512E-2</v>
      </c>
    </row>
    <row r="4822" spans="1:5" x14ac:dyDescent="0.25">
      <c r="A4822">
        <v>0</v>
      </c>
      <c r="B4822">
        <v>0.108108108108108</v>
      </c>
      <c r="C4822">
        <f t="shared" si="150"/>
        <v>1.5498869542438656</v>
      </c>
      <c r="D4822">
        <v>5</v>
      </c>
      <c r="E4822">
        <f t="shared" si="151"/>
        <v>5.6111083198493512E-2</v>
      </c>
    </row>
    <row r="4823" spans="1:5" x14ac:dyDescent="0.25">
      <c r="A4823">
        <v>0</v>
      </c>
      <c r="B4823">
        <v>0.108108108108108</v>
      </c>
      <c r="C4823">
        <f t="shared" si="150"/>
        <v>1.5498869542438656</v>
      </c>
      <c r="D4823">
        <v>5</v>
      </c>
      <c r="E4823">
        <f t="shared" si="151"/>
        <v>5.6111083198493512E-2</v>
      </c>
    </row>
    <row r="4824" spans="1:5" x14ac:dyDescent="0.25">
      <c r="A4824">
        <v>0</v>
      </c>
      <c r="B4824">
        <v>0.108108108108108</v>
      </c>
      <c r="C4824">
        <f t="shared" si="150"/>
        <v>1.5498869542438656</v>
      </c>
      <c r="D4824">
        <v>5</v>
      </c>
      <c r="E4824">
        <f t="shared" si="151"/>
        <v>5.6111083198493512E-2</v>
      </c>
    </row>
    <row r="4825" spans="1:5" x14ac:dyDescent="0.25">
      <c r="A4825">
        <v>0</v>
      </c>
      <c r="B4825">
        <v>0.108108108108108</v>
      </c>
      <c r="C4825">
        <f t="shared" si="150"/>
        <v>1.5498869542438656</v>
      </c>
      <c r="D4825">
        <v>5</v>
      </c>
      <c r="E4825">
        <f t="shared" si="151"/>
        <v>5.6111083198493512E-2</v>
      </c>
    </row>
    <row r="4826" spans="1:5" x14ac:dyDescent="0.25">
      <c r="A4826">
        <v>0</v>
      </c>
      <c r="B4826">
        <v>0.108108108108108</v>
      </c>
      <c r="C4826">
        <f t="shared" si="150"/>
        <v>1.5498869542438656</v>
      </c>
      <c r="D4826">
        <v>5</v>
      </c>
      <c r="E4826">
        <f t="shared" si="151"/>
        <v>5.6111083198493512E-2</v>
      </c>
    </row>
    <row r="4827" spans="1:5" x14ac:dyDescent="0.25">
      <c r="A4827">
        <v>0</v>
      </c>
      <c r="B4827">
        <v>0.108108108108108</v>
      </c>
      <c r="C4827">
        <f t="shared" si="150"/>
        <v>1.5498869542438656</v>
      </c>
      <c r="D4827">
        <v>5</v>
      </c>
      <c r="E4827">
        <f t="shared" si="151"/>
        <v>5.6111083198493512E-2</v>
      </c>
    </row>
    <row r="4828" spans="1:5" x14ac:dyDescent="0.25">
      <c r="A4828">
        <v>0</v>
      </c>
      <c r="B4828">
        <v>0.108108108108108</v>
      </c>
      <c r="C4828">
        <f t="shared" si="150"/>
        <v>1.5498869542438656</v>
      </c>
      <c r="D4828">
        <v>5</v>
      </c>
      <c r="E4828">
        <f t="shared" si="151"/>
        <v>5.6111083198493512E-2</v>
      </c>
    </row>
    <row r="4829" spans="1:5" x14ac:dyDescent="0.25">
      <c r="A4829">
        <v>0</v>
      </c>
      <c r="B4829">
        <v>0.108108108108108</v>
      </c>
      <c r="C4829">
        <f t="shared" si="150"/>
        <v>1.5498869542438656</v>
      </c>
      <c r="D4829">
        <v>5</v>
      </c>
      <c r="E4829">
        <f t="shared" si="151"/>
        <v>5.6111083198493512E-2</v>
      </c>
    </row>
    <row r="4830" spans="1:5" x14ac:dyDescent="0.25">
      <c r="A4830">
        <v>0</v>
      </c>
      <c r="B4830">
        <v>0.108108108108108</v>
      </c>
      <c r="C4830">
        <f t="shared" si="150"/>
        <v>1.5498869542438656</v>
      </c>
      <c r="D4830">
        <v>5</v>
      </c>
      <c r="E4830">
        <f t="shared" si="151"/>
        <v>5.6111083198493512E-2</v>
      </c>
    </row>
    <row r="4831" spans="1:5" x14ac:dyDescent="0.25">
      <c r="A4831">
        <v>0</v>
      </c>
      <c r="B4831">
        <v>0.108108108108108</v>
      </c>
      <c r="C4831">
        <f t="shared" si="150"/>
        <v>1.5498869542438656</v>
      </c>
      <c r="D4831">
        <v>5</v>
      </c>
      <c r="E4831">
        <f t="shared" si="151"/>
        <v>5.6111083198493512E-2</v>
      </c>
    </row>
    <row r="4832" spans="1:5" x14ac:dyDescent="0.25">
      <c r="A4832">
        <v>0</v>
      </c>
      <c r="B4832">
        <v>0.108333333333333</v>
      </c>
      <c r="C4832">
        <f t="shared" si="150"/>
        <v>1.5494042873352851</v>
      </c>
      <c r="D4832">
        <v>5</v>
      </c>
      <c r="E4832">
        <f t="shared" si="151"/>
        <v>5.6111083198493512E-2</v>
      </c>
    </row>
    <row r="4833" spans="1:5" x14ac:dyDescent="0.25">
      <c r="A4833">
        <v>0</v>
      </c>
      <c r="B4833">
        <v>0.108333333333333</v>
      </c>
      <c r="C4833">
        <f t="shared" si="150"/>
        <v>1.5494042873352851</v>
      </c>
      <c r="D4833">
        <v>5</v>
      </c>
      <c r="E4833">
        <f t="shared" si="151"/>
        <v>5.6111083198493512E-2</v>
      </c>
    </row>
    <row r="4834" spans="1:5" x14ac:dyDescent="0.25">
      <c r="A4834">
        <v>0</v>
      </c>
      <c r="B4834">
        <v>0.108333333333333</v>
      </c>
      <c r="C4834">
        <f t="shared" si="150"/>
        <v>1.5494042873352851</v>
      </c>
      <c r="D4834">
        <v>5</v>
      </c>
      <c r="E4834">
        <f t="shared" si="151"/>
        <v>5.6111083198493512E-2</v>
      </c>
    </row>
    <row r="4835" spans="1:5" x14ac:dyDescent="0.25">
      <c r="A4835">
        <v>0</v>
      </c>
      <c r="B4835">
        <v>0.109333333333333</v>
      </c>
      <c r="C4835">
        <f t="shared" si="150"/>
        <v>1.5472470450966538</v>
      </c>
      <c r="D4835">
        <v>5</v>
      </c>
      <c r="E4835">
        <f t="shared" si="151"/>
        <v>5.6111083198493512E-2</v>
      </c>
    </row>
    <row r="4836" spans="1:5" x14ac:dyDescent="0.25">
      <c r="A4836">
        <v>0</v>
      </c>
      <c r="B4836">
        <v>0.109333333333333</v>
      </c>
      <c r="C4836">
        <f t="shared" si="150"/>
        <v>1.5472470450966538</v>
      </c>
      <c r="D4836">
        <v>5</v>
      </c>
      <c r="E4836">
        <f t="shared" si="151"/>
        <v>5.6111083198493512E-2</v>
      </c>
    </row>
    <row r="4837" spans="1:5" x14ac:dyDescent="0.25">
      <c r="A4837">
        <v>0</v>
      </c>
      <c r="B4837">
        <v>0.109333333333333</v>
      </c>
      <c r="C4837">
        <f t="shared" si="150"/>
        <v>1.5472470450966538</v>
      </c>
      <c r="D4837">
        <v>5</v>
      </c>
      <c r="E4837">
        <f t="shared" si="151"/>
        <v>5.6111083198493512E-2</v>
      </c>
    </row>
    <row r="4838" spans="1:5" x14ac:dyDescent="0.25">
      <c r="A4838">
        <v>0</v>
      </c>
      <c r="B4838">
        <v>0.109333333333333</v>
      </c>
      <c r="C4838">
        <f t="shared" si="150"/>
        <v>1.5472470450966538</v>
      </c>
      <c r="D4838">
        <v>5</v>
      </c>
      <c r="E4838">
        <f t="shared" si="151"/>
        <v>5.6111083198493512E-2</v>
      </c>
    </row>
    <row r="4839" spans="1:5" x14ac:dyDescent="0.25">
      <c r="A4839">
        <v>0</v>
      </c>
      <c r="B4839">
        <v>0.109333333333333</v>
      </c>
      <c r="C4839">
        <f t="shared" si="150"/>
        <v>1.5472470450966538</v>
      </c>
      <c r="D4839">
        <v>5</v>
      </c>
      <c r="E4839">
        <f t="shared" si="151"/>
        <v>5.6111083198493512E-2</v>
      </c>
    </row>
    <row r="4840" spans="1:5" x14ac:dyDescent="0.25">
      <c r="A4840">
        <v>0</v>
      </c>
      <c r="B4840">
        <v>0.109333333333333</v>
      </c>
      <c r="C4840">
        <f t="shared" si="150"/>
        <v>1.5472470450966538</v>
      </c>
      <c r="D4840">
        <v>5</v>
      </c>
      <c r="E4840">
        <f t="shared" si="151"/>
        <v>5.6111083198493512E-2</v>
      </c>
    </row>
    <row r="4841" spans="1:5" x14ac:dyDescent="0.25">
      <c r="A4841">
        <v>0</v>
      </c>
      <c r="B4841">
        <v>0.109333333333333</v>
      </c>
      <c r="C4841">
        <f t="shared" si="150"/>
        <v>1.5472470450966538</v>
      </c>
      <c r="D4841">
        <v>5</v>
      </c>
      <c r="E4841">
        <f t="shared" si="151"/>
        <v>5.6111083198493512E-2</v>
      </c>
    </row>
    <row r="4842" spans="1:5" x14ac:dyDescent="0.25">
      <c r="A4842">
        <v>0</v>
      </c>
      <c r="B4842">
        <v>0.10955710955711</v>
      </c>
      <c r="C4842">
        <f t="shared" si="150"/>
        <v>1.5467611384049962</v>
      </c>
      <c r="D4842">
        <v>5</v>
      </c>
      <c r="E4842">
        <f t="shared" si="151"/>
        <v>5.6111083198493512E-2</v>
      </c>
    </row>
    <row r="4843" spans="1:5" x14ac:dyDescent="0.25">
      <c r="A4843">
        <v>0</v>
      </c>
      <c r="B4843">
        <v>0.10955710955711</v>
      </c>
      <c r="C4843">
        <f t="shared" si="150"/>
        <v>1.5467611384049962</v>
      </c>
      <c r="D4843">
        <v>5</v>
      </c>
      <c r="E4843">
        <f t="shared" si="151"/>
        <v>5.6111083198493512E-2</v>
      </c>
    </row>
    <row r="4844" spans="1:5" x14ac:dyDescent="0.25">
      <c r="A4844">
        <v>0</v>
      </c>
      <c r="B4844">
        <v>0.10981308411215</v>
      </c>
      <c r="C4844">
        <f t="shared" si="150"/>
        <v>1.5462038993390148</v>
      </c>
      <c r="D4844">
        <v>5</v>
      </c>
      <c r="E4844">
        <f t="shared" si="151"/>
        <v>5.6111083198493512E-2</v>
      </c>
    </row>
    <row r="4845" spans="1:5" x14ac:dyDescent="0.25">
      <c r="A4845">
        <v>0</v>
      </c>
      <c r="B4845">
        <v>0.10981308411215</v>
      </c>
      <c r="C4845">
        <f t="shared" si="150"/>
        <v>1.5462038993390148</v>
      </c>
      <c r="D4845">
        <v>5</v>
      </c>
      <c r="E4845">
        <f t="shared" si="151"/>
        <v>5.6111083198493512E-2</v>
      </c>
    </row>
    <row r="4846" spans="1:5" x14ac:dyDescent="0.25">
      <c r="A4846">
        <v>0</v>
      </c>
      <c r="B4846">
        <v>0.10981308411215</v>
      </c>
      <c r="C4846">
        <f t="shared" si="150"/>
        <v>1.5462038993390148</v>
      </c>
      <c r="D4846">
        <v>5</v>
      </c>
      <c r="E4846">
        <f t="shared" si="151"/>
        <v>5.6111083198493512E-2</v>
      </c>
    </row>
    <row r="4847" spans="1:5" x14ac:dyDescent="0.25">
      <c r="A4847">
        <v>0</v>
      </c>
      <c r="B4847">
        <v>0.10981308411215</v>
      </c>
      <c r="C4847">
        <f t="shared" si="150"/>
        <v>1.5462038993390148</v>
      </c>
      <c r="D4847">
        <v>5</v>
      </c>
      <c r="E4847">
        <f t="shared" si="151"/>
        <v>5.6111083198493512E-2</v>
      </c>
    </row>
    <row r="4848" spans="1:5" x14ac:dyDescent="0.25">
      <c r="A4848">
        <v>0</v>
      </c>
      <c r="B4848">
        <v>0.11</v>
      </c>
      <c r="C4848">
        <f t="shared" si="150"/>
        <v>1.5457960419806558</v>
      </c>
      <c r="D4848">
        <v>5</v>
      </c>
      <c r="E4848">
        <f t="shared" si="151"/>
        <v>5.6111083198493512E-2</v>
      </c>
    </row>
    <row r="4849" spans="1:5" x14ac:dyDescent="0.25">
      <c r="A4849">
        <v>0</v>
      </c>
      <c r="B4849">
        <v>0.11</v>
      </c>
      <c r="C4849">
        <f t="shared" si="150"/>
        <v>1.5457960419806558</v>
      </c>
      <c r="D4849">
        <v>5</v>
      </c>
      <c r="E4849">
        <f t="shared" si="151"/>
        <v>5.6111083198493512E-2</v>
      </c>
    </row>
    <row r="4850" spans="1:5" x14ac:dyDescent="0.25">
      <c r="A4850">
        <v>0</v>
      </c>
      <c r="B4850">
        <v>0.11</v>
      </c>
      <c r="C4850">
        <f t="shared" si="150"/>
        <v>1.5457960419806558</v>
      </c>
      <c r="D4850">
        <v>5</v>
      </c>
      <c r="E4850">
        <f t="shared" si="151"/>
        <v>5.6111083198493512E-2</v>
      </c>
    </row>
    <row r="4851" spans="1:5" x14ac:dyDescent="0.25">
      <c r="A4851">
        <v>0</v>
      </c>
      <c r="B4851">
        <v>0.11</v>
      </c>
      <c r="C4851">
        <f t="shared" si="150"/>
        <v>1.5457960419806558</v>
      </c>
      <c r="D4851">
        <v>5</v>
      </c>
      <c r="E4851">
        <f t="shared" si="151"/>
        <v>5.6111083198493512E-2</v>
      </c>
    </row>
    <row r="4852" spans="1:5" x14ac:dyDescent="0.25">
      <c r="A4852">
        <v>0</v>
      </c>
      <c r="B4852">
        <v>0.110666666666667</v>
      </c>
      <c r="C4852">
        <f t="shared" si="150"/>
        <v>1.544334802183768</v>
      </c>
      <c r="D4852">
        <v>5</v>
      </c>
      <c r="E4852">
        <f t="shared" si="151"/>
        <v>5.6111083198493512E-2</v>
      </c>
    </row>
    <row r="4853" spans="1:5" x14ac:dyDescent="0.25">
      <c r="A4853">
        <v>0</v>
      </c>
      <c r="B4853">
        <v>0.11111111111111099</v>
      </c>
      <c r="C4853">
        <f t="shared" si="150"/>
        <v>1.5433549708773679</v>
      </c>
      <c r="D4853">
        <v>5</v>
      </c>
      <c r="E4853">
        <f t="shared" si="151"/>
        <v>5.6111083198493512E-2</v>
      </c>
    </row>
    <row r="4854" spans="1:5" x14ac:dyDescent="0.25">
      <c r="A4854">
        <v>0</v>
      </c>
      <c r="B4854">
        <v>0.11111111111111099</v>
      </c>
      <c r="C4854">
        <f t="shared" si="150"/>
        <v>1.5433549708773679</v>
      </c>
      <c r="D4854">
        <v>5</v>
      </c>
      <c r="E4854">
        <f t="shared" si="151"/>
        <v>5.6111083198493512E-2</v>
      </c>
    </row>
    <row r="4855" spans="1:5" x14ac:dyDescent="0.25">
      <c r="A4855">
        <v>0</v>
      </c>
      <c r="B4855">
        <v>0.11111111111111099</v>
      </c>
      <c r="C4855">
        <f t="shared" si="150"/>
        <v>1.5433549708773679</v>
      </c>
      <c r="D4855">
        <v>5</v>
      </c>
      <c r="E4855">
        <f t="shared" si="151"/>
        <v>5.6111083198493512E-2</v>
      </c>
    </row>
    <row r="4856" spans="1:5" x14ac:dyDescent="0.25">
      <c r="A4856">
        <v>0</v>
      </c>
      <c r="B4856">
        <v>0.11111111111111099</v>
      </c>
      <c r="C4856">
        <f t="shared" si="150"/>
        <v>1.5433549708773679</v>
      </c>
      <c r="D4856">
        <v>5</v>
      </c>
      <c r="E4856">
        <f t="shared" si="151"/>
        <v>5.6111083198493512E-2</v>
      </c>
    </row>
    <row r="4857" spans="1:5" x14ac:dyDescent="0.25">
      <c r="A4857">
        <v>0</v>
      </c>
      <c r="B4857">
        <v>0.11111111111111099</v>
      </c>
      <c r="C4857">
        <f t="shared" si="150"/>
        <v>1.5433549708773679</v>
      </c>
      <c r="D4857">
        <v>5</v>
      </c>
      <c r="E4857">
        <f t="shared" si="151"/>
        <v>5.6111083198493512E-2</v>
      </c>
    </row>
    <row r="4858" spans="1:5" x14ac:dyDescent="0.25">
      <c r="A4858">
        <v>0</v>
      </c>
      <c r="B4858">
        <v>0.11111111111111099</v>
      </c>
      <c r="C4858">
        <f t="shared" si="150"/>
        <v>1.5433549708773679</v>
      </c>
      <c r="D4858">
        <v>5</v>
      </c>
      <c r="E4858">
        <f t="shared" si="151"/>
        <v>5.6111083198493512E-2</v>
      </c>
    </row>
    <row r="4859" spans="1:5" x14ac:dyDescent="0.25">
      <c r="A4859">
        <v>0</v>
      </c>
      <c r="B4859">
        <v>0.111888111888112</v>
      </c>
      <c r="C4859">
        <f t="shared" si="150"/>
        <v>1.5416311114388059</v>
      </c>
      <c r="D4859">
        <v>5</v>
      </c>
      <c r="E4859">
        <f t="shared" si="151"/>
        <v>5.6111083198493512E-2</v>
      </c>
    </row>
    <row r="4860" spans="1:5" x14ac:dyDescent="0.25">
      <c r="A4860">
        <v>0</v>
      </c>
      <c r="B4860">
        <v>0.111888111888112</v>
      </c>
      <c r="C4860">
        <f t="shared" si="150"/>
        <v>1.5416311114388059</v>
      </c>
      <c r="D4860">
        <v>5</v>
      </c>
      <c r="E4860">
        <f t="shared" si="151"/>
        <v>5.6111083198493512E-2</v>
      </c>
    </row>
    <row r="4861" spans="1:5" x14ac:dyDescent="0.25">
      <c r="A4861">
        <v>0</v>
      </c>
      <c r="B4861">
        <v>0.111888111888112</v>
      </c>
      <c r="C4861">
        <f t="shared" si="150"/>
        <v>1.5416311114388059</v>
      </c>
      <c r="D4861">
        <v>5</v>
      </c>
      <c r="E4861">
        <f t="shared" si="151"/>
        <v>5.6111083198493512E-2</v>
      </c>
    </row>
    <row r="4862" spans="1:5" x14ac:dyDescent="0.25">
      <c r="A4862">
        <v>0</v>
      </c>
      <c r="B4862">
        <v>0.111888111888112</v>
      </c>
      <c r="C4862">
        <f t="shared" si="150"/>
        <v>1.5416311114388059</v>
      </c>
      <c r="D4862">
        <v>5</v>
      </c>
      <c r="E4862">
        <f t="shared" si="151"/>
        <v>5.6111083198493512E-2</v>
      </c>
    </row>
    <row r="4863" spans="1:5" x14ac:dyDescent="0.25">
      <c r="A4863">
        <v>0</v>
      </c>
      <c r="B4863">
        <v>0.112</v>
      </c>
      <c r="C4863">
        <f t="shared" si="150"/>
        <v>1.5413817391991684</v>
      </c>
      <c r="D4863">
        <v>5</v>
      </c>
      <c r="E4863">
        <f t="shared" si="151"/>
        <v>5.6111083198493512E-2</v>
      </c>
    </row>
    <row r="4864" spans="1:5" x14ac:dyDescent="0.25">
      <c r="A4864">
        <v>0</v>
      </c>
      <c r="B4864">
        <v>0.112</v>
      </c>
      <c r="C4864">
        <f t="shared" si="150"/>
        <v>1.5413817391991684</v>
      </c>
      <c r="D4864">
        <v>5</v>
      </c>
      <c r="E4864">
        <f t="shared" si="151"/>
        <v>5.6111083198493512E-2</v>
      </c>
    </row>
    <row r="4865" spans="1:5" x14ac:dyDescent="0.25">
      <c r="A4865">
        <v>0</v>
      </c>
      <c r="B4865">
        <v>0.112</v>
      </c>
      <c r="C4865">
        <f t="shared" si="150"/>
        <v>1.5413817391991684</v>
      </c>
      <c r="D4865">
        <v>5</v>
      </c>
      <c r="E4865">
        <f t="shared" si="151"/>
        <v>5.6111083198493512E-2</v>
      </c>
    </row>
    <row r="4866" spans="1:5" x14ac:dyDescent="0.25">
      <c r="A4866">
        <v>0</v>
      </c>
      <c r="B4866">
        <v>0.112</v>
      </c>
      <c r="C4866">
        <f t="shared" ref="C4866:C4929" si="152">_xlfn.NORM.DIST(B4866,I$10,I$13,FALSE)</f>
        <v>1.5413817391991684</v>
      </c>
      <c r="D4866">
        <v>5</v>
      </c>
      <c r="E4866">
        <f t="shared" si="151"/>
        <v>5.6111083198493512E-2</v>
      </c>
    </row>
    <row r="4867" spans="1:5" x14ac:dyDescent="0.25">
      <c r="A4867">
        <v>0</v>
      </c>
      <c r="B4867">
        <v>0.112</v>
      </c>
      <c r="C4867">
        <f t="shared" si="152"/>
        <v>1.5413817391991684</v>
      </c>
      <c r="D4867">
        <v>5</v>
      </c>
      <c r="E4867">
        <f t="shared" ref="E4867:E4930" si="153">_xlfn.NORM.DIST(D4867,I$4,I$7,FALSE)</f>
        <v>5.6111083198493512E-2</v>
      </c>
    </row>
    <row r="4868" spans="1:5" x14ac:dyDescent="0.25">
      <c r="A4868">
        <v>0</v>
      </c>
      <c r="B4868">
        <v>0.112</v>
      </c>
      <c r="C4868">
        <f t="shared" si="152"/>
        <v>1.5413817391991684</v>
      </c>
      <c r="D4868">
        <v>5</v>
      </c>
      <c r="E4868">
        <f t="shared" si="153"/>
        <v>5.6111083198493512E-2</v>
      </c>
    </row>
    <row r="4869" spans="1:5" x14ac:dyDescent="0.25">
      <c r="A4869">
        <v>0</v>
      </c>
      <c r="B4869">
        <v>0.112</v>
      </c>
      <c r="C4869">
        <f t="shared" si="152"/>
        <v>1.5413817391991684</v>
      </c>
      <c r="D4869">
        <v>5</v>
      </c>
      <c r="E4869">
        <f t="shared" si="153"/>
        <v>5.6111083198493512E-2</v>
      </c>
    </row>
    <row r="4870" spans="1:5" x14ac:dyDescent="0.25">
      <c r="A4870">
        <v>0</v>
      </c>
      <c r="B4870">
        <v>0.112</v>
      </c>
      <c r="C4870">
        <f t="shared" si="152"/>
        <v>1.5413817391991684</v>
      </c>
      <c r="D4870">
        <v>5</v>
      </c>
      <c r="E4870">
        <f t="shared" si="153"/>
        <v>5.6111083198493512E-2</v>
      </c>
    </row>
    <row r="4871" spans="1:5" x14ac:dyDescent="0.25">
      <c r="A4871">
        <v>0</v>
      </c>
      <c r="B4871">
        <v>0.11214953271028</v>
      </c>
      <c r="C4871">
        <f t="shared" si="152"/>
        <v>1.5410480200601147</v>
      </c>
      <c r="D4871">
        <v>5</v>
      </c>
      <c r="E4871">
        <f t="shared" si="153"/>
        <v>5.6111083198493512E-2</v>
      </c>
    </row>
    <row r="4872" spans="1:5" x14ac:dyDescent="0.25">
      <c r="A4872">
        <v>0</v>
      </c>
      <c r="B4872">
        <v>0.11229946524064199</v>
      </c>
      <c r="C4872">
        <f t="shared" si="152"/>
        <v>1.5407128967326964</v>
      </c>
      <c r="D4872">
        <v>5</v>
      </c>
      <c r="E4872">
        <f t="shared" si="153"/>
        <v>5.6111083198493512E-2</v>
      </c>
    </row>
    <row r="4873" spans="1:5" x14ac:dyDescent="0.25">
      <c r="A4873">
        <v>0</v>
      </c>
      <c r="B4873">
        <v>0.113207547169811</v>
      </c>
      <c r="C4873">
        <f t="shared" si="152"/>
        <v>1.5386722550810634</v>
      </c>
      <c r="D4873">
        <v>5</v>
      </c>
      <c r="E4873">
        <f t="shared" si="153"/>
        <v>5.6111083198493512E-2</v>
      </c>
    </row>
    <row r="4874" spans="1:5" x14ac:dyDescent="0.25">
      <c r="A4874">
        <v>0</v>
      </c>
      <c r="B4874">
        <v>0.11333333333333299</v>
      </c>
      <c r="C4874">
        <f t="shared" si="152"/>
        <v>1.5383881114376257</v>
      </c>
      <c r="D4874">
        <v>5</v>
      </c>
      <c r="E4874">
        <f t="shared" si="153"/>
        <v>5.6111083198493512E-2</v>
      </c>
    </row>
    <row r="4875" spans="1:5" x14ac:dyDescent="0.25">
      <c r="A4875">
        <v>0</v>
      </c>
      <c r="B4875">
        <v>0.11363636363636399</v>
      </c>
      <c r="C4875">
        <f t="shared" si="152"/>
        <v>1.5377021109118636</v>
      </c>
      <c r="D4875">
        <v>5</v>
      </c>
      <c r="E4875">
        <f t="shared" si="153"/>
        <v>5.6111083198493512E-2</v>
      </c>
    </row>
    <row r="4876" spans="1:5" x14ac:dyDescent="0.25">
      <c r="A4876">
        <v>0</v>
      </c>
      <c r="B4876">
        <v>0.11377245508981999</v>
      </c>
      <c r="C4876">
        <f t="shared" si="152"/>
        <v>1.5373933501942922</v>
      </c>
      <c r="D4876">
        <v>5</v>
      </c>
      <c r="E4876">
        <f t="shared" si="153"/>
        <v>5.6111083198493512E-2</v>
      </c>
    </row>
    <row r="4877" spans="1:5" x14ac:dyDescent="0.25">
      <c r="A4877">
        <v>0</v>
      </c>
      <c r="B4877">
        <v>0.11377245508981999</v>
      </c>
      <c r="C4877">
        <f t="shared" si="152"/>
        <v>1.5373933501942922</v>
      </c>
      <c r="D4877">
        <v>5</v>
      </c>
      <c r="E4877">
        <f t="shared" si="153"/>
        <v>5.6111083198493512E-2</v>
      </c>
    </row>
    <row r="4878" spans="1:5" x14ac:dyDescent="0.25">
      <c r="A4878">
        <v>0</v>
      </c>
      <c r="B4878">
        <v>0.11377245508981999</v>
      </c>
      <c r="C4878">
        <f t="shared" si="152"/>
        <v>1.5373933501942922</v>
      </c>
      <c r="D4878">
        <v>5</v>
      </c>
      <c r="E4878">
        <f t="shared" si="153"/>
        <v>5.6111083198493512E-2</v>
      </c>
    </row>
    <row r="4879" spans="1:5" x14ac:dyDescent="0.25">
      <c r="A4879">
        <v>0</v>
      </c>
      <c r="B4879">
        <v>0.113924050632911</v>
      </c>
      <c r="C4879">
        <f t="shared" si="152"/>
        <v>1.5370489208737801</v>
      </c>
      <c r="D4879">
        <v>5</v>
      </c>
      <c r="E4879">
        <f t="shared" si="153"/>
        <v>5.6111083198493512E-2</v>
      </c>
    </row>
    <row r="4880" spans="1:5" x14ac:dyDescent="0.25">
      <c r="A4880">
        <v>0</v>
      </c>
      <c r="B4880">
        <v>0.114</v>
      </c>
      <c r="C4880">
        <f t="shared" si="152"/>
        <v>1.5368761664101744</v>
      </c>
      <c r="D4880">
        <v>5</v>
      </c>
      <c r="E4880">
        <f t="shared" si="153"/>
        <v>5.6111083198493512E-2</v>
      </c>
    </row>
    <row r="4881" spans="1:5" x14ac:dyDescent="0.25">
      <c r="A4881">
        <v>0</v>
      </c>
      <c r="B4881">
        <v>0.114</v>
      </c>
      <c r="C4881">
        <f t="shared" si="152"/>
        <v>1.5368761664101744</v>
      </c>
      <c r="D4881">
        <v>5</v>
      </c>
      <c r="E4881">
        <f t="shared" si="153"/>
        <v>5.6111083198493512E-2</v>
      </c>
    </row>
    <row r="4882" spans="1:5" x14ac:dyDescent="0.25">
      <c r="A4882">
        <v>0</v>
      </c>
      <c r="B4882">
        <v>0.114</v>
      </c>
      <c r="C4882">
        <f t="shared" si="152"/>
        <v>1.5368761664101744</v>
      </c>
      <c r="D4882">
        <v>5</v>
      </c>
      <c r="E4882">
        <f t="shared" si="153"/>
        <v>5.6111083198493512E-2</v>
      </c>
    </row>
    <row r="4883" spans="1:5" x14ac:dyDescent="0.25">
      <c r="A4883">
        <v>0</v>
      </c>
      <c r="B4883">
        <v>0.114</v>
      </c>
      <c r="C4883">
        <f t="shared" si="152"/>
        <v>1.5368761664101744</v>
      </c>
      <c r="D4883">
        <v>5</v>
      </c>
      <c r="E4883">
        <f t="shared" si="153"/>
        <v>5.6111083198493512E-2</v>
      </c>
    </row>
    <row r="4884" spans="1:5" x14ac:dyDescent="0.25">
      <c r="A4884">
        <v>0</v>
      </c>
      <c r="B4884">
        <v>0.114</v>
      </c>
      <c r="C4884">
        <f t="shared" si="152"/>
        <v>1.5368761664101744</v>
      </c>
      <c r="D4884">
        <v>5</v>
      </c>
      <c r="E4884">
        <f t="shared" si="153"/>
        <v>5.6111083198493512E-2</v>
      </c>
    </row>
    <row r="4885" spans="1:5" x14ac:dyDescent="0.25">
      <c r="A4885">
        <v>0</v>
      </c>
      <c r="B4885">
        <v>0.114</v>
      </c>
      <c r="C4885">
        <f t="shared" si="152"/>
        <v>1.5368761664101744</v>
      </c>
      <c r="D4885">
        <v>5</v>
      </c>
      <c r="E4885">
        <f t="shared" si="153"/>
        <v>5.6111083198493512E-2</v>
      </c>
    </row>
    <row r="4886" spans="1:5" x14ac:dyDescent="0.25">
      <c r="A4886">
        <v>0</v>
      </c>
      <c r="B4886">
        <v>0.114114114114114</v>
      </c>
      <c r="C4886">
        <f t="shared" si="152"/>
        <v>1.5366163573364073</v>
      </c>
      <c r="D4886">
        <v>5</v>
      </c>
      <c r="E4886">
        <f t="shared" si="153"/>
        <v>5.6111083198493512E-2</v>
      </c>
    </row>
    <row r="4887" spans="1:5" x14ac:dyDescent="0.25">
      <c r="A4887">
        <v>0</v>
      </c>
      <c r="B4887">
        <v>0.114114114114114</v>
      </c>
      <c r="C4887">
        <f t="shared" si="152"/>
        <v>1.5366163573364073</v>
      </c>
      <c r="D4887">
        <v>5</v>
      </c>
      <c r="E4887">
        <f t="shared" si="153"/>
        <v>5.6111083198493512E-2</v>
      </c>
    </row>
    <row r="4888" spans="1:5" x14ac:dyDescent="0.25">
      <c r="A4888">
        <v>0</v>
      </c>
      <c r="B4888">
        <v>0.114114114114114</v>
      </c>
      <c r="C4888">
        <f t="shared" si="152"/>
        <v>1.5366163573364073</v>
      </c>
      <c r="D4888">
        <v>5</v>
      </c>
      <c r="E4888">
        <f t="shared" si="153"/>
        <v>5.6111083198493512E-2</v>
      </c>
    </row>
    <row r="4889" spans="1:5" x14ac:dyDescent="0.25">
      <c r="A4889">
        <v>0</v>
      </c>
      <c r="B4889">
        <v>0.114114114114114</v>
      </c>
      <c r="C4889">
        <f t="shared" si="152"/>
        <v>1.5366163573364073</v>
      </c>
      <c r="D4889">
        <v>5</v>
      </c>
      <c r="E4889">
        <f t="shared" si="153"/>
        <v>5.6111083198493512E-2</v>
      </c>
    </row>
    <row r="4890" spans="1:5" x14ac:dyDescent="0.25">
      <c r="A4890">
        <v>0</v>
      </c>
      <c r="B4890">
        <v>0.114219114219114</v>
      </c>
      <c r="C4890">
        <f t="shared" si="152"/>
        <v>1.5363770387362239</v>
      </c>
      <c r="D4890">
        <v>5</v>
      </c>
      <c r="E4890">
        <f t="shared" si="153"/>
        <v>5.6111083198493512E-2</v>
      </c>
    </row>
    <row r="4891" spans="1:5" x14ac:dyDescent="0.25">
      <c r="A4891">
        <v>0</v>
      </c>
      <c r="B4891">
        <v>0.114219114219114</v>
      </c>
      <c r="C4891">
        <f t="shared" si="152"/>
        <v>1.5363770387362239</v>
      </c>
      <c r="D4891">
        <v>5</v>
      </c>
      <c r="E4891">
        <f t="shared" si="153"/>
        <v>5.6111083198493512E-2</v>
      </c>
    </row>
    <row r="4892" spans="1:5" x14ac:dyDescent="0.25">
      <c r="A4892">
        <v>0</v>
      </c>
      <c r="B4892">
        <v>0.114285714285714</v>
      </c>
      <c r="C4892">
        <f t="shared" si="152"/>
        <v>1.5362251133593379</v>
      </c>
      <c r="D4892">
        <v>5</v>
      </c>
      <c r="E4892">
        <f t="shared" si="153"/>
        <v>5.6111083198493512E-2</v>
      </c>
    </row>
    <row r="4893" spans="1:5" x14ac:dyDescent="0.25">
      <c r="A4893">
        <v>0</v>
      </c>
      <c r="B4893">
        <v>0.11448598130841101</v>
      </c>
      <c r="C4893">
        <f t="shared" si="152"/>
        <v>1.5357676694057569</v>
      </c>
      <c r="D4893">
        <v>5</v>
      </c>
      <c r="E4893">
        <f t="shared" si="153"/>
        <v>5.6111083198493512E-2</v>
      </c>
    </row>
    <row r="4894" spans="1:5" x14ac:dyDescent="0.25">
      <c r="A4894">
        <v>0</v>
      </c>
      <c r="B4894">
        <v>0.114503816793893</v>
      </c>
      <c r="C4894">
        <f t="shared" si="152"/>
        <v>1.535726886258945</v>
      </c>
      <c r="D4894">
        <v>5</v>
      </c>
      <c r="E4894">
        <f t="shared" si="153"/>
        <v>5.6111083198493512E-2</v>
      </c>
    </row>
    <row r="4895" spans="1:5" x14ac:dyDescent="0.25">
      <c r="A4895">
        <v>0</v>
      </c>
      <c r="B4895">
        <v>0.114666666666667</v>
      </c>
      <c r="C4895">
        <f t="shared" si="152"/>
        <v>1.5353541773538457</v>
      </c>
      <c r="D4895">
        <v>5</v>
      </c>
      <c r="E4895">
        <f t="shared" si="153"/>
        <v>5.6111083198493512E-2</v>
      </c>
    </row>
    <row r="4896" spans="1:5" x14ac:dyDescent="0.25">
      <c r="A4896">
        <v>0</v>
      </c>
      <c r="B4896">
        <v>0.114666666666667</v>
      </c>
      <c r="C4896">
        <f t="shared" si="152"/>
        <v>1.5353541773538457</v>
      </c>
      <c r="D4896">
        <v>5</v>
      </c>
      <c r="E4896">
        <f t="shared" si="153"/>
        <v>5.6111083198493512E-2</v>
      </c>
    </row>
    <row r="4897" spans="1:5" x14ac:dyDescent="0.25">
      <c r="A4897">
        <v>0</v>
      </c>
      <c r="B4897">
        <v>0.114666666666667</v>
      </c>
      <c r="C4897">
        <f t="shared" si="152"/>
        <v>1.5353541773538457</v>
      </c>
      <c r="D4897">
        <v>5</v>
      </c>
      <c r="E4897">
        <f t="shared" si="153"/>
        <v>5.6111083198493512E-2</v>
      </c>
    </row>
    <row r="4898" spans="1:5" x14ac:dyDescent="0.25">
      <c r="A4898">
        <v>0</v>
      </c>
      <c r="B4898">
        <v>0.114666666666667</v>
      </c>
      <c r="C4898">
        <f t="shared" si="152"/>
        <v>1.5353541773538457</v>
      </c>
      <c r="D4898">
        <v>5</v>
      </c>
      <c r="E4898">
        <f t="shared" si="153"/>
        <v>5.6111083198493512E-2</v>
      </c>
    </row>
    <row r="4899" spans="1:5" x14ac:dyDescent="0.25">
      <c r="A4899">
        <v>0</v>
      </c>
      <c r="B4899">
        <v>0.114666666666667</v>
      </c>
      <c r="C4899">
        <f t="shared" si="152"/>
        <v>1.5353541773538457</v>
      </c>
      <c r="D4899">
        <v>5</v>
      </c>
      <c r="E4899">
        <f t="shared" si="153"/>
        <v>5.6111083198493512E-2</v>
      </c>
    </row>
    <row r="4900" spans="1:5" x14ac:dyDescent="0.25">
      <c r="A4900">
        <v>0</v>
      </c>
      <c r="B4900">
        <v>0.114666666666667</v>
      </c>
      <c r="C4900">
        <f t="shared" si="152"/>
        <v>1.5353541773538457</v>
      </c>
      <c r="D4900">
        <v>5</v>
      </c>
      <c r="E4900">
        <f t="shared" si="153"/>
        <v>5.6111083198493512E-2</v>
      </c>
    </row>
    <row r="4901" spans="1:5" x14ac:dyDescent="0.25">
      <c r="A4901">
        <v>0</v>
      </c>
      <c r="B4901">
        <v>0.114666666666667</v>
      </c>
      <c r="C4901">
        <f t="shared" si="152"/>
        <v>1.5353541773538457</v>
      </c>
      <c r="D4901">
        <v>5</v>
      </c>
      <c r="E4901">
        <f t="shared" si="153"/>
        <v>5.6111083198493512E-2</v>
      </c>
    </row>
    <row r="4902" spans="1:5" x14ac:dyDescent="0.25">
      <c r="A4902">
        <v>0</v>
      </c>
      <c r="B4902">
        <v>0.114666666666667</v>
      </c>
      <c r="C4902">
        <f t="shared" si="152"/>
        <v>1.5353541773538457</v>
      </c>
      <c r="D4902">
        <v>5</v>
      </c>
      <c r="E4902">
        <f t="shared" si="153"/>
        <v>5.6111083198493512E-2</v>
      </c>
    </row>
    <row r="4903" spans="1:5" x14ac:dyDescent="0.25">
      <c r="A4903">
        <v>0</v>
      </c>
      <c r="B4903">
        <v>0.115</v>
      </c>
      <c r="C4903">
        <f t="shared" si="152"/>
        <v>1.5345894265555833</v>
      </c>
      <c r="D4903">
        <v>5</v>
      </c>
      <c r="E4903">
        <f t="shared" si="153"/>
        <v>5.6111083198493512E-2</v>
      </c>
    </row>
    <row r="4904" spans="1:5" x14ac:dyDescent="0.25">
      <c r="A4904">
        <v>0</v>
      </c>
      <c r="B4904">
        <v>0.115</v>
      </c>
      <c r="C4904">
        <f t="shared" si="152"/>
        <v>1.5345894265555833</v>
      </c>
      <c r="D4904">
        <v>5</v>
      </c>
      <c r="E4904">
        <f t="shared" si="153"/>
        <v>5.6111083198493512E-2</v>
      </c>
    </row>
    <row r="4905" spans="1:5" x14ac:dyDescent="0.25">
      <c r="A4905">
        <v>0</v>
      </c>
      <c r="B4905">
        <v>0.115</v>
      </c>
      <c r="C4905">
        <f t="shared" si="152"/>
        <v>1.5345894265555833</v>
      </c>
      <c r="D4905">
        <v>5</v>
      </c>
      <c r="E4905">
        <f t="shared" si="153"/>
        <v>5.6111083198493512E-2</v>
      </c>
    </row>
    <row r="4906" spans="1:5" x14ac:dyDescent="0.25">
      <c r="A4906">
        <v>0</v>
      </c>
      <c r="B4906">
        <v>0.11600000000000001</v>
      </c>
      <c r="C4906">
        <f t="shared" si="152"/>
        <v>1.5322801985253149</v>
      </c>
      <c r="D4906">
        <v>5</v>
      </c>
      <c r="E4906">
        <f t="shared" si="153"/>
        <v>5.6111083198493512E-2</v>
      </c>
    </row>
    <row r="4907" spans="1:5" x14ac:dyDescent="0.25">
      <c r="A4907">
        <v>0</v>
      </c>
      <c r="B4907">
        <v>0.11600000000000001</v>
      </c>
      <c r="C4907">
        <f t="shared" si="152"/>
        <v>1.5322801985253149</v>
      </c>
      <c r="D4907">
        <v>5</v>
      </c>
      <c r="E4907">
        <f t="shared" si="153"/>
        <v>5.6111083198493512E-2</v>
      </c>
    </row>
    <row r="4908" spans="1:5" x14ac:dyDescent="0.25">
      <c r="A4908">
        <v>0</v>
      </c>
      <c r="B4908">
        <v>0.11600000000000001</v>
      </c>
      <c r="C4908">
        <f t="shared" si="152"/>
        <v>1.5322801985253149</v>
      </c>
      <c r="D4908">
        <v>5</v>
      </c>
      <c r="E4908">
        <f t="shared" si="153"/>
        <v>5.6111083198493512E-2</v>
      </c>
    </row>
    <row r="4909" spans="1:5" x14ac:dyDescent="0.25">
      <c r="A4909">
        <v>0</v>
      </c>
      <c r="B4909">
        <v>0.11600000000000001</v>
      </c>
      <c r="C4909">
        <f t="shared" si="152"/>
        <v>1.5322801985253149</v>
      </c>
      <c r="D4909">
        <v>5</v>
      </c>
      <c r="E4909">
        <f t="shared" si="153"/>
        <v>5.6111083198493512E-2</v>
      </c>
    </row>
    <row r="4910" spans="1:5" x14ac:dyDescent="0.25">
      <c r="A4910">
        <v>0</v>
      </c>
      <c r="B4910">
        <v>0.11600000000000001</v>
      </c>
      <c r="C4910">
        <f t="shared" si="152"/>
        <v>1.5322801985253149</v>
      </c>
      <c r="D4910">
        <v>5</v>
      </c>
      <c r="E4910">
        <f t="shared" si="153"/>
        <v>5.6111083198493512E-2</v>
      </c>
    </row>
    <row r="4911" spans="1:5" x14ac:dyDescent="0.25">
      <c r="A4911">
        <v>0</v>
      </c>
      <c r="B4911">
        <v>0.116550116550117</v>
      </c>
      <c r="C4911">
        <f t="shared" si="152"/>
        <v>1.5310003061175668</v>
      </c>
      <c r="D4911">
        <v>5</v>
      </c>
      <c r="E4911">
        <f t="shared" si="153"/>
        <v>5.6111083198493512E-2</v>
      </c>
    </row>
    <row r="4912" spans="1:5" x14ac:dyDescent="0.25">
      <c r="A4912">
        <v>0</v>
      </c>
      <c r="B4912">
        <v>0.116550116550117</v>
      </c>
      <c r="C4912">
        <f t="shared" si="152"/>
        <v>1.5310003061175668</v>
      </c>
      <c r="D4912">
        <v>5</v>
      </c>
      <c r="E4912">
        <f t="shared" si="153"/>
        <v>5.6111083198493512E-2</v>
      </c>
    </row>
    <row r="4913" spans="1:5" x14ac:dyDescent="0.25">
      <c r="A4913">
        <v>0</v>
      </c>
      <c r="B4913">
        <v>0.116550116550117</v>
      </c>
      <c r="C4913">
        <f t="shared" si="152"/>
        <v>1.5310003061175668</v>
      </c>
      <c r="D4913">
        <v>5</v>
      </c>
      <c r="E4913">
        <f t="shared" si="153"/>
        <v>5.6111083198493512E-2</v>
      </c>
    </row>
    <row r="4914" spans="1:5" x14ac:dyDescent="0.25">
      <c r="A4914">
        <v>0</v>
      </c>
      <c r="B4914">
        <v>0.116666666666667</v>
      </c>
      <c r="C4914">
        <f t="shared" si="152"/>
        <v>1.5307282749193782</v>
      </c>
      <c r="D4914">
        <v>5</v>
      </c>
      <c r="E4914">
        <f t="shared" si="153"/>
        <v>5.6111083198493512E-2</v>
      </c>
    </row>
    <row r="4915" spans="1:5" x14ac:dyDescent="0.25">
      <c r="A4915">
        <v>0</v>
      </c>
      <c r="B4915">
        <v>0.116766467065868</v>
      </c>
      <c r="C4915">
        <f t="shared" si="152"/>
        <v>1.5304950972543416</v>
      </c>
      <c r="D4915">
        <v>5</v>
      </c>
      <c r="E4915">
        <f t="shared" si="153"/>
        <v>5.6111083198493512E-2</v>
      </c>
    </row>
    <row r="4916" spans="1:5" x14ac:dyDescent="0.25">
      <c r="A4916">
        <v>0</v>
      </c>
      <c r="B4916">
        <v>0.116822429906542</v>
      </c>
      <c r="C4916">
        <f t="shared" si="152"/>
        <v>1.5303642462654832</v>
      </c>
      <c r="D4916">
        <v>5</v>
      </c>
      <c r="E4916">
        <f t="shared" si="153"/>
        <v>5.6111083198493512E-2</v>
      </c>
    </row>
    <row r="4917" spans="1:5" x14ac:dyDescent="0.25">
      <c r="A4917">
        <v>0</v>
      </c>
      <c r="B4917">
        <v>0.116822429906542</v>
      </c>
      <c r="C4917">
        <f t="shared" si="152"/>
        <v>1.5303642462654832</v>
      </c>
      <c r="D4917">
        <v>5</v>
      </c>
      <c r="E4917">
        <f t="shared" si="153"/>
        <v>5.6111083198493512E-2</v>
      </c>
    </row>
    <row r="4918" spans="1:5" x14ac:dyDescent="0.25">
      <c r="A4918">
        <v>0</v>
      </c>
      <c r="B4918">
        <v>0.116822429906542</v>
      </c>
      <c r="C4918">
        <f t="shared" si="152"/>
        <v>1.5303642462654832</v>
      </c>
      <c r="D4918">
        <v>5</v>
      </c>
      <c r="E4918">
        <f t="shared" si="153"/>
        <v>5.6111083198493512E-2</v>
      </c>
    </row>
    <row r="4919" spans="1:5" x14ac:dyDescent="0.25">
      <c r="A4919">
        <v>0</v>
      </c>
      <c r="B4919">
        <v>0.11700000000000001</v>
      </c>
      <c r="C4919">
        <f t="shared" si="152"/>
        <v>1.5299485941363979</v>
      </c>
      <c r="D4919">
        <v>5</v>
      </c>
      <c r="E4919">
        <f t="shared" si="153"/>
        <v>5.6111083198493512E-2</v>
      </c>
    </row>
    <row r="4920" spans="1:5" x14ac:dyDescent="0.25">
      <c r="A4920">
        <v>0</v>
      </c>
      <c r="B4920">
        <v>0.117117117117117</v>
      </c>
      <c r="C4920">
        <f t="shared" si="152"/>
        <v>1.5296740647598217</v>
      </c>
      <c r="D4920">
        <v>5</v>
      </c>
      <c r="E4920">
        <f t="shared" si="153"/>
        <v>5.6111083198493512E-2</v>
      </c>
    </row>
    <row r="4921" spans="1:5" x14ac:dyDescent="0.25">
      <c r="A4921">
        <v>0</v>
      </c>
      <c r="B4921">
        <v>0.117117117117117</v>
      </c>
      <c r="C4921">
        <f t="shared" si="152"/>
        <v>1.5296740647598217</v>
      </c>
      <c r="D4921">
        <v>5</v>
      </c>
      <c r="E4921">
        <f t="shared" si="153"/>
        <v>5.6111083198493512E-2</v>
      </c>
    </row>
    <row r="4922" spans="1:5" x14ac:dyDescent="0.25">
      <c r="A4922">
        <v>0</v>
      </c>
      <c r="B4922">
        <v>0.117117117117117</v>
      </c>
      <c r="C4922">
        <f t="shared" si="152"/>
        <v>1.5296740647598217</v>
      </c>
      <c r="D4922">
        <v>5</v>
      </c>
      <c r="E4922">
        <f t="shared" si="153"/>
        <v>5.6111083198493512E-2</v>
      </c>
    </row>
    <row r="4923" spans="1:5" x14ac:dyDescent="0.25">
      <c r="A4923">
        <v>0</v>
      </c>
      <c r="B4923">
        <v>0.117333333333333</v>
      </c>
      <c r="C4923">
        <f t="shared" si="152"/>
        <v>1.5291664396147302</v>
      </c>
      <c r="D4923">
        <v>5</v>
      </c>
      <c r="E4923">
        <f t="shared" si="153"/>
        <v>5.6111083198493512E-2</v>
      </c>
    </row>
    <row r="4924" spans="1:5" x14ac:dyDescent="0.25">
      <c r="A4924">
        <v>0</v>
      </c>
      <c r="B4924">
        <v>0.117333333333333</v>
      </c>
      <c r="C4924">
        <f t="shared" si="152"/>
        <v>1.5291664396147302</v>
      </c>
      <c r="D4924">
        <v>5</v>
      </c>
      <c r="E4924">
        <f t="shared" si="153"/>
        <v>5.6111083198493512E-2</v>
      </c>
    </row>
    <row r="4925" spans="1:5" x14ac:dyDescent="0.25">
      <c r="A4925">
        <v>0</v>
      </c>
      <c r="B4925">
        <v>0.117333333333333</v>
      </c>
      <c r="C4925">
        <f t="shared" si="152"/>
        <v>1.5291664396147302</v>
      </c>
      <c r="D4925">
        <v>5</v>
      </c>
      <c r="E4925">
        <f t="shared" si="153"/>
        <v>5.6111083198493512E-2</v>
      </c>
    </row>
    <row r="4926" spans="1:5" x14ac:dyDescent="0.25">
      <c r="A4926">
        <v>0</v>
      </c>
      <c r="B4926">
        <v>0.117333333333333</v>
      </c>
      <c r="C4926">
        <f t="shared" si="152"/>
        <v>1.5291664396147302</v>
      </c>
      <c r="D4926">
        <v>5</v>
      </c>
      <c r="E4926">
        <f t="shared" si="153"/>
        <v>5.6111083198493512E-2</v>
      </c>
    </row>
    <row r="4927" spans="1:5" x14ac:dyDescent="0.25">
      <c r="A4927">
        <v>0</v>
      </c>
      <c r="B4927">
        <v>0.117333333333333</v>
      </c>
      <c r="C4927">
        <f t="shared" si="152"/>
        <v>1.5291664396147302</v>
      </c>
      <c r="D4927">
        <v>5</v>
      </c>
      <c r="E4927">
        <f t="shared" si="153"/>
        <v>5.6111083198493512E-2</v>
      </c>
    </row>
    <row r="4928" spans="1:5" x14ac:dyDescent="0.25">
      <c r="A4928">
        <v>0</v>
      </c>
      <c r="B4928">
        <v>0.117333333333333</v>
      </c>
      <c r="C4928">
        <f t="shared" si="152"/>
        <v>1.5291664396147302</v>
      </c>
      <c r="D4928">
        <v>5</v>
      </c>
      <c r="E4928">
        <f t="shared" si="153"/>
        <v>5.6111083198493512E-2</v>
      </c>
    </row>
    <row r="4929" spans="1:5" x14ac:dyDescent="0.25">
      <c r="A4929">
        <v>0</v>
      </c>
      <c r="B4929">
        <v>0.11799999999999999</v>
      </c>
      <c r="C4929">
        <f t="shared" si="152"/>
        <v>1.5275947261700442</v>
      </c>
      <c r="D4929">
        <v>5</v>
      </c>
      <c r="E4929">
        <f t="shared" si="153"/>
        <v>5.6111083198493512E-2</v>
      </c>
    </row>
    <row r="4930" spans="1:5" x14ac:dyDescent="0.25">
      <c r="A4930">
        <v>0</v>
      </c>
      <c r="B4930">
        <v>0.11799999999999999</v>
      </c>
      <c r="C4930">
        <f t="shared" ref="C4930:C4993" si="154">_xlfn.NORM.DIST(B4930,I$10,I$13,FALSE)</f>
        <v>1.5275947261700442</v>
      </c>
      <c r="D4930">
        <v>5</v>
      </c>
      <c r="E4930">
        <f t="shared" si="153"/>
        <v>5.6111083198493512E-2</v>
      </c>
    </row>
    <row r="4931" spans="1:5" x14ac:dyDescent="0.25">
      <c r="A4931">
        <v>0</v>
      </c>
      <c r="B4931">
        <v>0.11799999999999999</v>
      </c>
      <c r="C4931">
        <f t="shared" si="154"/>
        <v>1.5275947261700442</v>
      </c>
      <c r="D4931">
        <v>5</v>
      </c>
      <c r="E4931">
        <f t="shared" ref="E4931:E4994" si="155">_xlfn.NORM.DIST(D4931,I$4,I$7,FALSE)</f>
        <v>5.6111083198493512E-2</v>
      </c>
    </row>
    <row r="4932" spans="1:5" x14ac:dyDescent="0.25">
      <c r="A4932">
        <v>0</v>
      </c>
      <c r="B4932">
        <v>0.11799999999999999</v>
      </c>
      <c r="C4932">
        <f t="shared" si="154"/>
        <v>1.5275947261700442</v>
      </c>
      <c r="D4932">
        <v>5</v>
      </c>
      <c r="E4932">
        <f t="shared" si="155"/>
        <v>5.6111083198493512E-2</v>
      </c>
    </row>
    <row r="4933" spans="1:5" x14ac:dyDescent="0.25">
      <c r="A4933">
        <v>0</v>
      </c>
      <c r="B4933">
        <v>0.118333333333333</v>
      </c>
      <c r="C4933">
        <f t="shared" si="154"/>
        <v>1.5268051756837318</v>
      </c>
      <c r="D4933">
        <v>5</v>
      </c>
      <c r="E4933">
        <f t="shared" si="155"/>
        <v>5.6111083198493512E-2</v>
      </c>
    </row>
    <row r="4934" spans="1:5" x14ac:dyDescent="0.25">
      <c r="A4934">
        <v>0</v>
      </c>
      <c r="B4934">
        <v>0.118666666666667</v>
      </c>
      <c r="C4934">
        <f t="shared" si="154"/>
        <v>1.5260131683320617</v>
      </c>
      <c r="D4934">
        <v>5</v>
      </c>
      <c r="E4934">
        <f t="shared" si="155"/>
        <v>5.6111083198493512E-2</v>
      </c>
    </row>
    <row r="4935" spans="1:5" x14ac:dyDescent="0.25">
      <c r="A4935">
        <v>0</v>
      </c>
      <c r="B4935">
        <v>0.11888111888111901</v>
      </c>
      <c r="C4935">
        <f t="shared" si="154"/>
        <v>1.5255023283405891</v>
      </c>
      <c r="D4935">
        <v>5</v>
      </c>
      <c r="E4935">
        <f t="shared" si="155"/>
        <v>5.6111083198493512E-2</v>
      </c>
    </row>
    <row r="4936" spans="1:5" x14ac:dyDescent="0.25">
      <c r="A4936">
        <v>0</v>
      </c>
      <c r="B4936">
        <v>0.11888111888111901</v>
      </c>
      <c r="C4936">
        <f t="shared" si="154"/>
        <v>1.5255023283405891</v>
      </c>
      <c r="D4936">
        <v>5</v>
      </c>
      <c r="E4936">
        <f t="shared" si="155"/>
        <v>5.6111083198493512E-2</v>
      </c>
    </row>
    <row r="4937" spans="1:5" x14ac:dyDescent="0.25">
      <c r="A4937">
        <v>0</v>
      </c>
      <c r="B4937">
        <v>0.11899999999999999</v>
      </c>
      <c r="C4937">
        <f t="shared" si="154"/>
        <v>1.5252187083625681</v>
      </c>
      <c r="D4937">
        <v>5</v>
      </c>
      <c r="E4937">
        <f t="shared" si="155"/>
        <v>5.6111083198493512E-2</v>
      </c>
    </row>
    <row r="4938" spans="1:5" x14ac:dyDescent="0.25">
      <c r="A4938">
        <v>0</v>
      </c>
      <c r="B4938">
        <v>0.119760479041916</v>
      </c>
      <c r="C4938">
        <f t="shared" si="154"/>
        <v>1.5233970400358516</v>
      </c>
      <c r="D4938">
        <v>5</v>
      </c>
      <c r="E4938">
        <f t="shared" si="155"/>
        <v>5.6111083198493512E-2</v>
      </c>
    </row>
    <row r="4939" spans="1:5" x14ac:dyDescent="0.25">
      <c r="A4939">
        <v>0</v>
      </c>
      <c r="B4939">
        <v>0.12</v>
      </c>
      <c r="C4939">
        <f t="shared" si="154"/>
        <v>1.5228206553962331</v>
      </c>
      <c r="D4939">
        <v>5</v>
      </c>
      <c r="E4939">
        <f t="shared" si="155"/>
        <v>5.6111083198493512E-2</v>
      </c>
    </row>
    <row r="4940" spans="1:5" x14ac:dyDescent="0.25">
      <c r="A4940">
        <v>0</v>
      </c>
      <c r="B4940">
        <v>0.12</v>
      </c>
      <c r="C4940">
        <f t="shared" si="154"/>
        <v>1.5228206553962331</v>
      </c>
      <c r="D4940">
        <v>5</v>
      </c>
      <c r="E4940">
        <f t="shared" si="155"/>
        <v>5.6111083198493512E-2</v>
      </c>
    </row>
    <row r="4941" spans="1:5" x14ac:dyDescent="0.25">
      <c r="A4941">
        <v>0</v>
      </c>
      <c r="B4941">
        <v>0.12</v>
      </c>
      <c r="C4941">
        <f t="shared" si="154"/>
        <v>1.5228206553962331</v>
      </c>
      <c r="D4941">
        <v>5</v>
      </c>
      <c r="E4941">
        <f t="shared" si="155"/>
        <v>5.6111083198493512E-2</v>
      </c>
    </row>
    <row r="4942" spans="1:5" x14ac:dyDescent="0.25">
      <c r="A4942">
        <v>0</v>
      </c>
      <c r="B4942">
        <v>0.12</v>
      </c>
      <c r="C4942">
        <f t="shared" si="154"/>
        <v>1.5228206553962331</v>
      </c>
      <c r="D4942">
        <v>5</v>
      </c>
      <c r="E4942">
        <f t="shared" si="155"/>
        <v>5.6111083198493512E-2</v>
      </c>
    </row>
    <row r="4943" spans="1:5" x14ac:dyDescent="0.25">
      <c r="A4943">
        <v>0</v>
      </c>
      <c r="B4943">
        <v>0.12</v>
      </c>
      <c r="C4943">
        <f t="shared" si="154"/>
        <v>1.5228206553962331</v>
      </c>
      <c r="D4943">
        <v>5</v>
      </c>
      <c r="E4943">
        <f t="shared" si="155"/>
        <v>5.6111083198493512E-2</v>
      </c>
    </row>
    <row r="4944" spans="1:5" x14ac:dyDescent="0.25">
      <c r="A4944">
        <v>0</v>
      </c>
      <c r="B4944">
        <v>0.12</v>
      </c>
      <c r="C4944">
        <f t="shared" si="154"/>
        <v>1.5228206553962331</v>
      </c>
      <c r="D4944">
        <v>5</v>
      </c>
      <c r="E4944">
        <f t="shared" si="155"/>
        <v>5.6111083198493512E-2</v>
      </c>
    </row>
    <row r="4945" spans="1:5" x14ac:dyDescent="0.25">
      <c r="A4945">
        <v>0</v>
      </c>
      <c r="B4945">
        <v>0.12</v>
      </c>
      <c r="C4945">
        <f t="shared" si="154"/>
        <v>1.5228206553962331</v>
      </c>
      <c r="D4945">
        <v>5</v>
      </c>
      <c r="E4945">
        <f t="shared" si="155"/>
        <v>5.6111083198493512E-2</v>
      </c>
    </row>
    <row r="4946" spans="1:5" x14ac:dyDescent="0.25">
      <c r="A4946">
        <v>0</v>
      </c>
      <c r="B4946">
        <v>0.12</v>
      </c>
      <c r="C4946">
        <f t="shared" si="154"/>
        <v>1.5228206553962331</v>
      </c>
      <c r="D4946">
        <v>5</v>
      </c>
      <c r="E4946">
        <f t="shared" si="155"/>
        <v>5.6111083198493512E-2</v>
      </c>
    </row>
    <row r="4947" spans="1:5" x14ac:dyDescent="0.25">
      <c r="A4947">
        <v>0</v>
      </c>
      <c r="B4947">
        <v>0.12</v>
      </c>
      <c r="C4947">
        <f t="shared" si="154"/>
        <v>1.5228206553962331</v>
      </c>
      <c r="D4947">
        <v>5</v>
      </c>
      <c r="E4947">
        <f t="shared" si="155"/>
        <v>5.6111083198493512E-2</v>
      </c>
    </row>
    <row r="4948" spans="1:5" x14ac:dyDescent="0.25">
      <c r="A4948">
        <v>0</v>
      </c>
      <c r="B4948">
        <v>0.12012012012011999</v>
      </c>
      <c r="C4948">
        <f t="shared" si="154"/>
        <v>1.5225311240691477</v>
      </c>
      <c r="D4948">
        <v>5</v>
      </c>
      <c r="E4948">
        <f t="shared" si="155"/>
        <v>5.6111083198493512E-2</v>
      </c>
    </row>
    <row r="4949" spans="1:5" x14ac:dyDescent="0.25">
      <c r="A4949">
        <v>0</v>
      </c>
      <c r="B4949">
        <v>0.12012012012011999</v>
      </c>
      <c r="C4949">
        <f t="shared" si="154"/>
        <v>1.5225311240691477</v>
      </c>
      <c r="D4949">
        <v>5</v>
      </c>
      <c r="E4949">
        <f t="shared" si="155"/>
        <v>5.6111083198493512E-2</v>
      </c>
    </row>
    <row r="4950" spans="1:5" x14ac:dyDescent="0.25">
      <c r="A4950">
        <v>0</v>
      </c>
      <c r="B4950">
        <v>0.12068965517241401</v>
      </c>
      <c r="C4950">
        <f t="shared" si="154"/>
        <v>1.5211540475634298</v>
      </c>
      <c r="D4950">
        <v>5</v>
      </c>
      <c r="E4950">
        <f t="shared" si="155"/>
        <v>5.6111083198493512E-2</v>
      </c>
    </row>
    <row r="4951" spans="1:5" x14ac:dyDescent="0.25">
      <c r="A4951">
        <v>0</v>
      </c>
      <c r="B4951">
        <v>0.121</v>
      </c>
      <c r="C4951">
        <f t="shared" si="154"/>
        <v>1.5204006828900394</v>
      </c>
      <c r="D4951">
        <v>5</v>
      </c>
      <c r="E4951">
        <f t="shared" si="155"/>
        <v>5.6111083198493512E-2</v>
      </c>
    </row>
    <row r="4952" spans="1:5" x14ac:dyDescent="0.25">
      <c r="A4952">
        <v>0</v>
      </c>
      <c r="B4952">
        <v>0.12121212121212099</v>
      </c>
      <c r="C4952">
        <f t="shared" si="154"/>
        <v>1.5198845484805938</v>
      </c>
      <c r="D4952">
        <v>5</v>
      </c>
      <c r="E4952">
        <f t="shared" si="155"/>
        <v>5.6111083198493512E-2</v>
      </c>
    </row>
    <row r="4953" spans="1:5" x14ac:dyDescent="0.25">
      <c r="A4953">
        <v>0</v>
      </c>
      <c r="B4953">
        <v>0.121333333333333</v>
      </c>
      <c r="C4953">
        <f t="shared" si="154"/>
        <v>1.5195891744964116</v>
      </c>
      <c r="D4953">
        <v>5</v>
      </c>
      <c r="E4953">
        <f t="shared" si="155"/>
        <v>5.6111083198493512E-2</v>
      </c>
    </row>
    <row r="4954" spans="1:5" x14ac:dyDescent="0.25">
      <c r="A4954">
        <v>0</v>
      </c>
      <c r="B4954">
        <v>0.121495327102804</v>
      </c>
      <c r="C4954">
        <f t="shared" si="154"/>
        <v>1.5191939231456368</v>
      </c>
      <c r="D4954">
        <v>5</v>
      </c>
      <c r="E4954">
        <f t="shared" si="155"/>
        <v>5.6111083198493512E-2</v>
      </c>
    </row>
    <row r="4955" spans="1:5" x14ac:dyDescent="0.25">
      <c r="A4955">
        <v>0</v>
      </c>
      <c r="B4955">
        <v>0.121495327102804</v>
      </c>
      <c r="C4955">
        <f t="shared" si="154"/>
        <v>1.5191939231456368</v>
      </c>
      <c r="D4955">
        <v>5</v>
      </c>
      <c r="E4955">
        <f t="shared" si="155"/>
        <v>5.6111083198493512E-2</v>
      </c>
    </row>
    <row r="4956" spans="1:5" x14ac:dyDescent="0.25">
      <c r="A4956">
        <v>0</v>
      </c>
      <c r="B4956">
        <v>0.12266666666666701</v>
      </c>
      <c r="C4956">
        <f t="shared" si="154"/>
        <v>1.5163190022529485</v>
      </c>
      <c r="D4956">
        <v>5</v>
      </c>
      <c r="E4956">
        <f t="shared" si="155"/>
        <v>5.6111083198493512E-2</v>
      </c>
    </row>
    <row r="4957" spans="1:5" x14ac:dyDescent="0.25">
      <c r="A4957">
        <v>0</v>
      </c>
      <c r="B4957">
        <v>0.12266666666666701</v>
      </c>
      <c r="C4957">
        <f t="shared" si="154"/>
        <v>1.5163190022529485</v>
      </c>
      <c r="D4957">
        <v>5</v>
      </c>
      <c r="E4957">
        <f t="shared" si="155"/>
        <v>5.6111083198493512E-2</v>
      </c>
    </row>
    <row r="4958" spans="1:5" x14ac:dyDescent="0.25">
      <c r="A4958">
        <v>0</v>
      </c>
      <c r="B4958">
        <v>0.12266666666666701</v>
      </c>
      <c r="C4958">
        <f t="shared" si="154"/>
        <v>1.5163190022529485</v>
      </c>
      <c r="D4958">
        <v>5</v>
      </c>
      <c r="E4958">
        <f t="shared" si="155"/>
        <v>5.6111083198493512E-2</v>
      </c>
    </row>
    <row r="4959" spans="1:5" x14ac:dyDescent="0.25">
      <c r="A4959">
        <v>0</v>
      </c>
      <c r="B4959">
        <v>0.12266666666666701</v>
      </c>
      <c r="C4959">
        <f t="shared" si="154"/>
        <v>1.5163190022529485</v>
      </c>
      <c r="D4959">
        <v>5</v>
      </c>
      <c r="E4959">
        <f t="shared" si="155"/>
        <v>5.6111083198493512E-2</v>
      </c>
    </row>
    <row r="4960" spans="1:5" x14ac:dyDescent="0.25">
      <c r="A4960">
        <v>0</v>
      </c>
      <c r="B4960">
        <v>0.12266666666666701</v>
      </c>
      <c r="C4960">
        <f t="shared" si="154"/>
        <v>1.5163190022529485</v>
      </c>
      <c r="D4960">
        <v>5</v>
      </c>
      <c r="E4960">
        <f t="shared" si="155"/>
        <v>5.6111083198493512E-2</v>
      </c>
    </row>
    <row r="4961" spans="1:5" x14ac:dyDescent="0.25">
      <c r="A4961">
        <v>0</v>
      </c>
      <c r="B4961">
        <v>0.12266666666666701</v>
      </c>
      <c r="C4961">
        <f t="shared" si="154"/>
        <v>1.5163190022529485</v>
      </c>
      <c r="D4961">
        <v>5</v>
      </c>
      <c r="E4961">
        <f t="shared" si="155"/>
        <v>5.6111083198493512E-2</v>
      </c>
    </row>
    <row r="4962" spans="1:5" x14ac:dyDescent="0.25">
      <c r="A4962">
        <v>0</v>
      </c>
      <c r="B4962">
        <v>0.12266666666666701</v>
      </c>
      <c r="C4962">
        <f t="shared" si="154"/>
        <v>1.5163190022529485</v>
      </c>
      <c r="D4962">
        <v>5</v>
      </c>
      <c r="E4962">
        <f t="shared" si="155"/>
        <v>5.6111083198493512E-2</v>
      </c>
    </row>
    <row r="4963" spans="1:5" x14ac:dyDescent="0.25">
      <c r="A4963">
        <v>0</v>
      </c>
      <c r="B4963">
        <v>0.122754491017964</v>
      </c>
      <c r="C4963">
        <f t="shared" si="154"/>
        <v>1.5161022502269983</v>
      </c>
      <c r="D4963">
        <v>5</v>
      </c>
      <c r="E4963">
        <f t="shared" si="155"/>
        <v>5.6111083198493512E-2</v>
      </c>
    </row>
    <row r="4964" spans="1:5" x14ac:dyDescent="0.25">
      <c r="A4964">
        <v>0</v>
      </c>
      <c r="B4964">
        <v>0.12280701754386</v>
      </c>
      <c r="C4964">
        <f t="shared" si="154"/>
        <v>1.5159725342369008</v>
      </c>
      <c r="D4964">
        <v>5</v>
      </c>
      <c r="E4964">
        <f t="shared" si="155"/>
        <v>5.6111083198493512E-2</v>
      </c>
    </row>
    <row r="4965" spans="1:5" x14ac:dyDescent="0.25">
      <c r="A4965">
        <v>0</v>
      </c>
      <c r="B4965">
        <v>0.123</v>
      </c>
      <c r="C4965">
        <f t="shared" si="154"/>
        <v>1.5154954463619934</v>
      </c>
      <c r="D4965">
        <v>5</v>
      </c>
      <c r="E4965">
        <f t="shared" si="155"/>
        <v>5.6111083198493512E-2</v>
      </c>
    </row>
    <row r="4966" spans="1:5" x14ac:dyDescent="0.25">
      <c r="A4966">
        <v>0</v>
      </c>
      <c r="B4966">
        <v>0.123123123123123</v>
      </c>
      <c r="C4966">
        <f t="shared" si="154"/>
        <v>1.5151906437652336</v>
      </c>
      <c r="D4966">
        <v>5</v>
      </c>
      <c r="E4966">
        <f t="shared" si="155"/>
        <v>5.6111083198493512E-2</v>
      </c>
    </row>
    <row r="4967" spans="1:5" x14ac:dyDescent="0.25">
      <c r="A4967">
        <v>0</v>
      </c>
      <c r="B4967">
        <v>0.123123123123123</v>
      </c>
      <c r="C4967">
        <f t="shared" si="154"/>
        <v>1.5151906437652336</v>
      </c>
      <c r="D4967">
        <v>5</v>
      </c>
      <c r="E4967">
        <f t="shared" si="155"/>
        <v>5.6111083198493512E-2</v>
      </c>
    </row>
    <row r="4968" spans="1:5" x14ac:dyDescent="0.25">
      <c r="A4968">
        <v>0</v>
      </c>
      <c r="B4968">
        <v>0.123123123123123</v>
      </c>
      <c r="C4968">
        <f t="shared" si="154"/>
        <v>1.5151906437652336</v>
      </c>
      <c r="D4968">
        <v>5</v>
      </c>
      <c r="E4968">
        <f t="shared" si="155"/>
        <v>5.6111083198493512E-2</v>
      </c>
    </row>
    <row r="4969" spans="1:5" x14ac:dyDescent="0.25">
      <c r="A4969">
        <v>0</v>
      </c>
      <c r="B4969">
        <v>0.123333333333333</v>
      </c>
      <c r="C4969">
        <f t="shared" si="154"/>
        <v>1.5146694941130174</v>
      </c>
      <c r="D4969">
        <v>5</v>
      </c>
      <c r="E4969">
        <f t="shared" si="155"/>
        <v>5.6111083198493512E-2</v>
      </c>
    </row>
    <row r="4970" spans="1:5" x14ac:dyDescent="0.25">
      <c r="A4970">
        <v>0</v>
      </c>
      <c r="B4970">
        <v>0.123333333333333</v>
      </c>
      <c r="C4970">
        <f t="shared" si="154"/>
        <v>1.5146694941130174</v>
      </c>
      <c r="D4970">
        <v>5</v>
      </c>
      <c r="E4970">
        <f t="shared" si="155"/>
        <v>5.6111083198493512E-2</v>
      </c>
    </row>
    <row r="4971" spans="1:5" x14ac:dyDescent="0.25">
      <c r="A4971">
        <v>0</v>
      </c>
      <c r="B4971">
        <v>0.12354312354312399</v>
      </c>
      <c r="C4971">
        <f t="shared" si="154"/>
        <v>1.5141484372997904</v>
      </c>
      <c r="D4971">
        <v>5</v>
      </c>
      <c r="E4971">
        <f t="shared" si="155"/>
        <v>5.6111083198493512E-2</v>
      </c>
    </row>
    <row r="4972" spans="1:5" x14ac:dyDescent="0.25">
      <c r="A4972">
        <v>0</v>
      </c>
      <c r="B4972">
        <v>0.12354312354312399</v>
      </c>
      <c r="C4972">
        <f t="shared" si="154"/>
        <v>1.5141484372997904</v>
      </c>
      <c r="D4972">
        <v>5</v>
      </c>
      <c r="E4972">
        <f t="shared" si="155"/>
        <v>5.6111083198493512E-2</v>
      </c>
    </row>
    <row r="4973" spans="1:5" x14ac:dyDescent="0.25">
      <c r="A4973">
        <v>0</v>
      </c>
      <c r="B4973">
        <v>0.12354312354312399</v>
      </c>
      <c r="C4973">
        <f t="shared" si="154"/>
        <v>1.5141484372997904</v>
      </c>
      <c r="D4973">
        <v>5</v>
      </c>
      <c r="E4973">
        <f t="shared" si="155"/>
        <v>5.6111083198493512E-2</v>
      </c>
    </row>
    <row r="4974" spans="1:5" x14ac:dyDescent="0.25">
      <c r="A4974">
        <v>0</v>
      </c>
      <c r="B4974">
        <v>0.12354312354312399</v>
      </c>
      <c r="C4974">
        <f t="shared" si="154"/>
        <v>1.5141484372997904</v>
      </c>
      <c r="D4974">
        <v>5</v>
      </c>
      <c r="E4974">
        <f t="shared" si="155"/>
        <v>5.6111083198493512E-2</v>
      </c>
    </row>
    <row r="4975" spans="1:5" x14ac:dyDescent="0.25">
      <c r="A4975">
        <v>0</v>
      </c>
      <c r="B4975">
        <v>0.123831775700935</v>
      </c>
      <c r="C4975">
        <f t="shared" si="154"/>
        <v>1.5134299641092661</v>
      </c>
      <c r="D4975">
        <v>5</v>
      </c>
      <c r="E4975">
        <f t="shared" si="155"/>
        <v>5.6111083198493512E-2</v>
      </c>
    </row>
    <row r="4976" spans="1:5" x14ac:dyDescent="0.25">
      <c r="A4976">
        <v>0</v>
      </c>
      <c r="B4976">
        <v>0.124</v>
      </c>
      <c r="C4976">
        <f t="shared" si="154"/>
        <v>1.5130104181779673</v>
      </c>
      <c r="D4976">
        <v>5</v>
      </c>
      <c r="E4976">
        <f t="shared" si="155"/>
        <v>5.6111083198493512E-2</v>
      </c>
    </row>
    <row r="4977" spans="1:5" x14ac:dyDescent="0.25">
      <c r="A4977">
        <v>0</v>
      </c>
      <c r="B4977">
        <v>0.124</v>
      </c>
      <c r="C4977">
        <f t="shared" si="154"/>
        <v>1.5130104181779673</v>
      </c>
      <c r="D4977">
        <v>5</v>
      </c>
      <c r="E4977">
        <f t="shared" si="155"/>
        <v>5.6111083198493512E-2</v>
      </c>
    </row>
    <row r="4978" spans="1:5" x14ac:dyDescent="0.25">
      <c r="A4978">
        <v>0</v>
      </c>
      <c r="B4978">
        <v>0.124293785310734</v>
      </c>
      <c r="C4978">
        <f t="shared" si="154"/>
        <v>1.5122762719239613</v>
      </c>
      <c r="D4978">
        <v>5</v>
      </c>
      <c r="E4978">
        <f t="shared" si="155"/>
        <v>5.6111083198493512E-2</v>
      </c>
    </row>
    <row r="4979" spans="1:5" x14ac:dyDescent="0.25">
      <c r="A4979">
        <v>0</v>
      </c>
      <c r="B4979">
        <v>0.125</v>
      </c>
      <c r="C4979">
        <f t="shared" si="154"/>
        <v>1.5105039421108581</v>
      </c>
      <c r="D4979">
        <v>5</v>
      </c>
      <c r="E4979">
        <f t="shared" si="155"/>
        <v>5.6111083198493512E-2</v>
      </c>
    </row>
    <row r="4980" spans="1:5" x14ac:dyDescent="0.25">
      <c r="A4980">
        <v>0</v>
      </c>
      <c r="B4980">
        <v>0.12533333333333299</v>
      </c>
      <c r="C4980">
        <f t="shared" si="154"/>
        <v>1.5096637046355788</v>
      </c>
      <c r="D4980">
        <v>5</v>
      </c>
      <c r="E4980">
        <f t="shared" si="155"/>
        <v>5.6111083198493512E-2</v>
      </c>
    </row>
    <row r="4981" spans="1:5" x14ac:dyDescent="0.25">
      <c r="A4981">
        <v>0</v>
      </c>
      <c r="B4981">
        <v>0.12533333333333299</v>
      </c>
      <c r="C4981">
        <f t="shared" si="154"/>
        <v>1.5096637046355788</v>
      </c>
      <c r="D4981">
        <v>5</v>
      </c>
      <c r="E4981">
        <f t="shared" si="155"/>
        <v>5.6111083198493512E-2</v>
      </c>
    </row>
    <row r="4982" spans="1:5" x14ac:dyDescent="0.25">
      <c r="A4982">
        <v>0</v>
      </c>
      <c r="B4982">
        <v>0.12533333333333299</v>
      </c>
      <c r="C4982">
        <f t="shared" si="154"/>
        <v>1.5096637046355788</v>
      </c>
      <c r="D4982">
        <v>5</v>
      </c>
      <c r="E4982">
        <f t="shared" si="155"/>
        <v>5.6111083198493512E-2</v>
      </c>
    </row>
    <row r="4983" spans="1:5" x14ac:dyDescent="0.25">
      <c r="A4983">
        <v>0</v>
      </c>
      <c r="B4983">
        <v>0.12533333333333299</v>
      </c>
      <c r="C4983">
        <f t="shared" si="154"/>
        <v>1.5096637046355788</v>
      </c>
      <c r="D4983">
        <v>5</v>
      </c>
      <c r="E4983">
        <f t="shared" si="155"/>
        <v>5.6111083198493512E-2</v>
      </c>
    </row>
    <row r="4984" spans="1:5" x14ac:dyDescent="0.25">
      <c r="A4984">
        <v>0</v>
      </c>
      <c r="B4984">
        <v>0.12533333333333299</v>
      </c>
      <c r="C4984">
        <f t="shared" si="154"/>
        <v>1.5096637046355788</v>
      </c>
      <c r="D4984">
        <v>5</v>
      </c>
      <c r="E4984">
        <f t="shared" si="155"/>
        <v>5.6111083198493512E-2</v>
      </c>
    </row>
    <row r="4985" spans="1:5" x14ac:dyDescent="0.25">
      <c r="A4985">
        <v>0</v>
      </c>
      <c r="B4985">
        <v>0.12533333333333299</v>
      </c>
      <c r="C4985">
        <f t="shared" si="154"/>
        <v>1.5096637046355788</v>
      </c>
      <c r="D4985">
        <v>5</v>
      </c>
      <c r="E4985">
        <f t="shared" si="155"/>
        <v>5.6111083198493512E-2</v>
      </c>
    </row>
    <row r="4986" spans="1:5" x14ac:dyDescent="0.25">
      <c r="A4986">
        <v>0</v>
      </c>
      <c r="B4986">
        <v>0.125748502994012</v>
      </c>
      <c r="C4986">
        <f t="shared" si="154"/>
        <v>1.5086138742139912</v>
      </c>
      <c r="D4986">
        <v>5</v>
      </c>
      <c r="E4986">
        <f t="shared" si="155"/>
        <v>5.6111083198493512E-2</v>
      </c>
    </row>
    <row r="4987" spans="1:5" x14ac:dyDescent="0.25">
      <c r="A4987">
        <v>0</v>
      </c>
      <c r="B4987">
        <v>0.125874125874126</v>
      </c>
      <c r="C4987">
        <f t="shared" si="154"/>
        <v>1.5082954926062595</v>
      </c>
      <c r="D4987">
        <v>5</v>
      </c>
      <c r="E4987">
        <f t="shared" si="155"/>
        <v>5.6111083198493512E-2</v>
      </c>
    </row>
    <row r="4988" spans="1:5" x14ac:dyDescent="0.25">
      <c r="A4988">
        <v>0</v>
      </c>
      <c r="B4988">
        <v>0.125874125874126</v>
      </c>
      <c r="C4988">
        <f t="shared" si="154"/>
        <v>1.5082954926062595</v>
      </c>
      <c r="D4988">
        <v>5</v>
      </c>
      <c r="E4988">
        <f t="shared" si="155"/>
        <v>5.6111083198493512E-2</v>
      </c>
    </row>
    <row r="4989" spans="1:5" x14ac:dyDescent="0.25">
      <c r="A4989">
        <v>0</v>
      </c>
      <c r="B4989">
        <v>0.126</v>
      </c>
      <c r="C4989">
        <f t="shared" si="154"/>
        <v>1.5079761383228678</v>
      </c>
      <c r="D4989">
        <v>5</v>
      </c>
      <c r="E4989">
        <f t="shared" si="155"/>
        <v>5.6111083198493512E-2</v>
      </c>
    </row>
    <row r="4990" spans="1:5" x14ac:dyDescent="0.25">
      <c r="A4990">
        <v>0</v>
      </c>
      <c r="B4990">
        <v>0.126</v>
      </c>
      <c r="C4990">
        <f t="shared" si="154"/>
        <v>1.5079761383228678</v>
      </c>
      <c r="D4990">
        <v>5</v>
      </c>
      <c r="E4990">
        <f t="shared" si="155"/>
        <v>5.6111083198493512E-2</v>
      </c>
    </row>
    <row r="4991" spans="1:5" x14ac:dyDescent="0.25">
      <c r="A4991">
        <v>0</v>
      </c>
      <c r="B4991">
        <v>0.126</v>
      </c>
      <c r="C4991">
        <f t="shared" si="154"/>
        <v>1.5079761383228678</v>
      </c>
      <c r="D4991">
        <v>5</v>
      </c>
      <c r="E4991">
        <f t="shared" si="155"/>
        <v>5.6111083198493512E-2</v>
      </c>
    </row>
    <row r="4992" spans="1:5" x14ac:dyDescent="0.25">
      <c r="A4992">
        <v>0</v>
      </c>
      <c r="B4992">
        <v>0.126</v>
      </c>
      <c r="C4992">
        <f t="shared" si="154"/>
        <v>1.5079761383228678</v>
      </c>
      <c r="D4992">
        <v>5</v>
      </c>
      <c r="E4992">
        <f t="shared" si="155"/>
        <v>5.6111083198493512E-2</v>
      </c>
    </row>
    <row r="4993" spans="1:5" x14ac:dyDescent="0.25">
      <c r="A4993">
        <v>0</v>
      </c>
      <c r="B4993">
        <v>0.126126126126126</v>
      </c>
      <c r="C4993">
        <f t="shared" si="154"/>
        <v>1.5076558076760089</v>
      </c>
      <c r="D4993">
        <v>5</v>
      </c>
      <c r="E4993">
        <f t="shared" si="155"/>
        <v>5.6111083198493512E-2</v>
      </c>
    </row>
    <row r="4994" spans="1:5" x14ac:dyDescent="0.25">
      <c r="A4994">
        <v>0</v>
      </c>
      <c r="B4994">
        <v>0.126126126126126</v>
      </c>
      <c r="C4994">
        <f t="shared" ref="C4994:C5057" si="156">_xlfn.NORM.DIST(B4994,I$10,I$13,FALSE)</f>
        <v>1.5076558076760089</v>
      </c>
      <c r="D4994">
        <v>5</v>
      </c>
      <c r="E4994">
        <f t="shared" si="155"/>
        <v>5.6111083198493512E-2</v>
      </c>
    </row>
    <row r="4995" spans="1:5" x14ac:dyDescent="0.25">
      <c r="A4995">
        <v>0</v>
      </c>
      <c r="B4995">
        <v>0.12616822429906499</v>
      </c>
      <c r="C4995">
        <f t="shared" si="156"/>
        <v>1.5075488131842674</v>
      </c>
      <c r="D4995">
        <v>5</v>
      </c>
      <c r="E4995">
        <f t="shared" ref="E4995:E5058" si="157">_xlfn.NORM.DIST(D4995,I$4,I$7,FALSE)</f>
        <v>5.6111083198493512E-2</v>
      </c>
    </row>
    <row r="4996" spans="1:5" x14ac:dyDescent="0.25">
      <c r="A4996">
        <v>0</v>
      </c>
      <c r="B4996">
        <v>0.128</v>
      </c>
      <c r="C4996">
        <f t="shared" si="156"/>
        <v>1.5028570326239865</v>
      </c>
      <c r="D4996">
        <v>5</v>
      </c>
      <c r="E4996">
        <f t="shared" si="157"/>
        <v>5.6111083198493512E-2</v>
      </c>
    </row>
    <row r="4997" spans="1:5" x14ac:dyDescent="0.25">
      <c r="A4997">
        <v>0</v>
      </c>
      <c r="B4997">
        <v>0.128</v>
      </c>
      <c r="C4997">
        <f t="shared" si="156"/>
        <v>1.5028570326239865</v>
      </c>
      <c r="D4997">
        <v>5</v>
      </c>
      <c r="E4997">
        <f t="shared" si="157"/>
        <v>5.6111083198493512E-2</v>
      </c>
    </row>
    <row r="4998" spans="1:5" x14ac:dyDescent="0.25">
      <c r="A4998">
        <v>0</v>
      </c>
      <c r="B4998">
        <v>0.128</v>
      </c>
      <c r="C4998">
        <f t="shared" si="156"/>
        <v>1.5028570326239865</v>
      </c>
      <c r="D4998">
        <v>5</v>
      </c>
      <c r="E4998">
        <f t="shared" si="157"/>
        <v>5.6111083198493512E-2</v>
      </c>
    </row>
    <row r="4999" spans="1:5" x14ac:dyDescent="0.25">
      <c r="A4999">
        <v>0</v>
      </c>
      <c r="B4999">
        <v>0.128</v>
      </c>
      <c r="C4999">
        <f t="shared" si="156"/>
        <v>1.5028570326239865</v>
      </c>
      <c r="D4999">
        <v>5</v>
      </c>
      <c r="E4999">
        <f t="shared" si="157"/>
        <v>5.6111083198493512E-2</v>
      </c>
    </row>
    <row r="5000" spans="1:5" x14ac:dyDescent="0.25">
      <c r="A5000">
        <v>0</v>
      </c>
      <c r="B5000">
        <v>0.128</v>
      </c>
      <c r="C5000">
        <f t="shared" si="156"/>
        <v>1.5028570326239865</v>
      </c>
      <c r="D5000">
        <v>5</v>
      </c>
      <c r="E5000">
        <f t="shared" si="157"/>
        <v>5.6111083198493512E-2</v>
      </c>
    </row>
    <row r="5001" spans="1:5" x14ac:dyDescent="0.25">
      <c r="A5001">
        <v>0</v>
      </c>
      <c r="B5001">
        <v>0.128</v>
      </c>
      <c r="C5001">
        <f t="shared" si="156"/>
        <v>1.5028570326239865</v>
      </c>
      <c r="D5001">
        <v>5</v>
      </c>
      <c r="E5001">
        <f t="shared" si="157"/>
        <v>5.6111083198493512E-2</v>
      </c>
    </row>
    <row r="5002" spans="1:5" x14ac:dyDescent="0.25">
      <c r="A5002">
        <v>0</v>
      </c>
      <c r="B5002">
        <v>0.128</v>
      </c>
      <c r="C5002">
        <f t="shared" si="156"/>
        <v>1.5028570326239865</v>
      </c>
      <c r="D5002">
        <v>5</v>
      </c>
      <c r="E5002">
        <f t="shared" si="157"/>
        <v>5.6111083198493512E-2</v>
      </c>
    </row>
    <row r="5003" spans="1:5" x14ac:dyDescent="0.25">
      <c r="A5003">
        <v>0</v>
      </c>
      <c r="B5003">
        <v>0.128</v>
      </c>
      <c r="C5003">
        <f t="shared" si="156"/>
        <v>1.5028570326239865</v>
      </c>
      <c r="D5003">
        <v>5</v>
      </c>
      <c r="E5003">
        <f t="shared" si="157"/>
        <v>5.6111083198493512E-2</v>
      </c>
    </row>
    <row r="5004" spans="1:5" x14ac:dyDescent="0.25">
      <c r="A5004">
        <v>0</v>
      </c>
      <c r="B5004">
        <v>0.128</v>
      </c>
      <c r="C5004">
        <f t="shared" si="156"/>
        <v>1.5028570326239865</v>
      </c>
      <c r="D5004">
        <v>5</v>
      </c>
      <c r="E5004">
        <f t="shared" si="157"/>
        <v>5.6111083198493512E-2</v>
      </c>
    </row>
    <row r="5005" spans="1:5" x14ac:dyDescent="0.25">
      <c r="A5005">
        <v>0</v>
      </c>
      <c r="B5005">
        <v>0.128205128205128</v>
      </c>
      <c r="C5005">
        <f t="shared" si="156"/>
        <v>1.5023272386028947</v>
      </c>
      <c r="D5005">
        <v>5</v>
      </c>
      <c r="E5005">
        <f t="shared" si="157"/>
        <v>5.6111083198493512E-2</v>
      </c>
    </row>
    <row r="5006" spans="1:5" x14ac:dyDescent="0.25">
      <c r="A5006">
        <v>0</v>
      </c>
      <c r="B5006">
        <v>0.128205128205128</v>
      </c>
      <c r="C5006">
        <f t="shared" si="156"/>
        <v>1.5023272386028947</v>
      </c>
      <c r="D5006">
        <v>5</v>
      </c>
      <c r="E5006">
        <f t="shared" si="157"/>
        <v>5.6111083198493512E-2</v>
      </c>
    </row>
    <row r="5007" spans="1:5" x14ac:dyDescent="0.25">
      <c r="A5007">
        <v>0</v>
      </c>
      <c r="B5007">
        <v>0.12833333333333299</v>
      </c>
      <c r="C5007">
        <f t="shared" si="156"/>
        <v>1.5019956699052175</v>
      </c>
      <c r="D5007">
        <v>5</v>
      </c>
      <c r="E5007">
        <f t="shared" si="157"/>
        <v>5.6111083198493512E-2</v>
      </c>
    </row>
    <row r="5008" spans="1:5" x14ac:dyDescent="0.25">
      <c r="A5008">
        <v>0</v>
      </c>
      <c r="B5008">
        <v>0.128504672897196</v>
      </c>
      <c r="C5008">
        <f t="shared" si="156"/>
        <v>1.5015520085577376</v>
      </c>
      <c r="D5008">
        <v>5</v>
      </c>
      <c r="E5008">
        <f t="shared" si="157"/>
        <v>5.6111083198493512E-2</v>
      </c>
    </row>
    <row r="5009" spans="1:5" x14ac:dyDescent="0.25">
      <c r="A5009">
        <v>0</v>
      </c>
      <c r="B5009">
        <v>0.12912912912912899</v>
      </c>
      <c r="C5009">
        <f t="shared" si="156"/>
        <v>1.4999298726576999</v>
      </c>
      <c r="D5009">
        <v>5</v>
      </c>
      <c r="E5009">
        <f t="shared" si="157"/>
        <v>5.6111083198493512E-2</v>
      </c>
    </row>
    <row r="5010" spans="1:5" x14ac:dyDescent="0.25">
      <c r="A5010">
        <v>0</v>
      </c>
      <c r="B5010">
        <v>0.12912912912912899</v>
      </c>
      <c r="C5010">
        <f t="shared" si="156"/>
        <v>1.4999298726576999</v>
      </c>
      <c r="D5010">
        <v>5</v>
      </c>
      <c r="E5010">
        <f t="shared" si="157"/>
        <v>5.6111083198493512E-2</v>
      </c>
    </row>
    <row r="5011" spans="1:5" x14ac:dyDescent="0.25">
      <c r="A5011">
        <v>0</v>
      </c>
      <c r="B5011">
        <v>0.12933333333333299</v>
      </c>
      <c r="C5011">
        <f t="shared" si="156"/>
        <v>1.4993976527803079</v>
      </c>
      <c r="D5011">
        <v>5</v>
      </c>
      <c r="E5011">
        <f t="shared" si="157"/>
        <v>5.6111083198493512E-2</v>
      </c>
    </row>
    <row r="5012" spans="1:5" x14ac:dyDescent="0.25">
      <c r="A5012">
        <v>0</v>
      </c>
      <c r="B5012">
        <v>0.12933333333333299</v>
      </c>
      <c r="C5012">
        <f t="shared" si="156"/>
        <v>1.4993976527803079</v>
      </c>
      <c r="D5012">
        <v>5</v>
      </c>
      <c r="E5012">
        <f t="shared" si="157"/>
        <v>5.6111083198493512E-2</v>
      </c>
    </row>
    <row r="5013" spans="1:5" x14ac:dyDescent="0.25">
      <c r="A5013">
        <v>0</v>
      </c>
      <c r="B5013">
        <v>0.12962962962963001</v>
      </c>
      <c r="C5013">
        <f t="shared" si="156"/>
        <v>1.4986238703935542</v>
      </c>
      <c r="D5013">
        <v>5</v>
      </c>
      <c r="E5013">
        <f t="shared" si="157"/>
        <v>5.6111083198493512E-2</v>
      </c>
    </row>
    <row r="5014" spans="1:5" x14ac:dyDescent="0.25">
      <c r="A5014">
        <v>0</v>
      </c>
      <c r="B5014">
        <v>0.13</v>
      </c>
      <c r="C5014">
        <f t="shared" si="156"/>
        <v>1.4976540798072222</v>
      </c>
      <c r="D5014">
        <v>5</v>
      </c>
      <c r="E5014">
        <f t="shared" si="157"/>
        <v>5.6111083198493512E-2</v>
      </c>
    </row>
    <row r="5015" spans="1:5" x14ac:dyDescent="0.25">
      <c r="A5015">
        <v>0</v>
      </c>
      <c r="B5015">
        <v>0.13</v>
      </c>
      <c r="C5015">
        <f t="shared" si="156"/>
        <v>1.4976540798072222</v>
      </c>
      <c r="D5015">
        <v>5</v>
      </c>
      <c r="E5015">
        <f t="shared" si="157"/>
        <v>5.6111083198493512E-2</v>
      </c>
    </row>
    <row r="5016" spans="1:5" x14ac:dyDescent="0.25">
      <c r="A5016">
        <v>0</v>
      </c>
      <c r="B5016">
        <v>0.13</v>
      </c>
      <c r="C5016">
        <f t="shared" si="156"/>
        <v>1.4976540798072222</v>
      </c>
      <c r="D5016">
        <v>5</v>
      </c>
      <c r="E5016">
        <f t="shared" si="157"/>
        <v>5.6111083198493512E-2</v>
      </c>
    </row>
    <row r="5017" spans="1:5" x14ac:dyDescent="0.25">
      <c r="A5017">
        <v>0</v>
      </c>
      <c r="B5017">
        <v>0.13</v>
      </c>
      <c r="C5017">
        <f t="shared" si="156"/>
        <v>1.4976540798072222</v>
      </c>
      <c r="D5017">
        <v>5</v>
      </c>
      <c r="E5017">
        <f t="shared" si="157"/>
        <v>5.6111083198493512E-2</v>
      </c>
    </row>
    <row r="5018" spans="1:5" x14ac:dyDescent="0.25">
      <c r="A5018">
        <v>0</v>
      </c>
      <c r="B5018">
        <v>0.13</v>
      </c>
      <c r="C5018">
        <f t="shared" si="156"/>
        <v>1.4976540798072222</v>
      </c>
      <c r="D5018">
        <v>5</v>
      </c>
      <c r="E5018">
        <f t="shared" si="157"/>
        <v>5.6111083198493512E-2</v>
      </c>
    </row>
    <row r="5019" spans="1:5" x14ac:dyDescent="0.25">
      <c r="A5019">
        <v>0</v>
      </c>
      <c r="B5019">
        <v>0.13</v>
      </c>
      <c r="C5019">
        <f t="shared" si="156"/>
        <v>1.4976540798072222</v>
      </c>
      <c r="D5019">
        <v>5</v>
      </c>
      <c r="E5019">
        <f t="shared" si="157"/>
        <v>5.6111083198493512E-2</v>
      </c>
    </row>
    <row r="5020" spans="1:5" x14ac:dyDescent="0.25">
      <c r="A5020">
        <v>0</v>
      </c>
      <c r="B5020">
        <v>0.13</v>
      </c>
      <c r="C5020">
        <f t="shared" si="156"/>
        <v>1.4976540798072222</v>
      </c>
      <c r="D5020">
        <v>5</v>
      </c>
      <c r="E5020">
        <f t="shared" si="157"/>
        <v>5.6111083198493512E-2</v>
      </c>
    </row>
    <row r="5021" spans="1:5" x14ac:dyDescent="0.25">
      <c r="A5021">
        <v>0</v>
      </c>
      <c r="B5021">
        <v>0.130536130536131</v>
      </c>
      <c r="C5021">
        <f t="shared" si="156"/>
        <v>1.4962452252267611</v>
      </c>
      <c r="D5021">
        <v>5</v>
      </c>
      <c r="E5021">
        <f t="shared" si="157"/>
        <v>5.6111083198493512E-2</v>
      </c>
    </row>
    <row r="5022" spans="1:5" x14ac:dyDescent="0.25">
      <c r="A5022">
        <v>0</v>
      </c>
      <c r="B5022">
        <v>0.130536130536131</v>
      </c>
      <c r="C5022">
        <f t="shared" si="156"/>
        <v>1.4962452252267611</v>
      </c>
      <c r="D5022">
        <v>5</v>
      </c>
      <c r="E5022">
        <f t="shared" si="157"/>
        <v>5.6111083198493512E-2</v>
      </c>
    </row>
    <row r="5023" spans="1:5" x14ac:dyDescent="0.25">
      <c r="A5023">
        <v>0</v>
      </c>
      <c r="B5023">
        <v>0.13066666666666699</v>
      </c>
      <c r="C5023">
        <f t="shared" si="156"/>
        <v>1.4959013006384023</v>
      </c>
      <c r="D5023">
        <v>5</v>
      </c>
      <c r="E5023">
        <f t="shared" si="157"/>
        <v>5.6111083198493512E-2</v>
      </c>
    </row>
    <row r="5024" spans="1:5" x14ac:dyDescent="0.25">
      <c r="A5024">
        <v>0</v>
      </c>
      <c r="B5024">
        <v>0.13084112149532701</v>
      </c>
      <c r="C5024">
        <f t="shared" si="156"/>
        <v>1.4954411143074926</v>
      </c>
      <c r="D5024">
        <v>5</v>
      </c>
      <c r="E5024">
        <f t="shared" si="157"/>
        <v>5.6111083198493512E-2</v>
      </c>
    </row>
    <row r="5025" spans="1:5" x14ac:dyDescent="0.25">
      <c r="A5025">
        <v>0</v>
      </c>
      <c r="B5025">
        <v>0.13084112149532701</v>
      </c>
      <c r="C5025">
        <f t="shared" si="156"/>
        <v>1.4954411143074926</v>
      </c>
      <c r="D5025">
        <v>5</v>
      </c>
      <c r="E5025">
        <f t="shared" si="157"/>
        <v>5.6111083198493512E-2</v>
      </c>
    </row>
    <row r="5026" spans="1:5" x14ac:dyDescent="0.25">
      <c r="A5026">
        <v>0</v>
      </c>
      <c r="B5026">
        <v>0.13114754098360701</v>
      </c>
      <c r="C5026">
        <f t="shared" si="156"/>
        <v>1.4946313065728154</v>
      </c>
      <c r="D5026">
        <v>5</v>
      </c>
      <c r="E5026">
        <f t="shared" si="157"/>
        <v>5.6111083198493512E-2</v>
      </c>
    </row>
    <row r="5027" spans="1:5" x14ac:dyDescent="0.25">
      <c r="A5027">
        <v>0</v>
      </c>
      <c r="B5027">
        <v>0.13157894736842099</v>
      </c>
      <c r="C5027">
        <f t="shared" si="156"/>
        <v>1.4934879095984244</v>
      </c>
      <c r="D5027">
        <v>5</v>
      </c>
      <c r="E5027">
        <f t="shared" si="157"/>
        <v>5.6111083198493512E-2</v>
      </c>
    </row>
    <row r="5028" spans="1:5" x14ac:dyDescent="0.25">
      <c r="A5028">
        <v>0</v>
      </c>
      <c r="B5028">
        <v>0.13166666666666699</v>
      </c>
      <c r="C5028">
        <f t="shared" si="156"/>
        <v>1.4932549514349036</v>
      </c>
      <c r="D5028">
        <v>5</v>
      </c>
      <c r="E5028">
        <f t="shared" si="157"/>
        <v>5.6111083198493512E-2</v>
      </c>
    </row>
    <row r="5029" spans="1:5" x14ac:dyDescent="0.25">
      <c r="A5029">
        <v>0</v>
      </c>
      <c r="B5029">
        <v>0.13173652694610799</v>
      </c>
      <c r="C5029">
        <f t="shared" si="156"/>
        <v>1.4930693090119351</v>
      </c>
      <c r="D5029">
        <v>5</v>
      </c>
      <c r="E5029">
        <f t="shared" si="157"/>
        <v>5.6111083198493512E-2</v>
      </c>
    </row>
    <row r="5030" spans="1:5" x14ac:dyDescent="0.25">
      <c r="A5030">
        <v>0</v>
      </c>
      <c r="B5030">
        <v>0.13200000000000001</v>
      </c>
      <c r="C5030">
        <f t="shared" si="156"/>
        <v>1.4923682722141169</v>
      </c>
      <c r="D5030">
        <v>5</v>
      </c>
      <c r="E5030">
        <f t="shared" si="157"/>
        <v>5.6111083198493512E-2</v>
      </c>
    </row>
    <row r="5031" spans="1:5" x14ac:dyDescent="0.25">
      <c r="A5031">
        <v>0</v>
      </c>
      <c r="B5031">
        <v>0.13200000000000001</v>
      </c>
      <c r="C5031">
        <f t="shared" si="156"/>
        <v>1.4923682722141169</v>
      </c>
      <c r="D5031">
        <v>5</v>
      </c>
      <c r="E5031">
        <f t="shared" si="157"/>
        <v>5.6111083198493512E-2</v>
      </c>
    </row>
    <row r="5032" spans="1:5" x14ac:dyDescent="0.25">
      <c r="A5032">
        <v>0</v>
      </c>
      <c r="B5032">
        <v>0.13200000000000001</v>
      </c>
      <c r="C5032">
        <f t="shared" si="156"/>
        <v>1.4923682722141169</v>
      </c>
      <c r="D5032">
        <v>5</v>
      </c>
      <c r="E5032">
        <f t="shared" si="157"/>
        <v>5.6111083198493512E-2</v>
      </c>
    </row>
    <row r="5033" spans="1:5" x14ac:dyDescent="0.25">
      <c r="A5033">
        <v>0</v>
      </c>
      <c r="B5033">
        <v>0.13200000000000001</v>
      </c>
      <c r="C5033">
        <f t="shared" si="156"/>
        <v>1.4923682722141169</v>
      </c>
      <c r="D5033">
        <v>5</v>
      </c>
      <c r="E5033">
        <f t="shared" si="157"/>
        <v>5.6111083198493512E-2</v>
      </c>
    </row>
    <row r="5034" spans="1:5" x14ac:dyDescent="0.25">
      <c r="A5034">
        <v>0</v>
      </c>
      <c r="B5034">
        <v>0.13266666666666699</v>
      </c>
      <c r="C5034">
        <f t="shared" si="156"/>
        <v>1.4905880976148849</v>
      </c>
      <c r="D5034">
        <v>5</v>
      </c>
      <c r="E5034">
        <f t="shared" si="157"/>
        <v>5.6111083198493512E-2</v>
      </c>
    </row>
    <row r="5035" spans="1:5" x14ac:dyDescent="0.25">
      <c r="A5035">
        <v>0</v>
      </c>
      <c r="B5035">
        <v>0.132867132867133</v>
      </c>
      <c r="C5035">
        <f t="shared" si="156"/>
        <v>1.4900510274792498</v>
      </c>
      <c r="D5035">
        <v>5</v>
      </c>
      <c r="E5035">
        <f t="shared" si="157"/>
        <v>5.6111083198493512E-2</v>
      </c>
    </row>
    <row r="5036" spans="1:5" x14ac:dyDescent="0.25">
      <c r="A5036">
        <v>0</v>
      </c>
      <c r="B5036">
        <v>0.132867132867133</v>
      </c>
      <c r="C5036">
        <f t="shared" si="156"/>
        <v>1.4900510274792498</v>
      </c>
      <c r="D5036">
        <v>5</v>
      </c>
      <c r="E5036">
        <f t="shared" si="157"/>
        <v>5.6111083198493512E-2</v>
      </c>
    </row>
    <row r="5037" spans="1:5" x14ac:dyDescent="0.25">
      <c r="A5037">
        <v>0</v>
      </c>
      <c r="B5037">
        <v>0.132867132867133</v>
      </c>
      <c r="C5037">
        <f t="shared" si="156"/>
        <v>1.4900510274792498</v>
      </c>
      <c r="D5037">
        <v>5</v>
      </c>
      <c r="E5037">
        <f t="shared" si="157"/>
        <v>5.6111083198493512E-2</v>
      </c>
    </row>
    <row r="5038" spans="1:5" x14ac:dyDescent="0.25">
      <c r="A5038">
        <v>0</v>
      </c>
      <c r="B5038">
        <v>0.13317757009345799</v>
      </c>
      <c r="C5038">
        <f t="shared" si="156"/>
        <v>1.4892177197231853</v>
      </c>
      <c r="D5038">
        <v>5</v>
      </c>
      <c r="E5038">
        <f t="shared" si="157"/>
        <v>5.6111083198493512E-2</v>
      </c>
    </row>
    <row r="5039" spans="1:5" x14ac:dyDescent="0.25">
      <c r="A5039">
        <v>0</v>
      </c>
      <c r="B5039">
        <v>0.133333333333333</v>
      </c>
      <c r="C5039">
        <f t="shared" si="156"/>
        <v>1.4887988661297669</v>
      </c>
      <c r="D5039">
        <v>5</v>
      </c>
      <c r="E5039">
        <f t="shared" si="157"/>
        <v>5.6111083198493512E-2</v>
      </c>
    </row>
    <row r="5040" spans="1:5" x14ac:dyDescent="0.25">
      <c r="A5040">
        <v>0</v>
      </c>
      <c r="B5040">
        <v>0.133333333333333</v>
      </c>
      <c r="C5040">
        <f t="shared" si="156"/>
        <v>1.4887988661297669</v>
      </c>
      <c r="D5040">
        <v>5</v>
      </c>
      <c r="E5040">
        <f t="shared" si="157"/>
        <v>5.6111083198493512E-2</v>
      </c>
    </row>
    <row r="5041" spans="1:5" x14ac:dyDescent="0.25">
      <c r="A5041">
        <v>0</v>
      </c>
      <c r="B5041">
        <v>0.133333333333333</v>
      </c>
      <c r="C5041">
        <f t="shared" si="156"/>
        <v>1.4887988661297669</v>
      </c>
      <c r="D5041">
        <v>5</v>
      </c>
      <c r="E5041">
        <f t="shared" si="157"/>
        <v>5.6111083198493512E-2</v>
      </c>
    </row>
    <row r="5042" spans="1:5" x14ac:dyDescent="0.25">
      <c r="A5042">
        <v>0</v>
      </c>
      <c r="B5042">
        <v>0.133333333333333</v>
      </c>
      <c r="C5042">
        <f t="shared" si="156"/>
        <v>1.4887988661297669</v>
      </c>
      <c r="D5042">
        <v>5</v>
      </c>
      <c r="E5042">
        <f t="shared" si="157"/>
        <v>5.6111083198493512E-2</v>
      </c>
    </row>
    <row r="5043" spans="1:5" x14ac:dyDescent="0.25">
      <c r="A5043">
        <v>0</v>
      </c>
      <c r="B5043">
        <v>0.133333333333333</v>
      </c>
      <c r="C5043">
        <f t="shared" si="156"/>
        <v>1.4887988661297669</v>
      </c>
      <c r="D5043">
        <v>5</v>
      </c>
      <c r="E5043">
        <f t="shared" si="157"/>
        <v>5.6111083198493512E-2</v>
      </c>
    </row>
    <row r="5044" spans="1:5" x14ac:dyDescent="0.25">
      <c r="A5044">
        <v>0</v>
      </c>
      <c r="B5044">
        <v>0.133333333333333</v>
      </c>
      <c r="C5044">
        <f t="shared" si="156"/>
        <v>1.4887988661297669</v>
      </c>
      <c r="D5044">
        <v>5</v>
      </c>
      <c r="E5044">
        <f t="shared" si="157"/>
        <v>5.6111083198493512E-2</v>
      </c>
    </row>
    <row r="5045" spans="1:5" x14ac:dyDescent="0.25">
      <c r="A5045">
        <v>0</v>
      </c>
      <c r="B5045">
        <v>0.133333333333333</v>
      </c>
      <c r="C5045">
        <f t="shared" si="156"/>
        <v>1.4887988661297669</v>
      </c>
      <c r="D5045">
        <v>5</v>
      </c>
      <c r="E5045">
        <f t="shared" si="157"/>
        <v>5.6111083198493512E-2</v>
      </c>
    </row>
    <row r="5046" spans="1:5" x14ac:dyDescent="0.25">
      <c r="A5046">
        <v>0</v>
      </c>
      <c r="B5046">
        <v>0.133333333333333</v>
      </c>
      <c r="C5046">
        <f t="shared" si="156"/>
        <v>1.4887988661297669</v>
      </c>
      <c r="D5046">
        <v>5</v>
      </c>
      <c r="E5046">
        <f t="shared" si="157"/>
        <v>5.6111083198493512E-2</v>
      </c>
    </row>
    <row r="5047" spans="1:5" x14ac:dyDescent="0.25">
      <c r="A5047">
        <v>0</v>
      </c>
      <c r="B5047">
        <v>0.133333333333333</v>
      </c>
      <c r="C5047">
        <f t="shared" si="156"/>
        <v>1.4887988661297669</v>
      </c>
      <c r="D5047">
        <v>5</v>
      </c>
      <c r="E5047">
        <f t="shared" si="157"/>
        <v>5.6111083198493512E-2</v>
      </c>
    </row>
    <row r="5048" spans="1:5" x14ac:dyDescent="0.25">
      <c r="A5048">
        <v>0</v>
      </c>
      <c r="B5048">
        <v>0.133333333333333</v>
      </c>
      <c r="C5048">
        <f t="shared" si="156"/>
        <v>1.4887988661297669</v>
      </c>
      <c r="D5048">
        <v>5</v>
      </c>
      <c r="E5048">
        <f t="shared" si="157"/>
        <v>5.6111083198493512E-2</v>
      </c>
    </row>
    <row r="5049" spans="1:5" x14ac:dyDescent="0.25">
      <c r="A5049">
        <v>0</v>
      </c>
      <c r="B5049">
        <v>0.13400000000000001</v>
      </c>
      <c r="C5049">
        <f t="shared" si="156"/>
        <v>1.4870006154869198</v>
      </c>
      <c r="D5049">
        <v>5</v>
      </c>
      <c r="E5049">
        <f t="shared" si="157"/>
        <v>5.6111083198493512E-2</v>
      </c>
    </row>
    <row r="5050" spans="1:5" x14ac:dyDescent="0.25">
      <c r="A5050">
        <v>0</v>
      </c>
      <c r="B5050">
        <v>0.134328358208955</v>
      </c>
      <c r="C5050">
        <f t="shared" si="156"/>
        <v>1.4861116063821393</v>
      </c>
      <c r="D5050">
        <v>5</v>
      </c>
      <c r="E5050">
        <f t="shared" si="157"/>
        <v>5.6111083198493512E-2</v>
      </c>
    </row>
    <row r="5051" spans="1:5" x14ac:dyDescent="0.25">
      <c r="A5051">
        <v>0</v>
      </c>
      <c r="B5051">
        <v>0.13466666666666699</v>
      </c>
      <c r="C5051">
        <f t="shared" si="156"/>
        <v>1.4851933835721478</v>
      </c>
      <c r="D5051">
        <v>5</v>
      </c>
      <c r="E5051">
        <f t="shared" si="157"/>
        <v>5.6111083198493512E-2</v>
      </c>
    </row>
    <row r="5052" spans="1:5" x14ac:dyDescent="0.25">
      <c r="A5052">
        <v>0</v>
      </c>
      <c r="B5052">
        <v>0.13466666666666699</v>
      </c>
      <c r="C5052">
        <f t="shared" si="156"/>
        <v>1.4851933835721478</v>
      </c>
      <c r="D5052">
        <v>5</v>
      </c>
      <c r="E5052">
        <f t="shared" si="157"/>
        <v>5.6111083198493512E-2</v>
      </c>
    </row>
    <row r="5053" spans="1:5" x14ac:dyDescent="0.25">
      <c r="A5053">
        <v>0</v>
      </c>
      <c r="B5053">
        <v>0.135135135135135</v>
      </c>
      <c r="C5053">
        <f t="shared" si="156"/>
        <v>1.483918084300182</v>
      </c>
      <c r="D5053">
        <v>5</v>
      </c>
      <c r="E5053">
        <f t="shared" si="157"/>
        <v>5.6111083198493512E-2</v>
      </c>
    </row>
    <row r="5054" spans="1:5" x14ac:dyDescent="0.25">
      <c r="A5054">
        <v>0</v>
      </c>
      <c r="B5054">
        <v>0.135135135135135</v>
      </c>
      <c r="C5054">
        <f t="shared" si="156"/>
        <v>1.483918084300182</v>
      </c>
      <c r="D5054">
        <v>5</v>
      </c>
      <c r="E5054">
        <f t="shared" si="157"/>
        <v>5.6111083198493512E-2</v>
      </c>
    </row>
    <row r="5055" spans="1:5" x14ac:dyDescent="0.25">
      <c r="A5055">
        <v>0</v>
      </c>
      <c r="B5055">
        <v>0.135135135135135</v>
      </c>
      <c r="C5055">
        <f t="shared" si="156"/>
        <v>1.483918084300182</v>
      </c>
      <c r="D5055">
        <v>5</v>
      </c>
      <c r="E5055">
        <f t="shared" si="157"/>
        <v>5.6111083198493512E-2</v>
      </c>
    </row>
    <row r="5056" spans="1:5" x14ac:dyDescent="0.25">
      <c r="A5056">
        <v>0</v>
      </c>
      <c r="B5056">
        <v>0.135135135135135</v>
      </c>
      <c r="C5056">
        <f t="shared" si="156"/>
        <v>1.483918084300182</v>
      </c>
      <c r="D5056">
        <v>5</v>
      </c>
      <c r="E5056">
        <f t="shared" si="157"/>
        <v>5.6111083198493512E-2</v>
      </c>
    </row>
    <row r="5057" spans="1:5" x14ac:dyDescent="0.25">
      <c r="A5057">
        <v>0</v>
      </c>
      <c r="B5057">
        <v>0.135135135135135</v>
      </c>
      <c r="C5057">
        <f t="shared" si="156"/>
        <v>1.483918084300182</v>
      </c>
      <c r="D5057">
        <v>5</v>
      </c>
      <c r="E5057">
        <f t="shared" si="157"/>
        <v>5.6111083198493512E-2</v>
      </c>
    </row>
    <row r="5058" spans="1:5" x14ac:dyDescent="0.25">
      <c r="A5058">
        <v>0</v>
      </c>
      <c r="B5058">
        <v>0.135135135135135</v>
      </c>
      <c r="C5058">
        <f t="shared" ref="C5058:C5121" si="158">_xlfn.NORM.DIST(B5058,I$10,I$13,FALSE)</f>
        <v>1.483918084300182</v>
      </c>
      <c r="D5058">
        <v>5</v>
      </c>
      <c r="E5058">
        <f t="shared" si="157"/>
        <v>5.6111083198493512E-2</v>
      </c>
    </row>
    <row r="5059" spans="1:5" x14ac:dyDescent="0.25">
      <c r="A5059">
        <v>0</v>
      </c>
      <c r="B5059">
        <v>0.135135135135135</v>
      </c>
      <c r="C5059">
        <f t="shared" si="158"/>
        <v>1.483918084300182</v>
      </c>
      <c r="D5059">
        <v>5</v>
      </c>
      <c r="E5059">
        <f t="shared" ref="E5059:E5122" si="159">_xlfn.NORM.DIST(D5059,I$4,I$7,FALSE)</f>
        <v>5.6111083198493512E-2</v>
      </c>
    </row>
    <row r="5060" spans="1:5" x14ac:dyDescent="0.25">
      <c r="A5060">
        <v>0</v>
      </c>
      <c r="B5060">
        <v>0.135135135135135</v>
      </c>
      <c r="C5060">
        <f t="shared" si="158"/>
        <v>1.483918084300182</v>
      </c>
      <c r="D5060">
        <v>5</v>
      </c>
      <c r="E5060">
        <f t="shared" si="159"/>
        <v>5.6111083198493512E-2</v>
      </c>
    </row>
    <row r="5061" spans="1:5" x14ac:dyDescent="0.25">
      <c r="A5061">
        <v>0</v>
      </c>
      <c r="B5061">
        <v>0.135135135135135</v>
      </c>
      <c r="C5061">
        <f t="shared" si="158"/>
        <v>1.483918084300182</v>
      </c>
      <c r="D5061">
        <v>5</v>
      </c>
      <c r="E5061">
        <f t="shared" si="159"/>
        <v>5.6111083198493512E-2</v>
      </c>
    </row>
    <row r="5062" spans="1:5" x14ac:dyDescent="0.25">
      <c r="A5062">
        <v>0</v>
      </c>
      <c r="B5062">
        <v>0.13559322033898299</v>
      </c>
      <c r="C5062">
        <f t="shared" si="158"/>
        <v>1.4826667934718707</v>
      </c>
      <c r="D5062">
        <v>5</v>
      </c>
      <c r="E5062">
        <f t="shared" si="159"/>
        <v>5.6111083198493512E-2</v>
      </c>
    </row>
    <row r="5063" spans="1:5" x14ac:dyDescent="0.25">
      <c r="A5063">
        <v>0</v>
      </c>
      <c r="B5063">
        <v>0.13559322033898299</v>
      </c>
      <c r="C5063">
        <f t="shared" si="158"/>
        <v>1.4826667934718707</v>
      </c>
      <c r="D5063">
        <v>5</v>
      </c>
      <c r="E5063">
        <f t="shared" si="159"/>
        <v>5.6111083198493512E-2</v>
      </c>
    </row>
    <row r="5064" spans="1:5" x14ac:dyDescent="0.25">
      <c r="A5064">
        <v>0</v>
      </c>
      <c r="B5064">
        <v>0.13600000000000001</v>
      </c>
      <c r="C5064">
        <f t="shared" si="158"/>
        <v>1.4815521282502675</v>
      </c>
      <c r="D5064">
        <v>5</v>
      </c>
      <c r="E5064">
        <f t="shared" si="159"/>
        <v>5.6111083198493512E-2</v>
      </c>
    </row>
    <row r="5065" spans="1:5" x14ac:dyDescent="0.25">
      <c r="A5065">
        <v>0</v>
      </c>
      <c r="B5065">
        <v>0.13600000000000001</v>
      </c>
      <c r="C5065">
        <f t="shared" si="158"/>
        <v>1.4815521282502675</v>
      </c>
      <c r="D5065">
        <v>5</v>
      </c>
      <c r="E5065">
        <f t="shared" si="159"/>
        <v>5.6111083198493512E-2</v>
      </c>
    </row>
    <row r="5066" spans="1:5" x14ac:dyDescent="0.25">
      <c r="A5066">
        <v>0</v>
      </c>
      <c r="B5066">
        <v>0.13600000000000001</v>
      </c>
      <c r="C5066">
        <f t="shared" si="158"/>
        <v>1.4815521282502675</v>
      </c>
      <c r="D5066">
        <v>5</v>
      </c>
      <c r="E5066">
        <f t="shared" si="159"/>
        <v>5.6111083198493512E-2</v>
      </c>
    </row>
    <row r="5067" spans="1:5" x14ac:dyDescent="0.25">
      <c r="A5067">
        <v>0</v>
      </c>
      <c r="B5067">
        <v>0.13600000000000001</v>
      </c>
      <c r="C5067">
        <f t="shared" si="158"/>
        <v>1.4815521282502675</v>
      </c>
      <c r="D5067">
        <v>5</v>
      </c>
      <c r="E5067">
        <f t="shared" si="159"/>
        <v>5.6111083198493512E-2</v>
      </c>
    </row>
    <row r="5068" spans="1:5" x14ac:dyDescent="0.25">
      <c r="A5068">
        <v>0</v>
      </c>
      <c r="B5068">
        <v>0.13600000000000001</v>
      </c>
      <c r="C5068">
        <f t="shared" si="158"/>
        <v>1.4815521282502675</v>
      </c>
      <c r="D5068">
        <v>5</v>
      </c>
      <c r="E5068">
        <f t="shared" si="159"/>
        <v>5.6111083198493512E-2</v>
      </c>
    </row>
    <row r="5069" spans="1:5" x14ac:dyDescent="0.25">
      <c r="A5069">
        <v>0</v>
      </c>
      <c r="B5069">
        <v>0.13600000000000001</v>
      </c>
      <c r="C5069">
        <f t="shared" si="158"/>
        <v>1.4815521282502675</v>
      </c>
      <c r="D5069">
        <v>5</v>
      </c>
      <c r="E5069">
        <f t="shared" si="159"/>
        <v>5.6111083198493512E-2</v>
      </c>
    </row>
    <row r="5070" spans="1:5" x14ac:dyDescent="0.25">
      <c r="A5070">
        <v>0</v>
      </c>
      <c r="B5070">
        <v>0.13600000000000001</v>
      </c>
      <c r="C5070">
        <f t="shared" si="158"/>
        <v>1.4815521282502675</v>
      </c>
      <c r="D5070">
        <v>5</v>
      </c>
      <c r="E5070">
        <f t="shared" si="159"/>
        <v>5.6111083198493512E-2</v>
      </c>
    </row>
    <row r="5071" spans="1:5" x14ac:dyDescent="0.25">
      <c r="A5071">
        <v>0</v>
      </c>
      <c r="B5071">
        <v>0.13600000000000001</v>
      </c>
      <c r="C5071">
        <f t="shared" si="158"/>
        <v>1.4815521282502675</v>
      </c>
      <c r="D5071">
        <v>5</v>
      </c>
      <c r="E5071">
        <f t="shared" si="159"/>
        <v>5.6111083198493512E-2</v>
      </c>
    </row>
    <row r="5072" spans="1:5" x14ac:dyDescent="0.25">
      <c r="A5072">
        <v>0</v>
      </c>
      <c r="B5072">
        <v>0.13666666666666699</v>
      </c>
      <c r="C5072">
        <f t="shared" si="158"/>
        <v>1.4797181813909885</v>
      </c>
      <c r="D5072">
        <v>5</v>
      </c>
      <c r="E5072">
        <f t="shared" si="159"/>
        <v>5.6111083198493512E-2</v>
      </c>
    </row>
    <row r="5073" spans="1:5" x14ac:dyDescent="0.25">
      <c r="A5073">
        <v>0</v>
      </c>
      <c r="B5073">
        <v>0.137333333333333</v>
      </c>
      <c r="C5073">
        <f t="shared" si="158"/>
        <v>1.4778754063527739</v>
      </c>
      <c r="D5073">
        <v>5</v>
      </c>
      <c r="E5073">
        <f t="shared" si="159"/>
        <v>5.6111083198493512E-2</v>
      </c>
    </row>
    <row r="5074" spans="1:5" x14ac:dyDescent="0.25">
      <c r="A5074">
        <v>0</v>
      </c>
      <c r="B5074">
        <v>0.137333333333333</v>
      </c>
      <c r="C5074">
        <f t="shared" si="158"/>
        <v>1.4778754063527739</v>
      </c>
      <c r="D5074">
        <v>5</v>
      </c>
      <c r="E5074">
        <f t="shared" si="159"/>
        <v>5.6111083198493512E-2</v>
      </c>
    </row>
    <row r="5075" spans="1:5" x14ac:dyDescent="0.25">
      <c r="A5075">
        <v>0</v>
      </c>
      <c r="B5075">
        <v>0.13752913752913801</v>
      </c>
      <c r="C5075">
        <f t="shared" si="158"/>
        <v>1.4773325001168915</v>
      </c>
      <c r="D5075">
        <v>5</v>
      </c>
      <c r="E5075">
        <f t="shared" si="159"/>
        <v>5.6111083198493512E-2</v>
      </c>
    </row>
    <row r="5076" spans="1:5" x14ac:dyDescent="0.25">
      <c r="A5076">
        <v>0</v>
      </c>
      <c r="B5076">
        <v>0.13772455089820401</v>
      </c>
      <c r="C5076">
        <f t="shared" si="158"/>
        <v>1.476789922557826</v>
      </c>
      <c r="D5076">
        <v>5</v>
      </c>
      <c r="E5076">
        <f t="shared" si="159"/>
        <v>5.6111083198493512E-2</v>
      </c>
    </row>
    <row r="5077" spans="1:5" x14ac:dyDescent="0.25">
      <c r="A5077">
        <v>0</v>
      </c>
      <c r="B5077">
        <v>0.13785046728972</v>
      </c>
      <c r="C5077">
        <f t="shared" si="158"/>
        <v>1.4764399086352709</v>
      </c>
      <c r="D5077">
        <v>5</v>
      </c>
      <c r="E5077">
        <f t="shared" si="159"/>
        <v>5.6111083198493512E-2</v>
      </c>
    </row>
    <row r="5078" spans="1:5" x14ac:dyDescent="0.25">
      <c r="A5078">
        <v>0</v>
      </c>
      <c r="B5078">
        <v>0.13785046728972</v>
      </c>
      <c r="C5078">
        <f t="shared" si="158"/>
        <v>1.4764399086352709</v>
      </c>
      <c r="D5078">
        <v>5</v>
      </c>
      <c r="E5078">
        <f t="shared" si="159"/>
        <v>5.6111083198493512E-2</v>
      </c>
    </row>
    <row r="5079" spans="1:5" x14ac:dyDescent="0.25">
      <c r="A5079">
        <v>0</v>
      </c>
      <c r="B5079">
        <v>0.13800000000000001</v>
      </c>
      <c r="C5079">
        <f t="shared" si="158"/>
        <v>1.4760238417896192</v>
      </c>
      <c r="D5079">
        <v>5</v>
      </c>
      <c r="E5079">
        <f t="shared" si="159"/>
        <v>5.6111083198493512E-2</v>
      </c>
    </row>
    <row r="5080" spans="1:5" x14ac:dyDescent="0.25">
      <c r="A5080">
        <v>0</v>
      </c>
      <c r="B5080">
        <v>0.13800000000000001</v>
      </c>
      <c r="C5080">
        <f t="shared" si="158"/>
        <v>1.4760238417896192</v>
      </c>
      <c r="D5080">
        <v>6</v>
      </c>
      <c r="E5080">
        <f t="shared" si="159"/>
        <v>5.4419194143262919E-2</v>
      </c>
    </row>
    <row r="5081" spans="1:5" x14ac:dyDescent="0.25">
      <c r="A5081">
        <v>0</v>
      </c>
      <c r="B5081">
        <v>0.13800000000000001</v>
      </c>
      <c r="C5081">
        <f t="shared" si="158"/>
        <v>1.4760238417896192</v>
      </c>
      <c r="D5081">
        <v>6</v>
      </c>
      <c r="E5081">
        <f t="shared" si="159"/>
        <v>5.4419194143262919E-2</v>
      </c>
    </row>
    <row r="5082" spans="1:5" x14ac:dyDescent="0.25">
      <c r="A5082">
        <v>0</v>
      </c>
      <c r="B5082">
        <v>0.138333333333333</v>
      </c>
      <c r="C5082">
        <f t="shared" si="158"/>
        <v>1.4750947755565136</v>
      </c>
      <c r="D5082">
        <v>6</v>
      </c>
      <c r="E5082">
        <f t="shared" si="159"/>
        <v>5.4419194143262919E-2</v>
      </c>
    </row>
    <row r="5083" spans="1:5" x14ac:dyDescent="0.25">
      <c r="A5083">
        <v>0</v>
      </c>
      <c r="B5083">
        <v>0.138528138528139</v>
      </c>
      <c r="C5083">
        <f t="shared" si="158"/>
        <v>1.474550803860466</v>
      </c>
      <c r="D5083">
        <v>6</v>
      </c>
      <c r="E5083">
        <f t="shared" si="159"/>
        <v>5.4419194143262919E-2</v>
      </c>
    </row>
    <row r="5084" spans="1:5" x14ac:dyDescent="0.25">
      <c r="A5084">
        <v>0</v>
      </c>
      <c r="B5084">
        <v>0.13866666666666699</v>
      </c>
      <c r="C5084">
        <f t="shared" si="158"/>
        <v>1.4741635265051392</v>
      </c>
      <c r="D5084">
        <v>6</v>
      </c>
      <c r="E5084">
        <f t="shared" si="159"/>
        <v>5.4419194143262919E-2</v>
      </c>
    </row>
    <row r="5085" spans="1:5" x14ac:dyDescent="0.25">
      <c r="A5085">
        <v>0</v>
      </c>
      <c r="B5085">
        <v>0.13866666666666699</v>
      </c>
      <c r="C5085">
        <f t="shared" si="158"/>
        <v>1.4741635265051392</v>
      </c>
      <c r="D5085">
        <v>6</v>
      </c>
      <c r="E5085">
        <f t="shared" si="159"/>
        <v>5.4419194143262919E-2</v>
      </c>
    </row>
    <row r="5086" spans="1:5" x14ac:dyDescent="0.25">
      <c r="A5086">
        <v>0</v>
      </c>
      <c r="B5086">
        <v>0.13866666666666699</v>
      </c>
      <c r="C5086">
        <f t="shared" si="158"/>
        <v>1.4741635265051392</v>
      </c>
      <c r="D5086">
        <v>6</v>
      </c>
      <c r="E5086">
        <f t="shared" si="159"/>
        <v>5.4419194143262919E-2</v>
      </c>
    </row>
    <row r="5087" spans="1:5" x14ac:dyDescent="0.25">
      <c r="A5087">
        <v>0</v>
      </c>
      <c r="B5087">
        <v>0.13900000000000001</v>
      </c>
      <c r="C5087">
        <f t="shared" si="158"/>
        <v>1.4732300995091083</v>
      </c>
      <c r="D5087">
        <v>6</v>
      </c>
      <c r="E5087">
        <f t="shared" si="159"/>
        <v>5.4419194143262919E-2</v>
      </c>
    </row>
    <row r="5088" spans="1:5" x14ac:dyDescent="0.25">
      <c r="A5088">
        <v>0</v>
      </c>
      <c r="B5088">
        <v>0.13986013986014001</v>
      </c>
      <c r="C5088">
        <f t="shared" si="158"/>
        <v>1.4708114396769663</v>
      </c>
      <c r="D5088">
        <v>6</v>
      </c>
      <c r="E5088">
        <f t="shared" si="159"/>
        <v>5.4419194143262919E-2</v>
      </c>
    </row>
    <row r="5089" spans="1:5" x14ac:dyDescent="0.25">
      <c r="A5089">
        <v>0</v>
      </c>
      <c r="B5089">
        <v>0.14000000000000001</v>
      </c>
      <c r="C5089">
        <f t="shared" si="158"/>
        <v>1.4704167997265865</v>
      </c>
      <c r="D5089">
        <v>6</v>
      </c>
      <c r="E5089">
        <f t="shared" si="159"/>
        <v>5.4419194143262919E-2</v>
      </c>
    </row>
    <row r="5090" spans="1:5" x14ac:dyDescent="0.25">
      <c r="A5090">
        <v>0</v>
      </c>
      <c r="B5090">
        <v>0.14000000000000001</v>
      </c>
      <c r="C5090">
        <f t="shared" si="158"/>
        <v>1.4704167997265865</v>
      </c>
      <c r="D5090">
        <v>6</v>
      </c>
      <c r="E5090">
        <f t="shared" si="159"/>
        <v>5.4419194143262919E-2</v>
      </c>
    </row>
    <row r="5091" spans="1:5" x14ac:dyDescent="0.25">
      <c r="A5091">
        <v>0</v>
      </c>
      <c r="B5091">
        <v>0.14000000000000001</v>
      </c>
      <c r="C5091">
        <f t="shared" si="158"/>
        <v>1.4704167997265865</v>
      </c>
      <c r="D5091">
        <v>6</v>
      </c>
      <c r="E5091">
        <f t="shared" si="159"/>
        <v>5.4419194143262919E-2</v>
      </c>
    </row>
    <row r="5092" spans="1:5" x14ac:dyDescent="0.25">
      <c r="A5092">
        <v>0</v>
      </c>
      <c r="B5092">
        <v>0.14000000000000001</v>
      </c>
      <c r="C5092">
        <f t="shared" si="158"/>
        <v>1.4704167997265865</v>
      </c>
      <c r="D5092">
        <v>6</v>
      </c>
      <c r="E5092">
        <f t="shared" si="159"/>
        <v>5.4419194143262919E-2</v>
      </c>
    </row>
    <row r="5093" spans="1:5" x14ac:dyDescent="0.25">
      <c r="A5093">
        <v>0</v>
      </c>
      <c r="B5093">
        <v>0.14000000000000001</v>
      </c>
      <c r="C5093">
        <f t="shared" si="158"/>
        <v>1.4704167997265865</v>
      </c>
      <c r="D5093">
        <v>6</v>
      </c>
      <c r="E5093">
        <f t="shared" si="159"/>
        <v>5.4419194143262919E-2</v>
      </c>
    </row>
    <row r="5094" spans="1:5" x14ac:dyDescent="0.25">
      <c r="A5094">
        <v>0</v>
      </c>
      <c r="B5094">
        <v>0.140625</v>
      </c>
      <c r="C5094">
        <f t="shared" si="158"/>
        <v>1.4686486145854045</v>
      </c>
      <c r="D5094">
        <v>6</v>
      </c>
      <c r="E5094">
        <f t="shared" si="159"/>
        <v>5.4419194143262919E-2</v>
      </c>
    </row>
    <row r="5095" spans="1:5" x14ac:dyDescent="0.25">
      <c r="A5095">
        <v>0</v>
      </c>
      <c r="B5095">
        <v>0.140718562874251</v>
      </c>
      <c r="C5095">
        <f t="shared" si="158"/>
        <v>1.4683832652242588</v>
      </c>
      <c r="D5095">
        <v>6</v>
      </c>
      <c r="E5095">
        <f t="shared" si="159"/>
        <v>5.4419194143262919E-2</v>
      </c>
    </row>
    <row r="5096" spans="1:5" x14ac:dyDescent="0.25">
      <c r="A5096">
        <v>0</v>
      </c>
      <c r="B5096">
        <v>0.14114114114114101</v>
      </c>
      <c r="C5096">
        <f t="shared" si="158"/>
        <v>1.4671827040455878</v>
      </c>
      <c r="D5096">
        <v>6</v>
      </c>
      <c r="E5096">
        <f t="shared" si="159"/>
        <v>5.4419194143262919E-2</v>
      </c>
    </row>
    <row r="5097" spans="1:5" x14ac:dyDescent="0.25">
      <c r="A5097">
        <v>0</v>
      </c>
      <c r="B5097">
        <v>0.14114114114114101</v>
      </c>
      <c r="C5097">
        <f t="shared" si="158"/>
        <v>1.4671827040455878</v>
      </c>
      <c r="D5097">
        <v>6</v>
      </c>
      <c r="E5097">
        <f t="shared" si="159"/>
        <v>5.4419194143262919E-2</v>
      </c>
    </row>
    <row r="5098" spans="1:5" x14ac:dyDescent="0.25">
      <c r="A5098">
        <v>0</v>
      </c>
      <c r="B5098">
        <v>0.14133333333333301</v>
      </c>
      <c r="C5098">
        <f t="shared" si="158"/>
        <v>1.4666355393867385</v>
      </c>
      <c r="D5098">
        <v>6</v>
      </c>
      <c r="E5098">
        <f t="shared" si="159"/>
        <v>5.4419194143262919E-2</v>
      </c>
    </row>
    <row r="5099" spans="1:5" x14ac:dyDescent="0.25">
      <c r="A5099">
        <v>0</v>
      </c>
      <c r="B5099">
        <v>0.14133333333333301</v>
      </c>
      <c r="C5099">
        <f t="shared" si="158"/>
        <v>1.4666355393867385</v>
      </c>
      <c r="D5099">
        <v>6</v>
      </c>
      <c r="E5099">
        <f t="shared" si="159"/>
        <v>5.4419194143262919E-2</v>
      </c>
    </row>
    <row r="5100" spans="1:5" x14ac:dyDescent="0.25">
      <c r="A5100">
        <v>0</v>
      </c>
      <c r="B5100">
        <v>0.14133333333333301</v>
      </c>
      <c r="C5100">
        <f t="shared" si="158"/>
        <v>1.4666355393867385</v>
      </c>
      <c r="D5100">
        <v>6</v>
      </c>
      <c r="E5100">
        <f t="shared" si="159"/>
        <v>5.4419194143262919E-2</v>
      </c>
    </row>
    <row r="5101" spans="1:5" x14ac:dyDescent="0.25">
      <c r="A5101">
        <v>0</v>
      </c>
      <c r="B5101">
        <v>0.14133333333333301</v>
      </c>
      <c r="C5101">
        <f t="shared" si="158"/>
        <v>1.4666355393867385</v>
      </c>
      <c r="D5101">
        <v>6</v>
      </c>
      <c r="E5101">
        <f t="shared" si="159"/>
        <v>5.4419194143262919E-2</v>
      </c>
    </row>
    <row r="5102" spans="1:5" x14ac:dyDescent="0.25">
      <c r="A5102">
        <v>0</v>
      </c>
      <c r="B5102">
        <v>0.14133333333333301</v>
      </c>
      <c r="C5102">
        <f t="shared" si="158"/>
        <v>1.4666355393867385</v>
      </c>
      <c r="D5102">
        <v>6</v>
      </c>
      <c r="E5102">
        <f t="shared" si="159"/>
        <v>5.4419194143262919E-2</v>
      </c>
    </row>
    <row r="5103" spans="1:5" x14ac:dyDescent="0.25">
      <c r="A5103">
        <v>0</v>
      </c>
      <c r="B5103">
        <v>0.141666666666667</v>
      </c>
      <c r="C5103">
        <f t="shared" si="158"/>
        <v>1.4656848653760943</v>
      </c>
      <c r="D5103">
        <v>6</v>
      </c>
      <c r="E5103">
        <f t="shared" si="159"/>
        <v>5.4419194143262919E-2</v>
      </c>
    </row>
    <row r="5104" spans="1:5" x14ac:dyDescent="0.25">
      <c r="A5104">
        <v>0</v>
      </c>
      <c r="B5104">
        <v>0.14199999999999999</v>
      </c>
      <c r="C5104">
        <f t="shared" si="158"/>
        <v>1.4647320576913054</v>
      </c>
      <c r="D5104">
        <v>6</v>
      </c>
      <c r="E5104">
        <f t="shared" si="159"/>
        <v>5.4419194143262919E-2</v>
      </c>
    </row>
    <row r="5105" spans="1:5" x14ac:dyDescent="0.25">
      <c r="A5105">
        <v>0</v>
      </c>
      <c r="B5105">
        <v>0.14199999999999999</v>
      </c>
      <c r="C5105">
        <f t="shared" si="158"/>
        <v>1.4647320576913054</v>
      </c>
      <c r="D5105">
        <v>6</v>
      </c>
      <c r="E5105">
        <f t="shared" si="159"/>
        <v>5.4419194143262919E-2</v>
      </c>
    </row>
    <row r="5106" spans="1:5" x14ac:dyDescent="0.25">
      <c r="A5106">
        <v>0</v>
      </c>
      <c r="B5106">
        <v>0.14219114219114201</v>
      </c>
      <c r="C5106">
        <f t="shared" si="158"/>
        <v>1.4641847318178827</v>
      </c>
      <c r="D5106">
        <v>6</v>
      </c>
      <c r="E5106">
        <f t="shared" si="159"/>
        <v>5.4419194143262919E-2</v>
      </c>
    </row>
    <row r="5107" spans="1:5" x14ac:dyDescent="0.25">
      <c r="A5107">
        <v>0</v>
      </c>
      <c r="B5107">
        <v>0.14219114219114201</v>
      </c>
      <c r="C5107">
        <f t="shared" si="158"/>
        <v>1.4641847318178827</v>
      </c>
      <c r="D5107">
        <v>6</v>
      </c>
      <c r="E5107">
        <f t="shared" si="159"/>
        <v>5.4419194143262919E-2</v>
      </c>
    </row>
    <row r="5108" spans="1:5" x14ac:dyDescent="0.25">
      <c r="A5108">
        <v>0</v>
      </c>
      <c r="B5108">
        <v>0.14252336448598099</v>
      </c>
      <c r="C5108">
        <f t="shared" si="158"/>
        <v>1.4632317675057025</v>
      </c>
      <c r="D5108">
        <v>6</v>
      </c>
      <c r="E5108">
        <f t="shared" si="159"/>
        <v>5.4419194143262919E-2</v>
      </c>
    </row>
    <row r="5109" spans="1:5" x14ac:dyDescent="0.25">
      <c r="A5109">
        <v>0</v>
      </c>
      <c r="B5109">
        <v>0.14285714285714299</v>
      </c>
      <c r="C5109">
        <f t="shared" si="158"/>
        <v>1.4622722180583274</v>
      </c>
      <c r="D5109">
        <v>6</v>
      </c>
      <c r="E5109">
        <f t="shared" si="159"/>
        <v>5.4419194143262919E-2</v>
      </c>
    </row>
    <row r="5110" spans="1:5" x14ac:dyDescent="0.25">
      <c r="A5110">
        <v>0</v>
      </c>
      <c r="B5110">
        <v>0.14333333333333301</v>
      </c>
      <c r="C5110">
        <f t="shared" si="158"/>
        <v>1.4608995896117778</v>
      </c>
      <c r="D5110">
        <v>6</v>
      </c>
      <c r="E5110">
        <f t="shared" si="159"/>
        <v>5.4419194143262919E-2</v>
      </c>
    </row>
    <row r="5111" spans="1:5" x14ac:dyDescent="0.25">
      <c r="A5111">
        <v>0</v>
      </c>
      <c r="B5111">
        <v>0.14333333333333301</v>
      </c>
      <c r="C5111">
        <f t="shared" si="158"/>
        <v>1.4608995896117778</v>
      </c>
      <c r="D5111">
        <v>6</v>
      </c>
      <c r="E5111">
        <f t="shared" si="159"/>
        <v>5.4419194143262919E-2</v>
      </c>
    </row>
    <row r="5112" spans="1:5" x14ac:dyDescent="0.25">
      <c r="A5112">
        <v>0</v>
      </c>
      <c r="B5112">
        <v>0.14399999999999999</v>
      </c>
      <c r="C5112">
        <f t="shared" si="158"/>
        <v>1.4589706829919904</v>
      </c>
      <c r="D5112">
        <v>6</v>
      </c>
      <c r="E5112">
        <f t="shared" si="159"/>
        <v>5.4419194143262919E-2</v>
      </c>
    </row>
    <row r="5113" spans="1:5" x14ac:dyDescent="0.25">
      <c r="A5113">
        <v>0</v>
      </c>
      <c r="B5113">
        <v>0.14399999999999999</v>
      </c>
      <c r="C5113">
        <f t="shared" si="158"/>
        <v>1.4589706829919904</v>
      </c>
      <c r="D5113">
        <v>6</v>
      </c>
      <c r="E5113">
        <f t="shared" si="159"/>
        <v>5.4419194143262919E-2</v>
      </c>
    </row>
    <row r="5114" spans="1:5" x14ac:dyDescent="0.25">
      <c r="A5114">
        <v>0</v>
      </c>
      <c r="B5114">
        <v>0.14399999999999999</v>
      </c>
      <c r="C5114">
        <f t="shared" si="158"/>
        <v>1.4589706829919904</v>
      </c>
      <c r="D5114">
        <v>6</v>
      </c>
      <c r="E5114">
        <f t="shared" si="159"/>
        <v>5.4419194143262919E-2</v>
      </c>
    </row>
    <row r="5115" spans="1:5" x14ac:dyDescent="0.25">
      <c r="A5115">
        <v>0</v>
      </c>
      <c r="B5115">
        <v>0.14399999999999999</v>
      </c>
      <c r="C5115">
        <f t="shared" si="158"/>
        <v>1.4589706829919904</v>
      </c>
      <c r="D5115">
        <v>6</v>
      </c>
      <c r="E5115">
        <f t="shared" si="159"/>
        <v>5.4419194143262919E-2</v>
      </c>
    </row>
    <row r="5116" spans="1:5" x14ac:dyDescent="0.25">
      <c r="A5116">
        <v>0</v>
      </c>
      <c r="B5116">
        <v>0.14399999999999999</v>
      </c>
      <c r="C5116">
        <f t="shared" si="158"/>
        <v>1.4589706829919904</v>
      </c>
      <c r="D5116">
        <v>6</v>
      </c>
      <c r="E5116">
        <f t="shared" si="159"/>
        <v>5.4419194143262919E-2</v>
      </c>
    </row>
    <row r="5117" spans="1:5" x14ac:dyDescent="0.25">
      <c r="A5117">
        <v>0</v>
      </c>
      <c r="B5117">
        <v>0.144144144144144</v>
      </c>
      <c r="C5117">
        <f t="shared" si="158"/>
        <v>1.4585525169256679</v>
      </c>
      <c r="D5117">
        <v>6</v>
      </c>
      <c r="E5117">
        <f t="shared" si="159"/>
        <v>5.4419194143262919E-2</v>
      </c>
    </row>
    <row r="5118" spans="1:5" x14ac:dyDescent="0.25">
      <c r="A5118">
        <v>0</v>
      </c>
      <c r="B5118">
        <v>0.144144144144144</v>
      </c>
      <c r="C5118">
        <f t="shared" si="158"/>
        <v>1.4585525169256679</v>
      </c>
      <c r="D5118">
        <v>6</v>
      </c>
      <c r="E5118">
        <f t="shared" si="159"/>
        <v>5.4419194143262919E-2</v>
      </c>
    </row>
    <row r="5119" spans="1:5" x14ac:dyDescent="0.25">
      <c r="A5119">
        <v>0</v>
      </c>
      <c r="B5119">
        <v>0.144144144144144</v>
      </c>
      <c r="C5119">
        <f t="shared" si="158"/>
        <v>1.4585525169256679</v>
      </c>
      <c r="D5119">
        <v>6</v>
      </c>
      <c r="E5119">
        <f t="shared" si="159"/>
        <v>5.4419194143262919E-2</v>
      </c>
    </row>
    <row r="5120" spans="1:5" x14ac:dyDescent="0.25">
      <c r="A5120">
        <v>0</v>
      </c>
      <c r="B5120">
        <v>0.14452214452214501</v>
      </c>
      <c r="C5120">
        <f t="shared" si="158"/>
        <v>1.4574540665211579</v>
      </c>
      <c r="D5120">
        <v>6</v>
      </c>
      <c r="E5120">
        <f t="shared" si="159"/>
        <v>5.4419194143262919E-2</v>
      </c>
    </row>
    <row r="5121" spans="1:5" x14ac:dyDescent="0.25">
      <c r="A5121">
        <v>0</v>
      </c>
      <c r="B5121">
        <v>0.144859813084112</v>
      </c>
      <c r="C5121">
        <f t="shared" si="158"/>
        <v>1.4564705444064276</v>
      </c>
      <c r="D5121">
        <v>6</v>
      </c>
      <c r="E5121">
        <f t="shared" si="159"/>
        <v>5.4419194143262919E-2</v>
      </c>
    </row>
    <row r="5122" spans="1:5" x14ac:dyDescent="0.25">
      <c r="A5122">
        <v>0</v>
      </c>
      <c r="B5122">
        <v>0.14499999999999999</v>
      </c>
      <c r="C5122">
        <f t="shared" ref="C5122:C5185" si="160">_xlfn.NORM.DIST(B5122,I$10,I$13,FALSE)</f>
        <v>1.4560615950384364</v>
      </c>
      <c r="D5122">
        <v>6</v>
      </c>
      <c r="E5122">
        <f t="shared" si="159"/>
        <v>5.4419194143262919E-2</v>
      </c>
    </row>
    <row r="5123" spans="1:5" x14ac:dyDescent="0.25">
      <c r="A5123">
        <v>0</v>
      </c>
      <c r="B5123">
        <v>0.14499999999999999</v>
      </c>
      <c r="C5123">
        <f t="shared" si="160"/>
        <v>1.4560615950384364</v>
      </c>
      <c r="D5123">
        <v>6</v>
      </c>
      <c r="E5123">
        <f t="shared" ref="E5123:E5186" si="161">_xlfn.NORM.DIST(D5123,I$4,I$7,FALSE)</f>
        <v>5.4419194143262919E-2</v>
      </c>
    </row>
    <row r="5124" spans="1:5" x14ac:dyDescent="0.25">
      <c r="A5124">
        <v>0</v>
      </c>
      <c r="B5124">
        <v>0.14503816793893101</v>
      </c>
      <c r="C5124">
        <f t="shared" si="160"/>
        <v>1.4559501887444255</v>
      </c>
      <c r="D5124">
        <v>6</v>
      </c>
      <c r="E5124">
        <f t="shared" si="161"/>
        <v>5.4419194143262919E-2</v>
      </c>
    </row>
    <row r="5125" spans="1:5" x14ac:dyDescent="0.25">
      <c r="A5125">
        <v>0</v>
      </c>
      <c r="B5125">
        <v>0.14533333333333301</v>
      </c>
      <c r="C5125">
        <f t="shared" si="160"/>
        <v>1.4550877250350174</v>
      </c>
      <c r="D5125">
        <v>6</v>
      </c>
      <c r="E5125">
        <f t="shared" si="161"/>
        <v>5.4419194143262919E-2</v>
      </c>
    </row>
    <row r="5126" spans="1:5" x14ac:dyDescent="0.25">
      <c r="A5126">
        <v>0</v>
      </c>
      <c r="B5126">
        <v>0.14563106796116501</v>
      </c>
      <c r="C5126">
        <f t="shared" si="160"/>
        <v>1.4542161029386906</v>
      </c>
      <c r="D5126">
        <v>6</v>
      </c>
      <c r="E5126">
        <f t="shared" si="161"/>
        <v>5.4419194143262919E-2</v>
      </c>
    </row>
    <row r="5127" spans="1:5" x14ac:dyDescent="0.25">
      <c r="A5127">
        <v>0</v>
      </c>
      <c r="B5127">
        <v>0.14599999999999999</v>
      </c>
      <c r="C5127">
        <f t="shared" si="160"/>
        <v>1.453133754281817</v>
      </c>
      <c r="D5127">
        <v>6</v>
      </c>
      <c r="E5127">
        <f t="shared" si="161"/>
        <v>5.4419194143262919E-2</v>
      </c>
    </row>
    <row r="5128" spans="1:5" x14ac:dyDescent="0.25">
      <c r="A5128">
        <v>0</v>
      </c>
      <c r="B5128">
        <v>0.14599999999999999</v>
      </c>
      <c r="C5128">
        <f t="shared" si="160"/>
        <v>1.453133754281817</v>
      </c>
      <c r="D5128">
        <v>6</v>
      </c>
      <c r="E5128">
        <f t="shared" si="161"/>
        <v>5.4419194143262919E-2</v>
      </c>
    </row>
    <row r="5129" spans="1:5" x14ac:dyDescent="0.25">
      <c r="A5129">
        <v>0</v>
      </c>
      <c r="B5129">
        <v>0.146666666666667</v>
      </c>
      <c r="C5129">
        <f t="shared" si="160"/>
        <v>1.4511715096242999</v>
      </c>
      <c r="D5129">
        <v>6</v>
      </c>
      <c r="E5129">
        <f t="shared" si="161"/>
        <v>5.4419194143262919E-2</v>
      </c>
    </row>
    <row r="5130" spans="1:5" x14ac:dyDescent="0.25">
      <c r="A5130">
        <v>0</v>
      </c>
      <c r="B5130">
        <v>0.146666666666667</v>
      </c>
      <c r="C5130">
        <f t="shared" si="160"/>
        <v>1.4511715096242999</v>
      </c>
      <c r="D5130">
        <v>6</v>
      </c>
      <c r="E5130">
        <f t="shared" si="161"/>
        <v>5.4419194143262919E-2</v>
      </c>
    </row>
    <row r="5131" spans="1:5" x14ac:dyDescent="0.25">
      <c r="A5131">
        <v>0</v>
      </c>
      <c r="B5131">
        <v>0.146666666666667</v>
      </c>
      <c r="C5131">
        <f t="shared" si="160"/>
        <v>1.4511715096242999</v>
      </c>
      <c r="D5131">
        <v>6</v>
      </c>
      <c r="E5131">
        <f t="shared" si="161"/>
        <v>5.4419194143262919E-2</v>
      </c>
    </row>
    <row r="5132" spans="1:5" x14ac:dyDescent="0.25">
      <c r="A5132">
        <v>0</v>
      </c>
      <c r="B5132">
        <v>0.14685314685314699</v>
      </c>
      <c r="C5132">
        <f t="shared" si="160"/>
        <v>1.4506211546431258</v>
      </c>
      <c r="D5132">
        <v>6</v>
      </c>
      <c r="E5132">
        <f t="shared" si="161"/>
        <v>5.4419194143262919E-2</v>
      </c>
    </row>
    <row r="5133" spans="1:5" x14ac:dyDescent="0.25">
      <c r="A5133">
        <v>0</v>
      </c>
      <c r="B5133">
        <v>0.14685314685314699</v>
      </c>
      <c r="C5133">
        <f t="shared" si="160"/>
        <v>1.4506211546431258</v>
      </c>
      <c r="D5133">
        <v>6</v>
      </c>
      <c r="E5133">
        <f t="shared" si="161"/>
        <v>5.4419194143262919E-2</v>
      </c>
    </row>
    <row r="5134" spans="1:5" x14ac:dyDescent="0.25">
      <c r="A5134">
        <v>0</v>
      </c>
      <c r="B5134">
        <v>0.14714714714714699</v>
      </c>
      <c r="C5134">
        <f t="shared" si="160"/>
        <v>1.4497521716017703</v>
      </c>
      <c r="D5134">
        <v>6</v>
      </c>
      <c r="E5134">
        <f t="shared" si="161"/>
        <v>5.4419194143262919E-2</v>
      </c>
    </row>
    <row r="5135" spans="1:5" x14ac:dyDescent="0.25">
      <c r="A5135">
        <v>0</v>
      </c>
      <c r="B5135">
        <v>0.14719626168224301</v>
      </c>
      <c r="C5135">
        <f t="shared" si="160"/>
        <v>1.449606847077662</v>
      </c>
      <c r="D5135">
        <v>6</v>
      </c>
      <c r="E5135">
        <f t="shared" si="161"/>
        <v>5.4419194143262919E-2</v>
      </c>
    </row>
    <row r="5136" spans="1:5" x14ac:dyDescent="0.25">
      <c r="A5136">
        <v>0</v>
      </c>
      <c r="B5136">
        <v>0.14799999999999999</v>
      </c>
      <c r="C5136">
        <f t="shared" si="160"/>
        <v>1.4472223612232769</v>
      </c>
      <c r="D5136">
        <v>6</v>
      </c>
      <c r="E5136">
        <f t="shared" si="161"/>
        <v>5.4419194143262919E-2</v>
      </c>
    </row>
    <row r="5137" spans="1:5" x14ac:dyDescent="0.25">
      <c r="A5137">
        <v>0</v>
      </c>
      <c r="B5137">
        <v>0.14799999999999999</v>
      </c>
      <c r="C5137">
        <f t="shared" si="160"/>
        <v>1.4472223612232769</v>
      </c>
      <c r="D5137">
        <v>6</v>
      </c>
      <c r="E5137">
        <f t="shared" si="161"/>
        <v>5.4419194143262919E-2</v>
      </c>
    </row>
    <row r="5138" spans="1:5" x14ac:dyDescent="0.25">
      <c r="A5138">
        <v>0</v>
      </c>
      <c r="B5138">
        <v>0.14799999999999999</v>
      </c>
      <c r="C5138">
        <f t="shared" si="160"/>
        <v>1.4472223612232769</v>
      </c>
      <c r="D5138">
        <v>6</v>
      </c>
      <c r="E5138">
        <f t="shared" si="161"/>
        <v>5.4419194143262919E-2</v>
      </c>
    </row>
    <row r="5139" spans="1:5" x14ac:dyDescent="0.25">
      <c r="A5139">
        <v>0</v>
      </c>
      <c r="B5139">
        <v>0.14799999999999999</v>
      </c>
      <c r="C5139">
        <f t="shared" si="160"/>
        <v>1.4472223612232769</v>
      </c>
      <c r="D5139">
        <v>6</v>
      </c>
      <c r="E5139">
        <f t="shared" si="161"/>
        <v>5.4419194143262919E-2</v>
      </c>
    </row>
    <row r="5140" spans="1:5" x14ac:dyDescent="0.25">
      <c r="A5140">
        <v>0</v>
      </c>
      <c r="B5140">
        <v>0.148148148148148</v>
      </c>
      <c r="C5140">
        <f t="shared" si="160"/>
        <v>1.4467815482207973</v>
      </c>
      <c r="D5140">
        <v>6</v>
      </c>
      <c r="E5140">
        <f t="shared" si="161"/>
        <v>5.4419194143262919E-2</v>
      </c>
    </row>
    <row r="5141" spans="1:5" x14ac:dyDescent="0.25">
      <c r="A5141">
        <v>0</v>
      </c>
      <c r="B5141">
        <v>0.148148148148148</v>
      </c>
      <c r="C5141">
        <f t="shared" si="160"/>
        <v>1.4467815482207973</v>
      </c>
      <c r="D5141">
        <v>6</v>
      </c>
      <c r="E5141">
        <f t="shared" si="161"/>
        <v>5.4419194143262919E-2</v>
      </c>
    </row>
    <row r="5142" spans="1:5" x14ac:dyDescent="0.25">
      <c r="A5142">
        <v>0</v>
      </c>
      <c r="B5142">
        <v>0.148148148148148</v>
      </c>
      <c r="C5142">
        <f t="shared" si="160"/>
        <v>1.4467815482207973</v>
      </c>
      <c r="D5142">
        <v>6</v>
      </c>
      <c r="E5142">
        <f t="shared" si="161"/>
        <v>5.4419194143262919E-2</v>
      </c>
    </row>
    <row r="5143" spans="1:5" x14ac:dyDescent="0.25">
      <c r="A5143">
        <v>0</v>
      </c>
      <c r="B5143">
        <v>0.14833333333333301</v>
      </c>
      <c r="C5143">
        <f t="shared" si="160"/>
        <v>1.4462299665655638</v>
      </c>
      <c r="D5143">
        <v>6</v>
      </c>
      <c r="E5143">
        <f t="shared" si="161"/>
        <v>5.4419194143262919E-2</v>
      </c>
    </row>
    <row r="5144" spans="1:5" x14ac:dyDescent="0.25">
      <c r="A5144">
        <v>0</v>
      </c>
      <c r="B5144">
        <v>0.14833333333333301</v>
      </c>
      <c r="C5144">
        <f t="shared" si="160"/>
        <v>1.4462299665655638</v>
      </c>
      <c r="D5144">
        <v>6</v>
      </c>
      <c r="E5144">
        <f t="shared" si="161"/>
        <v>5.4419194143262919E-2</v>
      </c>
    </row>
    <row r="5145" spans="1:5" x14ac:dyDescent="0.25">
      <c r="A5145">
        <v>0</v>
      </c>
      <c r="B5145">
        <v>0.14833333333333301</v>
      </c>
      <c r="C5145">
        <f t="shared" si="160"/>
        <v>1.4462299665655638</v>
      </c>
      <c r="D5145">
        <v>6</v>
      </c>
      <c r="E5145">
        <f t="shared" si="161"/>
        <v>5.4419194143262919E-2</v>
      </c>
    </row>
    <row r="5146" spans="1:5" x14ac:dyDescent="0.25">
      <c r="A5146">
        <v>0</v>
      </c>
      <c r="B5146">
        <v>0.14899999999999999</v>
      </c>
      <c r="C5146">
        <f t="shared" si="160"/>
        <v>1.4442390840101176</v>
      </c>
      <c r="D5146">
        <v>6</v>
      </c>
      <c r="E5146">
        <f t="shared" si="161"/>
        <v>5.4419194143262919E-2</v>
      </c>
    </row>
    <row r="5147" spans="1:5" x14ac:dyDescent="0.25">
      <c r="A5147">
        <v>0</v>
      </c>
      <c r="B5147">
        <v>0.14918414918414899</v>
      </c>
      <c r="C5147">
        <f t="shared" si="160"/>
        <v>1.4436877271921611</v>
      </c>
      <c r="D5147">
        <v>6</v>
      </c>
      <c r="E5147">
        <f t="shared" si="161"/>
        <v>5.4419194143262919E-2</v>
      </c>
    </row>
    <row r="5148" spans="1:5" x14ac:dyDescent="0.25">
      <c r="A5148">
        <v>0</v>
      </c>
      <c r="B5148">
        <v>0.14918414918414899</v>
      </c>
      <c r="C5148">
        <f t="shared" si="160"/>
        <v>1.4436877271921611</v>
      </c>
      <c r="D5148">
        <v>6</v>
      </c>
      <c r="E5148">
        <f t="shared" si="161"/>
        <v>5.4419194143262919E-2</v>
      </c>
    </row>
    <row r="5149" spans="1:5" x14ac:dyDescent="0.25">
      <c r="A5149">
        <v>0</v>
      </c>
      <c r="B5149">
        <v>0.14918414918414899</v>
      </c>
      <c r="C5149">
        <f t="shared" si="160"/>
        <v>1.4436877271921611</v>
      </c>
      <c r="D5149">
        <v>6</v>
      </c>
      <c r="E5149">
        <f t="shared" si="161"/>
        <v>5.4419194143262919E-2</v>
      </c>
    </row>
    <row r="5150" spans="1:5" x14ac:dyDescent="0.25">
      <c r="A5150">
        <v>0</v>
      </c>
      <c r="B5150">
        <v>0.15</v>
      </c>
      <c r="C5150">
        <f t="shared" si="160"/>
        <v>1.4412376041501502</v>
      </c>
      <c r="D5150">
        <v>6</v>
      </c>
      <c r="E5150">
        <f t="shared" si="161"/>
        <v>5.4419194143262919E-2</v>
      </c>
    </row>
    <row r="5151" spans="1:5" x14ac:dyDescent="0.25">
      <c r="A5151">
        <v>0</v>
      </c>
      <c r="B5151">
        <v>0.15015015015015001</v>
      </c>
      <c r="C5151">
        <f t="shared" si="160"/>
        <v>1.4407853683469638</v>
      </c>
      <c r="D5151">
        <v>6</v>
      </c>
      <c r="E5151">
        <f t="shared" si="161"/>
        <v>5.4419194143262919E-2</v>
      </c>
    </row>
    <row r="5152" spans="1:5" x14ac:dyDescent="0.25">
      <c r="A5152">
        <v>0</v>
      </c>
      <c r="B5152">
        <v>0.150666666666667</v>
      </c>
      <c r="C5152">
        <f t="shared" si="160"/>
        <v>1.4392265736871406</v>
      </c>
      <c r="D5152">
        <v>6</v>
      </c>
      <c r="E5152">
        <f t="shared" si="161"/>
        <v>5.4419194143262919E-2</v>
      </c>
    </row>
    <row r="5153" spans="1:5" x14ac:dyDescent="0.25">
      <c r="A5153">
        <v>0</v>
      </c>
      <c r="B5153">
        <v>0.15133333333333299</v>
      </c>
      <c r="C5153">
        <f t="shared" si="160"/>
        <v>1.4372075563771409</v>
      </c>
      <c r="D5153">
        <v>6</v>
      </c>
      <c r="E5153">
        <f t="shared" si="161"/>
        <v>5.4419194143262919E-2</v>
      </c>
    </row>
    <row r="5154" spans="1:5" x14ac:dyDescent="0.25">
      <c r="A5154">
        <v>0</v>
      </c>
      <c r="B5154">
        <v>0.15151515151515199</v>
      </c>
      <c r="C5154">
        <f t="shared" si="160"/>
        <v>1.4366555346000589</v>
      </c>
      <c r="D5154">
        <v>6</v>
      </c>
      <c r="E5154">
        <f t="shared" si="161"/>
        <v>5.4419194143262919E-2</v>
      </c>
    </row>
    <row r="5155" spans="1:5" x14ac:dyDescent="0.25">
      <c r="A5155">
        <v>0</v>
      </c>
      <c r="B5155">
        <v>0.151666666666667</v>
      </c>
      <c r="C5155">
        <f t="shared" si="160"/>
        <v>1.4361950656207614</v>
      </c>
      <c r="D5155">
        <v>6</v>
      </c>
      <c r="E5155">
        <f t="shared" si="161"/>
        <v>5.4419194143262919E-2</v>
      </c>
    </row>
    <row r="5156" spans="1:5" x14ac:dyDescent="0.25">
      <c r="A5156">
        <v>0</v>
      </c>
      <c r="B5156">
        <v>0.151869158878505</v>
      </c>
      <c r="C5156">
        <f t="shared" si="160"/>
        <v>1.4355790335154361</v>
      </c>
      <c r="D5156">
        <v>6</v>
      </c>
      <c r="E5156">
        <f t="shared" si="161"/>
        <v>5.4419194143262919E-2</v>
      </c>
    </row>
    <row r="5157" spans="1:5" x14ac:dyDescent="0.25">
      <c r="A5157">
        <v>0</v>
      </c>
      <c r="B5157">
        <v>0.151869158878505</v>
      </c>
      <c r="C5157">
        <f t="shared" si="160"/>
        <v>1.4355790335154361</v>
      </c>
      <c r="D5157">
        <v>6</v>
      </c>
      <c r="E5157">
        <f t="shared" si="161"/>
        <v>5.4419194143262919E-2</v>
      </c>
    </row>
    <row r="5158" spans="1:5" x14ac:dyDescent="0.25">
      <c r="A5158">
        <v>0</v>
      </c>
      <c r="B5158">
        <v>0.152</v>
      </c>
      <c r="C5158">
        <f t="shared" si="160"/>
        <v>1.4351805937272466</v>
      </c>
      <c r="D5158">
        <v>6</v>
      </c>
      <c r="E5158">
        <f t="shared" si="161"/>
        <v>5.4419194143262919E-2</v>
      </c>
    </row>
    <row r="5159" spans="1:5" x14ac:dyDescent="0.25">
      <c r="A5159">
        <v>0</v>
      </c>
      <c r="B5159">
        <v>0.152</v>
      </c>
      <c r="C5159">
        <f t="shared" si="160"/>
        <v>1.4351805937272466</v>
      </c>
      <c r="D5159">
        <v>6</v>
      </c>
      <c r="E5159">
        <f t="shared" si="161"/>
        <v>5.4419194143262919E-2</v>
      </c>
    </row>
    <row r="5160" spans="1:5" x14ac:dyDescent="0.25">
      <c r="A5160">
        <v>0</v>
      </c>
      <c r="B5160">
        <v>0.15269461077844301</v>
      </c>
      <c r="C5160">
        <f t="shared" si="160"/>
        <v>1.4330602615955539</v>
      </c>
      <c r="D5160">
        <v>6</v>
      </c>
      <c r="E5160">
        <f t="shared" si="161"/>
        <v>5.4419194143262919E-2</v>
      </c>
    </row>
    <row r="5161" spans="1:5" x14ac:dyDescent="0.25">
      <c r="A5161">
        <v>0</v>
      </c>
      <c r="B5161">
        <v>0.153153153153153</v>
      </c>
      <c r="C5161">
        <f t="shared" si="160"/>
        <v>1.431655860681428</v>
      </c>
      <c r="D5161">
        <v>6</v>
      </c>
      <c r="E5161">
        <f t="shared" si="161"/>
        <v>5.4419194143262919E-2</v>
      </c>
    </row>
    <row r="5162" spans="1:5" x14ac:dyDescent="0.25">
      <c r="A5162">
        <v>0</v>
      </c>
      <c r="B5162">
        <v>0.15333333333333299</v>
      </c>
      <c r="C5162">
        <f t="shared" si="160"/>
        <v>1.4311029990372199</v>
      </c>
      <c r="D5162">
        <v>6</v>
      </c>
      <c r="E5162">
        <f t="shared" si="161"/>
        <v>5.4419194143262919E-2</v>
      </c>
    </row>
    <row r="5163" spans="1:5" x14ac:dyDescent="0.25">
      <c r="A5163">
        <v>0</v>
      </c>
      <c r="B5163">
        <v>0.15333333333333299</v>
      </c>
      <c r="C5163">
        <f t="shared" si="160"/>
        <v>1.4311029990372199</v>
      </c>
      <c r="D5163">
        <v>6</v>
      </c>
      <c r="E5163">
        <f t="shared" si="161"/>
        <v>5.4419194143262919E-2</v>
      </c>
    </row>
    <row r="5164" spans="1:5" x14ac:dyDescent="0.25">
      <c r="A5164">
        <v>0</v>
      </c>
      <c r="B5164">
        <v>0.15333333333333299</v>
      </c>
      <c r="C5164">
        <f t="shared" si="160"/>
        <v>1.4311029990372199</v>
      </c>
      <c r="D5164">
        <v>6</v>
      </c>
      <c r="E5164">
        <f t="shared" si="161"/>
        <v>5.4419194143262919E-2</v>
      </c>
    </row>
    <row r="5165" spans="1:5" x14ac:dyDescent="0.25">
      <c r="A5165">
        <v>0</v>
      </c>
      <c r="B5165">
        <v>0.154</v>
      </c>
      <c r="C5165">
        <f t="shared" si="160"/>
        <v>1.429052450608054</v>
      </c>
      <c r="D5165">
        <v>6</v>
      </c>
      <c r="E5165">
        <f t="shared" si="161"/>
        <v>5.4419194143262919E-2</v>
      </c>
    </row>
    <row r="5166" spans="1:5" x14ac:dyDescent="0.25">
      <c r="A5166">
        <v>0</v>
      </c>
      <c r="B5166">
        <v>0.154</v>
      </c>
      <c r="C5166">
        <f t="shared" si="160"/>
        <v>1.429052450608054</v>
      </c>
      <c r="D5166">
        <v>6</v>
      </c>
      <c r="E5166">
        <f t="shared" si="161"/>
        <v>5.4419194143262919E-2</v>
      </c>
    </row>
    <row r="5167" spans="1:5" x14ac:dyDescent="0.25">
      <c r="A5167">
        <v>0</v>
      </c>
      <c r="B5167">
        <v>0.155</v>
      </c>
      <c r="C5167">
        <f t="shared" si="160"/>
        <v>1.4259620571381535</v>
      </c>
      <c r="D5167">
        <v>6</v>
      </c>
      <c r="E5167">
        <f t="shared" si="161"/>
        <v>5.4419194143262919E-2</v>
      </c>
    </row>
    <row r="5168" spans="1:5" x14ac:dyDescent="0.25">
      <c r="A5168">
        <v>0</v>
      </c>
      <c r="B5168">
        <v>0.155</v>
      </c>
      <c r="C5168">
        <f t="shared" si="160"/>
        <v>1.4259620571381535</v>
      </c>
      <c r="D5168">
        <v>6</v>
      </c>
      <c r="E5168">
        <f t="shared" si="161"/>
        <v>5.4419194143262919E-2</v>
      </c>
    </row>
    <row r="5169" spans="1:5" x14ac:dyDescent="0.25">
      <c r="A5169">
        <v>0</v>
      </c>
      <c r="B5169">
        <v>0.155</v>
      </c>
      <c r="C5169">
        <f t="shared" si="160"/>
        <v>1.4259620571381535</v>
      </c>
      <c r="D5169">
        <v>6</v>
      </c>
      <c r="E5169">
        <f t="shared" si="161"/>
        <v>5.4419194143262919E-2</v>
      </c>
    </row>
    <row r="5170" spans="1:5" x14ac:dyDescent="0.25">
      <c r="A5170">
        <v>0</v>
      </c>
      <c r="B5170">
        <v>0.156</v>
      </c>
      <c r="C5170">
        <f t="shared" si="160"/>
        <v>1.422854305090449</v>
      </c>
      <c r="D5170">
        <v>6</v>
      </c>
      <c r="E5170">
        <f t="shared" si="161"/>
        <v>5.4419194143262919E-2</v>
      </c>
    </row>
    <row r="5171" spans="1:5" x14ac:dyDescent="0.25">
      <c r="A5171">
        <v>0</v>
      </c>
      <c r="B5171">
        <v>0.156</v>
      </c>
      <c r="C5171">
        <f t="shared" si="160"/>
        <v>1.422854305090449</v>
      </c>
      <c r="D5171">
        <v>6</v>
      </c>
      <c r="E5171">
        <f t="shared" si="161"/>
        <v>5.4419194143262919E-2</v>
      </c>
    </row>
    <row r="5172" spans="1:5" x14ac:dyDescent="0.25">
      <c r="A5172">
        <v>0</v>
      </c>
      <c r="B5172">
        <v>0.156156156156156</v>
      </c>
      <c r="C5172">
        <f t="shared" si="160"/>
        <v>1.422367452762709</v>
      </c>
      <c r="D5172">
        <v>6</v>
      </c>
      <c r="E5172">
        <f t="shared" si="161"/>
        <v>5.4419194143262919E-2</v>
      </c>
    </row>
    <row r="5173" spans="1:5" x14ac:dyDescent="0.25">
      <c r="A5173">
        <v>0</v>
      </c>
      <c r="B5173">
        <v>0.156156156156156</v>
      </c>
      <c r="C5173">
        <f t="shared" si="160"/>
        <v>1.422367452762709</v>
      </c>
      <c r="D5173">
        <v>6</v>
      </c>
      <c r="E5173">
        <f t="shared" si="161"/>
        <v>5.4419194143262919E-2</v>
      </c>
    </row>
    <row r="5174" spans="1:5" x14ac:dyDescent="0.25">
      <c r="A5174">
        <v>0</v>
      </c>
      <c r="B5174">
        <v>0.15625</v>
      </c>
      <c r="C5174">
        <f t="shared" si="160"/>
        <v>1.4220746715154029</v>
      </c>
      <c r="D5174">
        <v>6</v>
      </c>
      <c r="E5174">
        <f t="shared" si="161"/>
        <v>5.4419194143262919E-2</v>
      </c>
    </row>
    <row r="5175" spans="1:5" x14ac:dyDescent="0.25">
      <c r="A5175">
        <v>0</v>
      </c>
      <c r="B5175">
        <v>0.15654205607476601</v>
      </c>
      <c r="C5175">
        <f t="shared" si="160"/>
        <v>1.4211625248892172</v>
      </c>
      <c r="D5175">
        <v>6</v>
      </c>
      <c r="E5175">
        <f t="shared" si="161"/>
        <v>5.4419194143262919E-2</v>
      </c>
    </row>
    <row r="5176" spans="1:5" x14ac:dyDescent="0.25">
      <c r="A5176">
        <v>0</v>
      </c>
      <c r="B5176">
        <v>0.156626506024096</v>
      </c>
      <c r="C5176">
        <f t="shared" si="160"/>
        <v>1.420898499026632</v>
      </c>
      <c r="D5176">
        <v>6</v>
      </c>
      <c r="E5176">
        <f t="shared" si="161"/>
        <v>5.4419194143262919E-2</v>
      </c>
    </row>
    <row r="5177" spans="1:5" x14ac:dyDescent="0.25">
      <c r="A5177">
        <v>0</v>
      </c>
      <c r="B5177">
        <v>0.157</v>
      </c>
      <c r="C5177">
        <f t="shared" si="160"/>
        <v>1.4197293372023307</v>
      </c>
      <c r="D5177">
        <v>6</v>
      </c>
      <c r="E5177">
        <f t="shared" si="161"/>
        <v>5.4419194143262919E-2</v>
      </c>
    </row>
    <row r="5178" spans="1:5" x14ac:dyDescent="0.25">
      <c r="A5178">
        <v>0</v>
      </c>
      <c r="B5178">
        <v>0.15733333333333299</v>
      </c>
      <c r="C5178">
        <f t="shared" si="160"/>
        <v>1.4186838802487562</v>
      </c>
      <c r="D5178">
        <v>6</v>
      </c>
      <c r="E5178">
        <f t="shared" si="161"/>
        <v>5.4419194143262919E-2</v>
      </c>
    </row>
    <row r="5179" spans="1:5" x14ac:dyDescent="0.25">
      <c r="A5179">
        <v>0</v>
      </c>
      <c r="B5179">
        <v>0.15733333333333299</v>
      </c>
      <c r="C5179">
        <f t="shared" si="160"/>
        <v>1.4186838802487562</v>
      </c>
      <c r="D5179">
        <v>6</v>
      </c>
      <c r="E5179">
        <f t="shared" si="161"/>
        <v>5.4419194143262919E-2</v>
      </c>
    </row>
    <row r="5180" spans="1:5" x14ac:dyDescent="0.25">
      <c r="A5180">
        <v>0</v>
      </c>
      <c r="B5180">
        <v>0.158</v>
      </c>
      <c r="C5180">
        <f t="shared" si="160"/>
        <v>1.4165872967706121</v>
      </c>
      <c r="D5180">
        <v>6</v>
      </c>
      <c r="E5180">
        <f t="shared" si="161"/>
        <v>5.4419194143262919E-2</v>
      </c>
    </row>
    <row r="5181" spans="1:5" x14ac:dyDescent="0.25">
      <c r="A5181">
        <v>0</v>
      </c>
      <c r="B5181">
        <v>0.158508158508158</v>
      </c>
      <c r="C5181">
        <f t="shared" si="160"/>
        <v>1.4149841461959558</v>
      </c>
      <c r="D5181">
        <v>6</v>
      </c>
      <c r="E5181">
        <f t="shared" si="161"/>
        <v>5.4419194143262919E-2</v>
      </c>
    </row>
    <row r="5182" spans="1:5" x14ac:dyDescent="0.25">
      <c r="A5182">
        <v>0</v>
      </c>
      <c r="B5182">
        <v>0.158508158508158</v>
      </c>
      <c r="C5182">
        <f t="shared" si="160"/>
        <v>1.4149841461959558</v>
      </c>
      <c r="D5182">
        <v>6</v>
      </c>
      <c r="E5182">
        <f t="shared" si="161"/>
        <v>5.4419194143262919E-2</v>
      </c>
    </row>
    <row r="5183" spans="1:5" x14ac:dyDescent="0.25">
      <c r="A5183">
        <v>0</v>
      </c>
      <c r="B5183">
        <v>0.158508158508158</v>
      </c>
      <c r="C5183">
        <f t="shared" si="160"/>
        <v>1.4149841461959558</v>
      </c>
      <c r="D5183">
        <v>6</v>
      </c>
      <c r="E5183">
        <f t="shared" si="161"/>
        <v>5.4419194143262919E-2</v>
      </c>
    </row>
    <row r="5184" spans="1:5" x14ac:dyDescent="0.25">
      <c r="A5184">
        <v>0</v>
      </c>
      <c r="B5184">
        <v>0.15866666666666701</v>
      </c>
      <c r="C5184">
        <f t="shared" si="160"/>
        <v>1.4144831894155094</v>
      </c>
      <c r="D5184">
        <v>6</v>
      </c>
      <c r="E5184">
        <f t="shared" si="161"/>
        <v>5.4419194143262919E-2</v>
      </c>
    </row>
    <row r="5185" spans="1:5" x14ac:dyDescent="0.25">
      <c r="A5185">
        <v>0</v>
      </c>
      <c r="B5185">
        <v>0.15866666666666701</v>
      </c>
      <c r="C5185">
        <f t="shared" si="160"/>
        <v>1.4144831894155094</v>
      </c>
      <c r="D5185">
        <v>6</v>
      </c>
      <c r="E5185">
        <f t="shared" si="161"/>
        <v>5.4419194143262919E-2</v>
      </c>
    </row>
    <row r="5186" spans="1:5" x14ac:dyDescent="0.25">
      <c r="A5186">
        <v>0</v>
      </c>
      <c r="B5186">
        <v>0.15868263473053901</v>
      </c>
      <c r="C5186">
        <f t="shared" ref="C5186:C5249" si="162">_xlfn.NORM.DIST(B5186,I$10,I$13,FALSE)</f>
        <v>1.4144326997235028</v>
      </c>
      <c r="D5186">
        <v>6</v>
      </c>
      <c r="E5186">
        <f t="shared" si="161"/>
        <v>5.4419194143262919E-2</v>
      </c>
    </row>
    <row r="5187" spans="1:5" x14ac:dyDescent="0.25">
      <c r="A5187">
        <v>0</v>
      </c>
      <c r="B5187">
        <v>0.159</v>
      </c>
      <c r="C5187">
        <f t="shared" si="162"/>
        <v>1.4134283276406256</v>
      </c>
      <c r="D5187">
        <v>6</v>
      </c>
      <c r="E5187">
        <f t="shared" ref="E5187:E5250" si="163">_xlfn.NORM.DIST(D5187,I$4,I$7,FALSE)</f>
        <v>5.4419194143262919E-2</v>
      </c>
    </row>
    <row r="5188" spans="1:5" x14ac:dyDescent="0.25">
      <c r="A5188">
        <v>0</v>
      </c>
      <c r="B5188">
        <v>0.15909090909090901</v>
      </c>
      <c r="C5188">
        <f t="shared" si="162"/>
        <v>1.4131403141749992</v>
      </c>
      <c r="D5188">
        <v>6</v>
      </c>
      <c r="E5188">
        <f t="shared" si="163"/>
        <v>5.4419194143262919E-2</v>
      </c>
    </row>
    <row r="5189" spans="1:5" x14ac:dyDescent="0.25">
      <c r="A5189">
        <v>0</v>
      </c>
      <c r="B5189">
        <v>0.16</v>
      </c>
      <c r="C5189">
        <f t="shared" si="162"/>
        <v>1.4102525741952989</v>
      </c>
      <c r="D5189">
        <v>6</v>
      </c>
      <c r="E5189">
        <f t="shared" si="163"/>
        <v>5.4419194143262919E-2</v>
      </c>
    </row>
    <row r="5190" spans="1:5" x14ac:dyDescent="0.25">
      <c r="A5190">
        <v>0</v>
      </c>
      <c r="B5190">
        <v>0.16</v>
      </c>
      <c r="C5190">
        <f t="shared" si="162"/>
        <v>1.4102525741952989</v>
      </c>
      <c r="D5190">
        <v>6</v>
      </c>
      <c r="E5190">
        <f t="shared" si="163"/>
        <v>5.4419194143262919E-2</v>
      </c>
    </row>
    <row r="5191" spans="1:5" x14ac:dyDescent="0.25">
      <c r="A5191">
        <v>0</v>
      </c>
      <c r="B5191">
        <v>0.16</v>
      </c>
      <c r="C5191">
        <f t="shared" si="162"/>
        <v>1.4102525741952989</v>
      </c>
      <c r="D5191">
        <v>6</v>
      </c>
      <c r="E5191">
        <f t="shared" si="163"/>
        <v>5.4419194143262919E-2</v>
      </c>
    </row>
    <row r="5192" spans="1:5" x14ac:dyDescent="0.25">
      <c r="A5192">
        <v>0</v>
      </c>
      <c r="B5192">
        <v>0.16</v>
      </c>
      <c r="C5192">
        <f t="shared" si="162"/>
        <v>1.4102525741952989</v>
      </c>
      <c r="D5192">
        <v>6</v>
      </c>
      <c r="E5192">
        <f t="shared" si="163"/>
        <v>5.4419194143262919E-2</v>
      </c>
    </row>
    <row r="5193" spans="1:5" x14ac:dyDescent="0.25">
      <c r="A5193">
        <v>0</v>
      </c>
      <c r="B5193">
        <v>0.16066666666666701</v>
      </c>
      <c r="C5193">
        <f t="shared" si="162"/>
        <v>1.4081261521510553</v>
      </c>
      <c r="D5193">
        <v>6</v>
      </c>
      <c r="E5193">
        <f t="shared" si="163"/>
        <v>5.4419194143262919E-2</v>
      </c>
    </row>
    <row r="5194" spans="1:5" x14ac:dyDescent="0.25">
      <c r="A5194">
        <v>0</v>
      </c>
      <c r="B5194">
        <v>0.161</v>
      </c>
      <c r="C5194">
        <f t="shared" si="162"/>
        <v>1.4070601813442076</v>
      </c>
      <c r="D5194">
        <v>6</v>
      </c>
      <c r="E5194">
        <f t="shared" si="163"/>
        <v>5.4419194143262919E-2</v>
      </c>
    </row>
    <row r="5195" spans="1:5" x14ac:dyDescent="0.25">
      <c r="A5195">
        <v>0</v>
      </c>
      <c r="B5195">
        <v>0.161</v>
      </c>
      <c r="C5195">
        <f t="shared" si="162"/>
        <v>1.4070601813442076</v>
      </c>
      <c r="D5195">
        <v>6</v>
      </c>
      <c r="E5195">
        <f t="shared" si="163"/>
        <v>5.4419194143262919E-2</v>
      </c>
    </row>
    <row r="5196" spans="1:5" x14ac:dyDescent="0.25">
      <c r="A5196">
        <v>0</v>
      </c>
      <c r="B5196">
        <v>0.161214953271028</v>
      </c>
      <c r="C5196">
        <f t="shared" si="162"/>
        <v>1.4063718073106579</v>
      </c>
      <c r="D5196">
        <v>6</v>
      </c>
      <c r="E5196">
        <f t="shared" si="163"/>
        <v>5.4419194143262919E-2</v>
      </c>
    </row>
    <row r="5197" spans="1:5" x14ac:dyDescent="0.25">
      <c r="A5197">
        <v>0</v>
      </c>
      <c r="B5197">
        <v>0.161214953271028</v>
      </c>
      <c r="C5197">
        <f t="shared" si="162"/>
        <v>1.4063718073106579</v>
      </c>
      <c r="D5197">
        <v>6</v>
      </c>
      <c r="E5197">
        <f t="shared" si="163"/>
        <v>5.4419194143262919E-2</v>
      </c>
    </row>
    <row r="5198" spans="1:5" x14ac:dyDescent="0.25">
      <c r="A5198">
        <v>0</v>
      </c>
      <c r="B5198">
        <v>0.161333333333333</v>
      </c>
      <c r="C5198">
        <f t="shared" si="162"/>
        <v>1.4059923778687051</v>
      </c>
      <c r="D5198">
        <v>6</v>
      </c>
      <c r="E5198">
        <f t="shared" si="163"/>
        <v>5.4419194143262919E-2</v>
      </c>
    </row>
    <row r="5199" spans="1:5" x14ac:dyDescent="0.25">
      <c r="A5199">
        <v>0</v>
      </c>
      <c r="B5199">
        <v>0.161333333333333</v>
      </c>
      <c r="C5199">
        <f t="shared" si="162"/>
        <v>1.4059923778687051</v>
      </c>
      <c r="D5199">
        <v>6</v>
      </c>
      <c r="E5199">
        <f t="shared" si="163"/>
        <v>5.4419194143262919E-2</v>
      </c>
    </row>
    <row r="5200" spans="1:5" x14ac:dyDescent="0.25">
      <c r="A5200">
        <v>0</v>
      </c>
      <c r="B5200">
        <v>0.16200000000000001</v>
      </c>
      <c r="C5200">
        <f t="shared" si="162"/>
        <v>1.4038512945126105</v>
      </c>
      <c r="D5200">
        <v>6</v>
      </c>
      <c r="E5200">
        <f t="shared" si="163"/>
        <v>5.4419194143262919E-2</v>
      </c>
    </row>
    <row r="5201" spans="1:5" x14ac:dyDescent="0.25">
      <c r="A5201">
        <v>0</v>
      </c>
      <c r="B5201">
        <v>0.162162162162162</v>
      </c>
      <c r="C5201">
        <f t="shared" si="162"/>
        <v>1.4033293901720332</v>
      </c>
      <c r="D5201">
        <v>6</v>
      </c>
      <c r="E5201">
        <f t="shared" si="163"/>
        <v>5.4419194143262919E-2</v>
      </c>
    </row>
    <row r="5202" spans="1:5" x14ac:dyDescent="0.25">
      <c r="A5202">
        <v>0</v>
      </c>
      <c r="B5202">
        <v>0.162162162162162</v>
      </c>
      <c r="C5202">
        <f t="shared" si="162"/>
        <v>1.4033293901720332</v>
      </c>
      <c r="D5202">
        <v>6</v>
      </c>
      <c r="E5202">
        <f t="shared" si="163"/>
        <v>5.4419194143262919E-2</v>
      </c>
    </row>
    <row r="5203" spans="1:5" x14ac:dyDescent="0.25">
      <c r="A5203">
        <v>0</v>
      </c>
      <c r="B5203">
        <v>0.162162162162162</v>
      </c>
      <c r="C5203">
        <f t="shared" si="162"/>
        <v>1.4033293901720332</v>
      </c>
      <c r="D5203">
        <v>6</v>
      </c>
      <c r="E5203">
        <f t="shared" si="163"/>
        <v>5.4419194143262919E-2</v>
      </c>
    </row>
    <row r="5204" spans="1:5" x14ac:dyDescent="0.25">
      <c r="A5204">
        <v>0</v>
      </c>
      <c r="B5204">
        <v>0.162162162162162</v>
      </c>
      <c r="C5204">
        <f t="shared" si="162"/>
        <v>1.4033293901720332</v>
      </c>
      <c r="D5204">
        <v>6</v>
      </c>
      <c r="E5204">
        <f t="shared" si="163"/>
        <v>5.4419194143262919E-2</v>
      </c>
    </row>
    <row r="5205" spans="1:5" x14ac:dyDescent="0.25">
      <c r="A5205">
        <v>0</v>
      </c>
      <c r="B5205">
        <v>0.162162162162162</v>
      </c>
      <c r="C5205">
        <f t="shared" si="162"/>
        <v>1.4033293901720332</v>
      </c>
      <c r="D5205">
        <v>6</v>
      </c>
      <c r="E5205">
        <f t="shared" si="163"/>
        <v>5.4419194143262919E-2</v>
      </c>
    </row>
    <row r="5206" spans="1:5" x14ac:dyDescent="0.25">
      <c r="A5206">
        <v>0</v>
      </c>
      <c r="B5206">
        <v>0.162162162162162</v>
      </c>
      <c r="C5206">
        <f t="shared" si="162"/>
        <v>1.4033293901720332</v>
      </c>
      <c r="D5206">
        <v>6</v>
      </c>
      <c r="E5206">
        <f t="shared" si="163"/>
        <v>5.4419194143262919E-2</v>
      </c>
    </row>
    <row r="5207" spans="1:5" x14ac:dyDescent="0.25">
      <c r="A5207">
        <v>0</v>
      </c>
      <c r="B5207">
        <v>0.162162162162162</v>
      </c>
      <c r="C5207">
        <f t="shared" si="162"/>
        <v>1.4033293901720332</v>
      </c>
      <c r="D5207">
        <v>6</v>
      </c>
      <c r="E5207">
        <f t="shared" si="163"/>
        <v>5.4419194143262919E-2</v>
      </c>
    </row>
    <row r="5208" spans="1:5" x14ac:dyDescent="0.25">
      <c r="A5208">
        <v>0</v>
      </c>
      <c r="B5208">
        <v>0.162162162162162</v>
      </c>
      <c r="C5208">
        <f t="shared" si="162"/>
        <v>1.4033293901720332</v>
      </c>
      <c r="D5208">
        <v>6</v>
      </c>
      <c r="E5208">
        <f t="shared" si="163"/>
        <v>5.4419194143262919E-2</v>
      </c>
    </row>
    <row r="5209" spans="1:5" x14ac:dyDescent="0.25">
      <c r="A5209">
        <v>0</v>
      </c>
      <c r="B5209">
        <v>0.163333333333333</v>
      </c>
      <c r="C5209">
        <f t="shared" si="162"/>
        <v>1.3995473737300741</v>
      </c>
      <c r="D5209">
        <v>6</v>
      </c>
      <c r="E5209">
        <f t="shared" si="163"/>
        <v>5.4419194143262919E-2</v>
      </c>
    </row>
    <row r="5210" spans="1:5" x14ac:dyDescent="0.25">
      <c r="A5210">
        <v>0</v>
      </c>
      <c r="B5210">
        <v>0.16355140186915901</v>
      </c>
      <c r="C5210">
        <f t="shared" si="162"/>
        <v>1.3988407198955262</v>
      </c>
      <c r="D5210">
        <v>6</v>
      </c>
      <c r="E5210">
        <f t="shared" si="163"/>
        <v>5.4419194143262919E-2</v>
      </c>
    </row>
    <row r="5211" spans="1:5" x14ac:dyDescent="0.25">
      <c r="A5211">
        <v>0</v>
      </c>
      <c r="B5211">
        <v>0.16355140186915901</v>
      </c>
      <c r="C5211">
        <f t="shared" si="162"/>
        <v>1.3988407198955262</v>
      </c>
      <c r="D5211">
        <v>6</v>
      </c>
      <c r="E5211">
        <f t="shared" si="163"/>
        <v>5.4419194143262919E-2</v>
      </c>
    </row>
    <row r="5212" spans="1:5" x14ac:dyDescent="0.25">
      <c r="A5212">
        <v>0</v>
      </c>
      <c r="B5212">
        <v>0.16355140186915901</v>
      </c>
      <c r="C5212">
        <f t="shared" si="162"/>
        <v>1.3988407198955262</v>
      </c>
      <c r="D5212">
        <v>6</v>
      </c>
      <c r="E5212">
        <f t="shared" si="163"/>
        <v>5.4419194143262919E-2</v>
      </c>
    </row>
    <row r="5213" spans="1:5" x14ac:dyDescent="0.25">
      <c r="A5213">
        <v>0</v>
      </c>
      <c r="B5213">
        <v>0.16400000000000001</v>
      </c>
      <c r="C5213">
        <f t="shared" si="162"/>
        <v>1.3973846231214169</v>
      </c>
      <c r="D5213">
        <v>6</v>
      </c>
      <c r="E5213">
        <f t="shared" si="163"/>
        <v>5.4419194143262919E-2</v>
      </c>
    </row>
    <row r="5214" spans="1:5" x14ac:dyDescent="0.25">
      <c r="A5214">
        <v>0</v>
      </c>
      <c r="B5214">
        <v>0.16400000000000001</v>
      </c>
      <c r="C5214">
        <f t="shared" si="162"/>
        <v>1.3973846231214169</v>
      </c>
      <c r="D5214">
        <v>6</v>
      </c>
      <c r="E5214">
        <f t="shared" si="163"/>
        <v>5.4419194143262919E-2</v>
      </c>
    </row>
    <row r="5215" spans="1:5" x14ac:dyDescent="0.25">
      <c r="A5215">
        <v>0</v>
      </c>
      <c r="B5215">
        <v>0.16400000000000001</v>
      </c>
      <c r="C5215">
        <f t="shared" si="162"/>
        <v>1.3973846231214169</v>
      </c>
      <c r="D5215">
        <v>6</v>
      </c>
      <c r="E5215">
        <f t="shared" si="163"/>
        <v>5.4419194143262919E-2</v>
      </c>
    </row>
    <row r="5216" spans="1:5" x14ac:dyDescent="0.25">
      <c r="A5216">
        <v>0</v>
      </c>
      <c r="B5216">
        <v>0.16400000000000001</v>
      </c>
      <c r="C5216">
        <f t="shared" si="162"/>
        <v>1.3973846231214169</v>
      </c>
      <c r="D5216">
        <v>6</v>
      </c>
      <c r="E5216">
        <f t="shared" si="163"/>
        <v>5.4419194143262919E-2</v>
      </c>
    </row>
    <row r="5217" spans="1:5" x14ac:dyDescent="0.25">
      <c r="A5217">
        <v>0</v>
      </c>
      <c r="B5217">
        <v>0.16400000000000001</v>
      </c>
      <c r="C5217">
        <f t="shared" si="162"/>
        <v>1.3973846231214169</v>
      </c>
      <c r="D5217">
        <v>6</v>
      </c>
      <c r="E5217">
        <f t="shared" si="163"/>
        <v>5.4419194143262919E-2</v>
      </c>
    </row>
    <row r="5218" spans="1:5" x14ac:dyDescent="0.25">
      <c r="A5218">
        <v>0</v>
      </c>
      <c r="B5218">
        <v>0.164670658682635</v>
      </c>
      <c r="C5218">
        <f t="shared" si="162"/>
        <v>1.3952017223383815</v>
      </c>
      <c r="D5218">
        <v>6</v>
      </c>
      <c r="E5218">
        <f t="shared" si="163"/>
        <v>5.4419194143262919E-2</v>
      </c>
    </row>
    <row r="5219" spans="1:5" x14ac:dyDescent="0.25">
      <c r="A5219">
        <v>0</v>
      </c>
      <c r="B5219">
        <v>0.164670658682635</v>
      </c>
      <c r="C5219">
        <f t="shared" si="162"/>
        <v>1.3952017223383815</v>
      </c>
      <c r="D5219">
        <v>6</v>
      </c>
      <c r="E5219">
        <f t="shared" si="163"/>
        <v>5.4419194143262919E-2</v>
      </c>
    </row>
    <row r="5220" spans="1:5" x14ac:dyDescent="0.25">
      <c r="A5220">
        <v>0</v>
      </c>
      <c r="B5220">
        <v>0.16500000000000001</v>
      </c>
      <c r="C5220">
        <f t="shared" si="162"/>
        <v>1.3941271318917978</v>
      </c>
      <c r="D5220">
        <v>6</v>
      </c>
      <c r="E5220">
        <f t="shared" si="163"/>
        <v>5.4419194143262919E-2</v>
      </c>
    </row>
    <row r="5221" spans="1:5" x14ac:dyDescent="0.25">
      <c r="A5221">
        <v>0</v>
      </c>
      <c r="B5221">
        <v>0.165333333333333</v>
      </c>
      <c r="C5221">
        <f t="shared" si="162"/>
        <v>1.393037759225604</v>
      </c>
      <c r="D5221">
        <v>6</v>
      </c>
      <c r="E5221">
        <f t="shared" si="163"/>
        <v>5.4419194143262919E-2</v>
      </c>
    </row>
    <row r="5222" spans="1:5" x14ac:dyDescent="0.25">
      <c r="A5222">
        <v>0</v>
      </c>
      <c r="B5222">
        <v>0.16588785046728999</v>
      </c>
      <c r="C5222">
        <f t="shared" si="162"/>
        <v>1.3912216307751479</v>
      </c>
      <c r="D5222">
        <v>6</v>
      </c>
      <c r="E5222">
        <f t="shared" si="163"/>
        <v>5.4419194143262919E-2</v>
      </c>
    </row>
    <row r="5223" spans="1:5" x14ac:dyDescent="0.25">
      <c r="A5223">
        <v>0</v>
      </c>
      <c r="B5223">
        <v>0.16600000000000001</v>
      </c>
      <c r="C5223">
        <f t="shared" si="162"/>
        <v>1.3908537333195747</v>
      </c>
      <c r="D5223">
        <v>6</v>
      </c>
      <c r="E5223">
        <f t="shared" si="163"/>
        <v>5.4419194143262919E-2</v>
      </c>
    </row>
    <row r="5224" spans="1:5" x14ac:dyDescent="0.25">
      <c r="A5224">
        <v>0</v>
      </c>
      <c r="B5224">
        <v>0.16600000000000001</v>
      </c>
      <c r="C5224">
        <f t="shared" si="162"/>
        <v>1.3908537333195747</v>
      </c>
      <c r="D5224">
        <v>6</v>
      </c>
      <c r="E5224">
        <f t="shared" si="163"/>
        <v>5.4419194143262919E-2</v>
      </c>
    </row>
    <row r="5225" spans="1:5" x14ac:dyDescent="0.25">
      <c r="A5225">
        <v>0</v>
      </c>
      <c r="B5225">
        <v>0.16600000000000001</v>
      </c>
      <c r="C5225">
        <f t="shared" si="162"/>
        <v>1.3908537333195747</v>
      </c>
      <c r="D5225">
        <v>6</v>
      </c>
      <c r="E5225">
        <f t="shared" si="163"/>
        <v>5.4419194143262919E-2</v>
      </c>
    </row>
    <row r="5226" spans="1:5" x14ac:dyDescent="0.25">
      <c r="A5226">
        <v>0</v>
      </c>
      <c r="B5226">
        <v>0.16600000000000001</v>
      </c>
      <c r="C5226">
        <f t="shared" si="162"/>
        <v>1.3908537333195747</v>
      </c>
      <c r="D5226">
        <v>6</v>
      </c>
      <c r="E5226">
        <f t="shared" si="163"/>
        <v>5.4419194143262919E-2</v>
      </c>
    </row>
    <row r="5227" spans="1:5" x14ac:dyDescent="0.25">
      <c r="A5227">
        <v>0</v>
      </c>
      <c r="B5227">
        <v>0.16666666666666699</v>
      </c>
      <c r="C5227">
        <f t="shared" si="162"/>
        <v>1.3886627031802772</v>
      </c>
      <c r="D5227">
        <v>6</v>
      </c>
      <c r="E5227">
        <f t="shared" si="163"/>
        <v>5.4419194143262919E-2</v>
      </c>
    </row>
    <row r="5228" spans="1:5" x14ac:dyDescent="0.25">
      <c r="A5228">
        <v>0</v>
      </c>
      <c r="B5228">
        <v>0.167333333333333</v>
      </c>
      <c r="C5228">
        <f t="shared" si="162"/>
        <v>1.3864647127231831</v>
      </c>
      <c r="D5228">
        <v>6</v>
      </c>
      <c r="E5228">
        <f t="shared" si="163"/>
        <v>5.4419194143262919E-2</v>
      </c>
    </row>
    <row r="5229" spans="1:5" x14ac:dyDescent="0.25">
      <c r="A5229">
        <v>0</v>
      </c>
      <c r="B5229">
        <v>0.16800000000000001</v>
      </c>
      <c r="C5229">
        <f t="shared" si="162"/>
        <v>1.3842598059510949</v>
      </c>
      <c r="D5229">
        <v>6</v>
      </c>
      <c r="E5229">
        <f t="shared" si="163"/>
        <v>5.4419194143262919E-2</v>
      </c>
    </row>
    <row r="5230" spans="1:5" x14ac:dyDescent="0.25">
      <c r="A5230">
        <v>0</v>
      </c>
      <c r="B5230">
        <v>0.16866666666666699</v>
      </c>
      <c r="C5230">
        <f t="shared" si="162"/>
        <v>1.3820480269527027</v>
      </c>
      <c r="D5230">
        <v>6</v>
      </c>
      <c r="E5230">
        <f t="shared" si="163"/>
        <v>5.4419194143262919E-2</v>
      </c>
    </row>
    <row r="5231" spans="1:5" x14ac:dyDescent="0.25">
      <c r="A5231">
        <v>0</v>
      </c>
      <c r="B5231">
        <v>0.16867469879518099</v>
      </c>
      <c r="C5231">
        <f t="shared" si="162"/>
        <v>1.3820213372957635</v>
      </c>
      <c r="D5231">
        <v>6</v>
      </c>
      <c r="E5231">
        <f t="shared" si="163"/>
        <v>5.4419194143262919E-2</v>
      </c>
    </row>
    <row r="5232" spans="1:5" x14ac:dyDescent="0.25">
      <c r="A5232">
        <v>0</v>
      </c>
      <c r="B5232">
        <v>0.168831168831169</v>
      </c>
      <c r="C5232">
        <f t="shared" si="162"/>
        <v>1.381501211303358</v>
      </c>
      <c r="D5232">
        <v>6</v>
      </c>
      <c r="E5232">
        <f t="shared" si="163"/>
        <v>5.4419194143262919E-2</v>
      </c>
    </row>
    <row r="5233" spans="1:5" x14ac:dyDescent="0.25">
      <c r="A5233">
        <v>0</v>
      </c>
      <c r="B5233">
        <v>0.169333333333333</v>
      </c>
      <c r="C5233">
        <f t="shared" si="162"/>
        <v>1.379829419901117</v>
      </c>
      <c r="D5233">
        <v>6</v>
      </c>
      <c r="E5233">
        <f t="shared" si="163"/>
        <v>5.4419194143262919E-2</v>
      </c>
    </row>
    <row r="5234" spans="1:5" x14ac:dyDescent="0.25">
      <c r="A5234">
        <v>0</v>
      </c>
      <c r="B5234">
        <v>0.169333333333333</v>
      </c>
      <c r="C5234">
        <f t="shared" si="162"/>
        <v>1.379829419901117</v>
      </c>
      <c r="D5234">
        <v>6</v>
      </c>
      <c r="E5234">
        <f t="shared" si="163"/>
        <v>5.4419194143262919E-2</v>
      </c>
    </row>
    <row r="5235" spans="1:5" x14ac:dyDescent="0.25">
      <c r="A5235">
        <v>0</v>
      </c>
      <c r="B5235">
        <v>0.17</v>
      </c>
      <c r="C5235">
        <f t="shared" si="162"/>
        <v>1.3776040290523979</v>
      </c>
      <c r="D5235">
        <v>6</v>
      </c>
      <c r="E5235">
        <f t="shared" si="163"/>
        <v>5.4419194143262919E-2</v>
      </c>
    </row>
    <row r="5236" spans="1:5" x14ac:dyDescent="0.25">
      <c r="A5236">
        <v>0</v>
      </c>
      <c r="B5236">
        <v>0.17</v>
      </c>
      <c r="C5236">
        <f t="shared" si="162"/>
        <v>1.3776040290523979</v>
      </c>
      <c r="D5236">
        <v>6</v>
      </c>
      <c r="E5236">
        <f t="shared" si="163"/>
        <v>5.4419194143262919E-2</v>
      </c>
    </row>
    <row r="5237" spans="1:5" x14ac:dyDescent="0.25">
      <c r="A5237">
        <v>0</v>
      </c>
      <c r="B5237">
        <v>0.17</v>
      </c>
      <c r="C5237">
        <f t="shared" si="162"/>
        <v>1.3776040290523979</v>
      </c>
      <c r="D5237">
        <v>6</v>
      </c>
      <c r="E5237">
        <f t="shared" si="163"/>
        <v>5.4419194143262919E-2</v>
      </c>
    </row>
    <row r="5238" spans="1:5" x14ac:dyDescent="0.25">
      <c r="A5238">
        <v>0</v>
      </c>
      <c r="B5238">
        <v>0.17</v>
      </c>
      <c r="C5238">
        <f t="shared" si="162"/>
        <v>1.3776040290523979</v>
      </c>
      <c r="D5238">
        <v>6</v>
      </c>
      <c r="E5238">
        <f t="shared" si="163"/>
        <v>5.4419194143262919E-2</v>
      </c>
    </row>
    <row r="5239" spans="1:5" x14ac:dyDescent="0.25">
      <c r="A5239">
        <v>0</v>
      </c>
      <c r="B5239">
        <v>0.17</v>
      </c>
      <c r="C5239">
        <f t="shared" si="162"/>
        <v>1.3776040290523979</v>
      </c>
      <c r="D5239">
        <v>6</v>
      </c>
      <c r="E5239">
        <f t="shared" si="163"/>
        <v>5.4419194143262919E-2</v>
      </c>
    </row>
    <row r="5240" spans="1:5" x14ac:dyDescent="0.25">
      <c r="A5240">
        <v>0</v>
      </c>
      <c r="B5240">
        <v>0.17016317016317001</v>
      </c>
      <c r="C5240">
        <f t="shared" si="162"/>
        <v>1.3770583246453778</v>
      </c>
      <c r="D5240">
        <v>6</v>
      </c>
      <c r="E5240">
        <f t="shared" si="163"/>
        <v>5.4419194143262919E-2</v>
      </c>
    </row>
    <row r="5241" spans="1:5" x14ac:dyDescent="0.25">
      <c r="A5241">
        <v>0</v>
      </c>
      <c r="B5241">
        <v>0.17066666666666699</v>
      </c>
      <c r="C5241">
        <f t="shared" si="162"/>
        <v>1.3753718987441124</v>
      </c>
      <c r="D5241">
        <v>6</v>
      </c>
      <c r="E5241">
        <f t="shared" si="163"/>
        <v>5.4419194143262919E-2</v>
      </c>
    </row>
    <row r="5242" spans="1:5" x14ac:dyDescent="0.25">
      <c r="A5242">
        <v>0</v>
      </c>
      <c r="B5242">
        <v>0.17066666666666699</v>
      </c>
      <c r="C5242">
        <f t="shared" si="162"/>
        <v>1.3753718987441124</v>
      </c>
      <c r="D5242">
        <v>6</v>
      </c>
      <c r="E5242">
        <f t="shared" si="163"/>
        <v>5.4419194143262919E-2</v>
      </c>
    </row>
    <row r="5243" spans="1:5" x14ac:dyDescent="0.25">
      <c r="A5243">
        <v>0</v>
      </c>
      <c r="B5243">
        <v>0.17066666666666699</v>
      </c>
      <c r="C5243">
        <f t="shared" si="162"/>
        <v>1.3753718987441124</v>
      </c>
      <c r="D5243">
        <v>6</v>
      </c>
      <c r="E5243">
        <f t="shared" si="163"/>
        <v>5.4419194143262919E-2</v>
      </c>
    </row>
    <row r="5244" spans="1:5" x14ac:dyDescent="0.25">
      <c r="A5244">
        <v>0</v>
      </c>
      <c r="B5244">
        <v>0.171171171171171</v>
      </c>
      <c r="C5244">
        <f t="shared" si="162"/>
        <v>1.3736782663344096</v>
      </c>
      <c r="D5244">
        <v>6</v>
      </c>
      <c r="E5244">
        <f t="shared" si="163"/>
        <v>5.4419194143262919E-2</v>
      </c>
    </row>
    <row r="5245" spans="1:5" x14ac:dyDescent="0.25">
      <c r="A5245">
        <v>0</v>
      </c>
      <c r="B5245">
        <v>0.171171171171171</v>
      </c>
      <c r="C5245">
        <f t="shared" si="162"/>
        <v>1.3736782663344096</v>
      </c>
      <c r="D5245">
        <v>6</v>
      </c>
      <c r="E5245">
        <f t="shared" si="163"/>
        <v>5.4419194143262919E-2</v>
      </c>
    </row>
    <row r="5246" spans="1:5" x14ac:dyDescent="0.25">
      <c r="A5246">
        <v>0</v>
      </c>
      <c r="B5246">
        <v>0.17166666666666699</v>
      </c>
      <c r="C5246">
        <f t="shared" si="162"/>
        <v>1.3720111639800217</v>
      </c>
      <c r="D5246">
        <v>6</v>
      </c>
      <c r="E5246">
        <f t="shared" si="163"/>
        <v>5.4419194143262919E-2</v>
      </c>
    </row>
    <row r="5247" spans="1:5" x14ac:dyDescent="0.25">
      <c r="A5247">
        <v>0</v>
      </c>
      <c r="B5247">
        <v>0.17199999999999999</v>
      </c>
      <c r="C5247">
        <f t="shared" si="162"/>
        <v>1.3708875974978145</v>
      </c>
      <c r="D5247">
        <v>6</v>
      </c>
      <c r="E5247">
        <f t="shared" si="163"/>
        <v>5.4419194143262919E-2</v>
      </c>
    </row>
    <row r="5248" spans="1:5" x14ac:dyDescent="0.25">
      <c r="A5248">
        <v>0</v>
      </c>
      <c r="B5248">
        <v>0.17199999999999999</v>
      </c>
      <c r="C5248">
        <f t="shared" si="162"/>
        <v>1.3708875974978145</v>
      </c>
      <c r="D5248">
        <v>6</v>
      </c>
      <c r="E5248">
        <f t="shared" si="163"/>
        <v>5.4419194143262919E-2</v>
      </c>
    </row>
    <row r="5249" spans="1:5" x14ac:dyDescent="0.25">
      <c r="A5249">
        <v>0</v>
      </c>
      <c r="B5249">
        <v>0.17199999999999999</v>
      </c>
      <c r="C5249">
        <f t="shared" si="162"/>
        <v>1.3708875974978145</v>
      </c>
      <c r="D5249">
        <v>6</v>
      </c>
      <c r="E5249">
        <f t="shared" si="163"/>
        <v>5.4419194143262919E-2</v>
      </c>
    </row>
    <row r="5250" spans="1:5" x14ac:dyDescent="0.25">
      <c r="A5250">
        <v>0</v>
      </c>
      <c r="B5250">
        <v>0.17199999999999999</v>
      </c>
      <c r="C5250">
        <f t="shared" ref="C5250:C5313" si="164">_xlfn.NORM.DIST(B5250,I$10,I$13,FALSE)</f>
        <v>1.3708875974978145</v>
      </c>
      <c r="D5250">
        <v>6</v>
      </c>
      <c r="E5250">
        <f t="shared" si="163"/>
        <v>5.4419194143262919E-2</v>
      </c>
    </row>
    <row r="5251" spans="1:5" x14ac:dyDescent="0.25">
      <c r="A5251">
        <v>0</v>
      </c>
      <c r="B5251">
        <v>0.17249417249417201</v>
      </c>
      <c r="C5251">
        <f t="shared" si="164"/>
        <v>1.3692188531365133</v>
      </c>
      <c r="D5251">
        <v>6</v>
      </c>
      <c r="E5251">
        <f t="shared" ref="E5251:E5314" si="165">_xlfn.NORM.DIST(D5251,I$4,I$7,FALSE)</f>
        <v>5.4419194143262919E-2</v>
      </c>
    </row>
    <row r="5252" spans="1:5" x14ac:dyDescent="0.25">
      <c r="A5252">
        <v>0</v>
      </c>
      <c r="B5252">
        <v>0.17249417249417201</v>
      </c>
      <c r="C5252">
        <f t="shared" si="164"/>
        <v>1.3692188531365133</v>
      </c>
      <c r="D5252">
        <v>6</v>
      </c>
      <c r="E5252">
        <f t="shared" si="165"/>
        <v>5.4419194143262919E-2</v>
      </c>
    </row>
    <row r="5253" spans="1:5" x14ac:dyDescent="0.25">
      <c r="A5253">
        <v>0</v>
      </c>
      <c r="B5253">
        <v>0.17333333333333301</v>
      </c>
      <c r="C5253">
        <f t="shared" si="164"/>
        <v>1.3663768724371037</v>
      </c>
      <c r="D5253">
        <v>6</v>
      </c>
      <c r="E5253">
        <f t="shared" si="165"/>
        <v>5.4419194143262919E-2</v>
      </c>
    </row>
    <row r="5254" spans="1:5" x14ac:dyDescent="0.25">
      <c r="A5254">
        <v>0</v>
      </c>
      <c r="B5254">
        <v>0.17365269461077801</v>
      </c>
      <c r="C5254">
        <f t="shared" si="164"/>
        <v>1.3652925763394095</v>
      </c>
      <c r="D5254">
        <v>6</v>
      </c>
      <c r="E5254">
        <f t="shared" si="165"/>
        <v>5.4419194143262919E-2</v>
      </c>
    </row>
    <row r="5255" spans="1:5" x14ac:dyDescent="0.25">
      <c r="A5255">
        <v>0</v>
      </c>
      <c r="B5255">
        <v>0.17399999999999999</v>
      </c>
      <c r="C5255">
        <f t="shared" si="164"/>
        <v>1.3641117126444706</v>
      </c>
      <c r="D5255">
        <v>6</v>
      </c>
      <c r="E5255">
        <f t="shared" si="165"/>
        <v>5.4419194143262919E-2</v>
      </c>
    </row>
    <row r="5256" spans="1:5" x14ac:dyDescent="0.25">
      <c r="A5256">
        <v>0</v>
      </c>
      <c r="B5256">
        <v>0.17399999999999999</v>
      </c>
      <c r="C5256">
        <f t="shared" si="164"/>
        <v>1.3641117126444706</v>
      </c>
      <c r="D5256">
        <v>6</v>
      </c>
      <c r="E5256">
        <f t="shared" si="165"/>
        <v>5.4419194143262919E-2</v>
      </c>
    </row>
    <row r="5257" spans="1:5" x14ac:dyDescent="0.25">
      <c r="A5257">
        <v>0</v>
      </c>
      <c r="B5257">
        <v>0.174174174174174</v>
      </c>
      <c r="C5257">
        <f t="shared" si="164"/>
        <v>1.363518846030662</v>
      </c>
      <c r="D5257">
        <v>6</v>
      </c>
      <c r="E5257">
        <f t="shared" si="165"/>
        <v>5.4419194143262919E-2</v>
      </c>
    </row>
    <row r="5258" spans="1:5" x14ac:dyDescent="0.25">
      <c r="A5258">
        <v>0</v>
      </c>
      <c r="B5258">
        <v>0.17441860465116299</v>
      </c>
      <c r="C5258">
        <f t="shared" si="164"/>
        <v>1.362686092508909</v>
      </c>
      <c r="D5258">
        <v>6</v>
      </c>
      <c r="E5258">
        <f t="shared" si="165"/>
        <v>5.4419194143262919E-2</v>
      </c>
    </row>
    <row r="5259" spans="1:5" x14ac:dyDescent="0.25">
      <c r="A5259">
        <v>0</v>
      </c>
      <c r="B5259">
        <v>0.17482517482517501</v>
      </c>
      <c r="C5259">
        <f t="shared" si="164"/>
        <v>1.3612990254545712</v>
      </c>
      <c r="D5259">
        <v>6</v>
      </c>
      <c r="E5259">
        <f t="shared" si="165"/>
        <v>5.4419194143262919E-2</v>
      </c>
    </row>
    <row r="5260" spans="1:5" x14ac:dyDescent="0.25">
      <c r="A5260">
        <v>0</v>
      </c>
      <c r="B5260">
        <v>0.17499999999999999</v>
      </c>
      <c r="C5260">
        <f t="shared" si="164"/>
        <v>1.3607018523400063</v>
      </c>
      <c r="D5260">
        <v>6</v>
      </c>
      <c r="E5260">
        <f t="shared" si="165"/>
        <v>5.4419194143262919E-2</v>
      </c>
    </row>
    <row r="5261" spans="1:5" x14ac:dyDescent="0.25">
      <c r="A5261">
        <v>0</v>
      </c>
      <c r="B5261">
        <v>0.17523364485981299</v>
      </c>
      <c r="C5261">
        <f t="shared" si="164"/>
        <v>1.3599030736829256</v>
      </c>
      <c r="D5261">
        <v>6</v>
      </c>
      <c r="E5261">
        <f t="shared" si="165"/>
        <v>5.4419194143262919E-2</v>
      </c>
    </row>
    <row r="5262" spans="1:5" x14ac:dyDescent="0.25">
      <c r="A5262">
        <v>0</v>
      </c>
      <c r="B5262">
        <v>0.175438596491228</v>
      </c>
      <c r="C5262">
        <f t="shared" si="164"/>
        <v>1.3592017445092235</v>
      </c>
      <c r="D5262">
        <v>6</v>
      </c>
      <c r="E5262">
        <f t="shared" si="165"/>
        <v>5.4419194143262919E-2</v>
      </c>
    </row>
    <row r="5263" spans="1:5" x14ac:dyDescent="0.25">
      <c r="A5263">
        <v>0</v>
      </c>
      <c r="B5263">
        <v>0.17557251908396901</v>
      </c>
      <c r="C5263">
        <f t="shared" si="164"/>
        <v>1.3587431458430286</v>
      </c>
      <c r="D5263">
        <v>6</v>
      </c>
      <c r="E5263">
        <f t="shared" si="165"/>
        <v>5.4419194143262919E-2</v>
      </c>
    </row>
    <row r="5264" spans="1:5" x14ac:dyDescent="0.25">
      <c r="A5264">
        <v>0</v>
      </c>
      <c r="B5264">
        <v>0.17599999999999999</v>
      </c>
      <c r="C5264">
        <f t="shared" si="164"/>
        <v>1.3572775819767084</v>
      </c>
      <c r="D5264">
        <v>6</v>
      </c>
      <c r="E5264">
        <f t="shared" si="165"/>
        <v>5.4419194143262919E-2</v>
      </c>
    </row>
    <row r="5265" spans="1:5" x14ac:dyDescent="0.25">
      <c r="A5265">
        <v>0</v>
      </c>
      <c r="B5265">
        <v>0.17599999999999999</v>
      </c>
      <c r="C5265">
        <f t="shared" si="164"/>
        <v>1.3572775819767084</v>
      </c>
      <c r="D5265">
        <v>6</v>
      </c>
      <c r="E5265">
        <f t="shared" si="165"/>
        <v>5.4419194143262919E-2</v>
      </c>
    </row>
    <row r="5266" spans="1:5" x14ac:dyDescent="0.25">
      <c r="A5266">
        <v>0</v>
      </c>
      <c r="B5266">
        <v>0.176666666666667</v>
      </c>
      <c r="C5266">
        <f t="shared" si="164"/>
        <v>1.3549868044455657</v>
      </c>
      <c r="D5266">
        <v>6</v>
      </c>
      <c r="E5266">
        <f t="shared" si="165"/>
        <v>5.4419194143262919E-2</v>
      </c>
    </row>
    <row r="5267" spans="1:5" x14ac:dyDescent="0.25">
      <c r="A5267">
        <v>0</v>
      </c>
      <c r="B5267">
        <v>0.17715617715617701</v>
      </c>
      <c r="C5267">
        <f t="shared" si="164"/>
        <v>1.3533007563499642</v>
      </c>
      <c r="D5267">
        <v>6</v>
      </c>
      <c r="E5267">
        <f t="shared" si="165"/>
        <v>5.4419194143262919E-2</v>
      </c>
    </row>
    <row r="5268" spans="1:5" x14ac:dyDescent="0.25">
      <c r="A5268">
        <v>0</v>
      </c>
      <c r="B5268">
        <v>0.17715617715617701</v>
      </c>
      <c r="C5268">
        <f t="shared" si="164"/>
        <v>1.3533007563499642</v>
      </c>
      <c r="D5268">
        <v>6</v>
      </c>
      <c r="E5268">
        <f t="shared" si="165"/>
        <v>5.4419194143262919E-2</v>
      </c>
    </row>
    <row r="5269" spans="1:5" x14ac:dyDescent="0.25">
      <c r="A5269">
        <v>0</v>
      </c>
      <c r="B5269">
        <v>0.17715617715617701</v>
      </c>
      <c r="C5269">
        <f t="shared" si="164"/>
        <v>1.3533007563499642</v>
      </c>
      <c r="D5269">
        <v>6</v>
      </c>
      <c r="E5269">
        <f t="shared" si="165"/>
        <v>5.4419194143262919E-2</v>
      </c>
    </row>
    <row r="5270" spans="1:5" x14ac:dyDescent="0.25">
      <c r="A5270">
        <v>0</v>
      </c>
      <c r="B5270">
        <v>0.17715617715617701</v>
      </c>
      <c r="C5270">
        <f t="shared" si="164"/>
        <v>1.3533007563499642</v>
      </c>
      <c r="D5270">
        <v>6</v>
      </c>
      <c r="E5270">
        <f t="shared" si="165"/>
        <v>5.4419194143262919E-2</v>
      </c>
    </row>
    <row r="5271" spans="1:5" x14ac:dyDescent="0.25">
      <c r="A5271">
        <v>0</v>
      </c>
      <c r="B5271">
        <v>0.17733333333333301</v>
      </c>
      <c r="C5271">
        <f t="shared" si="164"/>
        <v>1.3526897349909184</v>
      </c>
      <c r="D5271">
        <v>6</v>
      </c>
      <c r="E5271">
        <f t="shared" si="165"/>
        <v>5.4419194143262919E-2</v>
      </c>
    </row>
    <row r="5272" spans="1:5" x14ac:dyDescent="0.25">
      <c r="A5272">
        <v>0</v>
      </c>
      <c r="B5272">
        <v>0.177570093457944</v>
      </c>
      <c r="C5272">
        <f t="shared" si="164"/>
        <v>1.3518724477998143</v>
      </c>
      <c r="D5272">
        <v>6</v>
      </c>
      <c r="E5272">
        <f t="shared" si="165"/>
        <v>5.4419194143262919E-2</v>
      </c>
    </row>
    <row r="5273" spans="1:5" x14ac:dyDescent="0.25">
      <c r="A5273">
        <v>0</v>
      </c>
      <c r="B5273">
        <v>0.17799999999999999</v>
      </c>
      <c r="C5273">
        <f t="shared" si="164"/>
        <v>1.3503864187501846</v>
      </c>
      <c r="D5273">
        <v>6</v>
      </c>
      <c r="E5273">
        <f t="shared" si="165"/>
        <v>5.4419194143262919E-2</v>
      </c>
    </row>
    <row r="5274" spans="1:5" x14ac:dyDescent="0.25">
      <c r="A5274">
        <v>0</v>
      </c>
      <c r="B5274">
        <v>0.17799999999999999</v>
      </c>
      <c r="C5274">
        <f t="shared" si="164"/>
        <v>1.3503864187501846</v>
      </c>
      <c r="D5274">
        <v>6</v>
      </c>
      <c r="E5274">
        <f t="shared" si="165"/>
        <v>5.4419194143262919E-2</v>
      </c>
    </row>
    <row r="5275" spans="1:5" x14ac:dyDescent="0.25">
      <c r="A5275">
        <v>0</v>
      </c>
      <c r="B5275">
        <v>0.17833333333333301</v>
      </c>
      <c r="C5275">
        <f t="shared" si="164"/>
        <v>1.3492324322080027</v>
      </c>
      <c r="D5275">
        <v>6</v>
      </c>
      <c r="E5275">
        <f t="shared" si="165"/>
        <v>5.4419194143262919E-2</v>
      </c>
    </row>
    <row r="5276" spans="1:5" x14ac:dyDescent="0.25">
      <c r="A5276">
        <v>0</v>
      </c>
      <c r="B5276">
        <v>0.178666666666667</v>
      </c>
      <c r="C5276">
        <f t="shared" si="164"/>
        <v>1.3480769009247162</v>
      </c>
      <c r="D5276">
        <v>6</v>
      </c>
      <c r="E5276">
        <f t="shared" si="165"/>
        <v>5.4419194143262919E-2</v>
      </c>
    </row>
    <row r="5277" spans="1:5" x14ac:dyDescent="0.25">
      <c r="A5277">
        <v>0</v>
      </c>
      <c r="B5277">
        <v>0.178666666666667</v>
      </c>
      <c r="C5277">
        <f t="shared" si="164"/>
        <v>1.3480769009247162</v>
      </c>
      <c r="D5277">
        <v>6</v>
      </c>
      <c r="E5277">
        <f t="shared" si="165"/>
        <v>5.4419194143262919E-2</v>
      </c>
    </row>
    <row r="5278" spans="1:5" x14ac:dyDescent="0.25">
      <c r="A5278">
        <v>0</v>
      </c>
      <c r="B5278">
        <v>0.178666666666667</v>
      </c>
      <c r="C5278">
        <f t="shared" si="164"/>
        <v>1.3480769009247162</v>
      </c>
      <c r="D5278">
        <v>6</v>
      </c>
      <c r="E5278">
        <f t="shared" si="165"/>
        <v>5.4419194143262919E-2</v>
      </c>
    </row>
    <row r="5279" spans="1:5" x14ac:dyDescent="0.25">
      <c r="A5279">
        <v>0</v>
      </c>
      <c r="B5279">
        <v>0.178666666666667</v>
      </c>
      <c r="C5279">
        <f t="shared" si="164"/>
        <v>1.3480769009247162</v>
      </c>
      <c r="D5279">
        <v>6</v>
      </c>
      <c r="E5279">
        <f t="shared" si="165"/>
        <v>5.4419194143262919E-2</v>
      </c>
    </row>
    <row r="5280" spans="1:5" x14ac:dyDescent="0.25">
      <c r="A5280">
        <v>0</v>
      </c>
      <c r="B5280">
        <v>0.18</v>
      </c>
      <c r="C5280">
        <f t="shared" si="164"/>
        <v>1.3434394416357986</v>
      </c>
      <c r="D5280">
        <v>6</v>
      </c>
      <c r="E5280">
        <f t="shared" si="165"/>
        <v>5.4419194143262919E-2</v>
      </c>
    </row>
    <row r="5281" spans="1:5" x14ac:dyDescent="0.25">
      <c r="A5281">
        <v>0</v>
      </c>
      <c r="B5281">
        <v>0.18</v>
      </c>
      <c r="C5281">
        <f t="shared" si="164"/>
        <v>1.3434394416357986</v>
      </c>
      <c r="D5281">
        <v>6</v>
      </c>
      <c r="E5281">
        <f t="shared" si="165"/>
        <v>5.4419194143262919E-2</v>
      </c>
    </row>
    <row r="5282" spans="1:5" x14ac:dyDescent="0.25">
      <c r="A5282">
        <v>0</v>
      </c>
      <c r="B5282">
        <v>0.18</v>
      </c>
      <c r="C5282">
        <f t="shared" si="164"/>
        <v>1.3434394416357986</v>
      </c>
      <c r="D5282">
        <v>6</v>
      </c>
      <c r="E5282">
        <f t="shared" si="165"/>
        <v>5.4419194143262919E-2</v>
      </c>
    </row>
    <row r="5283" spans="1:5" x14ac:dyDescent="0.25">
      <c r="A5283">
        <v>0</v>
      </c>
      <c r="B5283">
        <v>0.18</v>
      </c>
      <c r="C5283">
        <f t="shared" si="164"/>
        <v>1.3434394416357986</v>
      </c>
      <c r="D5283">
        <v>6</v>
      </c>
      <c r="E5283">
        <f t="shared" si="165"/>
        <v>5.4419194143262919E-2</v>
      </c>
    </row>
    <row r="5284" spans="1:5" x14ac:dyDescent="0.25">
      <c r="A5284">
        <v>0</v>
      </c>
      <c r="B5284">
        <v>0.18</v>
      </c>
      <c r="C5284">
        <f t="shared" si="164"/>
        <v>1.3434394416357986</v>
      </c>
      <c r="D5284">
        <v>6</v>
      </c>
      <c r="E5284">
        <f t="shared" si="165"/>
        <v>5.4419194143262919E-2</v>
      </c>
    </row>
    <row r="5285" spans="1:5" x14ac:dyDescent="0.25">
      <c r="A5285">
        <v>0</v>
      </c>
      <c r="B5285">
        <v>0.18</v>
      </c>
      <c r="C5285">
        <f t="shared" si="164"/>
        <v>1.3434394416357986</v>
      </c>
      <c r="D5285">
        <v>6</v>
      </c>
      <c r="E5285">
        <f t="shared" si="165"/>
        <v>5.4419194143262919E-2</v>
      </c>
    </row>
    <row r="5286" spans="1:5" x14ac:dyDescent="0.25">
      <c r="A5286">
        <v>0</v>
      </c>
      <c r="B5286">
        <v>0.18018018018018001</v>
      </c>
      <c r="C5286">
        <f t="shared" si="164"/>
        <v>1.3428108890297559</v>
      </c>
      <c r="D5286">
        <v>6</v>
      </c>
      <c r="E5286">
        <f t="shared" si="165"/>
        <v>5.4419194143262919E-2</v>
      </c>
    </row>
    <row r="5287" spans="1:5" x14ac:dyDescent="0.25">
      <c r="A5287">
        <v>0</v>
      </c>
      <c r="B5287">
        <v>0.18181818181818199</v>
      </c>
      <c r="C5287">
        <f t="shared" si="164"/>
        <v>1.3370766040002315</v>
      </c>
      <c r="D5287">
        <v>6</v>
      </c>
      <c r="E5287">
        <f t="shared" si="165"/>
        <v>5.4419194143262919E-2</v>
      </c>
    </row>
    <row r="5288" spans="1:5" x14ac:dyDescent="0.25">
      <c r="A5288">
        <v>0</v>
      </c>
      <c r="B5288">
        <v>0.18181818181818199</v>
      </c>
      <c r="C5288">
        <f t="shared" si="164"/>
        <v>1.3370766040002315</v>
      </c>
      <c r="D5288">
        <v>6</v>
      </c>
      <c r="E5288">
        <f t="shared" si="165"/>
        <v>5.4419194143262919E-2</v>
      </c>
    </row>
    <row r="5289" spans="1:5" x14ac:dyDescent="0.25">
      <c r="A5289">
        <v>0</v>
      </c>
      <c r="B5289">
        <v>0.182</v>
      </c>
      <c r="C5289">
        <f t="shared" si="164"/>
        <v>1.3364378743635876</v>
      </c>
      <c r="D5289">
        <v>6</v>
      </c>
      <c r="E5289">
        <f t="shared" si="165"/>
        <v>5.4419194143262919E-2</v>
      </c>
    </row>
    <row r="5290" spans="1:5" x14ac:dyDescent="0.25">
      <c r="A5290">
        <v>0</v>
      </c>
      <c r="B5290">
        <v>0.18248175182481799</v>
      </c>
      <c r="C5290">
        <f t="shared" si="164"/>
        <v>1.3347433440757575</v>
      </c>
      <c r="D5290">
        <v>6</v>
      </c>
      <c r="E5290">
        <f t="shared" si="165"/>
        <v>5.4419194143262919E-2</v>
      </c>
    </row>
    <row r="5291" spans="1:5" x14ac:dyDescent="0.25">
      <c r="A5291">
        <v>0</v>
      </c>
      <c r="B5291">
        <v>0.182666666666667</v>
      </c>
      <c r="C5291">
        <f t="shared" si="164"/>
        <v>1.3340920996531367</v>
      </c>
      <c r="D5291">
        <v>6</v>
      </c>
      <c r="E5291">
        <f t="shared" si="165"/>
        <v>5.4419194143262919E-2</v>
      </c>
    </row>
    <row r="5292" spans="1:5" x14ac:dyDescent="0.25">
      <c r="A5292">
        <v>0</v>
      </c>
      <c r="B5292">
        <v>0.182666666666667</v>
      </c>
      <c r="C5292">
        <f t="shared" si="164"/>
        <v>1.3340920996531367</v>
      </c>
      <c r="D5292">
        <v>6</v>
      </c>
      <c r="E5292">
        <f t="shared" si="165"/>
        <v>5.4419194143262919E-2</v>
      </c>
    </row>
    <row r="5293" spans="1:5" x14ac:dyDescent="0.25">
      <c r="A5293">
        <v>0</v>
      </c>
      <c r="B5293">
        <v>0.184</v>
      </c>
      <c r="C5293">
        <f t="shared" si="164"/>
        <v>1.3293829453667383</v>
      </c>
      <c r="D5293">
        <v>6</v>
      </c>
      <c r="E5293">
        <f t="shared" si="165"/>
        <v>5.4419194143262919E-2</v>
      </c>
    </row>
    <row r="5294" spans="1:5" x14ac:dyDescent="0.25">
      <c r="A5294">
        <v>0</v>
      </c>
      <c r="B5294">
        <v>0.184</v>
      </c>
      <c r="C5294">
        <f t="shared" si="164"/>
        <v>1.3293829453667383</v>
      </c>
      <c r="D5294">
        <v>6</v>
      </c>
      <c r="E5294">
        <f t="shared" si="165"/>
        <v>5.4419194143262919E-2</v>
      </c>
    </row>
    <row r="5295" spans="1:5" x14ac:dyDescent="0.25">
      <c r="A5295">
        <v>0</v>
      </c>
      <c r="B5295">
        <v>0.184</v>
      </c>
      <c r="C5295">
        <f t="shared" si="164"/>
        <v>1.3293829453667383</v>
      </c>
      <c r="D5295">
        <v>6</v>
      </c>
      <c r="E5295">
        <f t="shared" si="165"/>
        <v>5.4419194143262919E-2</v>
      </c>
    </row>
    <row r="5296" spans="1:5" x14ac:dyDescent="0.25">
      <c r="A5296">
        <v>0</v>
      </c>
      <c r="B5296">
        <v>0.184</v>
      </c>
      <c r="C5296">
        <f t="shared" si="164"/>
        <v>1.3293829453667383</v>
      </c>
      <c r="D5296">
        <v>6</v>
      </c>
      <c r="E5296">
        <f t="shared" si="165"/>
        <v>5.4419194143262919E-2</v>
      </c>
    </row>
    <row r="5297" spans="1:5" x14ac:dyDescent="0.25">
      <c r="A5297">
        <v>0</v>
      </c>
      <c r="B5297">
        <v>0.184</v>
      </c>
      <c r="C5297">
        <f t="shared" si="164"/>
        <v>1.3293829453667383</v>
      </c>
      <c r="D5297">
        <v>6</v>
      </c>
      <c r="E5297">
        <f t="shared" si="165"/>
        <v>5.4419194143262919E-2</v>
      </c>
    </row>
    <row r="5298" spans="1:5" x14ac:dyDescent="0.25">
      <c r="A5298">
        <v>0</v>
      </c>
      <c r="B5298">
        <v>0.18414918414918399</v>
      </c>
      <c r="C5298">
        <f t="shared" si="164"/>
        <v>1.3288545990844407</v>
      </c>
      <c r="D5298">
        <v>6</v>
      </c>
      <c r="E5298">
        <f t="shared" si="165"/>
        <v>5.4419194143262919E-2</v>
      </c>
    </row>
    <row r="5299" spans="1:5" x14ac:dyDescent="0.25">
      <c r="A5299">
        <v>0</v>
      </c>
      <c r="B5299">
        <v>0.18518518518518501</v>
      </c>
      <c r="C5299">
        <f t="shared" si="164"/>
        <v>1.3251775689635459</v>
      </c>
      <c r="D5299">
        <v>6</v>
      </c>
      <c r="E5299">
        <f t="shared" si="165"/>
        <v>5.4419194143262919E-2</v>
      </c>
    </row>
    <row r="5300" spans="1:5" x14ac:dyDescent="0.25">
      <c r="A5300">
        <v>0</v>
      </c>
      <c r="B5300">
        <v>0.18518518518518501</v>
      </c>
      <c r="C5300">
        <f t="shared" si="164"/>
        <v>1.3251775689635459</v>
      </c>
      <c r="D5300">
        <v>6</v>
      </c>
      <c r="E5300">
        <f t="shared" si="165"/>
        <v>5.4419194143262919E-2</v>
      </c>
    </row>
    <row r="5301" spans="1:5" x14ac:dyDescent="0.25">
      <c r="A5301">
        <v>0</v>
      </c>
      <c r="B5301">
        <v>0.18518518518518501</v>
      </c>
      <c r="C5301">
        <f t="shared" si="164"/>
        <v>1.3251775689635459</v>
      </c>
      <c r="D5301">
        <v>6</v>
      </c>
      <c r="E5301">
        <f t="shared" si="165"/>
        <v>5.4419194143262919E-2</v>
      </c>
    </row>
    <row r="5302" spans="1:5" x14ac:dyDescent="0.25">
      <c r="A5302">
        <v>0</v>
      </c>
      <c r="B5302">
        <v>0.18518518518518501</v>
      </c>
      <c r="C5302">
        <f t="shared" si="164"/>
        <v>1.3251775689635459</v>
      </c>
      <c r="D5302">
        <v>6</v>
      </c>
      <c r="E5302">
        <f t="shared" si="165"/>
        <v>5.4419194143262919E-2</v>
      </c>
    </row>
    <row r="5303" spans="1:5" x14ac:dyDescent="0.25">
      <c r="A5303">
        <v>0</v>
      </c>
      <c r="B5303">
        <v>0.18533333333333299</v>
      </c>
      <c r="C5303">
        <f t="shared" si="164"/>
        <v>1.3246506225786296</v>
      </c>
      <c r="D5303">
        <v>6</v>
      </c>
      <c r="E5303">
        <f t="shared" si="165"/>
        <v>5.4419194143262919E-2</v>
      </c>
    </row>
    <row r="5304" spans="1:5" x14ac:dyDescent="0.25">
      <c r="A5304">
        <v>0</v>
      </c>
      <c r="B5304">
        <v>0.186</v>
      </c>
      <c r="C5304">
        <f t="shared" si="164"/>
        <v>1.3222758874258564</v>
      </c>
      <c r="D5304">
        <v>6</v>
      </c>
      <c r="E5304">
        <f t="shared" si="165"/>
        <v>5.4419194143262919E-2</v>
      </c>
    </row>
    <row r="5305" spans="1:5" x14ac:dyDescent="0.25">
      <c r="A5305">
        <v>0</v>
      </c>
      <c r="B5305">
        <v>0.186</v>
      </c>
      <c r="C5305">
        <f t="shared" si="164"/>
        <v>1.3222758874258564</v>
      </c>
      <c r="D5305">
        <v>6</v>
      </c>
      <c r="E5305">
        <f t="shared" si="165"/>
        <v>5.4419194143262919E-2</v>
      </c>
    </row>
    <row r="5306" spans="1:5" x14ac:dyDescent="0.25">
      <c r="A5306">
        <v>0</v>
      </c>
      <c r="B5306">
        <v>0.186</v>
      </c>
      <c r="C5306">
        <f t="shared" si="164"/>
        <v>1.3222758874258564</v>
      </c>
      <c r="D5306">
        <v>6</v>
      </c>
      <c r="E5306">
        <f t="shared" si="165"/>
        <v>5.4419194143262919E-2</v>
      </c>
    </row>
    <row r="5307" spans="1:5" x14ac:dyDescent="0.25">
      <c r="A5307">
        <v>0</v>
      </c>
      <c r="B5307">
        <v>0.1875</v>
      </c>
      <c r="C5307">
        <f t="shared" si="164"/>
        <v>1.3169121282066616</v>
      </c>
      <c r="D5307">
        <v>6</v>
      </c>
      <c r="E5307">
        <f t="shared" si="165"/>
        <v>5.4419194143262919E-2</v>
      </c>
    </row>
    <row r="5308" spans="1:5" x14ac:dyDescent="0.25">
      <c r="A5308">
        <v>0</v>
      </c>
      <c r="B5308">
        <v>0.188</v>
      </c>
      <c r="C5308">
        <f t="shared" si="164"/>
        <v>1.3151179373136352</v>
      </c>
      <c r="D5308">
        <v>6</v>
      </c>
      <c r="E5308">
        <f t="shared" si="165"/>
        <v>5.4419194143262919E-2</v>
      </c>
    </row>
    <row r="5309" spans="1:5" x14ac:dyDescent="0.25">
      <c r="A5309">
        <v>0</v>
      </c>
      <c r="B5309">
        <v>0.188</v>
      </c>
      <c r="C5309">
        <f t="shared" si="164"/>
        <v>1.3151179373136352</v>
      </c>
      <c r="D5309">
        <v>6</v>
      </c>
      <c r="E5309">
        <f t="shared" si="165"/>
        <v>5.4419194143262919E-2</v>
      </c>
    </row>
    <row r="5310" spans="1:5" x14ac:dyDescent="0.25">
      <c r="A5310">
        <v>0</v>
      </c>
      <c r="B5310">
        <v>0.18862275449101801</v>
      </c>
      <c r="C5310">
        <f t="shared" si="164"/>
        <v>1.3128789190735852</v>
      </c>
      <c r="D5310">
        <v>6</v>
      </c>
      <c r="E5310">
        <f t="shared" si="165"/>
        <v>5.4419194143262919E-2</v>
      </c>
    </row>
    <row r="5311" spans="1:5" x14ac:dyDescent="0.25">
      <c r="A5311">
        <v>0</v>
      </c>
      <c r="B5311">
        <v>0.188811188811189</v>
      </c>
      <c r="C5311">
        <f t="shared" si="164"/>
        <v>1.312200489355632</v>
      </c>
      <c r="D5311">
        <v>6</v>
      </c>
      <c r="E5311">
        <f t="shared" si="165"/>
        <v>5.4419194143262919E-2</v>
      </c>
    </row>
    <row r="5312" spans="1:5" x14ac:dyDescent="0.25">
      <c r="A5312">
        <v>0</v>
      </c>
      <c r="B5312">
        <v>0.188811188811189</v>
      </c>
      <c r="C5312">
        <f t="shared" si="164"/>
        <v>1.312200489355632</v>
      </c>
      <c r="D5312">
        <v>6</v>
      </c>
      <c r="E5312">
        <f t="shared" si="165"/>
        <v>5.4419194143262919E-2</v>
      </c>
    </row>
    <row r="5313" spans="1:5" x14ac:dyDescent="0.25">
      <c r="A5313">
        <v>0</v>
      </c>
      <c r="B5313">
        <v>0.18918918918918901</v>
      </c>
      <c r="C5313">
        <f t="shared" si="164"/>
        <v>1.310838240919042</v>
      </c>
      <c r="D5313">
        <v>6</v>
      </c>
      <c r="E5313">
        <f t="shared" si="165"/>
        <v>5.4419194143262919E-2</v>
      </c>
    </row>
    <row r="5314" spans="1:5" x14ac:dyDescent="0.25">
      <c r="A5314">
        <v>0</v>
      </c>
      <c r="B5314">
        <v>0.18918918918918901</v>
      </c>
      <c r="C5314">
        <f t="shared" ref="C5314:C5377" si="166">_xlfn.NORM.DIST(B5314,I$10,I$13,FALSE)</f>
        <v>1.310838240919042</v>
      </c>
      <c r="D5314">
        <v>6</v>
      </c>
      <c r="E5314">
        <f t="shared" si="165"/>
        <v>5.4419194143262919E-2</v>
      </c>
    </row>
    <row r="5315" spans="1:5" x14ac:dyDescent="0.25">
      <c r="A5315">
        <v>0</v>
      </c>
      <c r="B5315">
        <v>0.18918918918918901</v>
      </c>
      <c r="C5315">
        <f t="shared" si="166"/>
        <v>1.310838240919042</v>
      </c>
      <c r="D5315">
        <v>6</v>
      </c>
      <c r="E5315">
        <f t="shared" ref="E5315:E5378" si="167">_xlfn.NORM.DIST(D5315,I$4,I$7,FALSE)</f>
        <v>5.4419194143262919E-2</v>
      </c>
    </row>
    <row r="5316" spans="1:5" x14ac:dyDescent="0.25">
      <c r="A5316">
        <v>0</v>
      </c>
      <c r="B5316">
        <v>0.18918918918918901</v>
      </c>
      <c r="C5316">
        <f t="shared" si="166"/>
        <v>1.310838240919042</v>
      </c>
      <c r="D5316">
        <v>6</v>
      </c>
      <c r="E5316">
        <f t="shared" si="167"/>
        <v>5.4419194143262919E-2</v>
      </c>
    </row>
    <row r="5317" spans="1:5" x14ac:dyDescent="0.25">
      <c r="A5317">
        <v>0</v>
      </c>
      <c r="B5317">
        <v>0.18918918918918901</v>
      </c>
      <c r="C5317">
        <f t="shared" si="166"/>
        <v>1.310838240919042</v>
      </c>
      <c r="D5317">
        <v>6</v>
      </c>
      <c r="E5317">
        <f t="shared" si="167"/>
        <v>5.4419194143262919E-2</v>
      </c>
    </row>
    <row r="5318" spans="1:5" x14ac:dyDescent="0.25">
      <c r="A5318">
        <v>0</v>
      </c>
      <c r="B5318">
        <v>0.18918918918918901</v>
      </c>
      <c r="C5318">
        <f t="shared" si="166"/>
        <v>1.310838240919042</v>
      </c>
      <c r="D5318">
        <v>6</v>
      </c>
      <c r="E5318">
        <f t="shared" si="167"/>
        <v>5.4419194143262919E-2</v>
      </c>
    </row>
    <row r="5319" spans="1:5" x14ac:dyDescent="0.25">
      <c r="A5319">
        <v>0</v>
      </c>
      <c r="B5319">
        <v>0.18918918918918901</v>
      </c>
      <c r="C5319">
        <f t="shared" si="166"/>
        <v>1.310838240919042</v>
      </c>
      <c r="D5319">
        <v>6</v>
      </c>
      <c r="E5319">
        <f t="shared" si="167"/>
        <v>5.4419194143262919E-2</v>
      </c>
    </row>
    <row r="5320" spans="1:5" x14ac:dyDescent="0.25">
      <c r="A5320">
        <v>0</v>
      </c>
      <c r="B5320">
        <v>0.18918918918918901</v>
      </c>
      <c r="C5320">
        <f t="shared" si="166"/>
        <v>1.310838240919042</v>
      </c>
      <c r="D5320">
        <v>6</v>
      </c>
      <c r="E5320">
        <f t="shared" si="167"/>
        <v>5.4419194143262919E-2</v>
      </c>
    </row>
    <row r="5321" spans="1:5" x14ac:dyDescent="0.25">
      <c r="A5321">
        <v>0</v>
      </c>
      <c r="B5321">
        <v>0.18925233644859801</v>
      </c>
      <c r="C5321">
        <f t="shared" si="166"/>
        <v>1.3106104984926383</v>
      </c>
      <c r="D5321">
        <v>6</v>
      </c>
      <c r="E5321">
        <f t="shared" si="167"/>
        <v>5.4419194143262919E-2</v>
      </c>
    </row>
    <row r="5322" spans="1:5" x14ac:dyDescent="0.25">
      <c r="A5322">
        <v>0</v>
      </c>
      <c r="B5322">
        <v>0.18925233644859801</v>
      </c>
      <c r="C5322">
        <f t="shared" si="166"/>
        <v>1.3106104984926383</v>
      </c>
      <c r="D5322">
        <v>6</v>
      </c>
      <c r="E5322">
        <f t="shared" si="167"/>
        <v>5.4419194143262919E-2</v>
      </c>
    </row>
    <row r="5323" spans="1:5" x14ac:dyDescent="0.25">
      <c r="A5323">
        <v>0</v>
      </c>
      <c r="B5323">
        <v>0.19</v>
      </c>
      <c r="C5323">
        <f t="shared" si="166"/>
        <v>1.3079103354400703</v>
      </c>
      <c r="D5323">
        <v>6</v>
      </c>
      <c r="E5323">
        <f t="shared" si="167"/>
        <v>5.4419194143262919E-2</v>
      </c>
    </row>
    <row r="5324" spans="1:5" x14ac:dyDescent="0.25">
      <c r="A5324">
        <v>0</v>
      </c>
      <c r="B5324">
        <v>0.19</v>
      </c>
      <c r="C5324">
        <f t="shared" si="166"/>
        <v>1.3079103354400703</v>
      </c>
      <c r="D5324">
        <v>6</v>
      </c>
      <c r="E5324">
        <f t="shared" si="167"/>
        <v>5.4419194143262919E-2</v>
      </c>
    </row>
    <row r="5325" spans="1:5" x14ac:dyDescent="0.25">
      <c r="A5325">
        <v>0</v>
      </c>
      <c r="B5325">
        <v>0.19047619047618999</v>
      </c>
      <c r="C5325">
        <f t="shared" si="166"/>
        <v>1.306187058160768</v>
      </c>
      <c r="D5325">
        <v>6</v>
      </c>
      <c r="E5325">
        <f t="shared" si="167"/>
        <v>5.4419194143262919E-2</v>
      </c>
    </row>
    <row r="5326" spans="1:5" x14ac:dyDescent="0.25">
      <c r="A5326">
        <v>0</v>
      </c>
      <c r="B5326">
        <v>0.19101123595505601</v>
      </c>
      <c r="C5326">
        <f t="shared" si="166"/>
        <v>1.3042475384816499</v>
      </c>
      <c r="D5326">
        <v>6</v>
      </c>
      <c r="E5326">
        <f t="shared" si="167"/>
        <v>5.4419194143262919E-2</v>
      </c>
    </row>
    <row r="5327" spans="1:5" x14ac:dyDescent="0.25">
      <c r="A5327">
        <v>0</v>
      </c>
      <c r="B5327">
        <v>0.191176470588235</v>
      </c>
      <c r="C5327">
        <f t="shared" si="166"/>
        <v>1.3036478770008584</v>
      </c>
      <c r="D5327">
        <v>6</v>
      </c>
      <c r="E5327">
        <f t="shared" si="167"/>
        <v>5.4419194143262919E-2</v>
      </c>
    </row>
    <row r="5328" spans="1:5" x14ac:dyDescent="0.25">
      <c r="A5328">
        <v>0</v>
      </c>
      <c r="B5328">
        <v>0.19166666666666701</v>
      </c>
      <c r="C5328">
        <f t="shared" si="166"/>
        <v>1.3018669692892997</v>
      </c>
      <c r="D5328">
        <v>6</v>
      </c>
      <c r="E5328">
        <f t="shared" si="167"/>
        <v>5.4419194143262919E-2</v>
      </c>
    </row>
    <row r="5329" spans="1:5" x14ac:dyDescent="0.25">
      <c r="A5329">
        <v>0</v>
      </c>
      <c r="B5329">
        <v>0.192</v>
      </c>
      <c r="C5329">
        <f t="shared" si="166"/>
        <v>1.3006543254983527</v>
      </c>
      <c r="D5329">
        <v>6</v>
      </c>
      <c r="E5329">
        <f t="shared" si="167"/>
        <v>5.4419194143262919E-2</v>
      </c>
    </row>
    <row r="5330" spans="1:5" x14ac:dyDescent="0.25">
      <c r="A5330">
        <v>0</v>
      </c>
      <c r="B5330">
        <v>0.192</v>
      </c>
      <c r="C5330">
        <f t="shared" si="166"/>
        <v>1.3006543254983527</v>
      </c>
      <c r="D5330">
        <v>6</v>
      </c>
      <c r="E5330">
        <f t="shared" si="167"/>
        <v>5.4419194143262919E-2</v>
      </c>
    </row>
    <row r="5331" spans="1:5" x14ac:dyDescent="0.25">
      <c r="A5331">
        <v>0</v>
      </c>
      <c r="B5331">
        <v>0.192</v>
      </c>
      <c r="C5331">
        <f t="shared" si="166"/>
        <v>1.3006543254983527</v>
      </c>
      <c r="D5331">
        <v>6</v>
      </c>
      <c r="E5331">
        <f t="shared" si="167"/>
        <v>5.4419194143262919E-2</v>
      </c>
    </row>
    <row r="5332" spans="1:5" x14ac:dyDescent="0.25">
      <c r="A5332">
        <v>0</v>
      </c>
      <c r="B5332">
        <v>0.193</v>
      </c>
      <c r="C5332">
        <f t="shared" si="166"/>
        <v>1.2970085569668486</v>
      </c>
      <c r="D5332">
        <v>6</v>
      </c>
      <c r="E5332">
        <f t="shared" si="167"/>
        <v>5.4419194143262919E-2</v>
      </c>
    </row>
    <row r="5333" spans="1:5" x14ac:dyDescent="0.25">
      <c r="A5333">
        <v>0</v>
      </c>
      <c r="B5333">
        <v>0.193</v>
      </c>
      <c r="C5333">
        <f t="shared" si="166"/>
        <v>1.2970085569668486</v>
      </c>
      <c r="D5333">
        <v>6</v>
      </c>
      <c r="E5333">
        <f t="shared" si="167"/>
        <v>5.4419194143262919E-2</v>
      </c>
    </row>
    <row r="5334" spans="1:5" x14ac:dyDescent="0.25">
      <c r="A5334">
        <v>0</v>
      </c>
      <c r="B5334">
        <v>0.193473193473193</v>
      </c>
      <c r="C5334">
        <f t="shared" si="166"/>
        <v>1.2952793383584165</v>
      </c>
      <c r="D5334">
        <v>6</v>
      </c>
      <c r="E5334">
        <f t="shared" si="167"/>
        <v>5.4419194143262919E-2</v>
      </c>
    </row>
    <row r="5335" spans="1:5" x14ac:dyDescent="0.25">
      <c r="A5335">
        <v>0</v>
      </c>
      <c r="B5335">
        <v>0.19392523364486</v>
      </c>
      <c r="C5335">
        <f t="shared" si="166"/>
        <v>1.2936250037354671</v>
      </c>
      <c r="D5335">
        <v>6</v>
      </c>
      <c r="E5335">
        <f t="shared" si="167"/>
        <v>5.4419194143262919E-2</v>
      </c>
    </row>
    <row r="5336" spans="1:5" x14ac:dyDescent="0.25">
      <c r="A5336">
        <v>0</v>
      </c>
      <c r="B5336">
        <v>0.19400000000000001</v>
      </c>
      <c r="C5336">
        <f t="shared" si="166"/>
        <v>1.2933511541115881</v>
      </c>
      <c r="D5336">
        <v>6</v>
      </c>
      <c r="E5336">
        <f t="shared" si="167"/>
        <v>5.4419194143262919E-2</v>
      </c>
    </row>
    <row r="5337" spans="1:5" x14ac:dyDescent="0.25">
      <c r="A5337">
        <v>0</v>
      </c>
      <c r="B5337">
        <v>0.19400000000000001</v>
      </c>
      <c r="C5337">
        <f t="shared" si="166"/>
        <v>1.2933511541115881</v>
      </c>
      <c r="D5337">
        <v>6</v>
      </c>
      <c r="E5337">
        <f t="shared" si="167"/>
        <v>5.4419194143262919E-2</v>
      </c>
    </row>
    <row r="5338" spans="1:5" x14ac:dyDescent="0.25">
      <c r="A5338">
        <v>0</v>
      </c>
      <c r="B5338">
        <v>0.19466666666666699</v>
      </c>
      <c r="C5338">
        <f t="shared" si="166"/>
        <v>1.2909064991719417</v>
      </c>
      <c r="D5338">
        <v>6</v>
      </c>
      <c r="E5338">
        <f t="shared" si="167"/>
        <v>5.4419194143262919E-2</v>
      </c>
    </row>
    <row r="5339" spans="1:5" x14ac:dyDescent="0.25">
      <c r="A5339">
        <v>0</v>
      </c>
      <c r="B5339">
        <v>0.19500000000000001</v>
      </c>
      <c r="C5339">
        <f t="shared" si="166"/>
        <v>1.2896822731604554</v>
      </c>
      <c r="D5339">
        <v>6</v>
      </c>
      <c r="E5339">
        <f t="shared" si="167"/>
        <v>5.4419194143262919E-2</v>
      </c>
    </row>
    <row r="5340" spans="1:5" x14ac:dyDescent="0.25">
      <c r="A5340">
        <v>0</v>
      </c>
      <c r="B5340">
        <v>0.19600000000000001</v>
      </c>
      <c r="C5340">
        <f t="shared" si="166"/>
        <v>1.2860020704804722</v>
      </c>
      <c r="D5340">
        <v>6</v>
      </c>
      <c r="E5340">
        <f t="shared" si="167"/>
        <v>5.4419194143262919E-2</v>
      </c>
    </row>
    <row r="5341" spans="1:5" x14ac:dyDescent="0.25">
      <c r="A5341">
        <v>0</v>
      </c>
      <c r="B5341">
        <v>0.19600000000000001</v>
      </c>
      <c r="C5341">
        <f t="shared" si="166"/>
        <v>1.2860020704804722</v>
      </c>
      <c r="D5341">
        <v>6</v>
      </c>
      <c r="E5341">
        <f t="shared" si="167"/>
        <v>5.4419194143262919E-2</v>
      </c>
    </row>
    <row r="5342" spans="1:5" x14ac:dyDescent="0.25">
      <c r="A5342">
        <v>0</v>
      </c>
      <c r="B5342">
        <v>0.19600000000000001</v>
      </c>
      <c r="C5342">
        <f t="shared" si="166"/>
        <v>1.2860020704804722</v>
      </c>
      <c r="D5342">
        <v>6</v>
      </c>
      <c r="E5342">
        <f t="shared" si="167"/>
        <v>5.4419194143262919E-2</v>
      </c>
    </row>
    <row r="5343" spans="1:5" x14ac:dyDescent="0.25">
      <c r="A5343">
        <v>0</v>
      </c>
      <c r="B5343">
        <v>0.19666666666666699</v>
      </c>
      <c r="C5343">
        <f t="shared" si="166"/>
        <v>1.2835423894544293</v>
      </c>
      <c r="D5343">
        <v>6</v>
      </c>
      <c r="E5343">
        <f t="shared" si="167"/>
        <v>5.4419194143262919E-2</v>
      </c>
    </row>
    <row r="5344" spans="1:5" x14ac:dyDescent="0.25">
      <c r="A5344">
        <v>0</v>
      </c>
      <c r="B5344">
        <v>0.197333333333333</v>
      </c>
      <c r="C5344">
        <f t="shared" si="166"/>
        <v>1.2810777924982708</v>
      </c>
      <c r="D5344">
        <v>6</v>
      </c>
      <c r="E5344">
        <f t="shared" si="167"/>
        <v>5.4419194143262919E-2</v>
      </c>
    </row>
    <row r="5345" spans="1:5" x14ac:dyDescent="0.25">
      <c r="A5345">
        <v>0</v>
      </c>
      <c r="B5345">
        <v>0.197333333333333</v>
      </c>
      <c r="C5345">
        <f t="shared" si="166"/>
        <v>1.2810777924982708</v>
      </c>
      <c r="D5345">
        <v>6</v>
      </c>
      <c r="E5345">
        <f t="shared" si="167"/>
        <v>5.4419194143262919E-2</v>
      </c>
    </row>
    <row r="5346" spans="1:5" x14ac:dyDescent="0.25">
      <c r="A5346">
        <v>0</v>
      </c>
      <c r="B5346">
        <v>0.19800000000000001</v>
      </c>
      <c r="C5346">
        <f t="shared" si="166"/>
        <v>1.27860832603207</v>
      </c>
      <c r="D5346">
        <v>6</v>
      </c>
      <c r="E5346">
        <f t="shared" si="167"/>
        <v>5.4419194143262919E-2</v>
      </c>
    </row>
    <row r="5347" spans="1:5" x14ac:dyDescent="0.25">
      <c r="A5347">
        <v>0</v>
      </c>
      <c r="B5347">
        <v>0.198135198135198</v>
      </c>
      <c r="C5347">
        <f t="shared" si="166"/>
        <v>1.278106935403869</v>
      </c>
      <c r="D5347">
        <v>6</v>
      </c>
      <c r="E5347">
        <f t="shared" si="167"/>
        <v>5.4419194143262919E-2</v>
      </c>
    </row>
    <row r="5348" spans="1:5" x14ac:dyDescent="0.25">
      <c r="A5348">
        <v>0</v>
      </c>
      <c r="B5348">
        <v>0.198135198135198</v>
      </c>
      <c r="C5348">
        <f t="shared" si="166"/>
        <v>1.278106935403869</v>
      </c>
      <c r="D5348">
        <v>6</v>
      </c>
      <c r="E5348">
        <f t="shared" si="167"/>
        <v>5.4419194143262919E-2</v>
      </c>
    </row>
    <row r="5349" spans="1:5" x14ac:dyDescent="0.25">
      <c r="A5349">
        <v>0</v>
      </c>
      <c r="B5349">
        <v>0.2</v>
      </c>
      <c r="C5349">
        <f t="shared" si="166"/>
        <v>1.2711711740698228</v>
      </c>
      <c r="D5349">
        <v>6</v>
      </c>
      <c r="E5349">
        <f t="shared" si="167"/>
        <v>5.4419194143262919E-2</v>
      </c>
    </row>
    <row r="5350" spans="1:5" x14ac:dyDescent="0.25">
      <c r="A5350">
        <v>0</v>
      </c>
      <c r="B5350">
        <v>0.2</v>
      </c>
      <c r="C5350">
        <f t="shared" si="166"/>
        <v>1.2711711740698228</v>
      </c>
      <c r="D5350">
        <v>6</v>
      </c>
      <c r="E5350">
        <f t="shared" si="167"/>
        <v>5.4419194143262919E-2</v>
      </c>
    </row>
    <row r="5351" spans="1:5" x14ac:dyDescent="0.25">
      <c r="A5351">
        <v>0</v>
      </c>
      <c r="B5351">
        <v>0.2</v>
      </c>
      <c r="C5351">
        <f t="shared" si="166"/>
        <v>1.2711711740698228</v>
      </c>
      <c r="D5351">
        <v>6</v>
      </c>
      <c r="E5351">
        <f t="shared" si="167"/>
        <v>5.4419194143262919E-2</v>
      </c>
    </row>
    <row r="5352" spans="1:5" x14ac:dyDescent="0.25">
      <c r="A5352">
        <v>0</v>
      </c>
      <c r="B5352">
        <v>0.20046620046620001</v>
      </c>
      <c r="C5352">
        <f t="shared" si="166"/>
        <v>1.2694314679875083</v>
      </c>
      <c r="D5352">
        <v>6</v>
      </c>
      <c r="E5352">
        <f t="shared" si="167"/>
        <v>5.4419194143262919E-2</v>
      </c>
    </row>
    <row r="5353" spans="1:5" x14ac:dyDescent="0.25">
      <c r="A5353">
        <v>0</v>
      </c>
      <c r="B5353">
        <v>0.200934579439252</v>
      </c>
      <c r="C5353">
        <f t="shared" si="166"/>
        <v>1.2676813419970643</v>
      </c>
      <c r="D5353">
        <v>6</v>
      </c>
      <c r="E5353">
        <f t="shared" si="167"/>
        <v>5.4419194143262919E-2</v>
      </c>
    </row>
    <row r="5354" spans="1:5" x14ac:dyDescent="0.25">
      <c r="A5354">
        <v>0</v>
      </c>
      <c r="B5354">
        <v>0.20100000000000001</v>
      </c>
      <c r="C5354">
        <f t="shared" si="166"/>
        <v>1.2674367123555812</v>
      </c>
      <c r="D5354">
        <v>6</v>
      </c>
      <c r="E5354">
        <f t="shared" si="167"/>
        <v>5.4419194143262919E-2</v>
      </c>
    </row>
    <row r="5355" spans="1:5" x14ac:dyDescent="0.25">
      <c r="A5355">
        <v>0</v>
      </c>
      <c r="B5355">
        <v>0.201201201201201</v>
      </c>
      <c r="C5355">
        <f t="shared" si="166"/>
        <v>1.2666840746384849</v>
      </c>
      <c r="D5355">
        <v>6</v>
      </c>
      <c r="E5355">
        <f t="shared" si="167"/>
        <v>5.4419194143262919E-2</v>
      </c>
    </row>
    <row r="5356" spans="1:5" x14ac:dyDescent="0.25">
      <c r="A5356">
        <v>0</v>
      </c>
      <c r="B5356">
        <v>0.201201201201201</v>
      </c>
      <c r="C5356">
        <f t="shared" si="166"/>
        <v>1.2666840746384849</v>
      </c>
      <c r="D5356">
        <v>6</v>
      </c>
      <c r="E5356">
        <f t="shared" si="167"/>
        <v>5.4419194143262919E-2</v>
      </c>
    </row>
    <row r="5357" spans="1:5" x14ac:dyDescent="0.25">
      <c r="A5357">
        <v>0</v>
      </c>
      <c r="B5357">
        <v>0.201333333333333</v>
      </c>
      <c r="C5357">
        <f t="shared" si="166"/>
        <v>1.2661895770935327</v>
      </c>
      <c r="D5357">
        <v>6</v>
      </c>
      <c r="E5357">
        <f t="shared" si="167"/>
        <v>5.4419194143262919E-2</v>
      </c>
    </row>
    <row r="5358" spans="1:5" x14ac:dyDescent="0.25">
      <c r="A5358">
        <v>0</v>
      </c>
      <c r="B5358">
        <v>0.20166666666666699</v>
      </c>
      <c r="C5358">
        <f t="shared" si="166"/>
        <v>1.2649412941779192</v>
      </c>
      <c r="D5358">
        <v>6</v>
      </c>
      <c r="E5358">
        <f t="shared" si="167"/>
        <v>5.4419194143262919E-2</v>
      </c>
    </row>
    <row r="5359" spans="1:5" x14ac:dyDescent="0.25">
      <c r="A5359">
        <v>0</v>
      </c>
      <c r="B5359">
        <v>0.20200000000000001</v>
      </c>
      <c r="C5359">
        <f t="shared" si="166"/>
        <v>1.2636918694249279</v>
      </c>
      <c r="D5359">
        <v>6</v>
      </c>
      <c r="E5359">
        <f t="shared" si="167"/>
        <v>5.4419194143262919E-2</v>
      </c>
    </row>
    <row r="5360" spans="1:5" x14ac:dyDescent="0.25">
      <c r="A5360">
        <v>0</v>
      </c>
      <c r="B5360">
        <v>0.20266666666666699</v>
      </c>
      <c r="C5360">
        <f t="shared" si="166"/>
        <v>1.2611896176749164</v>
      </c>
      <c r="D5360">
        <v>6</v>
      </c>
      <c r="E5360">
        <f t="shared" si="167"/>
        <v>5.4419194143262919E-2</v>
      </c>
    </row>
    <row r="5361" spans="1:5" x14ac:dyDescent="0.25">
      <c r="A5361">
        <v>0</v>
      </c>
      <c r="B5361">
        <v>0.20300000000000001</v>
      </c>
      <c r="C5361">
        <f t="shared" si="166"/>
        <v>1.2599368023135247</v>
      </c>
      <c r="D5361">
        <v>6</v>
      </c>
      <c r="E5361">
        <f t="shared" si="167"/>
        <v>5.4419194143262919E-2</v>
      </c>
    </row>
    <row r="5362" spans="1:5" x14ac:dyDescent="0.25">
      <c r="A5362">
        <v>0</v>
      </c>
      <c r="B5362">
        <v>0.20300000000000001</v>
      </c>
      <c r="C5362">
        <f t="shared" si="166"/>
        <v>1.2599368023135247</v>
      </c>
      <c r="D5362">
        <v>6</v>
      </c>
      <c r="E5362">
        <f t="shared" si="167"/>
        <v>5.4419194143262919E-2</v>
      </c>
    </row>
    <row r="5363" spans="1:5" x14ac:dyDescent="0.25">
      <c r="A5363">
        <v>0</v>
      </c>
      <c r="B5363">
        <v>0.20333333333333301</v>
      </c>
      <c r="C5363">
        <f t="shared" si="166"/>
        <v>1.2586828683859141</v>
      </c>
      <c r="D5363">
        <v>6</v>
      </c>
      <c r="E5363">
        <f t="shared" si="167"/>
        <v>5.4419194143262919E-2</v>
      </c>
    </row>
    <row r="5364" spans="1:5" x14ac:dyDescent="0.25">
      <c r="A5364">
        <v>0</v>
      </c>
      <c r="B5364">
        <v>0.20333333333333301</v>
      </c>
      <c r="C5364">
        <f t="shared" si="166"/>
        <v>1.2586828683859141</v>
      </c>
      <c r="D5364">
        <v>6</v>
      </c>
      <c r="E5364">
        <f t="shared" si="167"/>
        <v>5.4419194143262919E-2</v>
      </c>
    </row>
    <row r="5365" spans="1:5" x14ac:dyDescent="0.25">
      <c r="A5365">
        <v>0</v>
      </c>
      <c r="B5365">
        <v>0.20399999999999999</v>
      </c>
      <c r="C5365">
        <f t="shared" si="166"/>
        <v>1.2561716681092163</v>
      </c>
      <c r="D5365">
        <v>6</v>
      </c>
      <c r="E5365">
        <f t="shared" si="167"/>
        <v>5.4419194143262919E-2</v>
      </c>
    </row>
    <row r="5366" spans="1:5" x14ac:dyDescent="0.25">
      <c r="A5366">
        <v>0</v>
      </c>
      <c r="B5366">
        <v>0.20399999999999999</v>
      </c>
      <c r="C5366">
        <f t="shared" si="166"/>
        <v>1.2561716681092163</v>
      </c>
      <c r="D5366">
        <v>6</v>
      </c>
      <c r="E5366">
        <f t="shared" si="167"/>
        <v>5.4419194143262919E-2</v>
      </c>
    </row>
    <row r="5367" spans="1:5" x14ac:dyDescent="0.25">
      <c r="A5367">
        <v>0</v>
      </c>
      <c r="B5367">
        <v>0.20399999999999999</v>
      </c>
      <c r="C5367">
        <f t="shared" si="166"/>
        <v>1.2561716681092163</v>
      </c>
      <c r="D5367">
        <v>6</v>
      </c>
      <c r="E5367">
        <f t="shared" si="167"/>
        <v>5.4419194143262919E-2</v>
      </c>
    </row>
    <row r="5368" spans="1:5" x14ac:dyDescent="0.25">
      <c r="A5368">
        <v>0</v>
      </c>
      <c r="B5368">
        <v>0.20420420420420399</v>
      </c>
      <c r="C5368">
        <f t="shared" si="166"/>
        <v>1.2554015883022631</v>
      </c>
      <c r="D5368">
        <v>6</v>
      </c>
      <c r="E5368">
        <f t="shared" si="167"/>
        <v>5.4419194143262919E-2</v>
      </c>
    </row>
    <row r="5369" spans="1:5" x14ac:dyDescent="0.25">
      <c r="A5369">
        <v>0</v>
      </c>
      <c r="B5369">
        <v>0.20499999999999999</v>
      </c>
      <c r="C5369">
        <f t="shared" si="166"/>
        <v>1.2523966239412732</v>
      </c>
      <c r="D5369">
        <v>6</v>
      </c>
      <c r="E5369">
        <f t="shared" si="167"/>
        <v>5.4419194143262919E-2</v>
      </c>
    </row>
    <row r="5370" spans="1:5" x14ac:dyDescent="0.25">
      <c r="A5370">
        <v>0</v>
      </c>
      <c r="B5370">
        <v>0.20499999999999999</v>
      </c>
      <c r="C5370">
        <f t="shared" si="166"/>
        <v>1.2523966239412732</v>
      </c>
      <c r="D5370">
        <v>6</v>
      </c>
      <c r="E5370">
        <f t="shared" si="167"/>
        <v>5.4419194143262919E-2</v>
      </c>
    </row>
    <row r="5371" spans="1:5" x14ac:dyDescent="0.25">
      <c r="A5371">
        <v>0</v>
      </c>
      <c r="B5371">
        <v>0.20512820512820501</v>
      </c>
      <c r="C5371">
        <f t="shared" si="166"/>
        <v>1.2519119352855819</v>
      </c>
      <c r="D5371">
        <v>6</v>
      </c>
      <c r="E5371">
        <f t="shared" si="167"/>
        <v>5.4419194143262919E-2</v>
      </c>
    </row>
    <row r="5372" spans="1:5" x14ac:dyDescent="0.25">
      <c r="A5372">
        <v>0</v>
      </c>
      <c r="B5372">
        <v>0.20533333333333301</v>
      </c>
      <c r="C5372">
        <f t="shared" si="166"/>
        <v>1.251136100833925</v>
      </c>
      <c r="D5372">
        <v>6</v>
      </c>
      <c r="E5372">
        <f t="shared" si="167"/>
        <v>5.4419194143262919E-2</v>
      </c>
    </row>
    <row r="5373" spans="1:5" x14ac:dyDescent="0.25">
      <c r="A5373">
        <v>0</v>
      </c>
      <c r="B5373">
        <v>0.20533333333333301</v>
      </c>
      <c r="C5373">
        <f t="shared" si="166"/>
        <v>1.251136100833925</v>
      </c>
      <c r="D5373">
        <v>6</v>
      </c>
      <c r="E5373">
        <f t="shared" si="167"/>
        <v>5.4419194143262919E-2</v>
      </c>
    </row>
    <row r="5374" spans="1:5" x14ac:dyDescent="0.25">
      <c r="A5374">
        <v>0</v>
      </c>
      <c r="B5374">
        <v>0.206666666666667</v>
      </c>
      <c r="C5374">
        <f t="shared" si="166"/>
        <v>1.2460832883835715</v>
      </c>
      <c r="D5374">
        <v>6</v>
      </c>
      <c r="E5374">
        <f t="shared" si="167"/>
        <v>5.4419194143262919E-2</v>
      </c>
    </row>
    <row r="5375" spans="1:5" x14ac:dyDescent="0.25">
      <c r="A5375">
        <v>0</v>
      </c>
      <c r="B5375">
        <v>0.206666666666667</v>
      </c>
      <c r="C5375">
        <f t="shared" si="166"/>
        <v>1.2460832883835715</v>
      </c>
      <c r="D5375">
        <v>6</v>
      </c>
      <c r="E5375">
        <f t="shared" si="167"/>
        <v>5.4419194143262919E-2</v>
      </c>
    </row>
    <row r="5376" spans="1:5" x14ac:dyDescent="0.25">
      <c r="A5376">
        <v>0</v>
      </c>
      <c r="B5376">
        <v>0.20799999999999999</v>
      </c>
      <c r="C5376">
        <f t="shared" si="166"/>
        <v>1.2410136033446733</v>
      </c>
      <c r="D5376">
        <v>6</v>
      </c>
      <c r="E5376">
        <f t="shared" si="167"/>
        <v>5.4419194143262919E-2</v>
      </c>
    </row>
    <row r="5377" spans="1:5" x14ac:dyDescent="0.25">
      <c r="A5377">
        <v>0</v>
      </c>
      <c r="B5377">
        <v>0.20833333333333301</v>
      </c>
      <c r="C5377">
        <f t="shared" si="166"/>
        <v>1.2397435894067848</v>
      </c>
      <c r="D5377">
        <v>6</v>
      </c>
      <c r="E5377">
        <f t="shared" si="167"/>
        <v>5.4419194143262919E-2</v>
      </c>
    </row>
    <row r="5378" spans="1:5" x14ac:dyDescent="0.25">
      <c r="A5378">
        <v>0</v>
      </c>
      <c r="B5378">
        <v>0.20833333333333301</v>
      </c>
      <c r="C5378">
        <f t="shared" ref="C5378:C5441" si="168">_xlfn.NORM.DIST(B5378,I$10,I$13,FALSE)</f>
        <v>1.2397435894067848</v>
      </c>
      <c r="D5378">
        <v>6</v>
      </c>
      <c r="E5378">
        <f t="shared" si="167"/>
        <v>5.4419194143262919E-2</v>
      </c>
    </row>
    <row r="5379" spans="1:5" x14ac:dyDescent="0.25">
      <c r="A5379">
        <v>0</v>
      </c>
      <c r="B5379">
        <v>0.20899999999999999</v>
      </c>
      <c r="C5379">
        <f t="shared" si="168"/>
        <v>1.2372004910685954</v>
      </c>
      <c r="D5379">
        <v>6</v>
      </c>
      <c r="E5379">
        <f t="shared" ref="E5379:E5442" si="169">_xlfn.NORM.DIST(D5379,I$4,I$7,FALSE)</f>
        <v>5.4419194143262919E-2</v>
      </c>
    </row>
    <row r="5380" spans="1:5" x14ac:dyDescent="0.25">
      <c r="A5380">
        <v>0</v>
      </c>
      <c r="B5380">
        <v>0.20933333333333301</v>
      </c>
      <c r="C5380">
        <f t="shared" si="168"/>
        <v>1.2359274183108253</v>
      </c>
      <c r="D5380">
        <v>6</v>
      </c>
      <c r="E5380">
        <f t="shared" si="169"/>
        <v>5.4419194143262919E-2</v>
      </c>
    </row>
    <row r="5381" spans="1:5" x14ac:dyDescent="0.25">
      <c r="A5381">
        <v>0</v>
      </c>
      <c r="B5381">
        <v>0.20933333333333301</v>
      </c>
      <c r="C5381">
        <f t="shared" si="168"/>
        <v>1.2359274183108253</v>
      </c>
      <c r="D5381">
        <v>6</v>
      </c>
      <c r="E5381">
        <f t="shared" si="169"/>
        <v>5.4419194143262919E-2</v>
      </c>
    </row>
    <row r="5382" spans="1:5" x14ac:dyDescent="0.25">
      <c r="A5382">
        <v>0</v>
      </c>
      <c r="B5382">
        <v>0.20933333333333301</v>
      </c>
      <c r="C5382">
        <f t="shared" si="168"/>
        <v>1.2359274183108253</v>
      </c>
      <c r="D5382">
        <v>6</v>
      </c>
      <c r="E5382">
        <f t="shared" si="169"/>
        <v>5.4419194143262919E-2</v>
      </c>
    </row>
    <row r="5383" spans="1:5" x14ac:dyDescent="0.25">
      <c r="A5383">
        <v>0</v>
      </c>
      <c r="B5383">
        <v>0.209876543209877</v>
      </c>
      <c r="C5383">
        <f t="shared" si="168"/>
        <v>1.2338506241150877</v>
      </c>
      <c r="D5383">
        <v>6</v>
      </c>
      <c r="E5383">
        <f t="shared" si="169"/>
        <v>5.4419194143262919E-2</v>
      </c>
    </row>
    <row r="5384" spans="1:5" x14ac:dyDescent="0.25">
      <c r="A5384">
        <v>0</v>
      </c>
      <c r="B5384">
        <v>0.21</v>
      </c>
      <c r="C5384">
        <f t="shared" si="168"/>
        <v>1.2333782547222267</v>
      </c>
      <c r="D5384">
        <v>6</v>
      </c>
      <c r="E5384">
        <f t="shared" si="169"/>
        <v>5.4419194143262919E-2</v>
      </c>
    </row>
    <row r="5385" spans="1:5" x14ac:dyDescent="0.25">
      <c r="A5385">
        <v>0</v>
      </c>
      <c r="B5385">
        <v>0.210280373831776</v>
      </c>
      <c r="C5385">
        <f t="shared" si="168"/>
        <v>1.2323049834194684</v>
      </c>
      <c r="D5385">
        <v>6</v>
      </c>
      <c r="E5385">
        <f t="shared" si="169"/>
        <v>5.4419194143262919E-2</v>
      </c>
    </row>
    <row r="5386" spans="1:5" x14ac:dyDescent="0.25">
      <c r="A5386">
        <v>0</v>
      </c>
      <c r="B5386">
        <v>0.21052631578947401</v>
      </c>
      <c r="C5386">
        <f t="shared" si="168"/>
        <v>1.231362939746365</v>
      </c>
      <c r="D5386">
        <v>6</v>
      </c>
      <c r="E5386">
        <f t="shared" si="169"/>
        <v>5.4419194143262919E-2</v>
      </c>
    </row>
    <row r="5387" spans="1:5" x14ac:dyDescent="0.25">
      <c r="A5387">
        <v>0</v>
      </c>
      <c r="B5387">
        <v>0.21199999999999999</v>
      </c>
      <c r="C5387">
        <f t="shared" si="168"/>
        <v>1.2257070384000839</v>
      </c>
      <c r="D5387">
        <v>6</v>
      </c>
      <c r="E5387">
        <f t="shared" si="169"/>
        <v>5.4419194143262919E-2</v>
      </c>
    </row>
    <row r="5388" spans="1:5" x14ac:dyDescent="0.25">
      <c r="A5388">
        <v>0</v>
      </c>
      <c r="B5388">
        <v>0.21333333333333299</v>
      </c>
      <c r="C5388">
        <f t="shared" si="168"/>
        <v>1.2205735883444444</v>
      </c>
      <c r="D5388">
        <v>6</v>
      </c>
      <c r="E5388">
        <f t="shared" si="169"/>
        <v>5.4419194143262919E-2</v>
      </c>
    </row>
    <row r="5389" spans="1:5" x14ac:dyDescent="0.25">
      <c r="A5389">
        <v>0</v>
      </c>
      <c r="B5389">
        <v>0.21395348837209299</v>
      </c>
      <c r="C5389">
        <f t="shared" si="168"/>
        <v>1.2181808001255832</v>
      </c>
      <c r="D5389">
        <v>6</v>
      </c>
      <c r="E5389">
        <f t="shared" si="169"/>
        <v>5.4419194143262919E-2</v>
      </c>
    </row>
    <row r="5390" spans="1:5" x14ac:dyDescent="0.25">
      <c r="A5390">
        <v>0</v>
      </c>
      <c r="B5390">
        <v>0.214</v>
      </c>
      <c r="C5390">
        <f t="shared" si="168"/>
        <v>1.2180012111481033</v>
      </c>
      <c r="D5390">
        <v>6</v>
      </c>
      <c r="E5390">
        <f t="shared" si="169"/>
        <v>5.4419194143262919E-2</v>
      </c>
    </row>
    <row r="5391" spans="1:5" x14ac:dyDescent="0.25">
      <c r="A5391">
        <v>0</v>
      </c>
      <c r="B5391">
        <v>0.214</v>
      </c>
      <c r="C5391">
        <f t="shared" si="168"/>
        <v>1.2180012111481033</v>
      </c>
      <c r="D5391">
        <v>6</v>
      </c>
      <c r="E5391">
        <f t="shared" si="169"/>
        <v>5.4419194143262919E-2</v>
      </c>
    </row>
    <row r="5392" spans="1:5" x14ac:dyDescent="0.25">
      <c r="A5392">
        <v>0</v>
      </c>
      <c r="B5392">
        <v>0.214285714285714</v>
      </c>
      <c r="C5392">
        <f t="shared" si="168"/>
        <v>1.2168976265456191</v>
      </c>
      <c r="D5392">
        <v>6</v>
      </c>
      <c r="E5392">
        <f t="shared" si="169"/>
        <v>5.4419194143262919E-2</v>
      </c>
    </row>
    <row r="5393" spans="1:5" x14ac:dyDescent="0.25">
      <c r="A5393">
        <v>0</v>
      </c>
      <c r="B5393">
        <v>0.21445221445221399</v>
      </c>
      <c r="C5393">
        <f t="shared" si="168"/>
        <v>1.2162541995011702</v>
      </c>
      <c r="D5393">
        <v>6</v>
      </c>
      <c r="E5393">
        <f t="shared" si="169"/>
        <v>5.4419194143262919E-2</v>
      </c>
    </row>
    <row r="5394" spans="1:5" x14ac:dyDescent="0.25">
      <c r="A5394">
        <v>0</v>
      </c>
      <c r="B5394">
        <v>0.21445221445221399</v>
      </c>
      <c r="C5394">
        <f t="shared" si="168"/>
        <v>1.2162541995011702</v>
      </c>
      <c r="D5394">
        <v>6</v>
      </c>
      <c r="E5394">
        <f t="shared" si="169"/>
        <v>5.4419194143262919E-2</v>
      </c>
    </row>
    <row r="5395" spans="1:5" x14ac:dyDescent="0.25">
      <c r="A5395">
        <v>0</v>
      </c>
      <c r="B5395">
        <v>0.21466666666666701</v>
      </c>
      <c r="C5395">
        <f t="shared" si="168"/>
        <v>1.2154251278479122</v>
      </c>
      <c r="D5395">
        <v>6</v>
      </c>
      <c r="E5395">
        <f t="shared" si="169"/>
        <v>5.4419194143262919E-2</v>
      </c>
    </row>
    <row r="5396" spans="1:5" x14ac:dyDescent="0.25">
      <c r="A5396">
        <v>0</v>
      </c>
      <c r="B5396">
        <v>0.21466666666666701</v>
      </c>
      <c r="C5396">
        <f t="shared" si="168"/>
        <v>1.2154251278479122</v>
      </c>
      <c r="D5396">
        <v>6</v>
      </c>
      <c r="E5396">
        <f t="shared" si="169"/>
        <v>5.4419194143262919E-2</v>
      </c>
    </row>
    <row r="5397" spans="1:5" x14ac:dyDescent="0.25">
      <c r="A5397">
        <v>0</v>
      </c>
      <c r="B5397">
        <v>0.21495327102803699</v>
      </c>
      <c r="C5397">
        <f t="shared" si="168"/>
        <v>1.214316525238774</v>
      </c>
      <c r="D5397">
        <v>6</v>
      </c>
      <c r="E5397">
        <f t="shared" si="169"/>
        <v>5.4419194143262919E-2</v>
      </c>
    </row>
    <row r="5398" spans="1:5" x14ac:dyDescent="0.25">
      <c r="A5398">
        <v>0</v>
      </c>
      <c r="B5398">
        <v>0.21495327102803699</v>
      </c>
      <c r="C5398">
        <f t="shared" si="168"/>
        <v>1.214316525238774</v>
      </c>
      <c r="D5398">
        <v>6</v>
      </c>
      <c r="E5398">
        <f t="shared" si="169"/>
        <v>5.4419194143262919E-2</v>
      </c>
    </row>
    <row r="5399" spans="1:5" x14ac:dyDescent="0.25">
      <c r="A5399">
        <v>0</v>
      </c>
      <c r="B5399">
        <v>0.21533333333333299</v>
      </c>
      <c r="C5399">
        <f t="shared" si="168"/>
        <v>1.2128453849321235</v>
      </c>
      <c r="D5399">
        <v>6</v>
      </c>
      <c r="E5399">
        <f t="shared" si="169"/>
        <v>5.4419194143262919E-2</v>
      </c>
    </row>
    <row r="5400" spans="1:5" x14ac:dyDescent="0.25">
      <c r="A5400">
        <v>0</v>
      </c>
      <c r="B5400">
        <v>0.21566666666666701</v>
      </c>
      <c r="C5400">
        <f t="shared" si="168"/>
        <v>1.2115541556415761</v>
      </c>
      <c r="D5400">
        <v>6</v>
      </c>
      <c r="E5400">
        <f t="shared" si="169"/>
        <v>5.4419194143262919E-2</v>
      </c>
    </row>
    <row r="5401" spans="1:5" x14ac:dyDescent="0.25">
      <c r="A5401">
        <v>0</v>
      </c>
      <c r="B5401">
        <v>0.216</v>
      </c>
      <c r="C5401">
        <f t="shared" si="168"/>
        <v>1.2102620288728378</v>
      </c>
      <c r="D5401">
        <v>6</v>
      </c>
      <c r="E5401">
        <f t="shared" si="169"/>
        <v>5.4419194143262919E-2</v>
      </c>
    </row>
    <row r="5402" spans="1:5" x14ac:dyDescent="0.25">
      <c r="A5402">
        <v>0</v>
      </c>
      <c r="B5402">
        <v>0.216</v>
      </c>
      <c r="C5402">
        <f t="shared" si="168"/>
        <v>1.2102620288728378</v>
      </c>
      <c r="D5402">
        <v>6</v>
      </c>
      <c r="E5402">
        <f t="shared" si="169"/>
        <v>5.4419194143262919E-2</v>
      </c>
    </row>
    <row r="5403" spans="1:5" x14ac:dyDescent="0.25">
      <c r="A5403">
        <v>0</v>
      </c>
      <c r="B5403">
        <v>0.216494845360825</v>
      </c>
      <c r="C5403">
        <f t="shared" si="168"/>
        <v>1.2083421773766656</v>
      </c>
      <c r="D5403">
        <v>6</v>
      </c>
      <c r="E5403">
        <f t="shared" si="169"/>
        <v>5.4419194143262919E-2</v>
      </c>
    </row>
    <row r="5404" spans="1:5" x14ac:dyDescent="0.25">
      <c r="A5404">
        <v>0</v>
      </c>
      <c r="B5404">
        <v>0.21733333333333299</v>
      </c>
      <c r="C5404">
        <f t="shared" si="168"/>
        <v>1.205084663123384</v>
      </c>
      <c r="D5404">
        <v>6</v>
      </c>
      <c r="E5404">
        <f t="shared" si="169"/>
        <v>5.4419194143262919E-2</v>
      </c>
    </row>
    <row r="5405" spans="1:5" x14ac:dyDescent="0.25">
      <c r="A5405">
        <v>0</v>
      </c>
      <c r="B5405">
        <v>0.218</v>
      </c>
      <c r="C5405">
        <f t="shared" si="168"/>
        <v>1.2024907462845185</v>
      </c>
      <c r="D5405">
        <v>6</v>
      </c>
      <c r="E5405">
        <f t="shared" si="169"/>
        <v>5.4419194143262919E-2</v>
      </c>
    </row>
    <row r="5406" spans="1:5" x14ac:dyDescent="0.25">
      <c r="A5406">
        <v>0</v>
      </c>
      <c r="B5406">
        <v>0.21856287425149701</v>
      </c>
      <c r="C5406">
        <f t="shared" si="168"/>
        <v>1.2002980023504659</v>
      </c>
      <c r="D5406">
        <v>6</v>
      </c>
      <c r="E5406">
        <f t="shared" si="169"/>
        <v>5.4419194143262919E-2</v>
      </c>
    </row>
    <row r="5407" spans="1:5" x14ac:dyDescent="0.25">
      <c r="A5407">
        <v>0</v>
      </c>
      <c r="B5407">
        <v>0.21866666666666701</v>
      </c>
      <c r="C5407">
        <f t="shared" si="168"/>
        <v>1.19989340200207</v>
      </c>
      <c r="D5407">
        <v>6</v>
      </c>
      <c r="E5407">
        <f t="shared" si="169"/>
        <v>5.4419194143262919E-2</v>
      </c>
    </row>
    <row r="5408" spans="1:5" x14ac:dyDescent="0.25">
      <c r="A5408">
        <v>0</v>
      </c>
      <c r="B5408">
        <v>0.21866666666666701</v>
      </c>
      <c r="C5408">
        <f t="shared" si="168"/>
        <v>1.19989340200207</v>
      </c>
      <c r="D5408">
        <v>6</v>
      </c>
      <c r="E5408">
        <f t="shared" si="169"/>
        <v>5.4419194143262919E-2</v>
      </c>
    </row>
    <row r="5409" spans="1:5" x14ac:dyDescent="0.25">
      <c r="A5409">
        <v>0</v>
      </c>
      <c r="B5409">
        <v>0.21911421911421899</v>
      </c>
      <c r="C5409">
        <f t="shared" si="168"/>
        <v>1.1981478306668465</v>
      </c>
      <c r="D5409">
        <v>6</v>
      </c>
      <c r="E5409">
        <f t="shared" si="169"/>
        <v>5.4419194143262919E-2</v>
      </c>
    </row>
    <row r="5410" spans="1:5" x14ac:dyDescent="0.25">
      <c r="A5410">
        <v>0</v>
      </c>
      <c r="B5410">
        <v>0.21911421911421899</v>
      </c>
      <c r="C5410">
        <f t="shared" si="168"/>
        <v>1.1981478306668465</v>
      </c>
      <c r="D5410">
        <v>6</v>
      </c>
      <c r="E5410">
        <f t="shared" si="169"/>
        <v>5.4419194143262919E-2</v>
      </c>
    </row>
    <row r="5411" spans="1:5" x14ac:dyDescent="0.25">
      <c r="A5411">
        <v>0</v>
      </c>
      <c r="B5411">
        <v>0.219219219219219</v>
      </c>
      <c r="C5411">
        <f t="shared" si="168"/>
        <v>1.1977380836866163</v>
      </c>
      <c r="D5411">
        <v>6</v>
      </c>
      <c r="E5411">
        <f t="shared" si="169"/>
        <v>5.4419194143262919E-2</v>
      </c>
    </row>
    <row r="5412" spans="1:5" x14ac:dyDescent="0.25">
      <c r="A5412">
        <v>0</v>
      </c>
      <c r="B5412">
        <v>0.219219219219219</v>
      </c>
      <c r="C5412">
        <f t="shared" si="168"/>
        <v>1.1977380836866163</v>
      </c>
      <c r="D5412">
        <v>6</v>
      </c>
      <c r="E5412">
        <f t="shared" si="169"/>
        <v>5.4419194143262919E-2</v>
      </c>
    </row>
    <row r="5413" spans="1:5" x14ac:dyDescent="0.25">
      <c r="A5413">
        <v>0</v>
      </c>
      <c r="B5413">
        <v>0.21962616822429901</v>
      </c>
      <c r="C5413">
        <f t="shared" si="168"/>
        <v>1.1961492451227196</v>
      </c>
      <c r="D5413">
        <v>6</v>
      </c>
      <c r="E5413">
        <f t="shared" si="169"/>
        <v>5.4419194143262919E-2</v>
      </c>
    </row>
    <row r="5414" spans="1:5" x14ac:dyDescent="0.25">
      <c r="A5414">
        <v>0</v>
      </c>
      <c r="B5414">
        <v>0.22</v>
      </c>
      <c r="C5414">
        <f t="shared" si="168"/>
        <v>1.1946886165665431</v>
      </c>
      <c r="D5414">
        <v>6</v>
      </c>
      <c r="E5414">
        <f t="shared" si="169"/>
        <v>5.4419194143262919E-2</v>
      </c>
    </row>
    <row r="5415" spans="1:5" x14ac:dyDescent="0.25">
      <c r="A5415">
        <v>0</v>
      </c>
      <c r="B5415">
        <v>0.22</v>
      </c>
      <c r="C5415">
        <f t="shared" si="168"/>
        <v>1.1946886165665431</v>
      </c>
      <c r="D5415">
        <v>6</v>
      </c>
      <c r="E5415">
        <f t="shared" si="169"/>
        <v>5.4419194143262919E-2</v>
      </c>
    </row>
    <row r="5416" spans="1:5" x14ac:dyDescent="0.25">
      <c r="A5416">
        <v>0</v>
      </c>
      <c r="B5416">
        <v>0.22</v>
      </c>
      <c r="C5416">
        <f t="shared" si="168"/>
        <v>1.1946886165665431</v>
      </c>
      <c r="D5416">
        <v>6</v>
      </c>
      <c r="E5416">
        <f t="shared" si="169"/>
        <v>5.4419194143262919E-2</v>
      </c>
    </row>
    <row r="5417" spans="1:5" x14ac:dyDescent="0.25">
      <c r="A5417">
        <v>0</v>
      </c>
      <c r="B5417">
        <v>0.22077922077922099</v>
      </c>
      <c r="C5417">
        <f t="shared" si="168"/>
        <v>1.1916407452330799</v>
      </c>
      <c r="D5417">
        <v>6</v>
      </c>
      <c r="E5417">
        <f t="shared" si="169"/>
        <v>5.4419194143262919E-2</v>
      </c>
    </row>
    <row r="5418" spans="1:5" x14ac:dyDescent="0.25">
      <c r="A5418">
        <v>0</v>
      </c>
      <c r="B5418">
        <v>0.22093023255814001</v>
      </c>
      <c r="C5418">
        <f t="shared" si="168"/>
        <v>1.1910495590628793</v>
      </c>
      <c r="D5418">
        <v>6</v>
      </c>
      <c r="E5418">
        <f t="shared" si="169"/>
        <v>5.4419194143262919E-2</v>
      </c>
    </row>
    <row r="5419" spans="1:5" x14ac:dyDescent="0.25">
      <c r="A5419">
        <v>0</v>
      </c>
      <c r="B5419">
        <v>0.222</v>
      </c>
      <c r="C5419">
        <f t="shared" si="168"/>
        <v>1.1868568910475938</v>
      </c>
      <c r="D5419">
        <v>6</v>
      </c>
      <c r="E5419">
        <f t="shared" si="169"/>
        <v>5.4419194143262919E-2</v>
      </c>
    </row>
    <row r="5420" spans="1:5" x14ac:dyDescent="0.25">
      <c r="A5420">
        <v>0</v>
      </c>
      <c r="B5420">
        <v>0.222</v>
      </c>
      <c r="C5420">
        <f t="shared" si="168"/>
        <v>1.1868568910475938</v>
      </c>
      <c r="D5420">
        <v>6</v>
      </c>
      <c r="E5420">
        <f t="shared" si="169"/>
        <v>5.4419194143262919E-2</v>
      </c>
    </row>
    <row r="5421" spans="1:5" x14ac:dyDescent="0.25">
      <c r="A5421">
        <v>0</v>
      </c>
      <c r="B5421">
        <v>0.22222222222222199</v>
      </c>
      <c r="C5421">
        <f t="shared" si="168"/>
        <v>1.1859849267061071</v>
      </c>
      <c r="D5421">
        <v>6</v>
      </c>
      <c r="E5421">
        <f t="shared" si="169"/>
        <v>5.4419194143262919E-2</v>
      </c>
    </row>
    <row r="5422" spans="1:5" x14ac:dyDescent="0.25">
      <c r="A5422">
        <v>0</v>
      </c>
      <c r="B5422">
        <v>0.22266666666666701</v>
      </c>
      <c r="C5422">
        <f t="shared" si="168"/>
        <v>1.1842399550012135</v>
      </c>
      <c r="D5422">
        <v>6</v>
      </c>
      <c r="E5422">
        <f t="shared" si="169"/>
        <v>5.4419194143262919E-2</v>
      </c>
    </row>
    <row r="5423" spans="1:5" x14ac:dyDescent="0.25">
      <c r="A5423">
        <v>0</v>
      </c>
      <c r="B5423">
        <v>0.223333333333333</v>
      </c>
      <c r="C5423">
        <f t="shared" si="168"/>
        <v>1.1816199155530451</v>
      </c>
      <c r="D5423">
        <v>6</v>
      </c>
      <c r="E5423">
        <f t="shared" si="169"/>
        <v>5.4419194143262919E-2</v>
      </c>
    </row>
    <row r="5424" spans="1:5" x14ac:dyDescent="0.25">
      <c r="A5424">
        <v>0</v>
      </c>
      <c r="B5424">
        <v>0.223333333333333</v>
      </c>
      <c r="C5424">
        <f t="shared" si="168"/>
        <v>1.1816199155530451</v>
      </c>
      <c r="D5424">
        <v>6</v>
      </c>
      <c r="E5424">
        <f t="shared" si="169"/>
        <v>5.4419194143262919E-2</v>
      </c>
    </row>
    <row r="5425" spans="1:5" x14ac:dyDescent="0.25">
      <c r="A5425">
        <v>0</v>
      </c>
      <c r="B5425">
        <v>0.223333333333333</v>
      </c>
      <c r="C5425">
        <f t="shared" si="168"/>
        <v>1.1816199155530451</v>
      </c>
      <c r="D5425">
        <v>6</v>
      </c>
      <c r="E5425">
        <f t="shared" si="169"/>
        <v>5.4419194143262919E-2</v>
      </c>
    </row>
    <row r="5426" spans="1:5" x14ac:dyDescent="0.25">
      <c r="A5426">
        <v>0</v>
      </c>
      <c r="B5426">
        <v>0.22368421052631601</v>
      </c>
      <c r="C5426">
        <f t="shared" si="168"/>
        <v>1.1802397165228034</v>
      </c>
      <c r="D5426">
        <v>6</v>
      </c>
      <c r="E5426">
        <f t="shared" si="169"/>
        <v>5.4419194143262919E-2</v>
      </c>
    </row>
    <row r="5427" spans="1:5" x14ac:dyDescent="0.25">
      <c r="A5427">
        <v>0</v>
      </c>
      <c r="B5427">
        <v>0.224</v>
      </c>
      <c r="C5427">
        <f t="shared" si="168"/>
        <v>1.1789968188764934</v>
      </c>
      <c r="D5427">
        <v>6</v>
      </c>
      <c r="E5427">
        <f t="shared" si="169"/>
        <v>5.4419194143262919E-2</v>
      </c>
    </row>
    <row r="5428" spans="1:5" x14ac:dyDescent="0.25">
      <c r="A5428">
        <v>0</v>
      </c>
      <c r="B5428">
        <v>0.224</v>
      </c>
      <c r="C5428">
        <f t="shared" si="168"/>
        <v>1.1789968188764934</v>
      </c>
      <c r="D5428">
        <v>6</v>
      </c>
      <c r="E5428">
        <f t="shared" si="169"/>
        <v>5.4419194143262919E-2</v>
      </c>
    </row>
    <row r="5429" spans="1:5" x14ac:dyDescent="0.25">
      <c r="A5429">
        <v>0</v>
      </c>
      <c r="B5429">
        <v>0.224</v>
      </c>
      <c r="C5429">
        <f t="shared" si="168"/>
        <v>1.1789968188764934</v>
      </c>
      <c r="D5429">
        <v>6</v>
      </c>
      <c r="E5429">
        <f t="shared" si="169"/>
        <v>5.4419194143262919E-2</v>
      </c>
    </row>
    <row r="5430" spans="1:5" x14ac:dyDescent="0.25">
      <c r="A5430">
        <v>0</v>
      </c>
      <c r="B5430">
        <v>0.224</v>
      </c>
      <c r="C5430">
        <f t="shared" si="168"/>
        <v>1.1789968188764934</v>
      </c>
      <c r="D5430">
        <v>6</v>
      </c>
      <c r="E5430">
        <f t="shared" si="169"/>
        <v>5.4419194143262919E-2</v>
      </c>
    </row>
    <row r="5431" spans="1:5" x14ac:dyDescent="0.25">
      <c r="A5431">
        <v>0</v>
      </c>
      <c r="B5431">
        <v>0.224</v>
      </c>
      <c r="C5431">
        <f t="shared" si="168"/>
        <v>1.1789968188764934</v>
      </c>
      <c r="D5431">
        <v>6</v>
      </c>
      <c r="E5431">
        <f t="shared" si="169"/>
        <v>5.4419194143262919E-2</v>
      </c>
    </row>
    <row r="5432" spans="1:5" x14ac:dyDescent="0.25">
      <c r="A5432">
        <v>0</v>
      </c>
      <c r="B5432">
        <v>0.224</v>
      </c>
      <c r="C5432">
        <f t="shared" si="168"/>
        <v>1.1789968188764934</v>
      </c>
      <c r="D5432">
        <v>6</v>
      </c>
      <c r="E5432">
        <f t="shared" si="169"/>
        <v>5.4419194143262919E-2</v>
      </c>
    </row>
    <row r="5433" spans="1:5" x14ac:dyDescent="0.25">
      <c r="A5433">
        <v>0</v>
      </c>
      <c r="B5433">
        <v>0.224</v>
      </c>
      <c r="C5433">
        <f t="shared" si="168"/>
        <v>1.1789968188764934</v>
      </c>
      <c r="D5433">
        <v>6</v>
      </c>
      <c r="E5433">
        <f t="shared" si="169"/>
        <v>5.4419194143262919E-2</v>
      </c>
    </row>
    <row r="5434" spans="1:5" x14ac:dyDescent="0.25">
      <c r="A5434">
        <v>0</v>
      </c>
      <c r="B5434">
        <v>0.22500000000000001</v>
      </c>
      <c r="C5434">
        <f t="shared" si="168"/>
        <v>1.1750565424799646</v>
      </c>
      <c r="D5434">
        <v>6</v>
      </c>
      <c r="E5434">
        <f t="shared" si="169"/>
        <v>5.4419194143262919E-2</v>
      </c>
    </row>
    <row r="5435" spans="1:5" x14ac:dyDescent="0.25">
      <c r="A5435">
        <v>0</v>
      </c>
      <c r="B5435">
        <v>0.22641509433962301</v>
      </c>
      <c r="C5435">
        <f t="shared" si="168"/>
        <v>1.1694694052433641</v>
      </c>
      <c r="D5435">
        <v>7</v>
      </c>
      <c r="E5435">
        <f t="shared" si="169"/>
        <v>5.1722949873512634E-2</v>
      </c>
    </row>
    <row r="5436" spans="1:5" x14ac:dyDescent="0.25">
      <c r="A5436">
        <v>0</v>
      </c>
      <c r="B5436">
        <v>0.226635514018692</v>
      </c>
      <c r="C5436">
        <f t="shared" si="168"/>
        <v>1.1685979699849982</v>
      </c>
      <c r="D5436">
        <v>7</v>
      </c>
      <c r="E5436">
        <f t="shared" si="169"/>
        <v>5.1722949873512634E-2</v>
      </c>
    </row>
    <row r="5437" spans="1:5" x14ac:dyDescent="0.25">
      <c r="A5437">
        <v>0</v>
      </c>
      <c r="B5437">
        <v>0.226635514018692</v>
      </c>
      <c r="C5437">
        <f t="shared" si="168"/>
        <v>1.1685979699849982</v>
      </c>
      <c r="D5437">
        <v>7</v>
      </c>
      <c r="E5437">
        <f t="shared" si="169"/>
        <v>5.1722949873512634E-2</v>
      </c>
    </row>
    <row r="5438" spans="1:5" x14ac:dyDescent="0.25">
      <c r="A5438">
        <v>0</v>
      </c>
      <c r="B5438">
        <v>0.226635514018692</v>
      </c>
      <c r="C5438">
        <f t="shared" si="168"/>
        <v>1.1685979699849982</v>
      </c>
      <c r="D5438">
        <v>7</v>
      </c>
      <c r="E5438">
        <f t="shared" si="169"/>
        <v>5.1722949873512634E-2</v>
      </c>
    </row>
    <row r="5439" spans="1:5" x14ac:dyDescent="0.25">
      <c r="A5439">
        <v>0</v>
      </c>
      <c r="B5439">
        <v>0.22666666666666699</v>
      </c>
      <c r="C5439">
        <f t="shared" si="168"/>
        <v>1.1684747821537842</v>
      </c>
      <c r="D5439">
        <v>7</v>
      </c>
      <c r="E5439">
        <f t="shared" si="169"/>
        <v>5.1722949873512634E-2</v>
      </c>
    </row>
    <row r="5440" spans="1:5" x14ac:dyDescent="0.25">
      <c r="A5440">
        <v>0</v>
      </c>
      <c r="B5440">
        <v>0.22700000000000001</v>
      </c>
      <c r="C5440">
        <f t="shared" si="168"/>
        <v>1.1671562869238326</v>
      </c>
      <c r="D5440">
        <v>7</v>
      </c>
      <c r="E5440">
        <f t="shared" si="169"/>
        <v>5.1722949873512634E-2</v>
      </c>
    </row>
    <row r="5441" spans="1:5" x14ac:dyDescent="0.25">
      <c r="A5441">
        <v>0</v>
      </c>
      <c r="B5441">
        <v>0.227848101265823</v>
      </c>
      <c r="C5441">
        <f t="shared" si="168"/>
        <v>1.1637984872034268</v>
      </c>
      <c r="D5441">
        <v>7</v>
      </c>
      <c r="E5441">
        <f t="shared" si="169"/>
        <v>5.1722949873512634E-2</v>
      </c>
    </row>
    <row r="5442" spans="1:5" x14ac:dyDescent="0.25">
      <c r="A5442">
        <v>0</v>
      </c>
      <c r="B5442">
        <v>0.22800000000000001</v>
      </c>
      <c r="C5442">
        <f t="shared" ref="C5442:C5505" si="170">_xlfn.NORM.DIST(B5442,I$10,I$13,FALSE)</f>
        <v>1.1631966183430664</v>
      </c>
      <c r="D5442">
        <v>7</v>
      </c>
      <c r="E5442">
        <f t="shared" si="169"/>
        <v>5.1722949873512634E-2</v>
      </c>
    </row>
    <row r="5443" spans="1:5" x14ac:dyDescent="0.25">
      <c r="A5443">
        <v>0</v>
      </c>
      <c r="B5443">
        <v>0.22800000000000001</v>
      </c>
      <c r="C5443">
        <f t="shared" si="170"/>
        <v>1.1631966183430664</v>
      </c>
      <c r="D5443">
        <v>7</v>
      </c>
      <c r="E5443">
        <f t="shared" ref="E5443:E5506" si="171">_xlfn.NORM.DIST(D5443,I$4,I$7,FALSE)</f>
        <v>5.1722949873512634E-2</v>
      </c>
    </row>
    <row r="5444" spans="1:5" x14ac:dyDescent="0.25">
      <c r="A5444">
        <v>0</v>
      </c>
      <c r="B5444">
        <v>0.22800000000000001</v>
      </c>
      <c r="C5444">
        <f t="shared" si="170"/>
        <v>1.1631966183430664</v>
      </c>
      <c r="D5444">
        <v>7</v>
      </c>
      <c r="E5444">
        <f t="shared" si="171"/>
        <v>5.1722949873512634E-2</v>
      </c>
    </row>
    <row r="5445" spans="1:5" x14ac:dyDescent="0.25">
      <c r="A5445">
        <v>0</v>
      </c>
      <c r="B5445">
        <v>0.22800000000000001</v>
      </c>
      <c r="C5445">
        <f t="shared" si="170"/>
        <v>1.1631966183430664</v>
      </c>
      <c r="D5445">
        <v>7</v>
      </c>
      <c r="E5445">
        <f t="shared" si="171"/>
        <v>5.1722949873512634E-2</v>
      </c>
    </row>
    <row r="5446" spans="1:5" x14ac:dyDescent="0.25">
      <c r="A5446">
        <v>0</v>
      </c>
      <c r="B5446">
        <v>0.22800000000000001</v>
      </c>
      <c r="C5446">
        <f t="shared" si="170"/>
        <v>1.1631966183430664</v>
      </c>
      <c r="D5446">
        <v>7</v>
      </c>
      <c r="E5446">
        <f t="shared" si="171"/>
        <v>5.1722949873512634E-2</v>
      </c>
    </row>
    <row r="5447" spans="1:5" x14ac:dyDescent="0.25">
      <c r="A5447">
        <v>0</v>
      </c>
      <c r="B5447">
        <v>0.22800000000000001</v>
      </c>
      <c r="C5447">
        <f t="shared" si="170"/>
        <v>1.1631966183430664</v>
      </c>
      <c r="D5447">
        <v>7</v>
      </c>
      <c r="E5447">
        <f t="shared" si="171"/>
        <v>5.1722949873512634E-2</v>
      </c>
    </row>
    <row r="5448" spans="1:5" x14ac:dyDescent="0.25">
      <c r="A5448">
        <v>0</v>
      </c>
      <c r="B5448">
        <v>0.228333333333333</v>
      </c>
      <c r="C5448">
        <f t="shared" si="170"/>
        <v>1.1618753536532718</v>
      </c>
      <c r="D5448">
        <v>7</v>
      </c>
      <c r="E5448">
        <f t="shared" si="171"/>
        <v>5.1722949873512634E-2</v>
      </c>
    </row>
    <row r="5449" spans="1:5" x14ac:dyDescent="0.25">
      <c r="A5449">
        <v>0</v>
      </c>
      <c r="B5449">
        <v>0.228438228438228</v>
      </c>
      <c r="C5449">
        <f t="shared" si="170"/>
        <v>1.161459430534896</v>
      </c>
      <c r="D5449">
        <v>7</v>
      </c>
      <c r="E5449">
        <f t="shared" si="171"/>
        <v>5.1722949873512634E-2</v>
      </c>
    </row>
    <row r="5450" spans="1:5" x14ac:dyDescent="0.25">
      <c r="A5450">
        <v>0</v>
      </c>
      <c r="B5450">
        <v>0.22897196261682201</v>
      </c>
      <c r="C5450">
        <f t="shared" si="170"/>
        <v>1.1593420696883339</v>
      </c>
      <c r="D5450">
        <v>7</v>
      </c>
      <c r="E5450">
        <f t="shared" si="171"/>
        <v>5.1722949873512634E-2</v>
      </c>
    </row>
    <row r="5451" spans="1:5" x14ac:dyDescent="0.25">
      <c r="A5451">
        <v>0</v>
      </c>
      <c r="B5451">
        <v>0.229333333333333</v>
      </c>
      <c r="C5451">
        <f t="shared" si="170"/>
        <v>1.1579075143843451</v>
      </c>
      <c r="D5451">
        <v>7</v>
      </c>
      <c r="E5451">
        <f t="shared" si="171"/>
        <v>5.1722949873512634E-2</v>
      </c>
    </row>
    <row r="5452" spans="1:5" x14ac:dyDescent="0.25">
      <c r="A5452">
        <v>0</v>
      </c>
      <c r="B5452">
        <v>0.23</v>
      </c>
      <c r="C5452">
        <f t="shared" si="170"/>
        <v>1.1552589744934323</v>
      </c>
      <c r="D5452">
        <v>7</v>
      </c>
      <c r="E5452">
        <f t="shared" si="171"/>
        <v>5.1722949873512634E-2</v>
      </c>
    </row>
    <row r="5453" spans="1:5" x14ac:dyDescent="0.25">
      <c r="A5453">
        <v>0</v>
      </c>
      <c r="B5453">
        <v>0.23</v>
      </c>
      <c r="C5453">
        <f t="shared" si="170"/>
        <v>1.1552589744934323</v>
      </c>
      <c r="D5453">
        <v>7</v>
      </c>
      <c r="E5453">
        <f t="shared" si="171"/>
        <v>5.1722949873512634E-2</v>
      </c>
    </row>
    <row r="5454" spans="1:5" x14ac:dyDescent="0.25">
      <c r="A5454">
        <v>0</v>
      </c>
      <c r="B5454">
        <v>0.23</v>
      </c>
      <c r="C5454">
        <f t="shared" si="170"/>
        <v>1.1552589744934323</v>
      </c>
      <c r="D5454">
        <v>7</v>
      </c>
      <c r="E5454">
        <f t="shared" si="171"/>
        <v>5.1722949873512634E-2</v>
      </c>
    </row>
    <row r="5455" spans="1:5" x14ac:dyDescent="0.25">
      <c r="A5455">
        <v>0</v>
      </c>
      <c r="B5455">
        <v>0.23130841121495299</v>
      </c>
      <c r="C5455">
        <f t="shared" si="170"/>
        <v>1.1500533964992388</v>
      </c>
      <c r="D5455">
        <v>7</v>
      </c>
      <c r="E5455">
        <f t="shared" si="171"/>
        <v>5.1722949873512634E-2</v>
      </c>
    </row>
    <row r="5456" spans="1:5" x14ac:dyDescent="0.25">
      <c r="A5456">
        <v>0</v>
      </c>
      <c r="B5456">
        <v>0.231333333333333</v>
      </c>
      <c r="C5456">
        <f t="shared" si="170"/>
        <v>1.1499541477857098</v>
      </c>
      <c r="D5456">
        <v>7</v>
      </c>
      <c r="E5456">
        <f t="shared" si="171"/>
        <v>5.1722949873512634E-2</v>
      </c>
    </row>
    <row r="5457" spans="1:5" x14ac:dyDescent="0.25">
      <c r="A5457">
        <v>0</v>
      </c>
      <c r="B5457">
        <v>0.23200000000000001</v>
      </c>
      <c r="C5457">
        <f t="shared" si="170"/>
        <v>1.1472979523877203</v>
      </c>
      <c r="D5457">
        <v>7</v>
      </c>
      <c r="E5457">
        <f t="shared" si="171"/>
        <v>5.1722949873512634E-2</v>
      </c>
    </row>
    <row r="5458" spans="1:5" x14ac:dyDescent="0.25">
      <c r="A5458">
        <v>0</v>
      </c>
      <c r="B5458">
        <v>0.23200000000000001</v>
      </c>
      <c r="C5458">
        <f t="shared" si="170"/>
        <v>1.1472979523877203</v>
      </c>
      <c r="D5458">
        <v>7</v>
      </c>
      <c r="E5458">
        <f t="shared" si="171"/>
        <v>5.1722949873512634E-2</v>
      </c>
    </row>
    <row r="5459" spans="1:5" x14ac:dyDescent="0.25">
      <c r="A5459">
        <v>0</v>
      </c>
      <c r="B5459">
        <v>0.23200000000000001</v>
      </c>
      <c r="C5459">
        <f t="shared" si="170"/>
        <v>1.1472979523877203</v>
      </c>
      <c r="D5459">
        <v>7</v>
      </c>
      <c r="E5459">
        <f t="shared" si="171"/>
        <v>5.1722949873512634E-2</v>
      </c>
    </row>
    <row r="5460" spans="1:5" x14ac:dyDescent="0.25">
      <c r="A5460">
        <v>0</v>
      </c>
      <c r="B5460">
        <v>0.23300000000000001</v>
      </c>
      <c r="C5460">
        <f t="shared" si="170"/>
        <v>1.1433090601054305</v>
      </c>
      <c r="D5460">
        <v>7</v>
      </c>
      <c r="E5460">
        <f t="shared" si="171"/>
        <v>5.1722949873512634E-2</v>
      </c>
    </row>
    <row r="5461" spans="1:5" x14ac:dyDescent="0.25">
      <c r="A5461">
        <v>0</v>
      </c>
      <c r="B5461">
        <v>0.23300000000000001</v>
      </c>
      <c r="C5461">
        <f t="shared" si="170"/>
        <v>1.1433090601054305</v>
      </c>
      <c r="D5461">
        <v>7</v>
      </c>
      <c r="E5461">
        <f t="shared" si="171"/>
        <v>5.1722949873512634E-2</v>
      </c>
    </row>
    <row r="5462" spans="1:5" x14ac:dyDescent="0.25">
      <c r="A5462">
        <v>0</v>
      </c>
      <c r="B5462">
        <v>0.233333333333333</v>
      </c>
      <c r="C5462">
        <f t="shared" si="170"/>
        <v>1.1419782256852538</v>
      </c>
      <c r="D5462">
        <v>7</v>
      </c>
      <c r="E5462">
        <f t="shared" si="171"/>
        <v>5.1722949873512634E-2</v>
      </c>
    </row>
    <row r="5463" spans="1:5" x14ac:dyDescent="0.25">
      <c r="A5463">
        <v>0</v>
      </c>
      <c r="B5463">
        <v>0.233644859813084</v>
      </c>
      <c r="C5463">
        <f t="shared" si="170"/>
        <v>1.1407339196032937</v>
      </c>
      <c r="D5463">
        <v>7</v>
      </c>
      <c r="E5463">
        <f t="shared" si="171"/>
        <v>5.1722949873512634E-2</v>
      </c>
    </row>
    <row r="5464" spans="1:5" x14ac:dyDescent="0.25">
      <c r="A5464">
        <v>0</v>
      </c>
      <c r="B5464">
        <v>0.233644859813084</v>
      </c>
      <c r="C5464">
        <f t="shared" si="170"/>
        <v>1.1407339196032937</v>
      </c>
      <c r="D5464">
        <v>7</v>
      </c>
      <c r="E5464">
        <f t="shared" si="171"/>
        <v>5.1722949873512634E-2</v>
      </c>
    </row>
    <row r="5465" spans="1:5" x14ac:dyDescent="0.25">
      <c r="A5465">
        <v>0</v>
      </c>
      <c r="B5465">
        <v>0.23400000000000001</v>
      </c>
      <c r="C5465">
        <f t="shared" si="170"/>
        <v>1.1393147855020818</v>
      </c>
      <c r="D5465">
        <v>7</v>
      </c>
      <c r="E5465">
        <f t="shared" si="171"/>
        <v>5.1722949873512634E-2</v>
      </c>
    </row>
    <row r="5466" spans="1:5" x14ac:dyDescent="0.25">
      <c r="A5466">
        <v>0</v>
      </c>
      <c r="B5466">
        <v>0.23499999999999999</v>
      </c>
      <c r="C5466">
        <f t="shared" si="170"/>
        <v>1.1353152821243391</v>
      </c>
      <c r="D5466">
        <v>7</v>
      </c>
      <c r="E5466">
        <f t="shared" si="171"/>
        <v>5.1722949873512634E-2</v>
      </c>
    </row>
    <row r="5467" spans="1:5" x14ac:dyDescent="0.25">
      <c r="A5467">
        <v>0</v>
      </c>
      <c r="B5467">
        <v>0.23533333333333301</v>
      </c>
      <c r="C5467">
        <f t="shared" si="170"/>
        <v>1.133980978881663</v>
      </c>
      <c r="D5467">
        <v>7</v>
      </c>
      <c r="E5467">
        <f t="shared" si="171"/>
        <v>5.1722949873512634E-2</v>
      </c>
    </row>
    <row r="5468" spans="1:5" x14ac:dyDescent="0.25">
      <c r="A5468">
        <v>0</v>
      </c>
      <c r="B5468">
        <v>0.23543123543123501</v>
      </c>
      <c r="C5468">
        <f t="shared" si="170"/>
        <v>1.1335889793047842</v>
      </c>
      <c r="D5468">
        <v>7</v>
      </c>
      <c r="E5468">
        <f t="shared" si="171"/>
        <v>5.1722949873512634E-2</v>
      </c>
    </row>
    <row r="5469" spans="1:5" x14ac:dyDescent="0.25">
      <c r="A5469">
        <v>0</v>
      </c>
      <c r="B5469">
        <v>0.23599999999999999</v>
      </c>
      <c r="C5469">
        <f t="shared" si="170"/>
        <v>1.1313107032457255</v>
      </c>
      <c r="D5469">
        <v>7</v>
      </c>
      <c r="E5469">
        <f t="shared" si="171"/>
        <v>5.1722949873512634E-2</v>
      </c>
    </row>
    <row r="5470" spans="1:5" x14ac:dyDescent="0.25">
      <c r="A5470">
        <v>0</v>
      </c>
      <c r="B5470">
        <v>0.23611111111111099</v>
      </c>
      <c r="C5470">
        <f t="shared" si="170"/>
        <v>1.130865443382951</v>
      </c>
      <c r="D5470">
        <v>7</v>
      </c>
      <c r="E5470">
        <f t="shared" si="171"/>
        <v>5.1722949873512634E-2</v>
      </c>
    </row>
    <row r="5471" spans="1:5" x14ac:dyDescent="0.25">
      <c r="A5471">
        <v>0</v>
      </c>
      <c r="B5471">
        <v>0.236363636363636</v>
      </c>
      <c r="C5471">
        <f t="shared" si="170"/>
        <v>1.129853264250287</v>
      </c>
      <c r="D5471">
        <v>7</v>
      </c>
      <c r="E5471">
        <f t="shared" si="171"/>
        <v>5.1722949873512634E-2</v>
      </c>
    </row>
    <row r="5472" spans="1:5" x14ac:dyDescent="0.25">
      <c r="A5472">
        <v>0</v>
      </c>
      <c r="B5472">
        <v>0.23833333333333301</v>
      </c>
      <c r="C5472">
        <f t="shared" si="170"/>
        <v>1.1219478066496018</v>
      </c>
      <c r="D5472">
        <v>7</v>
      </c>
      <c r="E5472">
        <f t="shared" si="171"/>
        <v>5.1722949873512634E-2</v>
      </c>
    </row>
    <row r="5473" spans="1:5" x14ac:dyDescent="0.25">
      <c r="A5473">
        <v>0</v>
      </c>
      <c r="B5473">
        <v>0.238666666666667</v>
      </c>
      <c r="C5473">
        <f t="shared" si="170"/>
        <v>1.1206081752346577</v>
      </c>
      <c r="D5473">
        <v>7</v>
      </c>
      <c r="E5473">
        <f t="shared" si="171"/>
        <v>5.1722949873512634E-2</v>
      </c>
    </row>
    <row r="5474" spans="1:5" x14ac:dyDescent="0.25">
      <c r="A5474">
        <v>0</v>
      </c>
      <c r="B5474">
        <v>0.24</v>
      </c>
      <c r="C5474">
        <f t="shared" si="170"/>
        <v>1.1152446881092146</v>
      </c>
      <c r="D5474">
        <v>7</v>
      </c>
      <c r="E5474">
        <f t="shared" si="171"/>
        <v>5.1722949873512634E-2</v>
      </c>
    </row>
    <row r="5475" spans="1:5" x14ac:dyDescent="0.25">
      <c r="A5475">
        <v>0</v>
      </c>
      <c r="B5475">
        <v>0.24</v>
      </c>
      <c r="C5475">
        <f t="shared" si="170"/>
        <v>1.1152446881092146</v>
      </c>
      <c r="D5475">
        <v>7</v>
      </c>
      <c r="E5475">
        <f t="shared" si="171"/>
        <v>5.1722949873512634E-2</v>
      </c>
    </row>
    <row r="5476" spans="1:5" x14ac:dyDescent="0.25">
      <c r="A5476">
        <v>0</v>
      </c>
      <c r="B5476">
        <v>0.24</v>
      </c>
      <c r="C5476">
        <f t="shared" si="170"/>
        <v>1.1152446881092146</v>
      </c>
      <c r="D5476">
        <v>7</v>
      </c>
      <c r="E5476">
        <f t="shared" si="171"/>
        <v>5.1722949873512634E-2</v>
      </c>
    </row>
    <row r="5477" spans="1:5" x14ac:dyDescent="0.25">
      <c r="A5477">
        <v>0</v>
      </c>
      <c r="B5477">
        <v>0.24</v>
      </c>
      <c r="C5477">
        <f t="shared" si="170"/>
        <v>1.1152446881092146</v>
      </c>
      <c r="D5477">
        <v>7</v>
      </c>
      <c r="E5477">
        <f t="shared" si="171"/>
        <v>5.1722949873512634E-2</v>
      </c>
    </row>
    <row r="5478" spans="1:5" x14ac:dyDescent="0.25">
      <c r="A5478">
        <v>0</v>
      </c>
      <c r="B5478">
        <v>0.24</v>
      </c>
      <c r="C5478">
        <f t="shared" si="170"/>
        <v>1.1152446881092146</v>
      </c>
      <c r="D5478">
        <v>7</v>
      </c>
      <c r="E5478">
        <f t="shared" si="171"/>
        <v>5.1722949873512634E-2</v>
      </c>
    </row>
    <row r="5479" spans="1:5" x14ac:dyDescent="0.25">
      <c r="A5479">
        <v>0</v>
      </c>
      <c r="B5479">
        <v>0.24</v>
      </c>
      <c r="C5479">
        <f t="shared" si="170"/>
        <v>1.1152446881092146</v>
      </c>
      <c r="D5479">
        <v>7</v>
      </c>
      <c r="E5479">
        <f t="shared" si="171"/>
        <v>5.1722949873512634E-2</v>
      </c>
    </row>
    <row r="5480" spans="1:5" x14ac:dyDescent="0.25">
      <c r="A5480">
        <v>0</v>
      </c>
      <c r="B5480">
        <v>0.24009324009324001</v>
      </c>
      <c r="C5480">
        <f t="shared" si="170"/>
        <v>1.1148693280290107</v>
      </c>
      <c r="D5480">
        <v>7</v>
      </c>
      <c r="E5480">
        <f t="shared" si="171"/>
        <v>5.1722949873512634E-2</v>
      </c>
    </row>
    <row r="5481" spans="1:5" x14ac:dyDescent="0.25">
      <c r="A5481">
        <v>0</v>
      </c>
      <c r="B5481">
        <v>0.24099999999999999</v>
      </c>
      <c r="C5481">
        <f t="shared" si="170"/>
        <v>1.1112170206155449</v>
      </c>
      <c r="D5481">
        <v>7</v>
      </c>
      <c r="E5481">
        <f t="shared" si="171"/>
        <v>5.1722949873512634E-2</v>
      </c>
    </row>
    <row r="5482" spans="1:5" x14ac:dyDescent="0.25">
      <c r="A5482">
        <v>0</v>
      </c>
      <c r="B5482">
        <v>0.24133333333333301</v>
      </c>
      <c r="C5482">
        <f t="shared" si="170"/>
        <v>1.1098735324005466</v>
      </c>
      <c r="D5482">
        <v>7</v>
      </c>
      <c r="E5482">
        <f t="shared" si="171"/>
        <v>5.1722949873512634E-2</v>
      </c>
    </row>
    <row r="5483" spans="1:5" x14ac:dyDescent="0.25">
      <c r="A5483">
        <v>0</v>
      </c>
      <c r="B5483">
        <v>0.241666666666667</v>
      </c>
      <c r="C5483">
        <f t="shared" si="170"/>
        <v>1.1085295873314809</v>
      </c>
      <c r="D5483">
        <v>7</v>
      </c>
      <c r="E5483">
        <f t="shared" si="171"/>
        <v>5.1722949873512634E-2</v>
      </c>
    </row>
    <row r="5484" spans="1:5" x14ac:dyDescent="0.25">
      <c r="A5484">
        <v>0</v>
      </c>
      <c r="B5484">
        <v>0.241666666666667</v>
      </c>
      <c r="C5484">
        <f t="shared" si="170"/>
        <v>1.1085295873314809</v>
      </c>
      <c r="D5484">
        <v>7</v>
      </c>
      <c r="E5484">
        <f t="shared" si="171"/>
        <v>5.1722949873512634E-2</v>
      </c>
    </row>
    <row r="5485" spans="1:5" x14ac:dyDescent="0.25">
      <c r="A5485">
        <v>0</v>
      </c>
      <c r="B5485">
        <v>0.241666666666667</v>
      </c>
      <c r="C5485">
        <f t="shared" si="170"/>
        <v>1.1085295873314809</v>
      </c>
      <c r="D5485">
        <v>7</v>
      </c>
      <c r="E5485">
        <f t="shared" si="171"/>
        <v>5.1722949873512634E-2</v>
      </c>
    </row>
    <row r="5486" spans="1:5" x14ac:dyDescent="0.25">
      <c r="A5486">
        <v>0</v>
      </c>
      <c r="B5486">
        <v>0.24199999999999999</v>
      </c>
      <c r="C5486">
        <f t="shared" si="170"/>
        <v>1.107185191004765</v>
      </c>
      <c r="D5486">
        <v>7</v>
      </c>
      <c r="E5486">
        <f t="shared" si="171"/>
        <v>5.1722949873512634E-2</v>
      </c>
    </row>
    <row r="5487" spans="1:5" x14ac:dyDescent="0.25">
      <c r="A5487">
        <v>0</v>
      </c>
      <c r="B5487">
        <v>0.242990654205607</v>
      </c>
      <c r="C5487">
        <f t="shared" si="170"/>
        <v>1.1031870866201656</v>
      </c>
      <c r="D5487">
        <v>7</v>
      </c>
      <c r="E5487">
        <f t="shared" si="171"/>
        <v>5.1722949873512634E-2</v>
      </c>
    </row>
    <row r="5488" spans="1:5" x14ac:dyDescent="0.25">
      <c r="A5488">
        <v>0</v>
      </c>
      <c r="B5488">
        <v>0.24324324324324301</v>
      </c>
      <c r="C5488">
        <f t="shared" si="170"/>
        <v>1.1021670699817891</v>
      </c>
      <c r="D5488">
        <v>7</v>
      </c>
      <c r="E5488">
        <f t="shared" si="171"/>
        <v>5.1722949873512634E-2</v>
      </c>
    </row>
    <row r="5489" spans="1:5" x14ac:dyDescent="0.25">
      <c r="A5489">
        <v>0</v>
      </c>
      <c r="B5489">
        <v>0.24333333333333301</v>
      </c>
      <c r="C5489">
        <f t="shared" si="170"/>
        <v>1.101803204900307</v>
      </c>
      <c r="D5489">
        <v>7</v>
      </c>
      <c r="E5489">
        <f t="shared" si="171"/>
        <v>5.1722949873512634E-2</v>
      </c>
    </row>
    <row r="5490" spans="1:5" x14ac:dyDescent="0.25">
      <c r="A5490">
        <v>0</v>
      </c>
      <c r="B5490">
        <v>0.24333333333333301</v>
      </c>
      <c r="C5490">
        <f t="shared" si="170"/>
        <v>1.101803204900307</v>
      </c>
      <c r="D5490">
        <v>7</v>
      </c>
      <c r="E5490">
        <f t="shared" si="171"/>
        <v>5.1722949873512634E-2</v>
      </c>
    </row>
    <row r="5491" spans="1:5" x14ac:dyDescent="0.25">
      <c r="A5491">
        <v>0</v>
      </c>
      <c r="B5491">
        <v>0.24333333333333301</v>
      </c>
      <c r="C5491">
        <f t="shared" si="170"/>
        <v>1.101803204900307</v>
      </c>
      <c r="D5491">
        <v>7</v>
      </c>
      <c r="E5491">
        <f t="shared" si="171"/>
        <v>5.1722949873512634E-2</v>
      </c>
    </row>
    <row r="5492" spans="1:5" x14ac:dyDescent="0.25">
      <c r="A5492">
        <v>0</v>
      </c>
      <c r="B5492">
        <v>0.24399999999999999</v>
      </c>
      <c r="C5492">
        <f t="shared" si="170"/>
        <v>1.0991096494935453</v>
      </c>
      <c r="D5492">
        <v>7</v>
      </c>
      <c r="E5492">
        <f t="shared" si="171"/>
        <v>5.1722949873512634E-2</v>
      </c>
    </row>
    <row r="5493" spans="1:5" x14ac:dyDescent="0.25">
      <c r="A5493">
        <v>0</v>
      </c>
      <c r="B5493">
        <v>0.24399999999999999</v>
      </c>
      <c r="C5493">
        <f t="shared" si="170"/>
        <v>1.0991096494935453</v>
      </c>
      <c r="D5493">
        <v>7</v>
      </c>
      <c r="E5493">
        <f t="shared" si="171"/>
        <v>5.1722949873512634E-2</v>
      </c>
    </row>
    <row r="5494" spans="1:5" x14ac:dyDescent="0.25">
      <c r="A5494">
        <v>0</v>
      </c>
      <c r="B5494">
        <v>0.24399999999999999</v>
      </c>
      <c r="C5494">
        <f t="shared" si="170"/>
        <v>1.0991096494935453</v>
      </c>
      <c r="D5494">
        <v>7</v>
      </c>
      <c r="E5494">
        <f t="shared" si="171"/>
        <v>5.1722949873512634E-2</v>
      </c>
    </row>
    <row r="5495" spans="1:5" x14ac:dyDescent="0.25">
      <c r="A5495">
        <v>0</v>
      </c>
      <c r="B5495">
        <v>0.24533333333333299</v>
      </c>
      <c r="C5495">
        <f t="shared" si="170"/>
        <v>1.0937176366965056</v>
      </c>
      <c r="D5495">
        <v>7</v>
      </c>
      <c r="E5495">
        <f t="shared" si="171"/>
        <v>5.1722949873512634E-2</v>
      </c>
    </row>
    <row r="5496" spans="1:5" x14ac:dyDescent="0.25">
      <c r="A5496">
        <v>0</v>
      </c>
      <c r="B5496">
        <v>0.245508982035928</v>
      </c>
      <c r="C5496">
        <f t="shared" si="170"/>
        <v>1.0930068388478362</v>
      </c>
      <c r="D5496">
        <v>7</v>
      </c>
      <c r="E5496">
        <f t="shared" si="171"/>
        <v>5.1722949873512634E-2</v>
      </c>
    </row>
    <row r="5497" spans="1:5" x14ac:dyDescent="0.25">
      <c r="A5497">
        <v>0</v>
      </c>
      <c r="B5497">
        <v>0.246</v>
      </c>
      <c r="C5497">
        <f t="shared" si="170"/>
        <v>1.0910192681798503</v>
      </c>
      <c r="D5497">
        <v>7</v>
      </c>
      <c r="E5497">
        <f t="shared" si="171"/>
        <v>5.1722949873512634E-2</v>
      </c>
    </row>
    <row r="5498" spans="1:5" x14ac:dyDescent="0.25">
      <c r="A5498">
        <v>0</v>
      </c>
      <c r="B5498">
        <v>0.246246246246246</v>
      </c>
      <c r="C5498">
        <f t="shared" si="170"/>
        <v>1.0900221878459271</v>
      </c>
      <c r="D5498">
        <v>7</v>
      </c>
      <c r="E5498">
        <f t="shared" si="171"/>
        <v>5.1722949873512634E-2</v>
      </c>
    </row>
    <row r="5499" spans="1:5" x14ac:dyDescent="0.25">
      <c r="A5499">
        <v>0</v>
      </c>
      <c r="B5499">
        <v>0.24766355140186899</v>
      </c>
      <c r="C5499">
        <f t="shared" si="170"/>
        <v>1.0842794426496416</v>
      </c>
      <c r="D5499">
        <v>7</v>
      </c>
      <c r="E5499">
        <f t="shared" si="171"/>
        <v>5.1722949873512634E-2</v>
      </c>
    </row>
    <row r="5500" spans="1:5" x14ac:dyDescent="0.25">
      <c r="A5500">
        <v>0</v>
      </c>
      <c r="B5500">
        <v>0.248</v>
      </c>
      <c r="C5500">
        <f t="shared" si="170"/>
        <v>1.0829152458393823</v>
      </c>
      <c r="D5500">
        <v>7</v>
      </c>
      <c r="E5500">
        <f t="shared" si="171"/>
        <v>5.1722949873512634E-2</v>
      </c>
    </row>
    <row r="5501" spans="1:5" x14ac:dyDescent="0.25">
      <c r="A5501">
        <v>0</v>
      </c>
      <c r="B5501">
        <v>0.248</v>
      </c>
      <c r="C5501">
        <f t="shared" si="170"/>
        <v>1.0829152458393823</v>
      </c>
      <c r="D5501">
        <v>7</v>
      </c>
      <c r="E5501">
        <f t="shared" si="171"/>
        <v>5.1722949873512634E-2</v>
      </c>
    </row>
    <row r="5502" spans="1:5" x14ac:dyDescent="0.25">
      <c r="A5502">
        <v>0</v>
      </c>
      <c r="B5502">
        <v>0.24833333333333299</v>
      </c>
      <c r="C5502">
        <f t="shared" si="170"/>
        <v>1.0815633330746697</v>
      </c>
      <c r="D5502">
        <v>7</v>
      </c>
      <c r="E5502">
        <f t="shared" si="171"/>
        <v>5.1722949873512634E-2</v>
      </c>
    </row>
    <row r="5503" spans="1:5" x14ac:dyDescent="0.25">
      <c r="A5503">
        <v>0</v>
      </c>
      <c r="B5503">
        <v>0.24850299401197601</v>
      </c>
      <c r="C5503">
        <f t="shared" si="170"/>
        <v>1.0808751027466881</v>
      </c>
      <c r="D5503">
        <v>7</v>
      </c>
      <c r="E5503">
        <f t="shared" si="171"/>
        <v>5.1722949873512634E-2</v>
      </c>
    </row>
    <row r="5504" spans="1:5" x14ac:dyDescent="0.25">
      <c r="A5504">
        <v>0</v>
      </c>
      <c r="B5504">
        <v>0.249</v>
      </c>
      <c r="C5504">
        <f t="shared" si="170"/>
        <v>1.0788584922387763</v>
      </c>
      <c r="D5504">
        <v>7</v>
      </c>
      <c r="E5504">
        <f t="shared" si="171"/>
        <v>5.1722949873512634E-2</v>
      </c>
    </row>
    <row r="5505" spans="1:5" x14ac:dyDescent="0.25">
      <c r="A5505">
        <v>0</v>
      </c>
      <c r="B5505">
        <v>0.24933333333333299</v>
      </c>
      <c r="C5505">
        <f t="shared" si="170"/>
        <v>1.0775055751620253</v>
      </c>
      <c r="D5505">
        <v>7</v>
      </c>
      <c r="E5505">
        <f t="shared" si="171"/>
        <v>5.1722949873512634E-2</v>
      </c>
    </row>
    <row r="5506" spans="1:5" x14ac:dyDescent="0.25">
      <c r="A5506">
        <v>0</v>
      </c>
      <c r="B5506">
        <v>0.25</v>
      </c>
      <c r="C5506">
        <f t="shared" ref="C5506:C5569" si="172">_xlfn.NORM.DIST(B5506,I$10,I$13,FALSE)</f>
        <v>1.0747987751392809</v>
      </c>
      <c r="D5506">
        <v>7</v>
      </c>
      <c r="E5506">
        <f t="shared" si="171"/>
        <v>5.1722949873512634E-2</v>
      </c>
    </row>
    <row r="5507" spans="1:5" x14ac:dyDescent="0.25">
      <c r="A5507">
        <v>0</v>
      </c>
      <c r="B5507">
        <v>0.25</v>
      </c>
      <c r="C5507">
        <f t="shared" si="172"/>
        <v>1.0747987751392809</v>
      </c>
      <c r="D5507">
        <v>7</v>
      </c>
      <c r="E5507">
        <f t="shared" ref="E5507:E5570" si="173">_xlfn.NORM.DIST(D5507,I$4,I$7,FALSE)</f>
        <v>5.1722949873512634E-2</v>
      </c>
    </row>
    <row r="5508" spans="1:5" x14ac:dyDescent="0.25">
      <c r="A5508">
        <v>0</v>
      </c>
      <c r="B5508">
        <v>0.25</v>
      </c>
      <c r="C5508">
        <f t="shared" si="172"/>
        <v>1.0747987751392809</v>
      </c>
      <c r="D5508">
        <v>7</v>
      </c>
      <c r="E5508">
        <f t="shared" si="173"/>
        <v>5.1722949873512634E-2</v>
      </c>
    </row>
    <row r="5509" spans="1:5" x14ac:dyDescent="0.25">
      <c r="A5509">
        <v>0</v>
      </c>
      <c r="B5509">
        <v>0.25174825174825199</v>
      </c>
      <c r="C5509">
        <f t="shared" si="172"/>
        <v>1.0676946925954889</v>
      </c>
      <c r="D5509">
        <v>7</v>
      </c>
      <c r="E5509">
        <f t="shared" si="173"/>
        <v>5.1722949873512634E-2</v>
      </c>
    </row>
    <row r="5510" spans="1:5" x14ac:dyDescent="0.25">
      <c r="A5510">
        <v>0</v>
      </c>
      <c r="B5510">
        <v>0.252</v>
      </c>
      <c r="C5510">
        <f t="shared" si="172"/>
        <v>1.0666710423622785</v>
      </c>
      <c r="D5510">
        <v>7</v>
      </c>
      <c r="E5510">
        <f t="shared" si="173"/>
        <v>5.1722949873512634E-2</v>
      </c>
    </row>
    <row r="5511" spans="1:5" x14ac:dyDescent="0.25">
      <c r="A5511">
        <v>0</v>
      </c>
      <c r="B5511">
        <v>0.252</v>
      </c>
      <c r="C5511">
        <f t="shared" si="172"/>
        <v>1.0666710423622785</v>
      </c>
      <c r="D5511">
        <v>7</v>
      </c>
      <c r="E5511">
        <f t="shared" si="173"/>
        <v>5.1722949873512634E-2</v>
      </c>
    </row>
    <row r="5512" spans="1:5" x14ac:dyDescent="0.25">
      <c r="A5512">
        <v>0</v>
      </c>
      <c r="B5512">
        <v>0.254</v>
      </c>
      <c r="C5512">
        <f t="shared" si="172"/>
        <v>1.0585332271350596</v>
      </c>
      <c r="D5512">
        <v>7</v>
      </c>
      <c r="E5512">
        <f t="shared" si="173"/>
        <v>5.1722949873512634E-2</v>
      </c>
    </row>
    <row r="5513" spans="1:5" x14ac:dyDescent="0.25">
      <c r="A5513">
        <v>0</v>
      </c>
      <c r="B5513">
        <v>0.254</v>
      </c>
      <c r="C5513">
        <f t="shared" si="172"/>
        <v>1.0585332271350596</v>
      </c>
      <c r="D5513">
        <v>7</v>
      </c>
      <c r="E5513">
        <f t="shared" si="173"/>
        <v>5.1722949873512634E-2</v>
      </c>
    </row>
    <row r="5514" spans="1:5" x14ac:dyDescent="0.25">
      <c r="A5514">
        <v>0</v>
      </c>
      <c r="B5514">
        <v>0.25407925407925402</v>
      </c>
      <c r="C5514">
        <f t="shared" si="172"/>
        <v>1.0582105583704835</v>
      </c>
      <c r="D5514">
        <v>7</v>
      </c>
      <c r="E5514">
        <f t="shared" si="173"/>
        <v>5.1722949873512634E-2</v>
      </c>
    </row>
    <row r="5515" spans="1:5" x14ac:dyDescent="0.25">
      <c r="A5515">
        <v>0</v>
      </c>
      <c r="B5515">
        <v>0.255</v>
      </c>
      <c r="C5515">
        <f t="shared" si="172"/>
        <v>1.0544609053500631</v>
      </c>
      <c r="D5515">
        <v>7</v>
      </c>
      <c r="E5515">
        <f t="shared" si="173"/>
        <v>5.1722949873512634E-2</v>
      </c>
    </row>
    <row r="5516" spans="1:5" x14ac:dyDescent="0.25">
      <c r="A5516">
        <v>0</v>
      </c>
      <c r="B5516">
        <v>0.25581395348837199</v>
      </c>
      <c r="C5516">
        <f t="shared" si="172"/>
        <v>1.0511446815921976</v>
      </c>
      <c r="D5516">
        <v>7</v>
      </c>
      <c r="E5516">
        <f t="shared" si="173"/>
        <v>5.1722949873512634E-2</v>
      </c>
    </row>
    <row r="5517" spans="1:5" x14ac:dyDescent="0.25">
      <c r="A5517">
        <v>0</v>
      </c>
      <c r="B5517">
        <v>0.25600000000000001</v>
      </c>
      <c r="C5517">
        <f t="shared" si="172"/>
        <v>1.050386502160912</v>
      </c>
      <c r="D5517">
        <v>7</v>
      </c>
      <c r="E5517">
        <f t="shared" si="173"/>
        <v>5.1722949873512634E-2</v>
      </c>
    </row>
    <row r="5518" spans="1:5" x14ac:dyDescent="0.25">
      <c r="A5518">
        <v>0</v>
      </c>
      <c r="B5518">
        <v>0.25600000000000001</v>
      </c>
      <c r="C5518">
        <f t="shared" si="172"/>
        <v>1.050386502160912</v>
      </c>
      <c r="D5518">
        <v>7</v>
      </c>
      <c r="E5518">
        <f t="shared" si="173"/>
        <v>5.1722949873512634E-2</v>
      </c>
    </row>
    <row r="5519" spans="1:5" x14ac:dyDescent="0.25">
      <c r="A5519">
        <v>0</v>
      </c>
      <c r="B5519">
        <v>0.25600000000000001</v>
      </c>
      <c r="C5519">
        <f t="shared" si="172"/>
        <v>1.050386502160912</v>
      </c>
      <c r="D5519">
        <v>7</v>
      </c>
      <c r="E5519">
        <f t="shared" si="173"/>
        <v>5.1722949873512634E-2</v>
      </c>
    </row>
    <row r="5520" spans="1:5" x14ac:dyDescent="0.25">
      <c r="A5520">
        <v>0</v>
      </c>
      <c r="B5520">
        <v>0.25600000000000001</v>
      </c>
      <c r="C5520">
        <f t="shared" si="172"/>
        <v>1.050386502160912</v>
      </c>
      <c r="D5520">
        <v>7</v>
      </c>
      <c r="E5520">
        <f t="shared" si="173"/>
        <v>5.1722949873512634E-2</v>
      </c>
    </row>
    <row r="5521" spans="1:5" x14ac:dyDescent="0.25">
      <c r="A5521">
        <v>0</v>
      </c>
      <c r="B5521">
        <v>0.25600000000000001</v>
      </c>
      <c r="C5521">
        <f t="shared" si="172"/>
        <v>1.050386502160912</v>
      </c>
      <c r="D5521">
        <v>7</v>
      </c>
      <c r="E5521">
        <f t="shared" si="173"/>
        <v>5.1722949873512634E-2</v>
      </c>
    </row>
    <row r="5522" spans="1:5" x14ac:dyDescent="0.25">
      <c r="A5522">
        <v>0</v>
      </c>
      <c r="B5522">
        <v>0.25600000000000001</v>
      </c>
      <c r="C5522">
        <f t="shared" si="172"/>
        <v>1.050386502160912</v>
      </c>
      <c r="D5522">
        <v>7</v>
      </c>
      <c r="E5522">
        <f t="shared" si="173"/>
        <v>5.1722949873512634E-2</v>
      </c>
    </row>
    <row r="5523" spans="1:5" x14ac:dyDescent="0.25">
      <c r="A5523">
        <v>0</v>
      </c>
      <c r="B5523">
        <v>0.256410256410256</v>
      </c>
      <c r="C5523">
        <f t="shared" si="172"/>
        <v>1.048714383842734</v>
      </c>
      <c r="D5523">
        <v>7</v>
      </c>
      <c r="E5523">
        <f t="shared" si="173"/>
        <v>5.1722949873512634E-2</v>
      </c>
    </row>
    <row r="5524" spans="1:5" x14ac:dyDescent="0.25">
      <c r="A5524">
        <v>0</v>
      </c>
      <c r="B5524">
        <v>0.25666666666666699</v>
      </c>
      <c r="C5524">
        <f t="shared" si="172"/>
        <v>1.0476691488851357</v>
      </c>
      <c r="D5524">
        <v>7</v>
      </c>
      <c r="E5524">
        <f t="shared" si="173"/>
        <v>5.1722949873512634E-2</v>
      </c>
    </row>
    <row r="5525" spans="1:5" x14ac:dyDescent="0.25">
      <c r="A5525">
        <v>0</v>
      </c>
      <c r="B5525">
        <v>0.257009345794392</v>
      </c>
      <c r="C5525">
        <f t="shared" si="172"/>
        <v>1.0462720577306304</v>
      </c>
      <c r="D5525">
        <v>7</v>
      </c>
      <c r="E5525">
        <f t="shared" si="173"/>
        <v>5.1722949873512634E-2</v>
      </c>
    </row>
    <row r="5526" spans="1:5" x14ac:dyDescent="0.25">
      <c r="A5526">
        <v>0</v>
      </c>
      <c r="B5526">
        <v>0.25800000000000001</v>
      </c>
      <c r="C5526">
        <f t="shared" si="172"/>
        <v>1.0422320329567327</v>
      </c>
      <c r="D5526">
        <v>7</v>
      </c>
      <c r="E5526">
        <f t="shared" si="173"/>
        <v>5.1722949873512634E-2</v>
      </c>
    </row>
    <row r="5527" spans="1:5" x14ac:dyDescent="0.25">
      <c r="A5527">
        <v>0</v>
      </c>
      <c r="B5527">
        <v>0.25925925925925902</v>
      </c>
      <c r="C5527">
        <f t="shared" si="172"/>
        <v>1.0370942855936294</v>
      </c>
      <c r="D5527">
        <v>7</v>
      </c>
      <c r="E5527">
        <f t="shared" si="173"/>
        <v>5.1722949873512634E-2</v>
      </c>
    </row>
    <row r="5528" spans="1:5" x14ac:dyDescent="0.25">
      <c r="A5528">
        <v>0</v>
      </c>
      <c r="B5528">
        <v>0.26</v>
      </c>
      <c r="C5528">
        <f t="shared" si="172"/>
        <v>1.0340709775944734</v>
      </c>
      <c r="D5528">
        <v>7</v>
      </c>
      <c r="E5528">
        <f t="shared" si="173"/>
        <v>5.1722949873512634E-2</v>
      </c>
    </row>
    <row r="5529" spans="1:5" x14ac:dyDescent="0.25">
      <c r="A5529">
        <v>0</v>
      </c>
      <c r="B5529">
        <v>0.26056338028169002</v>
      </c>
      <c r="C5529">
        <f t="shared" si="172"/>
        <v>1.0317710579647958</v>
      </c>
      <c r="D5529">
        <v>7</v>
      </c>
      <c r="E5529">
        <f t="shared" si="173"/>
        <v>5.1722949873512634E-2</v>
      </c>
    </row>
    <row r="5530" spans="1:5" x14ac:dyDescent="0.25">
      <c r="A5530">
        <v>0</v>
      </c>
      <c r="B5530">
        <v>0.261072261072261</v>
      </c>
      <c r="C5530">
        <f t="shared" si="172"/>
        <v>1.029693275314788</v>
      </c>
      <c r="D5530">
        <v>7</v>
      </c>
      <c r="E5530">
        <f t="shared" si="173"/>
        <v>5.1722949873512634E-2</v>
      </c>
    </row>
    <row r="5531" spans="1:5" x14ac:dyDescent="0.25">
      <c r="A5531">
        <v>0</v>
      </c>
      <c r="B5531">
        <v>0.26166666666666699</v>
      </c>
      <c r="C5531">
        <f t="shared" si="172"/>
        <v>1.0272658972074278</v>
      </c>
      <c r="D5531">
        <v>7</v>
      </c>
      <c r="E5531">
        <f t="shared" si="173"/>
        <v>5.1722949873512634E-2</v>
      </c>
    </row>
    <row r="5532" spans="1:5" x14ac:dyDescent="0.25">
      <c r="A5532">
        <v>0</v>
      </c>
      <c r="B5532">
        <v>0.26166666666666699</v>
      </c>
      <c r="C5532">
        <f t="shared" si="172"/>
        <v>1.0272658972074278</v>
      </c>
      <c r="D5532">
        <v>7</v>
      </c>
      <c r="E5532">
        <f t="shared" si="173"/>
        <v>5.1722949873512634E-2</v>
      </c>
    </row>
    <row r="5533" spans="1:5" x14ac:dyDescent="0.25">
      <c r="A5533">
        <v>0</v>
      </c>
      <c r="B5533">
        <v>0.26166666666666699</v>
      </c>
      <c r="C5533">
        <f t="shared" si="172"/>
        <v>1.0272658972074278</v>
      </c>
      <c r="D5533">
        <v>7</v>
      </c>
      <c r="E5533">
        <f t="shared" si="173"/>
        <v>5.1722949873512634E-2</v>
      </c>
    </row>
    <row r="5534" spans="1:5" x14ac:dyDescent="0.25">
      <c r="A5534">
        <v>0</v>
      </c>
      <c r="B5534">
        <v>0.26266666666666699</v>
      </c>
      <c r="C5534">
        <f t="shared" si="172"/>
        <v>1.0231813124688178</v>
      </c>
      <c r="D5534">
        <v>7</v>
      </c>
      <c r="E5534">
        <f t="shared" si="173"/>
        <v>5.1722949873512634E-2</v>
      </c>
    </row>
    <row r="5535" spans="1:5" x14ac:dyDescent="0.25">
      <c r="A5535">
        <v>0</v>
      </c>
      <c r="B5535">
        <v>0.26400000000000001</v>
      </c>
      <c r="C5535">
        <f t="shared" si="172"/>
        <v>1.0177337019390489</v>
      </c>
      <c r="D5535">
        <v>7</v>
      </c>
      <c r="E5535">
        <f t="shared" si="173"/>
        <v>5.1722949873512634E-2</v>
      </c>
    </row>
    <row r="5536" spans="1:5" x14ac:dyDescent="0.25">
      <c r="A5536">
        <v>0</v>
      </c>
      <c r="B5536">
        <v>0.26600000000000001</v>
      </c>
      <c r="C5536">
        <f t="shared" si="172"/>
        <v>1.0095597583015119</v>
      </c>
      <c r="D5536">
        <v>7</v>
      </c>
      <c r="E5536">
        <f t="shared" si="173"/>
        <v>5.1722949873512634E-2</v>
      </c>
    </row>
    <row r="5537" spans="1:5" x14ac:dyDescent="0.25">
      <c r="A5537">
        <v>0</v>
      </c>
      <c r="B5537">
        <v>0.26600000000000001</v>
      </c>
      <c r="C5537">
        <f t="shared" si="172"/>
        <v>1.0095597583015119</v>
      </c>
      <c r="D5537">
        <v>7</v>
      </c>
      <c r="E5537">
        <f t="shared" si="173"/>
        <v>5.1722949873512634E-2</v>
      </c>
    </row>
    <row r="5538" spans="1:5" x14ac:dyDescent="0.25">
      <c r="A5538">
        <v>0</v>
      </c>
      <c r="B5538">
        <v>0.26600000000000001</v>
      </c>
      <c r="C5538">
        <f t="shared" si="172"/>
        <v>1.0095597583015119</v>
      </c>
      <c r="D5538">
        <v>7</v>
      </c>
      <c r="E5538">
        <f t="shared" si="173"/>
        <v>5.1722949873512634E-2</v>
      </c>
    </row>
    <row r="5539" spans="1:5" x14ac:dyDescent="0.25">
      <c r="A5539">
        <v>0</v>
      </c>
      <c r="B5539">
        <v>0.26600000000000001</v>
      </c>
      <c r="C5539">
        <f t="shared" si="172"/>
        <v>1.0095597583015119</v>
      </c>
      <c r="D5539">
        <v>7</v>
      </c>
      <c r="E5539">
        <f t="shared" si="173"/>
        <v>5.1722949873512634E-2</v>
      </c>
    </row>
    <row r="5540" spans="1:5" x14ac:dyDescent="0.25">
      <c r="A5540">
        <v>0</v>
      </c>
      <c r="B5540">
        <v>0.266666666666667</v>
      </c>
      <c r="C5540">
        <f t="shared" si="172"/>
        <v>1.0068346032233564</v>
      </c>
      <c r="D5540">
        <v>7</v>
      </c>
      <c r="E5540">
        <f t="shared" si="173"/>
        <v>5.1722949873512634E-2</v>
      </c>
    </row>
    <row r="5541" spans="1:5" x14ac:dyDescent="0.25">
      <c r="A5541">
        <v>0</v>
      </c>
      <c r="B5541">
        <v>0.26833333333333298</v>
      </c>
      <c r="C5541">
        <f t="shared" si="172"/>
        <v>1.0000209993882401</v>
      </c>
      <c r="D5541">
        <v>7</v>
      </c>
      <c r="E5541">
        <f t="shared" si="173"/>
        <v>5.1722949873512634E-2</v>
      </c>
    </row>
    <row r="5542" spans="1:5" x14ac:dyDescent="0.25">
      <c r="A5542">
        <v>0</v>
      </c>
      <c r="B5542">
        <v>0.26865671641791</v>
      </c>
      <c r="C5542">
        <f t="shared" si="172"/>
        <v>0.99869887807060853</v>
      </c>
      <c r="D5542">
        <v>7</v>
      </c>
      <c r="E5542">
        <f t="shared" si="173"/>
        <v>5.1722949873512634E-2</v>
      </c>
    </row>
    <row r="5543" spans="1:5" x14ac:dyDescent="0.25">
      <c r="A5543">
        <v>0</v>
      </c>
      <c r="B5543">
        <v>0.26869158878504701</v>
      </c>
      <c r="C5543">
        <f t="shared" si="172"/>
        <v>0.99855630473517942</v>
      </c>
      <c r="D5543">
        <v>7</v>
      </c>
      <c r="E5543">
        <f t="shared" si="173"/>
        <v>5.1722949873512634E-2</v>
      </c>
    </row>
    <row r="5544" spans="1:5" x14ac:dyDescent="0.25">
      <c r="A5544">
        <v>0</v>
      </c>
      <c r="B5544">
        <v>0.26933333333333298</v>
      </c>
      <c r="C5544">
        <f t="shared" si="172"/>
        <v>0.99593255242278256</v>
      </c>
      <c r="D5544">
        <v>7</v>
      </c>
      <c r="E5544">
        <f t="shared" si="173"/>
        <v>5.1722949873512634E-2</v>
      </c>
    </row>
    <row r="5545" spans="1:5" x14ac:dyDescent="0.25">
      <c r="A5545">
        <v>0</v>
      </c>
      <c r="B5545">
        <v>0.27</v>
      </c>
      <c r="C5545">
        <f t="shared" si="172"/>
        <v>0.99320688815984937</v>
      </c>
      <c r="D5545">
        <v>7</v>
      </c>
      <c r="E5545">
        <f t="shared" si="173"/>
        <v>5.1722949873512634E-2</v>
      </c>
    </row>
    <row r="5546" spans="1:5" x14ac:dyDescent="0.25">
      <c r="A5546">
        <v>0</v>
      </c>
      <c r="B5546">
        <v>0.27</v>
      </c>
      <c r="C5546">
        <f t="shared" si="172"/>
        <v>0.99320688815984937</v>
      </c>
      <c r="D5546">
        <v>7</v>
      </c>
      <c r="E5546">
        <f t="shared" si="173"/>
        <v>5.1722949873512634E-2</v>
      </c>
    </row>
    <row r="5547" spans="1:5" x14ac:dyDescent="0.25">
      <c r="A5547">
        <v>0</v>
      </c>
      <c r="B5547">
        <v>0.27027027027027001</v>
      </c>
      <c r="C5547">
        <f t="shared" si="172"/>
        <v>0.99210189292653528</v>
      </c>
      <c r="D5547">
        <v>7</v>
      </c>
      <c r="E5547">
        <f t="shared" si="173"/>
        <v>5.1722949873512634E-2</v>
      </c>
    </row>
    <row r="5548" spans="1:5" x14ac:dyDescent="0.25">
      <c r="A5548">
        <v>0</v>
      </c>
      <c r="B5548">
        <v>0.27102803738317799</v>
      </c>
      <c r="C5548">
        <f t="shared" si="172"/>
        <v>0.98900381745307864</v>
      </c>
      <c r="D5548">
        <v>7</v>
      </c>
      <c r="E5548">
        <f t="shared" si="173"/>
        <v>5.1722949873512634E-2</v>
      </c>
    </row>
    <row r="5549" spans="1:5" x14ac:dyDescent="0.25">
      <c r="A5549">
        <v>0</v>
      </c>
      <c r="B5549">
        <v>0.271666666666667</v>
      </c>
      <c r="C5549">
        <f t="shared" si="172"/>
        <v>0.98639291044452648</v>
      </c>
      <c r="D5549">
        <v>7</v>
      </c>
      <c r="E5549">
        <f t="shared" si="173"/>
        <v>5.1722949873512634E-2</v>
      </c>
    </row>
    <row r="5550" spans="1:5" x14ac:dyDescent="0.25">
      <c r="A5550">
        <v>0</v>
      </c>
      <c r="B5550">
        <v>0.27200000000000002</v>
      </c>
      <c r="C5550">
        <f t="shared" si="172"/>
        <v>0.9850301870139847</v>
      </c>
      <c r="D5550">
        <v>7</v>
      </c>
      <c r="E5550">
        <f t="shared" si="173"/>
        <v>5.1722949873512634E-2</v>
      </c>
    </row>
    <row r="5551" spans="1:5" x14ac:dyDescent="0.25">
      <c r="A5551">
        <v>0</v>
      </c>
      <c r="B5551">
        <v>0.27205882352941202</v>
      </c>
      <c r="C5551">
        <f t="shared" si="172"/>
        <v>0.98478970998937954</v>
      </c>
      <c r="D5551">
        <v>7</v>
      </c>
      <c r="E5551">
        <f t="shared" si="173"/>
        <v>5.1722949873512634E-2</v>
      </c>
    </row>
    <row r="5552" spans="1:5" x14ac:dyDescent="0.25">
      <c r="A5552">
        <v>0</v>
      </c>
      <c r="B5552">
        <v>0.27272727272727298</v>
      </c>
      <c r="C5552">
        <f t="shared" si="172"/>
        <v>0.98205710374191679</v>
      </c>
      <c r="D5552">
        <v>7</v>
      </c>
      <c r="E5552">
        <f t="shared" si="173"/>
        <v>5.1722949873512634E-2</v>
      </c>
    </row>
    <row r="5553" spans="1:5" x14ac:dyDescent="0.25">
      <c r="A5553">
        <v>0</v>
      </c>
      <c r="B5553">
        <v>0.27272727272727298</v>
      </c>
      <c r="C5553">
        <f t="shared" si="172"/>
        <v>0.98205710374191679</v>
      </c>
      <c r="D5553">
        <v>7</v>
      </c>
      <c r="E5553">
        <f t="shared" si="173"/>
        <v>5.1722949873512634E-2</v>
      </c>
    </row>
    <row r="5554" spans="1:5" x14ac:dyDescent="0.25">
      <c r="A5554">
        <v>0</v>
      </c>
      <c r="B5554">
        <v>0.27333333333333298</v>
      </c>
      <c r="C5554">
        <f t="shared" si="172"/>
        <v>0.97957970274787809</v>
      </c>
      <c r="D5554">
        <v>7</v>
      </c>
      <c r="E5554">
        <f t="shared" si="173"/>
        <v>5.1722949873512634E-2</v>
      </c>
    </row>
    <row r="5555" spans="1:5" x14ac:dyDescent="0.25">
      <c r="A5555">
        <v>0</v>
      </c>
      <c r="B5555">
        <v>0.27505827505827501</v>
      </c>
      <c r="C5555">
        <f t="shared" si="172"/>
        <v>0.97252975514537587</v>
      </c>
      <c r="D5555">
        <v>7</v>
      </c>
      <c r="E5555">
        <f t="shared" si="173"/>
        <v>5.1722949873512634E-2</v>
      </c>
    </row>
    <row r="5556" spans="1:5" x14ac:dyDescent="0.25">
      <c r="A5556">
        <v>0</v>
      </c>
      <c r="B5556">
        <v>0.27505827505827501</v>
      </c>
      <c r="C5556">
        <f t="shared" si="172"/>
        <v>0.97252975514537587</v>
      </c>
      <c r="D5556">
        <v>7</v>
      </c>
      <c r="E5556">
        <f t="shared" si="173"/>
        <v>5.1722949873512634E-2</v>
      </c>
    </row>
    <row r="5557" spans="1:5" x14ac:dyDescent="0.25">
      <c r="A5557">
        <v>0</v>
      </c>
      <c r="B5557">
        <v>0.27505827505827501</v>
      </c>
      <c r="C5557">
        <f t="shared" si="172"/>
        <v>0.97252975514537587</v>
      </c>
      <c r="D5557">
        <v>7</v>
      </c>
      <c r="E5557">
        <f t="shared" si="173"/>
        <v>5.1722949873512634E-2</v>
      </c>
    </row>
    <row r="5558" spans="1:5" x14ac:dyDescent="0.25">
      <c r="A5558">
        <v>0</v>
      </c>
      <c r="B5558">
        <v>0.27600000000000002</v>
      </c>
      <c r="C5558">
        <f t="shared" si="172"/>
        <v>0.96868174787293737</v>
      </c>
      <c r="D5558">
        <v>7</v>
      </c>
      <c r="E5558">
        <f t="shared" si="173"/>
        <v>5.1722949873512634E-2</v>
      </c>
    </row>
    <row r="5559" spans="1:5" x14ac:dyDescent="0.25">
      <c r="A5559">
        <v>0</v>
      </c>
      <c r="B5559">
        <v>0.27733333333333299</v>
      </c>
      <c r="C5559">
        <f t="shared" si="172"/>
        <v>0.96323491833553854</v>
      </c>
      <c r="D5559">
        <v>7</v>
      </c>
      <c r="E5559">
        <f t="shared" si="173"/>
        <v>5.1722949873512634E-2</v>
      </c>
    </row>
    <row r="5560" spans="1:5" x14ac:dyDescent="0.25">
      <c r="A5560">
        <v>0</v>
      </c>
      <c r="B5560">
        <v>0.27733333333333299</v>
      </c>
      <c r="C5560">
        <f t="shared" si="172"/>
        <v>0.96323491833553854</v>
      </c>
      <c r="D5560">
        <v>7</v>
      </c>
      <c r="E5560">
        <f t="shared" si="173"/>
        <v>5.1722949873512634E-2</v>
      </c>
    </row>
    <row r="5561" spans="1:5" x14ac:dyDescent="0.25">
      <c r="A5561">
        <v>0</v>
      </c>
      <c r="B5561">
        <v>0.27866666666666701</v>
      </c>
      <c r="C5561">
        <f t="shared" si="172"/>
        <v>0.95778994491346514</v>
      </c>
      <c r="D5561">
        <v>7</v>
      </c>
      <c r="E5561">
        <f t="shared" si="173"/>
        <v>5.1722949873512634E-2</v>
      </c>
    </row>
    <row r="5562" spans="1:5" x14ac:dyDescent="0.25">
      <c r="A5562">
        <v>0</v>
      </c>
      <c r="B5562">
        <v>0.27900000000000003</v>
      </c>
      <c r="C5562">
        <f t="shared" si="172"/>
        <v>0.95642902861501466</v>
      </c>
      <c r="D5562">
        <v>7</v>
      </c>
      <c r="E5562">
        <f t="shared" si="173"/>
        <v>5.1722949873512634E-2</v>
      </c>
    </row>
    <row r="5563" spans="1:5" x14ac:dyDescent="0.25">
      <c r="A5563">
        <v>0</v>
      </c>
      <c r="B5563">
        <v>0.27927927927927898</v>
      </c>
      <c r="C5563">
        <f t="shared" si="172"/>
        <v>0.95528890953769618</v>
      </c>
      <c r="D5563">
        <v>7</v>
      </c>
      <c r="E5563">
        <f t="shared" si="173"/>
        <v>5.1722949873512634E-2</v>
      </c>
    </row>
    <row r="5564" spans="1:5" x14ac:dyDescent="0.25">
      <c r="A5564">
        <v>0</v>
      </c>
      <c r="B5564">
        <v>0.27956989247311798</v>
      </c>
      <c r="C5564">
        <f t="shared" si="172"/>
        <v>0.95410262925748901</v>
      </c>
      <c r="D5564">
        <v>7</v>
      </c>
      <c r="E5564">
        <f t="shared" si="173"/>
        <v>5.1722949873512634E-2</v>
      </c>
    </row>
    <row r="5565" spans="1:5" x14ac:dyDescent="0.25">
      <c r="A5565">
        <v>0</v>
      </c>
      <c r="B5565">
        <v>0.28000000000000003</v>
      </c>
      <c r="C5565">
        <f t="shared" si="172"/>
        <v>0.95234714330290748</v>
      </c>
      <c r="D5565">
        <v>7</v>
      </c>
      <c r="E5565">
        <f t="shared" si="173"/>
        <v>5.1722949873512634E-2</v>
      </c>
    </row>
    <row r="5566" spans="1:5" x14ac:dyDescent="0.25">
      <c r="A5566">
        <v>0</v>
      </c>
      <c r="B5566">
        <v>0.28000000000000003</v>
      </c>
      <c r="C5566">
        <f t="shared" si="172"/>
        <v>0.95234714330290748</v>
      </c>
      <c r="D5566">
        <v>7</v>
      </c>
      <c r="E5566">
        <f t="shared" si="173"/>
        <v>5.1722949873512634E-2</v>
      </c>
    </row>
    <row r="5567" spans="1:5" x14ac:dyDescent="0.25">
      <c r="A5567">
        <v>0</v>
      </c>
      <c r="B5567">
        <v>0.28155339805825202</v>
      </c>
      <c r="C5567">
        <f t="shared" si="172"/>
        <v>0.94600917159535858</v>
      </c>
      <c r="D5567">
        <v>7</v>
      </c>
      <c r="E5567">
        <f t="shared" si="173"/>
        <v>5.1722949873512634E-2</v>
      </c>
    </row>
    <row r="5568" spans="1:5" x14ac:dyDescent="0.25">
      <c r="A5568">
        <v>0</v>
      </c>
      <c r="B5568">
        <v>0.28166666666666701</v>
      </c>
      <c r="C5568">
        <f t="shared" si="172"/>
        <v>0.94554717312882142</v>
      </c>
      <c r="D5568">
        <v>7</v>
      </c>
      <c r="E5568">
        <f t="shared" si="173"/>
        <v>5.1722949873512634E-2</v>
      </c>
    </row>
    <row r="5569" spans="1:5" x14ac:dyDescent="0.25">
      <c r="A5569">
        <v>0</v>
      </c>
      <c r="B5569">
        <v>0.28166666666666701</v>
      </c>
      <c r="C5569">
        <f t="shared" si="172"/>
        <v>0.94554717312882142</v>
      </c>
      <c r="D5569">
        <v>7</v>
      </c>
      <c r="E5569">
        <f t="shared" si="173"/>
        <v>5.1722949873512634E-2</v>
      </c>
    </row>
    <row r="5570" spans="1:5" x14ac:dyDescent="0.25">
      <c r="A5570">
        <v>0</v>
      </c>
      <c r="B5570">
        <v>0.28199999999999997</v>
      </c>
      <c r="C5570">
        <f t="shared" ref="C5570:C5633" si="174">_xlfn.NORM.DIST(B5570,I$10,I$13,FALSE)</f>
        <v>0.94418769872902431</v>
      </c>
      <c r="D5570">
        <v>7</v>
      </c>
      <c r="E5570">
        <f t="shared" si="173"/>
        <v>5.1722949873512634E-2</v>
      </c>
    </row>
    <row r="5571" spans="1:5" x14ac:dyDescent="0.25">
      <c r="A5571">
        <v>0</v>
      </c>
      <c r="B5571">
        <v>0.28266666666666701</v>
      </c>
      <c r="C5571">
        <f t="shared" si="174"/>
        <v>0.94146930835262177</v>
      </c>
      <c r="D5571">
        <v>7</v>
      </c>
      <c r="E5571">
        <f t="shared" ref="E5571:E5634" si="175">_xlfn.NORM.DIST(D5571,I$4,I$7,FALSE)</f>
        <v>5.1722949873512634E-2</v>
      </c>
    </row>
    <row r="5572" spans="1:5" x14ac:dyDescent="0.25">
      <c r="A5572">
        <v>0</v>
      </c>
      <c r="B5572">
        <v>0.282710280373832</v>
      </c>
      <c r="C5572">
        <f t="shared" si="174"/>
        <v>0.94129149638108722</v>
      </c>
      <c r="D5572">
        <v>7</v>
      </c>
      <c r="E5572">
        <f t="shared" si="175"/>
        <v>5.1722949873512634E-2</v>
      </c>
    </row>
    <row r="5573" spans="1:5" x14ac:dyDescent="0.25">
      <c r="A5573">
        <v>0</v>
      </c>
      <c r="B5573">
        <v>0.282710280373832</v>
      </c>
      <c r="C5573">
        <f t="shared" si="174"/>
        <v>0.94129149638108722</v>
      </c>
      <c r="D5573">
        <v>7</v>
      </c>
      <c r="E5573">
        <f t="shared" si="175"/>
        <v>5.1722949873512634E-2</v>
      </c>
    </row>
    <row r="5574" spans="1:5" x14ac:dyDescent="0.25">
      <c r="A5574">
        <v>0</v>
      </c>
      <c r="B5574">
        <v>0.28299999999999997</v>
      </c>
      <c r="C5574">
        <f t="shared" si="174"/>
        <v>0.94011040203708551</v>
      </c>
      <c r="D5574">
        <v>7</v>
      </c>
      <c r="E5574">
        <f t="shared" si="175"/>
        <v>5.1722949873512634E-2</v>
      </c>
    </row>
    <row r="5575" spans="1:5" x14ac:dyDescent="0.25">
      <c r="A5575">
        <v>0</v>
      </c>
      <c r="B5575">
        <v>0.28333333333333299</v>
      </c>
      <c r="C5575">
        <f t="shared" si="174"/>
        <v>0.93875169473062525</v>
      </c>
      <c r="D5575">
        <v>7</v>
      </c>
      <c r="E5575">
        <f t="shared" si="175"/>
        <v>5.1722949873512634E-2</v>
      </c>
    </row>
    <row r="5576" spans="1:5" x14ac:dyDescent="0.25">
      <c r="A5576">
        <v>0</v>
      </c>
      <c r="B5576">
        <v>0.28333333333333299</v>
      </c>
      <c r="C5576">
        <f t="shared" si="174"/>
        <v>0.93875169473062525</v>
      </c>
      <c r="D5576">
        <v>7</v>
      </c>
      <c r="E5576">
        <f t="shared" si="175"/>
        <v>5.1722949873512634E-2</v>
      </c>
    </row>
    <row r="5577" spans="1:5" x14ac:dyDescent="0.25">
      <c r="A5577">
        <v>0</v>
      </c>
      <c r="B5577">
        <v>0.28438228438228402</v>
      </c>
      <c r="C5577">
        <f t="shared" si="174"/>
        <v>0.93447739465462054</v>
      </c>
      <c r="D5577">
        <v>7</v>
      </c>
      <c r="E5577">
        <f t="shared" si="175"/>
        <v>5.1722949873512634E-2</v>
      </c>
    </row>
    <row r="5578" spans="1:5" x14ac:dyDescent="0.25">
      <c r="A5578">
        <v>0</v>
      </c>
      <c r="B5578">
        <v>0.28499999999999998</v>
      </c>
      <c r="C5578">
        <f t="shared" si="174"/>
        <v>0.93196131141370941</v>
      </c>
      <c r="D5578">
        <v>7</v>
      </c>
      <c r="E5578">
        <f t="shared" si="175"/>
        <v>5.1722949873512634E-2</v>
      </c>
    </row>
    <row r="5579" spans="1:5" x14ac:dyDescent="0.25">
      <c r="A5579">
        <v>0</v>
      </c>
      <c r="B5579">
        <v>0.28504672897196298</v>
      </c>
      <c r="C5579">
        <f t="shared" si="174"/>
        <v>0.93177100610417862</v>
      </c>
      <c r="D5579">
        <v>7</v>
      </c>
      <c r="E5579">
        <f t="shared" si="175"/>
        <v>5.1722949873512634E-2</v>
      </c>
    </row>
    <row r="5580" spans="1:5" x14ac:dyDescent="0.25">
      <c r="A5580">
        <v>0</v>
      </c>
      <c r="B5580">
        <v>0.28533333333333299</v>
      </c>
      <c r="C5580">
        <f t="shared" si="174"/>
        <v>0.93060389889525852</v>
      </c>
      <c r="D5580">
        <v>7</v>
      </c>
      <c r="E5580">
        <f t="shared" si="175"/>
        <v>5.1722949873512634E-2</v>
      </c>
    </row>
    <row r="5581" spans="1:5" x14ac:dyDescent="0.25">
      <c r="A5581">
        <v>0</v>
      </c>
      <c r="B5581">
        <v>0.28533333333333299</v>
      </c>
      <c r="C5581">
        <f t="shared" si="174"/>
        <v>0.93060389889525852</v>
      </c>
      <c r="D5581">
        <v>7</v>
      </c>
      <c r="E5581">
        <f t="shared" si="175"/>
        <v>5.1722949873512634E-2</v>
      </c>
    </row>
    <row r="5582" spans="1:5" x14ac:dyDescent="0.25">
      <c r="A5582">
        <v>0</v>
      </c>
      <c r="B5582">
        <v>0.28662420382165599</v>
      </c>
      <c r="C5582">
        <f t="shared" si="174"/>
        <v>0.92534940422709966</v>
      </c>
      <c r="D5582">
        <v>7</v>
      </c>
      <c r="E5582">
        <f t="shared" si="175"/>
        <v>5.1722949873512634E-2</v>
      </c>
    </row>
    <row r="5583" spans="1:5" x14ac:dyDescent="0.25">
      <c r="A5583">
        <v>0</v>
      </c>
      <c r="B5583">
        <v>0.28666666666666701</v>
      </c>
      <c r="C5583">
        <f t="shared" si="174"/>
        <v>0.92517662141881662</v>
      </c>
      <c r="D5583">
        <v>7</v>
      </c>
      <c r="E5583">
        <f t="shared" si="175"/>
        <v>5.1722949873512634E-2</v>
      </c>
    </row>
    <row r="5584" spans="1:5" x14ac:dyDescent="0.25">
      <c r="A5584">
        <v>0</v>
      </c>
      <c r="B5584">
        <v>0.28666666666666701</v>
      </c>
      <c r="C5584">
        <f t="shared" si="174"/>
        <v>0.92517662141881662</v>
      </c>
      <c r="D5584">
        <v>7</v>
      </c>
      <c r="E5584">
        <f t="shared" si="175"/>
        <v>5.1722949873512634E-2</v>
      </c>
    </row>
    <row r="5585" spans="1:5" x14ac:dyDescent="0.25">
      <c r="A5585">
        <v>0</v>
      </c>
      <c r="B5585">
        <v>0.28799999999999998</v>
      </c>
      <c r="C5585">
        <f t="shared" si="174"/>
        <v>0.91975336735309399</v>
      </c>
      <c r="D5585">
        <v>7</v>
      </c>
      <c r="E5585">
        <f t="shared" si="175"/>
        <v>5.1722949873512634E-2</v>
      </c>
    </row>
    <row r="5586" spans="1:5" x14ac:dyDescent="0.25">
      <c r="A5586">
        <v>0</v>
      </c>
      <c r="B5586">
        <v>0.28799999999999998</v>
      </c>
      <c r="C5586">
        <f t="shared" si="174"/>
        <v>0.91975336735309399</v>
      </c>
      <c r="D5586">
        <v>7</v>
      </c>
      <c r="E5586">
        <f t="shared" si="175"/>
        <v>5.1722949873512634E-2</v>
      </c>
    </row>
    <row r="5587" spans="1:5" x14ac:dyDescent="0.25">
      <c r="A5587">
        <v>0</v>
      </c>
      <c r="B5587">
        <v>0.288333333333333</v>
      </c>
      <c r="C5587">
        <f t="shared" si="174"/>
        <v>0.91839821784676123</v>
      </c>
      <c r="D5587">
        <v>7</v>
      </c>
      <c r="E5587">
        <f t="shared" si="175"/>
        <v>5.1722949873512634E-2</v>
      </c>
    </row>
    <row r="5588" spans="1:5" x14ac:dyDescent="0.25">
      <c r="A5588">
        <v>0</v>
      </c>
      <c r="B5588">
        <v>0.29199999999999998</v>
      </c>
      <c r="C5588">
        <f t="shared" si="174"/>
        <v>0.90351074748768812</v>
      </c>
      <c r="D5588">
        <v>7</v>
      </c>
      <c r="E5588">
        <f t="shared" si="175"/>
        <v>5.1722949873512634E-2</v>
      </c>
    </row>
    <row r="5589" spans="1:5" x14ac:dyDescent="0.25">
      <c r="A5589">
        <v>0</v>
      </c>
      <c r="B5589">
        <v>0.29266666666666702</v>
      </c>
      <c r="C5589">
        <f t="shared" si="174"/>
        <v>0.90080799250311105</v>
      </c>
      <c r="D5589">
        <v>7</v>
      </c>
      <c r="E5589">
        <f t="shared" si="175"/>
        <v>5.1722949873512634E-2</v>
      </c>
    </row>
    <row r="5590" spans="1:5" x14ac:dyDescent="0.25">
      <c r="A5590">
        <v>0</v>
      </c>
      <c r="B5590">
        <v>0.29370629370629397</v>
      </c>
      <c r="C5590">
        <f t="shared" si="174"/>
        <v>0.89659589556293695</v>
      </c>
      <c r="D5590">
        <v>7</v>
      </c>
      <c r="E5590">
        <f t="shared" si="175"/>
        <v>5.1722949873512634E-2</v>
      </c>
    </row>
    <row r="5591" spans="1:5" x14ac:dyDescent="0.25">
      <c r="A5591">
        <v>0</v>
      </c>
      <c r="B5591">
        <v>0.29399999999999998</v>
      </c>
      <c r="C5591">
        <f t="shared" si="174"/>
        <v>0.89540654060577951</v>
      </c>
      <c r="D5591">
        <v>7</v>
      </c>
      <c r="E5591">
        <f t="shared" si="175"/>
        <v>5.1722949873512634E-2</v>
      </c>
    </row>
    <row r="5592" spans="1:5" x14ac:dyDescent="0.25">
      <c r="A5592">
        <v>0</v>
      </c>
      <c r="B5592">
        <v>0.29439252336448601</v>
      </c>
      <c r="C5592">
        <f t="shared" si="174"/>
        <v>0.89381745768186871</v>
      </c>
      <c r="D5592">
        <v>7</v>
      </c>
      <c r="E5592">
        <f t="shared" si="175"/>
        <v>5.1722949873512634E-2</v>
      </c>
    </row>
    <row r="5593" spans="1:5" x14ac:dyDescent="0.25">
      <c r="A5593">
        <v>0</v>
      </c>
      <c r="B5593">
        <v>0.29499999999999998</v>
      </c>
      <c r="C5593">
        <f t="shared" si="174"/>
        <v>0.89135914583753706</v>
      </c>
      <c r="D5593">
        <v>7</v>
      </c>
      <c r="E5593">
        <f t="shared" si="175"/>
        <v>5.1722949873512634E-2</v>
      </c>
    </row>
    <row r="5594" spans="1:5" x14ac:dyDescent="0.25">
      <c r="A5594">
        <v>0</v>
      </c>
      <c r="B5594">
        <v>0.29599999999999999</v>
      </c>
      <c r="C5594">
        <f t="shared" si="174"/>
        <v>0.88731505320981308</v>
      </c>
      <c r="D5594">
        <v>7</v>
      </c>
      <c r="E5594">
        <f t="shared" si="175"/>
        <v>5.1722949873512634E-2</v>
      </c>
    </row>
    <row r="5595" spans="1:5" x14ac:dyDescent="0.25">
      <c r="A5595">
        <v>0</v>
      </c>
      <c r="B5595">
        <v>0.29599999999999999</v>
      </c>
      <c r="C5595">
        <f t="shared" si="174"/>
        <v>0.88731505320981308</v>
      </c>
      <c r="D5595">
        <v>7</v>
      </c>
      <c r="E5595">
        <f t="shared" si="175"/>
        <v>5.1722949873512634E-2</v>
      </c>
    </row>
    <row r="5596" spans="1:5" x14ac:dyDescent="0.25">
      <c r="A5596">
        <v>0</v>
      </c>
      <c r="B5596">
        <v>0.29599999999999999</v>
      </c>
      <c r="C5596">
        <f t="shared" si="174"/>
        <v>0.88731505320981308</v>
      </c>
      <c r="D5596">
        <v>7</v>
      </c>
      <c r="E5596">
        <f t="shared" si="175"/>
        <v>5.1722949873512634E-2</v>
      </c>
    </row>
    <row r="5597" spans="1:5" x14ac:dyDescent="0.25">
      <c r="A5597">
        <v>0</v>
      </c>
      <c r="B5597">
        <v>0.29599999999999999</v>
      </c>
      <c r="C5597">
        <f t="shared" si="174"/>
        <v>0.88731505320981308</v>
      </c>
      <c r="D5597">
        <v>7</v>
      </c>
      <c r="E5597">
        <f t="shared" si="175"/>
        <v>5.1722949873512634E-2</v>
      </c>
    </row>
    <row r="5598" spans="1:5" x14ac:dyDescent="0.25">
      <c r="A5598">
        <v>0</v>
      </c>
      <c r="B5598">
        <v>0.29599999999999999</v>
      </c>
      <c r="C5598">
        <f t="shared" si="174"/>
        <v>0.88731505320981308</v>
      </c>
      <c r="D5598">
        <v>7</v>
      </c>
      <c r="E5598">
        <f t="shared" si="175"/>
        <v>5.1722949873512634E-2</v>
      </c>
    </row>
    <row r="5599" spans="1:5" x14ac:dyDescent="0.25">
      <c r="A5599">
        <v>0</v>
      </c>
      <c r="B5599">
        <v>0.296296296296296</v>
      </c>
      <c r="C5599">
        <f t="shared" si="174"/>
        <v>0.88611745555800436</v>
      </c>
      <c r="D5599">
        <v>7</v>
      </c>
      <c r="E5599">
        <f t="shared" si="175"/>
        <v>5.1722949873512634E-2</v>
      </c>
    </row>
    <row r="5600" spans="1:5" x14ac:dyDescent="0.25">
      <c r="A5600">
        <v>0</v>
      </c>
      <c r="B5600">
        <v>0.296296296296296</v>
      </c>
      <c r="C5600">
        <f t="shared" si="174"/>
        <v>0.88611745555800436</v>
      </c>
      <c r="D5600">
        <v>7</v>
      </c>
      <c r="E5600">
        <f t="shared" si="175"/>
        <v>5.1722949873512634E-2</v>
      </c>
    </row>
    <row r="5601" spans="1:5" x14ac:dyDescent="0.25">
      <c r="A5601">
        <v>0</v>
      </c>
      <c r="B5601">
        <v>0.296296296296296</v>
      </c>
      <c r="C5601">
        <f t="shared" si="174"/>
        <v>0.88611745555800436</v>
      </c>
      <c r="D5601">
        <v>7</v>
      </c>
      <c r="E5601">
        <f t="shared" si="175"/>
        <v>5.1722949873512634E-2</v>
      </c>
    </row>
    <row r="5602" spans="1:5" x14ac:dyDescent="0.25">
      <c r="A5602">
        <v>0</v>
      </c>
      <c r="B5602">
        <v>0.296296296296296</v>
      </c>
      <c r="C5602">
        <f t="shared" si="174"/>
        <v>0.88611745555800436</v>
      </c>
      <c r="D5602">
        <v>7</v>
      </c>
      <c r="E5602">
        <f t="shared" si="175"/>
        <v>5.1722949873512634E-2</v>
      </c>
    </row>
    <row r="5603" spans="1:5" x14ac:dyDescent="0.25">
      <c r="A5603">
        <v>0</v>
      </c>
      <c r="B5603">
        <v>0.296296296296296</v>
      </c>
      <c r="C5603">
        <f t="shared" si="174"/>
        <v>0.88611745555800436</v>
      </c>
      <c r="D5603">
        <v>7</v>
      </c>
      <c r="E5603">
        <f t="shared" si="175"/>
        <v>5.1722949873512634E-2</v>
      </c>
    </row>
    <row r="5604" spans="1:5" x14ac:dyDescent="0.25">
      <c r="A5604">
        <v>0</v>
      </c>
      <c r="B5604">
        <v>0.29699999999999999</v>
      </c>
      <c r="C5604">
        <f t="shared" si="174"/>
        <v>0.88327438409301795</v>
      </c>
      <c r="D5604">
        <v>7</v>
      </c>
      <c r="E5604">
        <f t="shared" si="175"/>
        <v>5.1722949873512634E-2</v>
      </c>
    </row>
    <row r="5605" spans="1:5" x14ac:dyDescent="0.25">
      <c r="A5605">
        <v>0</v>
      </c>
      <c r="B5605">
        <v>0.29729729729729698</v>
      </c>
      <c r="C5605">
        <f t="shared" si="174"/>
        <v>0.88207378211506371</v>
      </c>
      <c r="D5605">
        <v>7</v>
      </c>
      <c r="E5605">
        <f t="shared" si="175"/>
        <v>5.1722949873512634E-2</v>
      </c>
    </row>
    <row r="5606" spans="1:5" x14ac:dyDescent="0.25">
      <c r="A5606">
        <v>0</v>
      </c>
      <c r="B5606">
        <v>0.29799999999999999</v>
      </c>
      <c r="C5606">
        <f t="shared" si="174"/>
        <v>0.87923725913274431</v>
      </c>
      <c r="D5606">
        <v>7</v>
      </c>
      <c r="E5606">
        <f t="shared" si="175"/>
        <v>5.1722949873512634E-2</v>
      </c>
    </row>
    <row r="5607" spans="1:5" x14ac:dyDescent="0.25">
      <c r="A5607">
        <v>0</v>
      </c>
      <c r="B5607">
        <v>0.29799999999999999</v>
      </c>
      <c r="C5607">
        <f t="shared" si="174"/>
        <v>0.87923725913274431</v>
      </c>
      <c r="D5607">
        <v>7</v>
      </c>
      <c r="E5607">
        <f t="shared" si="175"/>
        <v>5.1722949873512634E-2</v>
      </c>
    </row>
    <row r="5608" spans="1:5" x14ac:dyDescent="0.25">
      <c r="A5608">
        <v>0</v>
      </c>
      <c r="B5608">
        <v>0.29799999999999999</v>
      </c>
      <c r="C5608">
        <f t="shared" si="174"/>
        <v>0.87923725913274431</v>
      </c>
      <c r="D5608">
        <v>7</v>
      </c>
      <c r="E5608">
        <f t="shared" si="175"/>
        <v>5.1722949873512634E-2</v>
      </c>
    </row>
    <row r="5609" spans="1:5" x14ac:dyDescent="0.25">
      <c r="A5609">
        <v>0</v>
      </c>
      <c r="B5609">
        <v>0.29799999999999999</v>
      </c>
      <c r="C5609">
        <f t="shared" si="174"/>
        <v>0.87923725913274431</v>
      </c>
      <c r="D5609">
        <v>7</v>
      </c>
      <c r="E5609">
        <f t="shared" si="175"/>
        <v>5.1722949873512634E-2</v>
      </c>
    </row>
    <row r="5610" spans="1:5" x14ac:dyDescent="0.25">
      <c r="A5610">
        <v>0</v>
      </c>
      <c r="B5610">
        <v>0.29799999999999999</v>
      </c>
      <c r="C5610">
        <f t="shared" si="174"/>
        <v>0.87923725913274431</v>
      </c>
      <c r="D5610">
        <v>7</v>
      </c>
      <c r="E5610">
        <f t="shared" si="175"/>
        <v>5.1722949873512634E-2</v>
      </c>
    </row>
    <row r="5611" spans="1:5" x14ac:dyDescent="0.25">
      <c r="A5611">
        <v>0</v>
      </c>
      <c r="B5611">
        <v>0.29899999999999999</v>
      </c>
      <c r="C5611">
        <f t="shared" si="174"/>
        <v>0.87520379824493499</v>
      </c>
      <c r="D5611">
        <v>7</v>
      </c>
      <c r="E5611">
        <f t="shared" si="175"/>
        <v>5.1722949873512634E-2</v>
      </c>
    </row>
    <row r="5612" spans="1:5" x14ac:dyDescent="0.25">
      <c r="A5612">
        <v>0</v>
      </c>
      <c r="B5612">
        <v>0.3</v>
      </c>
      <c r="C5612">
        <f t="shared" si="174"/>
        <v>0.87117412061112864</v>
      </c>
      <c r="D5612">
        <v>7</v>
      </c>
      <c r="E5612">
        <f t="shared" si="175"/>
        <v>5.1722949873512634E-2</v>
      </c>
    </row>
    <row r="5613" spans="1:5" x14ac:dyDescent="0.25">
      <c r="A5613">
        <v>0</v>
      </c>
      <c r="B5613">
        <v>0.3</v>
      </c>
      <c r="C5613">
        <f t="shared" si="174"/>
        <v>0.87117412061112864</v>
      </c>
      <c r="D5613">
        <v>7</v>
      </c>
      <c r="E5613">
        <f t="shared" si="175"/>
        <v>5.1722949873512634E-2</v>
      </c>
    </row>
    <row r="5614" spans="1:5" x14ac:dyDescent="0.25">
      <c r="A5614">
        <v>0</v>
      </c>
      <c r="B5614">
        <v>0.30199999999999999</v>
      </c>
      <c r="C5614">
        <f t="shared" si="174"/>
        <v>0.86312658813174714</v>
      </c>
      <c r="D5614">
        <v>7</v>
      </c>
      <c r="E5614">
        <f t="shared" si="175"/>
        <v>5.1722949873512634E-2</v>
      </c>
    </row>
    <row r="5615" spans="1:5" x14ac:dyDescent="0.25">
      <c r="A5615">
        <v>0</v>
      </c>
      <c r="B5615">
        <v>0.30199999999999999</v>
      </c>
      <c r="C5615">
        <f t="shared" si="174"/>
        <v>0.86312658813174714</v>
      </c>
      <c r="D5615">
        <v>7</v>
      </c>
      <c r="E5615">
        <f t="shared" si="175"/>
        <v>5.1722949873512634E-2</v>
      </c>
    </row>
    <row r="5616" spans="1:5" x14ac:dyDescent="0.25">
      <c r="A5616">
        <v>0</v>
      </c>
      <c r="B5616">
        <v>0.30333333333333301</v>
      </c>
      <c r="C5616">
        <f t="shared" si="174"/>
        <v>0.85777070049698967</v>
      </c>
      <c r="D5616">
        <v>7</v>
      </c>
      <c r="E5616">
        <f t="shared" si="175"/>
        <v>5.1722949873512634E-2</v>
      </c>
    </row>
    <row r="5617" spans="1:5" x14ac:dyDescent="0.25">
      <c r="A5617">
        <v>0</v>
      </c>
      <c r="B5617">
        <v>0.30373831775700899</v>
      </c>
      <c r="C5617">
        <f t="shared" si="174"/>
        <v>0.85614541005184885</v>
      </c>
      <c r="D5617">
        <v>7</v>
      </c>
      <c r="E5617">
        <f t="shared" si="175"/>
        <v>5.1722949873512634E-2</v>
      </c>
    </row>
    <row r="5618" spans="1:5" x14ac:dyDescent="0.25">
      <c r="A5618">
        <v>0</v>
      </c>
      <c r="B5618">
        <v>0.30399999999999999</v>
      </c>
      <c r="C5618">
        <f t="shared" si="174"/>
        <v>0.85509560028359155</v>
      </c>
      <c r="D5618">
        <v>7</v>
      </c>
      <c r="E5618">
        <f t="shared" si="175"/>
        <v>5.1722949873512634E-2</v>
      </c>
    </row>
    <row r="5619" spans="1:5" x14ac:dyDescent="0.25">
      <c r="A5619">
        <v>0</v>
      </c>
      <c r="B5619">
        <v>0.30434782608695699</v>
      </c>
      <c r="C5619">
        <f t="shared" si="174"/>
        <v>0.85370066433334102</v>
      </c>
      <c r="D5619">
        <v>7</v>
      </c>
      <c r="E5619">
        <f t="shared" si="175"/>
        <v>5.1722949873512634E-2</v>
      </c>
    </row>
    <row r="5620" spans="1:5" x14ac:dyDescent="0.25">
      <c r="A5620">
        <v>0</v>
      </c>
      <c r="B5620">
        <v>0.30538922155688603</v>
      </c>
      <c r="C5620">
        <f t="shared" si="174"/>
        <v>0.84952741715981528</v>
      </c>
      <c r="D5620">
        <v>7</v>
      </c>
      <c r="E5620">
        <f t="shared" si="175"/>
        <v>5.1722949873512634E-2</v>
      </c>
    </row>
    <row r="5621" spans="1:5" x14ac:dyDescent="0.25">
      <c r="A5621">
        <v>0</v>
      </c>
      <c r="B5621">
        <v>0.30599999999999999</v>
      </c>
      <c r="C5621">
        <f t="shared" si="174"/>
        <v>0.84708208361520987</v>
      </c>
      <c r="D5621">
        <v>7</v>
      </c>
      <c r="E5621">
        <f t="shared" si="175"/>
        <v>5.1722949873512634E-2</v>
      </c>
    </row>
    <row r="5622" spans="1:5" x14ac:dyDescent="0.25">
      <c r="A5622">
        <v>0</v>
      </c>
      <c r="B5622">
        <v>0.30630630630630601</v>
      </c>
      <c r="C5622">
        <f t="shared" si="174"/>
        <v>0.84585638916902506</v>
      </c>
      <c r="D5622">
        <v>7</v>
      </c>
      <c r="E5622">
        <f t="shared" si="175"/>
        <v>5.1722949873512634E-2</v>
      </c>
    </row>
    <row r="5623" spans="1:5" x14ac:dyDescent="0.25">
      <c r="A5623">
        <v>0</v>
      </c>
      <c r="B5623">
        <v>0.307</v>
      </c>
      <c r="C5623">
        <f t="shared" si="174"/>
        <v>0.84308216319365192</v>
      </c>
      <c r="D5623">
        <v>7</v>
      </c>
      <c r="E5623">
        <f t="shared" si="175"/>
        <v>5.1722949873512634E-2</v>
      </c>
    </row>
    <row r="5624" spans="1:5" x14ac:dyDescent="0.25">
      <c r="A5624">
        <v>0</v>
      </c>
      <c r="B5624">
        <v>0.30769230769230799</v>
      </c>
      <c r="C5624">
        <f t="shared" si="174"/>
        <v>0.84031573970195594</v>
      </c>
      <c r="D5624">
        <v>7</v>
      </c>
      <c r="E5624">
        <f t="shared" si="175"/>
        <v>5.1722949873512634E-2</v>
      </c>
    </row>
    <row r="5625" spans="1:5" x14ac:dyDescent="0.25">
      <c r="A5625">
        <v>0</v>
      </c>
      <c r="B5625">
        <v>0.30769230769230799</v>
      </c>
      <c r="C5625">
        <f t="shared" si="174"/>
        <v>0.84031573970195594</v>
      </c>
      <c r="D5625">
        <v>7</v>
      </c>
      <c r="E5625">
        <f t="shared" si="175"/>
        <v>5.1722949873512634E-2</v>
      </c>
    </row>
    <row r="5626" spans="1:5" x14ac:dyDescent="0.25">
      <c r="A5626">
        <v>0</v>
      </c>
      <c r="B5626">
        <v>0.30769230769230799</v>
      </c>
      <c r="C5626">
        <f t="shared" si="174"/>
        <v>0.84031573970195594</v>
      </c>
      <c r="D5626">
        <v>7</v>
      </c>
      <c r="E5626">
        <f t="shared" si="175"/>
        <v>5.1722949873512634E-2</v>
      </c>
    </row>
    <row r="5627" spans="1:5" x14ac:dyDescent="0.25">
      <c r="A5627">
        <v>0</v>
      </c>
      <c r="B5627">
        <v>0.308</v>
      </c>
      <c r="C5627">
        <f t="shared" si="174"/>
        <v>0.83908695249742338</v>
      </c>
      <c r="D5627">
        <v>7</v>
      </c>
      <c r="E5627">
        <f t="shared" si="175"/>
        <v>5.1722949873512634E-2</v>
      </c>
    </row>
    <row r="5628" spans="1:5" x14ac:dyDescent="0.25">
      <c r="A5628">
        <v>0</v>
      </c>
      <c r="B5628">
        <v>0.31</v>
      </c>
      <c r="C5628">
        <f t="shared" si="174"/>
        <v>0.83111110899142482</v>
      </c>
      <c r="D5628">
        <v>7</v>
      </c>
      <c r="E5628">
        <f t="shared" si="175"/>
        <v>5.1722949873512634E-2</v>
      </c>
    </row>
    <row r="5629" spans="1:5" x14ac:dyDescent="0.25">
      <c r="A5629">
        <v>0</v>
      </c>
      <c r="B5629">
        <v>0.31</v>
      </c>
      <c r="C5629">
        <f t="shared" si="174"/>
        <v>0.83111110899142482</v>
      </c>
      <c r="D5629">
        <v>7</v>
      </c>
      <c r="E5629">
        <f t="shared" si="175"/>
        <v>5.1722949873512634E-2</v>
      </c>
    </row>
    <row r="5630" spans="1:5" x14ac:dyDescent="0.25">
      <c r="A5630">
        <v>0</v>
      </c>
      <c r="B5630">
        <v>0.31</v>
      </c>
      <c r="C5630">
        <f t="shared" si="174"/>
        <v>0.83111110899142482</v>
      </c>
      <c r="D5630">
        <v>7</v>
      </c>
      <c r="E5630">
        <f t="shared" si="175"/>
        <v>5.1722949873512634E-2</v>
      </c>
    </row>
    <row r="5631" spans="1:5" x14ac:dyDescent="0.25">
      <c r="A5631">
        <v>0</v>
      </c>
      <c r="B5631">
        <v>0.31066666666666698</v>
      </c>
      <c r="C5631">
        <f t="shared" si="174"/>
        <v>0.82845693474832793</v>
      </c>
      <c r="D5631">
        <v>7</v>
      </c>
      <c r="E5631">
        <f t="shared" si="175"/>
        <v>5.1722949873512634E-2</v>
      </c>
    </row>
    <row r="5632" spans="1:5" x14ac:dyDescent="0.25">
      <c r="A5632">
        <v>0</v>
      </c>
      <c r="B5632">
        <v>0.31137724550898199</v>
      </c>
      <c r="C5632">
        <f t="shared" si="174"/>
        <v>0.82563043977772554</v>
      </c>
      <c r="D5632">
        <v>7</v>
      </c>
      <c r="E5632">
        <f t="shared" si="175"/>
        <v>5.1722949873512634E-2</v>
      </c>
    </row>
    <row r="5633" spans="1:5" x14ac:dyDescent="0.25">
      <c r="A5633">
        <v>0</v>
      </c>
      <c r="B5633">
        <v>0.312</v>
      </c>
      <c r="C5633">
        <f t="shared" si="174"/>
        <v>0.82315544272225427</v>
      </c>
      <c r="D5633">
        <v>7</v>
      </c>
      <c r="E5633">
        <f t="shared" si="175"/>
        <v>5.1722949873512634E-2</v>
      </c>
    </row>
    <row r="5634" spans="1:5" x14ac:dyDescent="0.25">
      <c r="A5634">
        <v>0</v>
      </c>
      <c r="B5634">
        <v>0.31266666666666698</v>
      </c>
      <c r="C5634">
        <f t="shared" ref="C5634:C5697" si="176">_xlfn.NORM.DIST(B5634,I$10,I$13,FALSE)</f>
        <v>0.82050818975220985</v>
      </c>
      <c r="D5634">
        <v>7</v>
      </c>
      <c r="E5634">
        <f t="shared" si="175"/>
        <v>5.1722949873512634E-2</v>
      </c>
    </row>
    <row r="5635" spans="1:5" x14ac:dyDescent="0.25">
      <c r="A5635">
        <v>0</v>
      </c>
      <c r="B5635">
        <v>0.314</v>
      </c>
      <c r="C5635">
        <f t="shared" si="176"/>
        <v>0.81522083075765672</v>
      </c>
      <c r="D5635">
        <v>7</v>
      </c>
      <c r="E5635">
        <f t="shared" ref="E5635:E5698" si="177">_xlfn.NORM.DIST(D5635,I$4,I$7,FALSE)</f>
        <v>5.1722949873512634E-2</v>
      </c>
    </row>
    <row r="5636" spans="1:5" x14ac:dyDescent="0.25">
      <c r="A5636">
        <v>0</v>
      </c>
      <c r="B5636">
        <v>0.314</v>
      </c>
      <c r="C5636">
        <f t="shared" si="176"/>
        <v>0.81522083075765672</v>
      </c>
      <c r="D5636">
        <v>7</v>
      </c>
      <c r="E5636">
        <f t="shared" si="177"/>
        <v>5.1722949873512634E-2</v>
      </c>
    </row>
    <row r="5637" spans="1:5" x14ac:dyDescent="0.25">
      <c r="A5637">
        <v>0</v>
      </c>
      <c r="B5637">
        <v>0.314285714285714</v>
      </c>
      <c r="C5637">
        <f t="shared" si="176"/>
        <v>0.81408908404270564</v>
      </c>
      <c r="D5637">
        <v>7</v>
      </c>
      <c r="E5637">
        <f t="shared" si="177"/>
        <v>5.1722949873512634E-2</v>
      </c>
    </row>
    <row r="5638" spans="1:5" x14ac:dyDescent="0.25">
      <c r="A5638">
        <v>0</v>
      </c>
      <c r="B5638">
        <v>0.31466666666666698</v>
      </c>
      <c r="C5638">
        <f t="shared" si="176"/>
        <v>0.81258078860590599</v>
      </c>
      <c r="D5638">
        <v>7</v>
      </c>
      <c r="E5638">
        <f t="shared" si="177"/>
        <v>5.1722949873512634E-2</v>
      </c>
    </row>
    <row r="5639" spans="1:5" x14ac:dyDescent="0.25">
      <c r="A5639">
        <v>0</v>
      </c>
      <c r="B5639">
        <v>0.31466666666666698</v>
      </c>
      <c r="C5639">
        <f t="shared" si="176"/>
        <v>0.81258078860590599</v>
      </c>
      <c r="D5639">
        <v>7</v>
      </c>
      <c r="E5639">
        <f t="shared" si="177"/>
        <v>5.1722949873512634E-2</v>
      </c>
    </row>
    <row r="5640" spans="1:5" x14ac:dyDescent="0.25">
      <c r="A5640">
        <v>0</v>
      </c>
      <c r="B5640">
        <v>0.315</v>
      </c>
      <c r="C5640">
        <f t="shared" si="176"/>
        <v>0.81126169076100874</v>
      </c>
      <c r="D5640">
        <v>7</v>
      </c>
      <c r="E5640">
        <f t="shared" si="177"/>
        <v>5.1722949873512634E-2</v>
      </c>
    </row>
    <row r="5641" spans="1:5" x14ac:dyDescent="0.25">
      <c r="A5641">
        <v>0</v>
      </c>
      <c r="B5641">
        <v>0.31533333333333302</v>
      </c>
      <c r="C5641">
        <f t="shared" si="176"/>
        <v>0.809943213670266</v>
      </c>
      <c r="D5641">
        <v>7</v>
      </c>
      <c r="E5641">
        <f t="shared" si="177"/>
        <v>5.1722949873512634E-2</v>
      </c>
    </row>
    <row r="5642" spans="1:5" x14ac:dyDescent="0.25">
      <c r="A5642">
        <v>0</v>
      </c>
      <c r="B5642">
        <v>0.31578947368421101</v>
      </c>
      <c r="C5642">
        <f t="shared" si="176"/>
        <v>0.80813999495622524</v>
      </c>
      <c r="D5642">
        <v>7</v>
      </c>
      <c r="E5642">
        <f t="shared" si="177"/>
        <v>5.1722949873512634E-2</v>
      </c>
    </row>
    <row r="5643" spans="1:5" x14ac:dyDescent="0.25">
      <c r="A5643">
        <v>0</v>
      </c>
      <c r="B5643">
        <v>0.316</v>
      </c>
      <c r="C5643">
        <f t="shared" si="176"/>
        <v>0.80730813749231833</v>
      </c>
      <c r="D5643">
        <v>7</v>
      </c>
      <c r="E5643">
        <f t="shared" si="177"/>
        <v>5.1722949873512634E-2</v>
      </c>
    </row>
    <row r="5644" spans="1:5" x14ac:dyDescent="0.25">
      <c r="A5644">
        <v>0</v>
      </c>
      <c r="B5644">
        <v>0.316</v>
      </c>
      <c r="C5644">
        <f t="shared" si="176"/>
        <v>0.80730813749231833</v>
      </c>
      <c r="D5644">
        <v>7</v>
      </c>
      <c r="E5644">
        <f t="shared" si="177"/>
        <v>5.1722949873512634E-2</v>
      </c>
    </row>
    <row r="5645" spans="1:5" x14ac:dyDescent="0.25">
      <c r="A5645">
        <v>0</v>
      </c>
      <c r="B5645">
        <v>0.316</v>
      </c>
      <c r="C5645">
        <f t="shared" si="176"/>
        <v>0.80730813749231833</v>
      </c>
      <c r="D5645">
        <v>7</v>
      </c>
      <c r="E5645">
        <f t="shared" si="177"/>
        <v>5.1722949873512634E-2</v>
      </c>
    </row>
    <row r="5646" spans="1:5" x14ac:dyDescent="0.25">
      <c r="A5646">
        <v>0</v>
      </c>
      <c r="B5646">
        <v>0.31666666666666698</v>
      </c>
      <c r="C5646">
        <f t="shared" si="176"/>
        <v>0.80467559145495404</v>
      </c>
      <c r="D5646">
        <v>7</v>
      </c>
      <c r="E5646">
        <f t="shared" si="177"/>
        <v>5.1722949873512634E-2</v>
      </c>
    </row>
    <row r="5647" spans="1:5" x14ac:dyDescent="0.25">
      <c r="A5647">
        <v>0</v>
      </c>
      <c r="B5647">
        <v>0.318</v>
      </c>
      <c r="C5647">
        <f t="shared" si="176"/>
        <v>0.79941821453747641</v>
      </c>
      <c r="D5647">
        <v>7</v>
      </c>
      <c r="E5647">
        <f t="shared" si="177"/>
        <v>5.1722949873512634E-2</v>
      </c>
    </row>
    <row r="5648" spans="1:5" x14ac:dyDescent="0.25">
      <c r="A5648">
        <v>0</v>
      </c>
      <c r="B5648">
        <v>0.318</v>
      </c>
      <c r="C5648">
        <f t="shared" si="176"/>
        <v>0.79941821453747641</v>
      </c>
      <c r="D5648">
        <v>7</v>
      </c>
      <c r="E5648">
        <f t="shared" si="177"/>
        <v>5.1722949873512634E-2</v>
      </c>
    </row>
    <row r="5649" spans="1:5" x14ac:dyDescent="0.25">
      <c r="A5649">
        <v>0</v>
      </c>
      <c r="B5649">
        <v>0.318</v>
      </c>
      <c r="C5649">
        <f t="shared" si="176"/>
        <v>0.79941821453747641</v>
      </c>
      <c r="D5649">
        <v>7</v>
      </c>
      <c r="E5649">
        <f t="shared" si="177"/>
        <v>5.1722949873512634E-2</v>
      </c>
    </row>
    <row r="5650" spans="1:5" x14ac:dyDescent="0.25">
      <c r="A5650">
        <v>0</v>
      </c>
      <c r="B5650">
        <v>0.31818181818181801</v>
      </c>
      <c r="C5650">
        <f t="shared" si="176"/>
        <v>0.79870210700900401</v>
      </c>
      <c r="D5650">
        <v>7</v>
      </c>
      <c r="E5650">
        <f t="shared" si="177"/>
        <v>5.1722949873512634E-2</v>
      </c>
    </row>
    <row r="5651" spans="1:5" x14ac:dyDescent="0.25">
      <c r="A5651">
        <v>0</v>
      </c>
      <c r="B5651">
        <v>0.32</v>
      </c>
      <c r="C5651">
        <f t="shared" si="176"/>
        <v>0.79155190061589542</v>
      </c>
      <c r="D5651">
        <v>7</v>
      </c>
      <c r="E5651">
        <f t="shared" si="177"/>
        <v>5.1722949873512634E-2</v>
      </c>
    </row>
    <row r="5652" spans="1:5" x14ac:dyDescent="0.25">
      <c r="A5652">
        <v>0</v>
      </c>
      <c r="B5652">
        <v>0.32</v>
      </c>
      <c r="C5652">
        <f t="shared" si="176"/>
        <v>0.79155190061589542</v>
      </c>
      <c r="D5652">
        <v>7</v>
      </c>
      <c r="E5652">
        <f t="shared" si="177"/>
        <v>5.1722949873512634E-2</v>
      </c>
    </row>
    <row r="5653" spans="1:5" x14ac:dyDescent="0.25">
      <c r="A5653">
        <v>0</v>
      </c>
      <c r="B5653">
        <v>0.32133333333333303</v>
      </c>
      <c r="C5653">
        <f t="shared" si="176"/>
        <v>0.78632121577199088</v>
      </c>
      <c r="D5653">
        <v>7</v>
      </c>
      <c r="E5653">
        <f t="shared" si="177"/>
        <v>5.1722949873512634E-2</v>
      </c>
    </row>
    <row r="5654" spans="1:5" x14ac:dyDescent="0.25">
      <c r="A5654">
        <v>0</v>
      </c>
      <c r="B5654">
        <v>0.32166666666666699</v>
      </c>
      <c r="C5654">
        <f t="shared" si="176"/>
        <v>0.78501526981214398</v>
      </c>
      <c r="D5654">
        <v>7</v>
      </c>
      <c r="E5654">
        <f t="shared" si="177"/>
        <v>5.1722949873512634E-2</v>
      </c>
    </row>
    <row r="5655" spans="1:5" x14ac:dyDescent="0.25">
      <c r="A5655">
        <v>0</v>
      </c>
      <c r="B5655">
        <v>0.32333333333333297</v>
      </c>
      <c r="C5655">
        <f t="shared" si="176"/>
        <v>0.7784960787482571</v>
      </c>
      <c r="D5655">
        <v>7</v>
      </c>
      <c r="E5655">
        <f t="shared" si="177"/>
        <v>5.1722949873512634E-2</v>
      </c>
    </row>
    <row r="5656" spans="1:5" x14ac:dyDescent="0.25">
      <c r="A5656">
        <v>0</v>
      </c>
      <c r="B5656">
        <v>0.323943661971831</v>
      </c>
      <c r="C5656">
        <f t="shared" si="176"/>
        <v>0.77611322373409208</v>
      </c>
      <c r="D5656">
        <v>7</v>
      </c>
      <c r="E5656">
        <f t="shared" si="177"/>
        <v>5.1722949873512634E-2</v>
      </c>
    </row>
    <row r="5657" spans="1:5" x14ac:dyDescent="0.25">
      <c r="A5657">
        <v>0</v>
      </c>
      <c r="B5657">
        <v>0.32432432432432401</v>
      </c>
      <c r="C5657">
        <f t="shared" si="176"/>
        <v>0.7746282613574581</v>
      </c>
      <c r="D5657">
        <v>7</v>
      </c>
      <c r="E5657">
        <f t="shared" si="177"/>
        <v>5.1722949873512634E-2</v>
      </c>
    </row>
    <row r="5658" spans="1:5" x14ac:dyDescent="0.25">
      <c r="A5658">
        <v>0</v>
      </c>
      <c r="B5658">
        <v>0.32432432432432401</v>
      </c>
      <c r="C5658">
        <f t="shared" si="176"/>
        <v>0.7746282613574581</v>
      </c>
      <c r="D5658">
        <v>7</v>
      </c>
      <c r="E5658">
        <f t="shared" si="177"/>
        <v>5.1722949873512634E-2</v>
      </c>
    </row>
    <row r="5659" spans="1:5" x14ac:dyDescent="0.25">
      <c r="A5659">
        <v>0</v>
      </c>
      <c r="B5659">
        <v>0.32432432432432401</v>
      </c>
      <c r="C5659">
        <f t="shared" si="176"/>
        <v>0.7746282613574581</v>
      </c>
      <c r="D5659">
        <v>7</v>
      </c>
      <c r="E5659">
        <f t="shared" si="177"/>
        <v>5.1722949873512634E-2</v>
      </c>
    </row>
    <row r="5660" spans="1:5" x14ac:dyDescent="0.25">
      <c r="A5660">
        <v>0</v>
      </c>
      <c r="B5660">
        <v>0.32533333333333297</v>
      </c>
      <c r="C5660">
        <f t="shared" si="176"/>
        <v>0.77069672360048103</v>
      </c>
      <c r="D5660">
        <v>7</v>
      </c>
      <c r="E5660">
        <f t="shared" si="177"/>
        <v>5.1722949873512634E-2</v>
      </c>
    </row>
    <row r="5661" spans="1:5" x14ac:dyDescent="0.25">
      <c r="A5661">
        <v>0</v>
      </c>
      <c r="B5661">
        <v>0.32600000000000001</v>
      </c>
      <c r="C5661">
        <f t="shared" si="176"/>
        <v>0.76810280489566629</v>
      </c>
      <c r="D5661">
        <v>7</v>
      </c>
      <c r="E5661">
        <f t="shared" si="177"/>
        <v>5.1722949873512634E-2</v>
      </c>
    </row>
    <row r="5662" spans="1:5" x14ac:dyDescent="0.25">
      <c r="A5662">
        <v>0</v>
      </c>
      <c r="B5662">
        <v>0.32600000000000001</v>
      </c>
      <c r="C5662">
        <f t="shared" si="176"/>
        <v>0.76810280489566629</v>
      </c>
      <c r="D5662">
        <v>7</v>
      </c>
      <c r="E5662">
        <f t="shared" si="177"/>
        <v>5.1722949873512634E-2</v>
      </c>
    </row>
    <row r="5663" spans="1:5" x14ac:dyDescent="0.25">
      <c r="A5663">
        <v>0</v>
      </c>
      <c r="B5663">
        <v>0.32666666666666699</v>
      </c>
      <c r="C5663">
        <f t="shared" si="176"/>
        <v>0.76551186775908009</v>
      </c>
      <c r="D5663">
        <v>7</v>
      </c>
      <c r="E5663">
        <f t="shared" si="177"/>
        <v>5.1722949873512634E-2</v>
      </c>
    </row>
    <row r="5664" spans="1:5" x14ac:dyDescent="0.25">
      <c r="A5664">
        <v>0</v>
      </c>
      <c r="B5664">
        <v>0.32867132867132898</v>
      </c>
      <c r="C5664">
        <f t="shared" si="176"/>
        <v>0.75773918902170945</v>
      </c>
      <c r="D5664">
        <v>7</v>
      </c>
      <c r="E5664">
        <f t="shared" si="177"/>
        <v>5.1722949873512634E-2</v>
      </c>
    </row>
    <row r="5665" spans="1:5" x14ac:dyDescent="0.25">
      <c r="A5665">
        <v>0</v>
      </c>
      <c r="B5665">
        <v>0.33</v>
      </c>
      <c r="C5665">
        <f t="shared" si="176"/>
        <v>0.75260290750095549</v>
      </c>
      <c r="D5665">
        <v>7</v>
      </c>
      <c r="E5665">
        <f t="shared" si="177"/>
        <v>5.1722949873512634E-2</v>
      </c>
    </row>
    <row r="5666" spans="1:5" x14ac:dyDescent="0.25">
      <c r="A5666">
        <v>0</v>
      </c>
      <c r="B5666">
        <v>0.33076923076923098</v>
      </c>
      <c r="C5666">
        <f t="shared" si="176"/>
        <v>0.74963497875149443</v>
      </c>
      <c r="D5666">
        <v>7</v>
      </c>
      <c r="E5666">
        <f t="shared" si="177"/>
        <v>5.1722949873512634E-2</v>
      </c>
    </row>
    <row r="5667" spans="1:5" x14ac:dyDescent="0.25">
      <c r="A5667">
        <v>0</v>
      </c>
      <c r="B5667">
        <v>0.33200000000000002</v>
      </c>
      <c r="C5667">
        <f t="shared" si="176"/>
        <v>0.74489512731662089</v>
      </c>
      <c r="D5667">
        <v>7</v>
      </c>
      <c r="E5667">
        <f t="shared" si="177"/>
        <v>5.1722949873512634E-2</v>
      </c>
    </row>
    <row r="5668" spans="1:5" x14ac:dyDescent="0.25">
      <c r="A5668">
        <v>0</v>
      </c>
      <c r="B5668">
        <v>0.33333333333333298</v>
      </c>
      <c r="C5668">
        <f t="shared" si="176"/>
        <v>0.73977273476386118</v>
      </c>
      <c r="D5668">
        <v>7</v>
      </c>
      <c r="E5668">
        <f t="shared" si="177"/>
        <v>5.1722949873512634E-2</v>
      </c>
    </row>
    <row r="5669" spans="1:5" x14ac:dyDescent="0.25">
      <c r="A5669">
        <v>0</v>
      </c>
      <c r="B5669">
        <v>0.33333333333333298</v>
      </c>
      <c r="C5669">
        <f t="shared" si="176"/>
        <v>0.73977273476386118</v>
      </c>
      <c r="D5669">
        <v>7</v>
      </c>
      <c r="E5669">
        <f t="shared" si="177"/>
        <v>5.1722949873512634E-2</v>
      </c>
    </row>
    <row r="5670" spans="1:5" x14ac:dyDescent="0.25">
      <c r="A5670">
        <v>0</v>
      </c>
      <c r="B5670">
        <v>0.33333333333333298</v>
      </c>
      <c r="C5670">
        <f t="shared" si="176"/>
        <v>0.73977273476386118</v>
      </c>
      <c r="D5670">
        <v>7</v>
      </c>
      <c r="E5670">
        <f t="shared" si="177"/>
        <v>5.1722949873512634E-2</v>
      </c>
    </row>
    <row r="5671" spans="1:5" x14ac:dyDescent="0.25">
      <c r="A5671">
        <v>0</v>
      </c>
      <c r="B5671">
        <v>0.33333333333333298</v>
      </c>
      <c r="C5671">
        <f t="shared" si="176"/>
        <v>0.73977273476386118</v>
      </c>
      <c r="D5671">
        <v>7</v>
      </c>
      <c r="E5671">
        <f t="shared" si="177"/>
        <v>5.1722949873512634E-2</v>
      </c>
    </row>
    <row r="5672" spans="1:5" x14ac:dyDescent="0.25">
      <c r="A5672">
        <v>0</v>
      </c>
      <c r="B5672">
        <v>0.33400000000000002</v>
      </c>
      <c r="C5672">
        <f t="shared" si="176"/>
        <v>0.73721645864704588</v>
      </c>
      <c r="D5672">
        <v>7</v>
      </c>
      <c r="E5672">
        <f t="shared" si="177"/>
        <v>5.1722949873512634E-2</v>
      </c>
    </row>
    <row r="5673" spans="1:5" x14ac:dyDescent="0.25">
      <c r="A5673">
        <v>0</v>
      </c>
      <c r="B5673">
        <v>0.33400000000000002</v>
      </c>
      <c r="C5673">
        <f t="shared" si="176"/>
        <v>0.73721645864704588</v>
      </c>
      <c r="D5673">
        <v>7</v>
      </c>
      <c r="E5673">
        <f t="shared" si="177"/>
        <v>5.1722949873512634E-2</v>
      </c>
    </row>
    <row r="5674" spans="1:5" x14ac:dyDescent="0.25">
      <c r="A5674">
        <v>0</v>
      </c>
      <c r="B5674">
        <v>0.33400000000000002</v>
      </c>
      <c r="C5674">
        <f t="shared" si="176"/>
        <v>0.73721645864704588</v>
      </c>
      <c r="D5674">
        <v>7</v>
      </c>
      <c r="E5674">
        <f t="shared" si="177"/>
        <v>5.1722949873512634E-2</v>
      </c>
    </row>
    <row r="5675" spans="1:5" x14ac:dyDescent="0.25">
      <c r="A5675">
        <v>0</v>
      </c>
      <c r="B5675">
        <v>0.33500000000000002</v>
      </c>
      <c r="C5675">
        <f t="shared" si="176"/>
        <v>0.73338827055875655</v>
      </c>
      <c r="D5675">
        <v>7</v>
      </c>
      <c r="E5675">
        <f t="shared" si="177"/>
        <v>5.1722949873512634E-2</v>
      </c>
    </row>
    <row r="5676" spans="1:5" x14ac:dyDescent="0.25">
      <c r="A5676">
        <v>0</v>
      </c>
      <c r="B5676">
        <v>0.33653846153846201</v>
      </c>
      <c r="C5676">
        <f t="shared" si="176"/>
        <v>0.72751352732614527</v>
      </c>
      <c r="D5676">
        <v>7</v>
      </c>
      <c r="E5676">
        <f t="shared" si="177"/>
        <v>5.1722949873512634E-2</v>
      </c>
    </row>
    <row r="5677" spans="1:5" x14ac:dyDescent="0.25">
      <c r="A5677">
        <v>0</v>
      </c>
      <c r="B5677">
        <v>0.33733333333333299</v>
      </c>
      <c r="C5677">
        <f t="shared" si="176"/>
        <v>0.72448535306881312</v>
      </c>
      <c r="D5677">
        <v>7</v>
      </c>
      <c r="E5677">
        <f t="shared" si="177"/>
        <v>5.1722949873512634E-2</v>
      </c>
    </row>
    <row r="5678" spans="1:5" x14ac:dyDescent="0.25">
      <c r="A5678">
        <v>0</v>
      </c>
      <c r="B5678">
        <v>0.33800000000000002</v>
      </c>
      <c r="C5678">
        <f t="shared" si="176"/>
        <v>0.72194937215279897</v>
      </c>
      <c r="D5678">
        <v>7</v>
      </c>
      <c r="E5678">
        <f t="shared" si="177"/>
        <v>5.1722949873512634E-2</v>
      </c>
    </row>
    <row r="5679" spans="1:5" x14ac:dyDescent="0.25">
      <c r="A5679">
        <v>0</v>
      </c>
      <c r="B5679">
        <v>0.33833333333333299</v>
      </c>
      <c r="C5679">
        <f t="shared" si="176"/>
        <v>0.72068268295923044</v>
      </c>
      <c r="D5679">
        <v>7</v>
      </c>
      <c r="E5679">
        <f t="shared" si="177"/>
        <v>5.1722949873512634E-2</v>
      </c>
    </row>
    <row r="5680" spans="1:5" x14ac:dyDescent="0.25">
      <c r="A5680">
        <v>0</v>
      </c>
      <c r="B5680">
        <v>0.33833333333333299</v>
      </c>
      <c r="C5680">
        <f t="shared" si="176"/>
        <v>0.72068268295923044</v>
      </c>
      <c r="D5680">
        <v>7</v>
      </c>
      <c r="E5680">
        <f t="shared" si="177"/>
        <v>5.1722949873512634E-2</v>
      </c>
    </row>
    <row r="5681" spans="1:5" x14ac:dyDescent="0.25">
      <c r="A5681">
        <v>0</v>
      </c>
      <c r="B5681">
        <v>0.33878504672897197</v>
      </c>
      <c r="C5681">
        <f t="shared" si="176"/>
        <v>0.71896753335876051</v>
      </c>
      <c r="D5681">
        <v>7</v>
      </c>
      <c r="E5681">
        <f t="shared" si="177"/>
        <v>5.1722949873512634E-2</v>
      </c>
    </row>
    <row r="5682" spans="1:5" x14ac:dyDescent="0.25">
      <c r="A5682">
        <v>0</v>
      </c>
      <c r="B5682">
        <v>0.34</v>
      </c>
      <c r="C5682">
        <f t="shared" si="176"/>
        <v>0.71436237843970396</v>
      </c>
      <c r="D5682">
        <v>8</v>
      </c>
      <c r="E5682">
        <f t="shared" si="177"/>
        <v>4.8177270441521786E-2</v>
      </c>
    </row>
    <row r="5683" spans="1:5" x14ac:dyDescent="0.25">
      <c r="A5683">
        <v>0</v>
      </c>
      <c r="B5683">
        <v>0.34133333333333299</v>
      </c>
      <c r="C5683">
        <f t="shared" si="176"/>
        <v>0.70932209586297756</v>
      </c>
      <c r="D5683">
        <v>8</v>
      </c>
      <c r="E5683">
        <f t="shared" si="177"/>
        <v>4.8177270441521786E-2</v>
      </c>
    </row>
    <row r="5684" spans="1:5" x14ac:dyDescent="0.25">
      <c r="A5684">
        <v>0</v>
      </c>
      <c r="B5684">
        <v>0.34200000000000003</v>
      </c>
      <c r="C5684">
        <f t="shared" si="176"/>
        <v>0.70680734436508919</v>
      </c>
      <c r="D5684">
        <v>8</v>
      </c>
      <c r="E5684">
        <f t="shared" si="177"/>
        <v>4.8177270441521786E-2</v>
      </c>
    </row>
    <row r="5685" spans="1:5" x14ac:dyDescent="0.25">
      <c r="A5685">
        <v>0</v>
      </c>
      <c r="B5685">
        <v>0.34266666666666701</v>
      </c>
      <c r="C5685">
        <f t="shared" si="176"/>
        <v>0.70429621936287101</v>
      </c>
      <c r="D5685">
        <v>8</v>
      </c>
      <c r="E5685">
        <f t="shared" si="177"/>
        <v>4.8177270441521786E-2</v>
      </c>
    </row>
    <row r="5686" spans="1:5" x14ac:dyDescent="0.25">
      <c r="A5686">
        <v>0</v>
      </c>
      <c r="B5686">
        <v>0.34533333333333299</v>
      </c>
      <c r="C5686">
        <f t="shared" si="176"/>
        <v>0.69428847703696972</v>
      </c>
      <c r="D5686">
        <v>8</v>
      </c>
      <c r="E5686">
        <f t="shared" si="177"/>
        <v>4.8177270441521786E-2</v>
      </c>
    </row>
    <row r="5687" spans="1:5" x14ac:dyDescent="0.25">
      <c r="A5687">
        <v>0</v>
      </c>
      <c r="B5687">
        <v>0.34567901234567899</v>
      </c>
      <c r="C5687">
        <f t="shared" si="176"/>
        <v>0.69299553564109573</v>
      </c>
      <c r="D5687">
        <v>8</v>
      </c>
      <c r="E5687">
        <f t="shared" si="177"/>
        <v>4.8177270441521786E-2</v>
      </c>
    </row>
    <row r="5688" spans="1:5" x14ac:dyDescent="0.25">
      <c r="A5688">
        <v>0</v>
      </c>
      <c r="B5688">
        <v>0.34615384615384598</v>
      </c>
      <c r="C5688">
        <f t="shared" si="176"/>
        <v>0.69122116641173514</v>
      </c>
      <c r="D5688">
        <v>8</v>
      </c>
      <c r="E5688">
        <f t="shared" si="177"/>
        <v>4.8177270441521786E-2</v>
      </c>
    </row>
    <row r="5689" spans="1:5" x14ac:dyDescent="0.25">
      <c r="A5689">
        <v>0</v>
      </c>
      <c r="B5689">
        <v>0.34659090909090901</v>
      </c>
      <c r="C5689">
        <f t="shared" si="176"/>
        <v>0.68958963396314688</v>
      </c>
      <c r="D5689">
        <v>8</v>
      </c>
      <c r="E5689">
        <f t="shared" si="177"/>
        <v>4.8177270441521786E-2</v>
      </c>
    </row>
    <row r="5690" spans="1:5" x14ac:dyDescent="0.25">
      <c r="A5690">
        <v>0</v>
      </c>
      <c r="B5690">
        <v>0.34666666666666701</v>
      </c>
      <c r="C5690">
        <f t="shared" si="176"/>
        <v>0.6893070006220049</v>
      </c>
      <c r="D5690">
        <v>8</v>
      </c>
      <c r="E5690">
        <f t="shared" si="177"/>
        <v>4.8177270441521786E-2</v>
      </c>
    </row>
    <row r="5691" spans="1:5" x14ac:dyDescent="0.25">
      <c r="A5691">
        <v>0</v>
      </c>
      <c r="B5691">
        <v>0.34799999999999998</v>
      </c>
      <c r="C5691">
        <f t="shared" si="176"/>
        <v>0.6843407090975806</v>
      </c>
      <c r="D5691">
        <v>8</v>
      </c>
      <c r="E5691">
        <f t="shared" si="177"/>
        <v>4.8177270441521786E-2</v>
      </c>
    </row>
    <row r="5692" spans="1:5" x14ac:dyDescent="0.25">
      <c r="A5692">
        <v>0</v>
      </c>
      <c r="B5692">
        <v>0.35</v>
      </c>
      <c r="C5692">
        <f t="shared" si="176"/>
        <v>0.67692015371412628</v>
      </c>
      <c r="D5692">
        <v>8</v>
      </c>
      <c r="E5692">
        <f t="shared" si="177"/>
        <v>4.8177270441521786E-2</v>
      </c>
    </row>
    <row r="5693" spans="1:5" x14ac:dyDescent="0.25">
      <c r="A5693">
        <v>0</v>
      </c>
      <c r="B5693">
        <v>0.35</v>
      </c>
      <c r="C5693">
        <f t="shared" si="176"/>
        <v>0.67692015371412628</v>
      </c>
      <c r="D5693">
        <v>8</v>
      </c>
      <c r="E5693">
        <f t="shared" si="177"/>
        <v>4.8177270441521786E-2</v>
      </c>
    </row>
    <row r="5694" spans="1:5" x14ac:dyDescent="0.25">
      <c r="A5694">
        <v>0</v>
      </c>
      <c r="B5694">
        <v>0.35046728971962599</v>
      </c>
      <c r="C5694">
        <f t="shared" si="176"/>
        <v>0.67519143092141343</v>
      </c>
      <c r="D5694">
        <v>8</v>
      </c>
      <c r="E5694">
        <f t="shared" si="177"/>
        <v>4.8177270441521786E-2</v>
      </c>
    </row>
    <row r="5695" spans="1:5" x14ac:dyDescent="0.25">
      <c r="A5695">
        <v>0</v>
      </c>
      <c r="B5695">
        <v>0.35064935064935099</v>
      </c>
      <c r="C5695">
        <f t="shared" si="176"/>
        <v>0.67451842459781053</v>
      </c>
      <c r="D5695">
        <v>8</v>
      </c>
      <c r="E5695">
        <f t="shared" si="177"/>
        <v>4.8177270441521786E-2</v>
      </c>
    </row>
    <row r="5696" spans="1:5" x14ac:dyDescent="0.25">
      <c r="A5696">
        <v>0</v>
      </c>
      <c r="B5696">
        <v>0.35066666666666702</v>
      </c>
      <c r="C5696">
        <f t="shared" si="176"/>
        <v>0.67445442949299128</v>
      </c>
      <c r="D5696">
        <v>8</v>
      </c>
      <c r="E5696">
        <f t="shared" si="177"/>
        <v>4.8177270441521786E-2</v>
      </c>
    </row>
    <row r="5697" spans="1:5" x14ac:dyDescent="0.25">
      <c r="A5697">
        <v>0</v>
      </c>
      <c r="B5697">
        <v>0.35106382978723399</v>
      </c>
      <c r="C5697">
        <f t="shared" si="176"/>
        <v>0.67298735642971252</v>
      </c>
      <c r="D5697">
        <v>8</v>
      </c>
      <c r="E5697">
        <f t="shared" si="177"/>
        <v>4.8177270441521786E-2</v>
      </c>
    </row>
    <row r="5698" spans="1:5" x14ac:dyDescent="0.25">
      <c r="A5698">
        <v>0</v>
      </c>
      <c r="B5698">
        <v>0.35135135135135098</v>
      </c>
      <c r="C5698">
        <f t="shared" ref="C5698:C5761" si="178">_xlfn.NORM.DIST(B5698,I$10,I$13,FALSE)</f>
        <v>0.67192616037796804</v>
      </c>
      <c r="D5698">
        <v>8</v>
      </c>
      <c r="E5698">
        <f t="shared" si="177"/>
        <v>4.8177270441521786E-2</v>
      </c>
    </row>
    <row r="5699" spans="1:5" x14ac:dyDescent="0.25">
      <c r="A5699">
        <v>0</v>
      </c>
      <c r="B5699">
        <v>0.35135135135135098</v>
      </c>
      <c r="C5699">
        <f t="shared" si="178"/>
        <v>0.67192616037796804</v>
      </c>
      <c r="D5699">
        <v>8</v>
      </c>
      <c r="E5699">
        <f t="shared" ref="E5699:E5762" si="179">_xlfn.NORM.DIST(D5699,I$4,I$7,FALSE)</f>
        <v>4.8177270441521786E-2</v>
      </c>
    </row>
    <row r="5700" spans="1:5" x14ac:dyDescent="0.25">
      <c r="A5700">
        <v>0</v>
      </c>
      <c r="B5700">
        <v>0.35166666666666702</v>
      </c>
      <c r="C5700">
        <f t="shared" si="178"/>
        <v>0.6707632285634153</v>
      </c>
      <c r="D5700">
        <v>8</v>
      </c>
      <c r="E5700">
        <f t="shared" si="179"/>
        <v>4.8177270441521786E-2</v>
      </c>
    </row>
    <row r="5701" spans="1:5" x14ac:dyDescent="0.25">
      <c r="A5701">
        <v>0</v>
      </c>
      <c r="B5701">
        <v>0.35185185185185203</v>
      </c>
      <c r="C5701">
        <f t="shared" si="178"/>
        <v>0.67008065055016375</v>
      </c>
      <c r="D5701">
        <v>8</v>
      </c>
      <c r="E5701">
        <f t="shared" si="179"/>
        <v>4.8177270441521786E-2</v>
      </c>
    </row>
    <row r="5702" spans="1:5" x14ac:dyDescent="0.25">
      <c r="A5702">
        <v>0</v>
      </c>
      <c r="B5702">
        <v>0.351981351981352</v>
      </c>
      <c r="C5702">
        <f t="shared" si="178"/>
        <v>0.66960350548080783</v>
      </c>
      <c r="D5702">
        <v>8</v>
      </c>
      <c r="E5702">
        <f t="shared" si="179"/>
        <v>4.8177270441521786E-2</v>
      </c>
    </row>
    <row r="5703" spans="1:5" x14ac:dyDescent="0.25">
      <c r="A5703">
        <v>0</v>
      </c>
      <c r="B5703">
        <v>0.35199999999999998</v>
      </c>
      <c r="C5703">
        <f t="shared" si="178"/>
        <v>0.66953480895504858</v>
      </c>
      <c r="D5703">
        <v>8</v>
      </c>
      <c r="E5703">
        <f t="shared" si="179"/>
        <v>4.8177270441521786E-2</v>
      </c>
    </row>
    <row r="5704" spans="1:5" x14ac:dyDescent="0.25">
      <c r="A5704">
        <v>0</v>
      </c>
      <c r="B5704">
        <v>0.35280373831775702</v>
      </c>
      <c r="C5704">
        <f t="shared" si="178"/>
        <v>0.66657692267412993</v>
      </c>
      <c r="D5704">
        <v>8</v>
      </c>
      <c r="E5704">
        <f t="shared" si="179"/>
        <v>4.8177270441521786E-2</v>
      </c>
    </row>
    <row r="5705" spans="1:5" x14ac:dyDescent="0.25">
      <c r="A5705">
        <v>0</v>
      </c>
      <c r="B5705">
        <v>0.35294117647058798</v>
      </c>
      <c r="C5705">
        <f t="shared" si="178"/>
        <v>0.66607171017304967</v>
      </c>
      <c r="D5705">
        <v>8</v>
      </c>
      <c r="E5705">
        <f t="shared" si="179"/>
        <v>4.8177270441521786E-2</v>
      </c>
    </row>
    <row r="5706" spans="1:5" x14ac:dyDescent="0.25">
      <c r="A5706">
        <v>0</v>
      </c>
      <c r="B5706">
        <v>0.353333333333333</v>
      </c>
      <c r="C5706">
        <f t="shared" si="178"/>
        <v>0.66463110838777484</v>
      </c>
      <c r="D5706">
        <v>8</v>
      </c>
      <c r="E5706">
        <f t="shared" si="179"/>
        <v>4.8177270441521786E-2</v>
      </c>
    </row>
    <row r="5707" spans="1:5" x14ac:dyDescent="0.25">
      <c r="A5707">
        <v>0</v>
      </c>
      <c r="B5707">
        <v>0.35483870967741898</v>
      </c>
      <c r="C5707">
        <f t="shared" si="178"/>
        <v>0.65911402771473593</v>
      </c>
      <c r="D5707">
        <v>8</v>
      </c>
      <c r="E5707">
        <f t="shared" si="179"/>
        <v>4.8177270441521786E-2</v>
      </c>
    </row>
    <row r="5708" spans="1:5" x14ac:dyDescent="0.25">
      <c r="A5708">
        <v>0</v>
      </c>
      <c r="B5708">
        <v>0.355769230769231</v>
      </c>
      <c r="C5708">
        <f t="shared" si="178"/>
        <v>0.65571411548058089</v>
      </c>
      <c r="D5708">
        <v>8</v>
      </c>
      <c r="E5708">
        <f t="shared" si="179"/>
        <v>4.8177270441521786E-2</v>
      </c>
    </row>
    <row r="5709" spans="1:5" x14ac:dyDescent="0.25">
      <c r="A5709">
        <v>0</v>
      </c>
      <c r="B5709">
        <v>0.35599999999999998</v>
      </c>
      <c r="C5709">
        <f t="shared" si="178"/>
        <v>0.65487217209386495</v>
      </c>
      <c r="D5709">
        <v>8</v>
      </c>
      <c r="E5709">
        <f t="shared" si="179"/>
        <v>4.8177270441521786E-2</v>
      </c>
    </row>
    <row r="5710" spans="1:5" x14ac:dyDescent="0.25">
      <c r="A5710">
        <v>0</v>
      </c>
      <c r="B5710">
        <v>0.35599999999999998</v>
      </c>
      <c r="C5710">
        <f t="shared" si="178"/>
        <v>0.65487217209386495</v>
      </c>
      <c r="D5710">
        <v>8</v>
      </c>
      <c r="E5710">
        <f t="shared" si="179"/>
        <v>4.8177270441521786E-2</v>
      </c>
    </row>
    <row r="5711" spans="1:5" x14ac:dyDescent="0.25">
      <c r="A5711">
        <v>0</v>
      </c>
      <c r="B5711">
        <v>0.35828877005347598</v>
      </c>
      <c r="C5711">
        <f t="shared" si="178"/>
        <v>0.64654858343861565</v>
      </c>
      <c r="D5711">
        <v>8</v>
      </c>
      <c r="E5711">
        <f t="shared" si="179"/>
        <v>4.8177270441521786E-2</v>
      </c>
    </row>
    <row r="5712" spans="1:5" x14ac:dyDescent="0.25">
      <c r="A5712">
        <v>0</v>
      </c>
      <c r="B5712">
        <v>0.36</v>
      </c>
      <c r="C5712">
        <f t="shared" si="178"/>
        <v>0.64035750120600177</v>
      </c>
      <c r="D5712">
        <v>8</v>
      </c>
      <c r="E5712">
        <f t="shared" si="179"/>
        <v>4.8177270441521786E-2</v>
      </c>
    </row>
    <row r="5713" spans="1:5" x14ac:dyDescent="0.25">
      <c r="A5713">
        <v>0</v>
      </c>
      <c r="B5713">
        <v>0.36066666666666702</v>
      </c>
      <c r="C5713">
        <f t="shared" si="178"/>
        <v>0.63795309282102275</v>
      </c>
      <c r="D5713">
        <v>8</v>
      </c>
      <c r="E5713">
        <f t="shared" si="179"/>
        <v>4.8177270441521786E-2</v>
      </c>
    </row>
    <row r="5714" spans="1:5" x14ac:dyDescent="0.25">
      <c r="A5714">
        <v>0</v>
      </c>
      <c r="B5714">
        <v>0.36133333333333301</v>
      </c>
      <c r="C5714">
        <f t="shared" si="178"/>
        <v>0.63555293970081883</v>
      </c>
      <c r="D5714">
        <v>8</v>
      </c>
      <c r="E5714">
        <f t="shared" si="179"/>
        <v>4.8177270441521786E-2</v>
      </c>
    </row>
    <row r="5715" spans="1:5" x14ac:dyDescent="0.25">
      <c r="A5715">
        <v>0</v>
      </c>
      <c r="B5715">
        <v>0.36266666666666703</v>
      </c>
      <c r="C5715">
        <f t="shared" si="178"/>
        <v>0.63076547896782487</v>
      </c>
      <c r="D5715">
        <v>8</v>
      </c>
      <c r="E5715">
        <f t="shared" si="179"/>
        <v>4.8177270441521786E-2</v>
      </c>
    </row>
    <row r="5716" spans="1:5" x14ac:dyDescent="0.25">
      <c r="A5716">
        <v>0</v>
      </c>
      <c r="B5716">
        <v>0.36266666666666703</v>
      </c>
      <c r="C5716">
        <f t="shared" si="178"/>
        <v>0.63076547896782487</v>
      </c>
      <c r="D5716">
        <v>8</v>
      </c>
      <c r="E5716">
        <f t="shared" si="179"/>
        <v>4.8177270441521786E-2</v>
      </c>
    </row>
    <row r="5717" spans="1:5" x14ac:dyDescent="0.25">
      <c r="A5717">
        <v>0</v>
      </c>
      <c r="B5717">
        <v>0.36399999999999999</v>
      </c>
      <c r="C5717">
        <f t="shared" si="178"/>
        <v>0.62599527672010569</v>
      </c>
      <c r="D5717">
        <v>8</v>
      </c>
      <c r="E5717">
        <f t="shared" si="179"/>
        <v>4.8177270441521786E-2</v>
      </c>
    </row>
    <row r="5718" spans="1:5" x14ac:dyDescent="0.25">
      <c r="A5718">
        <v>0</v>
      </c>
      <c r="B5718">
        <v>0.36399999999999999</v>
      </c>
      <c r="C5718">
        <f t="shared" si="178"/>
        <v>0.62599527672010569</v>
      </c>
      <c r="D5718">
        <v>8</v>
      </c>
      <c r="E5718">
        <f t="shared" si="179"/>
        <v>4.8177270441521786E-2</v>
      </c>
    </row>
    <row r="5719" spans="1:5" x14ac:dyDescent="0.25">
      <c r="A5719">
        <v>0</v>
      </c>
      <c r="B5719">
        <v>0.36499999999999999</v>
      </c>
      <c r="C5719">
        <f t="shared" si="178"/>
        <v>0.62242904424438905</v>
      </c>
      <c r="D5719">
        <v>8</v>
      </c>
      <c r="E5719">
        <f t="shared" si="179"/>
        <v>4.8177270441521786E-2</v>
      </c>
    </row>
    <row r="5720" spans="1:5" x14ac:dyDescent="0.25">
      <c r="A5720">
        <v>0</v>
      </c>
      <c r="B5720">
        <v>0.366300366300366</v>
      </c>
      <c r="C5720">
        <f t="shared" si="178"/>
        <v>0.61780639169286133</v>
      </c>
      <c r="D5720">
        <v>8</v>
      </c>
      <c r="E5720">
        <f t="shared" si="179"/>
        <v>4.8177270441521786E-2</v>
      </c>
    </row>
    <row r="5721" spans="1:5" x14ac:dyDescent="0.25">
      <c r="A5721">
        <v>0</v>
      </c>
      <c r="B5721">
        <v>0.36666666666666697</v>
      </c>
      <c r="C5721">
        <f t="shared" si="178"/>
        <v>0.61650726483641016</v>
      </c>
      <c r="D5721">
        <v>8</v>
      </c>
      <c r="E5721">
        <f t="shared" si="179"/>
        <v>4.8177270441521786E-2</v>
      </c>
    </row>
    <row r="5722" spans="1:5" x14ac:dyDescent="0.25">
      <c r="A5722">
        <v>0</v>
      </c>
      <c r="B5722">
        <v>0.36666666666666697</v>
      </c>
      <c r="C5722">
        <f t="shared" si="178"/>
        <v>0.61650726483641016</v>
      </c>
      <c r="D5722">
        <v>8</v>
      </c>
      <c r="E5722">
        <f t="shared" si="179"/>
        <v>4.8177270441521786E-2</v>
      </c>
    </row>
    <row r="5723" spans="1:5" x14ac:dyDescent="0.25">
      <c r="A5723">
        <v>0</v>
      </c>
      <c r="B5723">
        <v>0.36746987951807197</v>
      </c>
      <c r="C5723">
        <f t="shared" si="178"/>
        <v>0.61366326165537977</v>
      </c>
      <c r="D5723">
        <v>8</v>
      </c>
      <c r="E5723">
        <f t="shared" si="179"/>
        <v>4.8177270441521786E-2</v>
      </c>
    </row>
    <row r="5724" spans="1:5" x14ac:dyDescent="0.25">
      <c r="A5724">
        <v>0</v>
      </c>
      <c r="B5724">
        <v>0.36833333333333301</v>
      </c>
      <c r="C5724">
        <f t="shared" si="178"/>
        <v>0.61061316522101916</v>
      </c>
      <c r="D5724">
        <v>8</v>
      </c>
      <c r="E5724">
        <f t="shared" si="179"/>
        <v>4.8177270441521786E-2</v>
      </c>
    </row>
    <row r="5725" spans="1:5" x14ac:dyDescent="0.25">
      <c r="A5725">
        <v>0</v>
      </c>
      <c r="B5725">
        <v>0.36933333333333301</v>
      </c>
      <c r="C5725">
        <f t="shared" si="178"/>
        <v>0.60709011100196941</v>
      </c>
      <c r="D5725">
        <v>8</v>
      </c>
      <c r="E5725">
        <f t="shared" si="179"/>
        <v>4.8177270441521786E-2</v>
      </c>
    </row>
    <row r="5726" spans="1:5" x14ac:dyDescent="0.25">
      <c r="A5726">
        <v>0</v>
      </c>
      <c r="B5726">
        <v>0.36933333333333301</v>
      </c>
      <c r="C5726">
        <f t="shared" si="178"/>
        <v>0.60709011100196941</v>
      </c>
      <c r="D5726">
        <v>8</v>
      </c>
      <c r="E5726">
        <f t="shared" si="179"/>
        <v>4.8177270441521786E-2</v>
      </c>
    </row>
    <row r="5727" spans="1:5" x14ac:dyDescent="0.25">
      <c r="A5727">
        <v>0</v>
      </c>
      <c r="B5727">
        <v>0.37</v>
      </c>
      <c r="C5727">
        <f t="shared" si="178"/>
        <v>0.60474703138998132</v>
      </c>
      <c r="D5727">
        <v>8</v>
      </c>
      <c r="E5727">
        <f t="shared" si="179"/>
        <v>4.8177270441521786E-2</v>
      </c>
    </row>
    <row r="5728" spans="1:5" x14ac:dyDescent="0.25">
      <c r="A5728">
        <v>0</v>
      </c>
      <c r="B5728">
        <v>0.37</v>
      </c>
      <c r="C5728">
        <f t="shared" si="178"/>
        <v>0.60474703138998132</v>
      </c>
      <c r="D5728">
        <v>8</v>
      </c>
      <c r="E5728">
        <f t="shared" si="179"/>
        <v>4.8177270441521786E-2</v>
      </c>
    </row>
    <row r="5729" spans="1:5" x14ac:dyDescent="0.25">
      <c r="A5729">
        <v>0</v>
      </c>
      <c r="B5729">
        <v>0.37</v>
      </c>
      <c r="C5729">
        <f t="shared" si="178"/>
        <v>0.60474703138998132</v>
      </c>
      <c r="D5729">
        <v>8</v>
      </c>
      <c r="E5729">
        <f t="shared" si="179"/>
        <v>4.8177270441521786E-2</v>
      </c>
    </row>
    <row r="5730" spans="1:5" x14ac:dyDescent="0.25">
      <c r="A5730">
        <v>0</v>
      </c>
      <c r="B5730">
        <v>0.37037037037037002</v>
      </c>
      <c r="C5730">
        <f t="shared" si="178"/>
        <v>0.60344727214614369</v>
      </c>
      <c r="D5730">
        <v>8</v>
      </c>
      <c r="E5730">
        <f t="shared" si="179"/>
        <v>4.8177270441521786E-2</v>
      </c>
    </row>
    <row r="5731" spans="1:5" x14ac:dyDescent="0.25">
      <c r="A5731">
        <v>0</v>
      </c>
      <c r="B5731">
        <v>0.37037037037037002</v>
      </c>
      <c r="C5731">
        <f t="shared" si="178"/>
        <v>0.60344727214614369</v>
      </c>
      <c r="D5731">
        <v>8</v>
      </c>
      <c r="E5731">
        <f t="shared" si="179"/>
        <v>4.8177270441521786E-2</v>
      </c>
    </row>
    <row r="5732" spans="1:5" x14ac:dyDescent="0.25">
      <c r="A5732">
        <v>0</v>
      </c>
      <c r="B5732">
        <v>0.37037037037037002</v>
      </c>
      <c r="C5732">
        <f t="shared" si="178"/>
        <v>0.60344727214614369</v>
      </c>
      <c r="D5732">
        <v>8</v>
      </c>
      <c r="E5732">
        <f t="shared" si="179"/>
        <v>4.8177270441521786E-2</v>
      </c>
    </row>
    <row r="5733" spans="1:5" x14ac:dyDescent="0.25">
      <c r="A5733">
        <v>0</v>
      </c>
      <c r="B5733">
        <v>0.37066666666666698</v>
      </c>
      <c r="C5733">
        <f t="shared" si="178"/>
        <v>0.60240847107110096</v>
      </c>
      <c r="D5733">
        <v>8</v>
      </c>
      <c r="E5733">
        <f t="shared" si="179"/>
        <v>4.8177270441521786E-2</v>
      </c>
    </row>
    <row r="5734" spans="1:5" x14ac:dyDescent="0.25">
      <c r="A5734">
        <v>0</v>
      </c>
      <c r="B5734">
        <v>0.37066666666666698</v>
      </c>
      <c r="C5734">
        <f t="shared" si="178"/>
        <v>0.60240847107110096</v>
      </c>
      <c r="D5734">
        <v>8</v>
      </c>
      <c r="E5734">
        <f t="shared" si="179"/>
        <v>4.8177270441521786E-2</v>
      </c>
    </row>
    <row r="5735" spans="1:5" x14ac:dyDescent="0.25">
      <c r="A5735">
        <v>0</v>
      </c>
      <c r="B5735">
        <v>0.37166666666666698</v>
      </c>
      <c r="C5735">
        <f t="shared" si="178"/>
        <v>0.5989091426755091</v>
      </c>
      <c r="D5735">
        <v>8</v>
      </c>
      <c r="E5735">
        <f t="shared" si="179"/>
        <v>4.8177270441521786E-2</v>
      </c>
    </row>
    <row r="5736" spans="1:5" x14ac:dyDescent="0.25">
      <c r="A5736">
        <v>0</v>
      </c>
      <c r="B5736">
        <v>0.372</v>
      </c>
      <c r="C5736">
        <f t="shared" si="178"/>
        <v>0.59774497845969066</v>
      </c>
      <c r="D5736">
        <v>8</v>
      </c>
      <c r="E5736">
        <f t="shared" si="179"/>
        <v>4.8177270441521786E-2</v>
      </c>
    </row>
    <row r="5737" spans="1:5" x14ac:dyDescent="0.25">
      <c r="A5737">
        <v>0</v>
      </c>
      <c r="B5737">
        <v>0.374</v>
      </c>
      <c r="C5737">
        <f t="shared" si="178"/>
        <v>0.59078406819870199</v>
      </c>
      <c r="D5737">
        <v>8</v>
      </c>
      <c r="E5737">
        <f t="shared" si="179"/>
        <v>4.8177270441521786E-2</v>
      </c>
    </row>
    <row r="5738" spans="1:5" x14ac:dyDescent="0.25">
      <c r="A5738">
        <v>0</v>
      </c>
      <c r="B5738">
        <v>0.375</v>
      </c>
      <c r="C5738">
        <f t="shared" si="178"/>
        <v>0.58731918469946054</v>
      </c>
      <c r="D5738">
        <v>8</v>
      </c>
      <c r="E5738">
        <f t="shared" si="179"/>
        <v>4.8177270441521786E-2</v>
      </c>
    </row>
    <row r="5739" spans="1:5" x14ac:dyDescent="0.25">
      <c r="A5739">
        <v>0</v>
      </c>
      <c r="B5739">
        <v>0.375</v>
      </c>
      <c r="C5739">
        <f t="shared" si="178"/>
        <v>0.58731918469946054</v>
      </c>
      <c r="D5739">
        <v>8</v>
      </c>
      <c r="E5739">
        <f t="shared" si="179"/>
        <v>4.8177270441521786E-2</v>
      </c>
    </row>
    <row r="5740" spans="1:5" x14ac:dyDescent="0.25">
      <c r="A5740">
        <v>0</v>
      </c>
      <c r="B5740">
        <v>0.379746835443038</v>
      </c>
      <c r="C5740">
        <f t="shared" si="178"/>
        <v>0.57101549015944042</v>
      </c>
      <c r="D5740">
        <v>8</v>
      </c>
      <c r="E5740">
        <f t="shared" si="179"/>
        <v>4.8177270441521786E-2</v>
      </c>
    </row>
    <row r="5741" spans="1:5" x14ac:dyDescent="0.25">
      <c r="A5741">
        <v>0</v>
      </c>
      <c r="B5741">
        <v>0.38</v>
      </c>
      <c r="C5741">
        <f t="shared" si="178"/>
        <v>0.57015268791523255</v>
      </c>
      <c r="D5741">
        <v>8</v>
      </c>
      <c r="E5741">
        <f t="shared" si="179"/>
        <v>4.8177270441521786E-2</v>
      </c>
    </row>
    <row r="5742" spans="1:5" x14ac:dyDescent="0.25">
      <c r="A5742">
        <v>0</v>
      </c>
      <c r="B5742">
        <v>0.381381381381381</v>
      </c>
      <c r="C5742">
        <f t="shared" si="178"/>
        <v>0.56545697104618053</v>
      </c>
      <c r="D5742">
        <v>8</v>
      </c>
      <c r="E5742">
        <f t="shared" si="179"/>
        <v>4.8177270441521786E-2</v>
      </c>
    </row>
    <row r="5743" spans="1:5" x14ac:dyDescent="0.25">
      <c r="A5743">
        <v>0</v>
      </c>
      <c r="B5743">
        <v>0.38200000000000001</v>
      </c>
      <c r="C5743">
        <f t="shared" si="178"/>
        <v>0.56336077441674026</v>
      </c>
      <c r="D5743">
        <v>8</v>
      </c>
      <c r="E5743">
        <f t="shared" si="179"/>
        <v>4.8177270441521786E-2</v>
      </c>
    </row>
    <row r="5744" spans="1:5" x14ac:dyDescent="0.25">
      <c r="A5744">
        <v>0</v>
      </c>
      <c r="B5744">
        <v>0.382284382284382</v>
      </c>
      <c r="C5744">
        <f t="shared" si="178"/>
        <v>0.56239853046731647</v>
      </c>
      <c r="D5744">
        <v>8</v>
      </c>
      <c r="E5744">
        <f t="shared" si="179"/>
        <v>4.8177270441521786E-2</v>
      </c>
    </row>
    <row r="5745" spans="1:5" x14ac:dyDescent="0.25">
      <c r="A5745">
        <v>0</v>
      </c>
      <c r="B5745">
        <v>0.38333333333333303</v>
      </c>
      <c r="C5745">
        <f t="shared" si="178"/>
        <v>0.55885685644097216</v>
      </c>
      <c r="D5745">
        <v>8</v>
      </c>
      <c r="E5745">
        <f t="shared" si="179"/>
        <v>4.8177270441521786E-2</v>
      </c>
    </row>
    <row r="5746" spans="1:5" x14ac:dyDescent="0.25">
      <c r="A5746">
        <v>0</v>
      </c>
      <c r="B5746">
        <v>0.38400000000000001</v>
      </c>
      <c r="C5746">
        <f t="shared" si="178"/>
        <v>0.55661214839193773</v>
      </c>
      <c r="D5746">
        <v>8</v>
      </c>
      <c r="E5746">
        <f t="shared" si="179"/>
        <v>4.8177270441521786E-2</v>
      </c>
    </row>
    <row r="5747" spans="1:5" x14ac:dyDescent="0.25">
      <c r="A5747">
        <v>0</v>
      </c>
      <c r="B5747">
        <v>0.38400000000000001</v>
      </c>
      <c r="C5747">
        <f t="shared" si="178"/>
        <v>0.55661214839193773</v>
      </c>
      <c r="D5747">
        <v>8</v>
      </c>
      <c r="E5747">
        <f t="shared" si="179"/>
        <v>4.8177270441521786E-2</v>
      </c>
    </row>
    <row r="5748" spans="1:5" x14ac:dyDescent="0.25">
      <c r="A5748">
        <v>0</v>
      </c>
      <c r="B5748">
        <v>0.38461538461538503</v>
      </c>
      <c r="C5748">
        <f t="shared" si="178"/>
        <v>0.55454441723515069</v>
      </c>
      <c r="D5748">
        <v>8</v>
      </c>
      <c r="E5748">
        <f t="shared" si="179"/>
        <v>4.8177270441521786E-2</v>
      </c>
    </row>
    <row r="5749" spans="1:5" x14ac:dyDescent="0.25">
      <c r="A5749">
        <v>0</v>
      </c>
      <c r="B5749">
        <v>0.38461538461538503</v>
      </c>
      <c r="C5749">
        <f t="shared" si="178"/>
        <v>0.55454441723515069</v>
      </c>
      <c r="D5749">
        <v>8</v>
      </c>
      <c r="E5749">
        <f t="shared" si="179"/>
        <v>4.8177270441521786E-2</v>
      </c>
    </row>
    <row r="5750" spans="1:5" x14ac:dyDescent="0.25">
      <c r="A5750">
        <v>0</v>
      </c>
      <c r="B5750">
        <v>0.38600000000000001</v>
      </c>
      <c r="C5750">
        <f t="shared" si="178"/>
        <v>0.54990719803016397</v>
      </c>
      <c r="D5750">
        <v>8</v>
      </c>
      <c r="E5750">
        <f t="shared" si="179"/>
        <v>4.8177270441521786E-2</v>
      </c>
    </row>
    <row r="5751" spans="1:5" x14ac:dyDescent="0.25">
      <c r="A5751">
        <v>0</v>
      </c>
      <c r="B5751">
        <v>0.38800000000000001</v>
      </c>
      <c r="C5751">
        <f t="shared" si="178"/>
        <v>0.54324629805563263</v>
      </c>
      <c r="D5751">
        <v>8</v>
      </c>
      <c r="E5751">
        <f t="shared" si="179"/>
        <v>4.8177270441521786E-2</v>
      </c>
    </row>
    <row r="5752" spans="1:5" x14ac:dyDescent="0.25">
      <c r="A5752">
        <v>0</v>
      </c>
      <c r="B5752">
        <v>0.38827838827838801</v>
      </c>
      <c r="C5752">
        <f t="shared" si="178"/>
        <v>0.54232265292345394</v>
      </c>
      <c r="D5752">
        <v>8</v>
      </c>
      <c r="E5752">
        <f t="shared" si="179"/>
        <v>4.8177270441521786E-2</v>
      </c>
    </row>
    <row r="5753" spans="1:5" x14ac:dyDescent="0.25">
      <c r="A5753">
        <v>0</v>
      </c>
      <c r="B5753">
        <v>0.39</v>
      </c>
      <c r="C5753">
        <f t="shared" si="178"/>
        <v>0.53662980978893993</v>
      </c>
      <c r="D5753">
        <v>8</v>
      </c>
      <c r="E5753">
        <f t="shared" si="179"/>
        <v>4.8177270441521786E-2</v>
      </c>
    </row>
    <row r="5754" spans="1:5" x14ac:dyDescent="0.25">
      <c r="A5754">
        <v>0</v>
      </c>
      <c r="B5754">
        <v>0.394859813084112</v>
      </c>
      <c r="C5754">
        <f t="shared" si="178"/>
        <v>0.52073954517404342</v>
      </c>
      <c r="D5754">
        <v>8</v>
      </c>
      <c r="E5754">
        <f t="shared" si="179"/>
        <v>4.8177270441521786E-2</v>
      </c>
    </row>
    <row r="5755" spans="1:5" x14ac:dyDescent="0.25">
      <c r="A5755">
        <v>0</v>
      </c>
      <c r="B5755">
        <v>0.39600000000000002</v>
      </c>
      <c r="C5755">
        <f t="shared" si="178"/>
        <v>0.51705022878395512</v>
      </c>
      <c r="D5755">
        <v>8</v>
      </c>
      <c r="E5755">
        <f t="shared" si="179"/>
        <v>4.8177270441521786E-2</v>
      </c>
    </row>
    <row r="5756" spans="1:5" x14ac:dyDescent="0.25">
      <c r="A5756">
        <v>0</v>
      </c>
      <c r="B5756">
        <v>0.39700000000000002</v>
      </c>
      <c r="C5756">
        <f t="shared" si="178"/>
        <v>0.51382674751012059</v>
      </c>
      <c r="D5756">
        <v>8</v>
      </c>
      <c r="E5756">
        <f t="shared" si="179"/>
        <v>4.8177270441521786E-2</v>
      </c>
    </row>
    <row r="5757" spans="1:5" x14ac:dyDescent="0.25">
      <c r="A5757">
        <v>0</v>
      </c>
      <c r="B5757">
        <v>0.39705882352941202</v>
      </c>
      <c r="C5757">
        <f t="shared" si="178"/>
        <v>0.51363748775788531</v>
      </c>
      <c r="D5757">
        <v>8</v>
      </c>
      <c r="E5757">
        <f t="shared" si="179"/>
        <v>4.8177270441521786E-2</v>
      </c>
    </row>
    <row r="5758" spans="1:5" x14ac:dyDescent="0.25">
      <c r="A5758">
        <v>0</v>
      </c>
      <c r="B5758">
        <v>0.39772727272727298</v>
      </c>
      <c r="C5758">
        <f t="shared" si="178"/>
        <v>0.51148959881591904</v>
      </c>
      <c r="D5758">
        <v>8</v>
      </c>
      <c r="E5758">
        <f t="shared" si="179"/>
        <v>4.8177270441521786E-2</v>
      </c>
    </row>
    <row r="5759" spans="1:5" x14ac:dyDescent="0.25">
      <c r="A5759">
        <v>0</v>
      </c>
      <c r="B5759">
        <v>0.39833333333333298</v>
      </c>
      <c r="C5759">
        <f t="shared" si="178"/>
        <v>0.50954661886816666</v>
      </c>
      <c r="D5759">
        <v>8</v>
      </c>
      <c r="E5759">
        <f t="shared" si="179"/>
        <v>4.8177270441521786E-2</v>
      </c>
    </row>
    <row r="5760" spans="1:5" x14ac:dyDescent="0.25">
      <c r="A5760">
        <v>0</v>
      </c>
      <c r="B5760">
        <v>0.399399399399399</v>
      </c>
      <c r="C5760">
        <f t="shared" si="178"/>
        <v>0.50613916972805839</v>
      </c>
      <c r="D5760">
        <v>8</v>
      </c>
      <c r="E5760">
        <f t="shared" si="179"/>
        <v>4.8177270441521786E-2</v>
      </c>
    </row>
    <row r="5761" spans="1:5" x14ac:dyDescent="0.25">
      <c r="A5761">
        <v>0</v>
      </c>
      <c r="B5761">
        <v>0.4</v>
      </c>
      <c r="C5761">
        <f t="shared" si="178"/>
        <v>0.50422526057150985</v>
      </c>
      <c r="D5761">
        <v>8</v>
      </c>
      <c r="E5761">
        <f t="shared" si="179"/>
        <v>4.8177270441521786E-2</v>
      </c>
    </row>
    <row r="5762" spans="1:5" x14ac:dyDescent="0.25">
      <c r="A5762">
        <v>0</v>
      </c>
      <c r="B5762">
        <v>0.40093240093240101</v>
      </c>
      <c r="C5762">
        <f t="shared" ref="C5762:C5825" si="180">_xlfn.NORM.DIST(B5762,I$10,I$13,FALSE)</f>
        <v>0.5012622927314494</v>
      </c>
      <c r="D5762">
        <v>8</v>
      </c>
      <c r="E5762">
        <f t="shared" si="179"/>
        <v>4.8177270441521786E-2</v>
      </c>
    </row>
    <row r="5763" spans="1:5" x14ac:dyDescent="0.25">
      <c r="A5763">
        <v>0</v>
      </c>
      <c r="B5763">
        <v>0.40259740259740301</v>
      </c>
      <c r="C5763">
        <f t="shared" si="180"/>
        <v>0.49599639581379534</v>
      </c>
      <c r="D5763">
        <v>8</v>
      </c>
      <c r="E5763">
        <f t="shared" ref="E5763:E5826" si="181">_xlfn.NORM.DIST(D5763,I$4,I$7,FALSE)</f>
        <v>4.8177270441521786E-2</v>
      </c>
    </row>
    <row r="5764" spans="1:5" x14ac:dyDescent="0.25">
      <c r="A5764">
        <v>0</v>
      </c>
      <c r="B5764">
        <v>0.40333333333333299</v>
      </c>
      <c r="C5764">
        <f t="shared" si="180"/>
        <v>0.4936791638866857</v>
      </c>
      <c r="D5764">
        <v>8</v>
      </c>
      <c r="E5764">
        <f t="shared" si="181"/>
        <v>4.8177270441521786E-2</v>
      </c>
    </row>
    <row r="5765" spans="1:5" x14ac:dyDescent="0.25">
      <c r="A5765">
        <v>0</v>
      </c>
      <c r="B5765">
        <v>0.40600000000000003</v>
      </c>
      <c r="C5765">
        <f t="shared" si="180"/>
        <v>0.48533571545608567</v>
      </c>
      <c r="D5765">
        <v>8</v>
      </c>
      <c r="E5765">
        <f t="shared" si="181"/>
        <v>4.8177270441521786E-2</v>
      </c>
    </row>
    <row r="5766" spans="1:5" x14ac:dyDescent="0.25">
      <c r="A5766">
        <v>0</v>
      </c>
      <c r="B5766">
        <v>0.40600000000000003</v>
      </c>
      <c r="C5766">
        <f t="shared" si="180"/>
        <v>0.48533571545608567</v>
      </c>
      <c r="D5766">
        <v>8</v>
      </c>
      <c r="E5766">
        <f t="shared" si="181"/>
        <v>4.8177270441521786E-2</v>
      </c>
    </row>
    <row r="5767" spans="1:5" x14ac:dyDescent="0.25">
      <c r="A5767">
        <v>0</v>
      </c>
      <c r="B5767">
        <v>0.40666666666666701</v>
      </c>
      <c r="C5767">
        <f t="shared" si="180"/>
        <v>0.4832629068676606</v>
      </c>
      <c r="D5767">
        <v>8</v>
      </c>
      <c r="E5767">
        <f t="shared" si="181"/>
        <v>4.8177270441521786E-2</v>
      </c>
    </row>
    <row r="5768" spans="1:5" x14ac:dyDescent="0.25">
      <c r="A5768">
        <v>0</v>
      </c>
      <c r="B5768">
        <v>0.40666666666666701</v>
      </c>
      <c r="C5768">
        <f t="shared" si="180"/>
        <v>0.4832629068676606</v>
      </c>
      <c r="D5768">
        <v>8</v>
      </c>
      <c r="E5768">
        <f t="shared" si="181"/>
        <v>4.8177270441521786E-2</v>
      </c>
    </row>
    <row r="5769" spans="1:5" x14ac:dyDescent="0.25">
      <c r="A5769">
        <v>0</v>
      </c>
      <c r="B5769">
        <v>0.40666666666666701</v>
      </c>
      <c r="C5769">
        <f t="shared" si="180"/>
        <v>0.4832629068676606</v>
      </c>
      <c r="D5769">
        <v>8</v>
      </c>
      <c r="E5769">
        <f t="shared" si="181"/>
        <v>4.8177270441521786E-2</v>
      </c>
    </row>
    <row r="5770" spans="1:5" x14ac:dyDescent="0.25">
      <c r="A5770">
        <v>0</v>
      </c>
      <c r="B5770">
        <v>0.40666666666666701</v>
      </c>
      <c r="C5770">
        <f t="shared" si="180"/>
        <v>0.4832629068676606</v>
      </c>
      <c r="D5770">
        <v>8</v>
      </c>
      <c r="E5770">
        <f t="shared" si="181"/>
        <v>4.8177270441521786E-2</v>
      </c>
    </row>
    <row r="5771" spans="1:5" x14ac:dyDescent="0.25">
      <c r="A5771">
        <v>0</v>
      </c>
      <c r="B5771">
        <v>0.407407407407407</v>
      </c>
      <c r="C5771">
        <f t="shared" si="180"/>
        <v>0.48096593120596126</v>
      </c>
      <c r="D5771">
        <v>8</v>
      </c>
      <c r="E5771">
        <f t="shared" si="181"/>
        <v>4.8177270441521786E-2</v>
      </c>
    </row>
    <row r="5772" spans="1:5" x14ac:dyDescent="0.25">
      <c r="A5772">
        <v>0</v>
      </c>
      <c r="B5772">
        <v>0.407407407407407</v>
      </c>
      <c r="C5772">
        <f t="shared" si="180"/>
        <v>0.48096593120596126</v>
      </c>
      <c r="D5772">
        <v>8</v>
      </c>
      <c r="E5772">
        <f t="shared" si="181"/>
        <v>4.8177270441521786E-2</v>
      </c>
    </row>
    <row r="5773" spans="1:5" x14ac:dyDescent="0.25">
      <c r="A5773">
        <v>0</v>
      </c>
      <c r="B5773">
        <v>0.407407407407407</v>
      </c>
      <c r="C5773">
        <f t="shared" si="180"/>
        <v>0.48096593120596126</v>
      </c>
      <c r="D5773">
        <v>8</v>
      </c>
      <c r="E5773">
        <f t="shared" si="181"/>
        <v>4.8177270441521786E-2</v>
      </c>
    </row>
    <row r="5774" spans="1:5" x14ac:dyDescent="0.25">
      <c r="A5774">
        <v>0</v>
      </c>
      <c r="B5774">
        <v>0.407407407407407</v>
      </c>
      <c r="C5774">
        <f t="shared" si="180"/>
        <v>0.48096593120596126</v>
      </c>
      <c r="D5774">
        <v>8</v>
      </c>
      <c r="E5774">
        <f t="shared" si="181"/>
        <v>4.8177270441521786E-2</v>
      </c>
    </row>
    <row r="5775" spans="1:5" x14ac:dyDescent="0.25">
      <c r="A5775">
        <v>0</v>
      </c>
      <c r="B5775">
        <v>0.40933333333333299</v>
      </c>
      <c r="C5775">
        <f t="shared" si="180"/>
        <v>0.47502414841775659</v>
      </c>
      <c r="D5775">
        <v>8</v>
      </c>
      <c r="E5775">
        <f t="shared" si="181"/>
        <v>4.8177270441521786E-2</v>
      </c>
    </row>
    <row r="5776" spans="1:5" x14ac:dyDescent="0.25">
      <c r="A5776">
        <v>0</v>
      </c>
      <c r="B5776">
        <v>0.40933333333333299</v>
      </c>
      <c r="C5776">
        <f t="shared" si="180"/>
        <v>0.47502414841775659</v>
      </c>
      <c r="D5776">
        <v>8</v>
      </c>
      <c r="E5776">
        <f t="shared" si="181"/>
        <v>4.8177270441521786E-2</v>
      </c>
    </row>
    <row r="5777" spans="1:5" x14ac:dyDescent="0.25">
      <c r="A5777">
        <v>0</v>
      </c>
      <c r="B5777">
        <v>0.41</v>
      </c>
      <c r="C5777">
        <f t="shared" si="180"/>
        <v>0.4729776194835883</v>
      </c>
      <c r="D5777">
        <v>8</v>
      </c>
      <c r="E5777">
        <f t="shared" si="181"/>
        <v>4.8177270441521786E-2</v>
      </c>
    </row>
    <row r="5778" spans="1:5" x14ac:dyDescent="0.25">
      <c r="A5778">
        <v>0</v>
      </c>
      <c r="B5778">
        <v>0.41</v>
      </c>
      <c r="C5778">
        <f t="shared" si="180"/>
        <v>0.4729776194835883</v>
      </c>
      <c r="D5778">
        <v>8</v>
      </c>
      <c r="E5778">
        <f t="shared" si="181"/>
        <v>4.8177270441521786E-2</v>
      </c>
    </row>
    <row r="5779" spans="1:5" x14ac:dyDescent="0.25">
      <c r="A5779">
        <v>0</v>
      </c>
      <c r="B5779">
        <v>0.41066666666666701</v>
      </c>
      <c r="C5779">
        <f t="shared" si="180"/>
        <v>0.47093637096292346</v>
      </c>
      <c r="D5779">
        <v>8</v>
      </c>
      <c r="E5779">
        <f t="shared" si="181"/>
        <v>4.8177270441521786E-2</v>
      </c>
    </row>
    <row r="5780" spans="1:5" x14ac:dyDescent="0.25">
      <c r="A5780">
        <v>0</v>
      </c>
      <c r="B5780">
        <v>0.41066666666666701</v>
      </c>
      <c r="C5780">
        <f t="shared" si="180"/>
        <v>0.47093637096292346</v>
      </c>
      <c r="D5780">
        <v>8</v>
      </c>
      <c r="E5780">
        <f t="shared" si="181"/>
        <v>4.8177270441521786E-2</v>
      </c>
    </row>
    <row r="5781" spans="1:5" x14ac:dyDescent="0.25">
      <c r="A5781">
        <v>0</v>
      </c>
      <c r="B5781">
        <v>0.41166666666666701</v>
      </c>
      <c r="C5781">
        <f t="shared" si="180"/>
        <v>0.46788441598431074</v>
      </c>
      <c r="D5781">
        <v>8</v>
      </c>
      <c r="E5781">
        <f t="shared" si="181"/>
        <v>4.8177270441521786E-2</v>
      </c>
    </row>
    <row r="5782" spans="1:5" x14ac:dyDescent="0.25">
      <c r="A5782">
        <v>0</v>
      </c>
      <c r="B5782">
        <v>0.41176470588235298</v>
      </c>
      <c r="C5782">
        <f t="shared" si="180"/>
        <v>0.46758584612503806</v>
      </c>
      <c r="D5782">
        <v>8</v>
      </c>
      <c r="E5782">
        <f t="shared" si="181"/>
        <v>4.8177270441521786E-2</v>
      </c>
    </row>
    <row r="5783" spans="1:5" x14ac:dyDescent="0.25">
      <c r="A5783">
        <v>0</v>
      </c>
      <c r="B5783">
        <v>0.41199999999999998</v>
      </c>
      <c r="C5783">
        <f t="shared" si="180"/>
        <v>0.46686974622103983</v>
      </c>
      <c r="D5783">
        <v>8</v>
      </c>
      <c r="E5783">
        <f t="shared" si="181"/>
        <v>4.8177270441521786E-2</v>
      </c>
    </row>
    <row r="5784" spans="1:5" x14ac:dyDescent="0.25">
      <c r="A5784">
        <v>0</v>
      </c>
      <c r="B5784">
        <v>0.41199999999999998</v>
      </c>
      <c r="C5784">
        <f t="shared" si="180"/>
        <v>0.46686974622103983</v>
      </c>
      <c r="D5784">
        <v>8</v>
      </c>
      <c r="E5784">
        <f t="shared" si="181"/>
        <v>4.8177270441521786E-2</v>
      </c>
    </row>
    <row r="5785" spans="1:5" x14ac:dyDescent="0.25">
      <c r="A5785">
        <v>0</v>
      </c>
      <c r="B5785">
        <v>0.41266666666666701</v>
      </c>
      <c r="C5785">
        <f t="shared" si="180"/>
        <v>0.46484438514825499</v>
      </c>
      <c r="D5785">
        <v>8</v>
      </c>
      <c r="E5785">
        <f t="shared" si="181"/>
        <v>4.8177270441521786E-2</v>
      </c>
    </row>
    <row r="5786" spans="1:5" x14ac:dyDescent="0.25">
      <c r="A5786">
        <v>0</v>
      </c>
      <c r="B5786">
        <v>0.41599999999999998</v>
      </c>
      <c r="C5786">
        <f t="shared" si="180"/>
        <v>0.45479738209586373</v>
      </c>
      <c r="D5786">
        <v>8</v>
      </c>
      <c r="E5786">
        <f t="shared" si="181"/>
        <v>4.8177270441521786E-2</v>
      </c>
    </row>
    <row r="5787" spans="1:5" x14ac:dyDescent="0.25">
      <c r="A5787">
        <v>0</v>
      </c>
      <c r="B5787">
        <v>0.41666666666666702</v>
      </c>
      <c r="C5787">
        <f t="shared" si="180"/>
        <v>0.45280399020755385</v>
      </c>
      <c r="D5787">
        <v>8</v>
      </c>
      <c r="E5787">
        <f t="shared" si="181"/>
        <v>4.8177270441521786E-2</v>
      </c>
    </row>
    <row r="5788" spans="1:5" x14ac:dyDescent="0.25">
      <c r="A5788">
        <v>0</v>
      </c>
      <c r="B5788">
        <v>0.41866666666666702</v>
      </c>
      <c r="C5788">
        <f t="shared" si="180"/>
        <v>0.44685594935269085</v>
      </c>
      <c r="D5788">
        <v>8</v>
      </c>
      <c r="E5788">
        <f t="shared" si="181"/>
        <v>4.8177270441521786E-2</v>
      </c>
    </row>
    <row r="5789" spans="1:5" x14ac:dyDescent="0.25">
      <c r="A5789">
        <v>0</v>
      </c>
      <c r="B5789">
        <v>0.42</v>
      </c>
      <c r="C5789">
        <f t="shared" si="180"/>
        <v>0.44291742891115871</v>
      </c>
      <c r="D5789">
        <v>8</v>
      </c>
      <c r="E5789">
        <f t="shared" si="181"/>
        <v>4.8177270441521786E-2</v>
      </c>
    </row>
    <row r="5790" spans="1:5" x14ac:dyDescent="0.25">
      <c r="A5790">
        <v>0</v>
      </c>
      <c r="B5790">
        <v>0.422222222222222</v>
      </c>
      <c r="C5790">
        <f t="shared" si="180"/>
        <v>0.4364010863953896</v>
      </c>
      <c r="D5790">
        <v>9</v>
      </c>
      <c r="E5790">
        <f t="shared" si="181"/>
        <v>4.3977326252400403E-2</v>
      </c>
    </row>
    <row r="5791" spans="1:5" x14ac:dyDescent="0.25">
      <c r="A5791">
        <v>0</v>
      </c>
      <c r="B5791">
        <v>0.42399999999999999</v>
      </c>
      <c r="C5791">
        <f t="shared" si="180"/>
        <v>0.43123119928081588</v>
      </c>
      <c r="D5791">
        <v>9</v>
      </c>
      <c r="E5791">
        <f t="shared" si="181"/>
        <v>4.3977326252400403E-2</v>
      </c>
    </row>
    <row r="5792" spans="1:5" x14ac:dyDescent="0.25">
      <c r="A5792">
        <v>0</v>
      </c>
      <c r="B5792">
        <v>0.42424242424242398</v>
      </c>
      <c r="C5792">
        <f t="shared" si="180"/>
        <v>0.43052919489717228</v>
      </c>
      <c r="D5792">
        <v>9</v>
      </c>
      <c r="E5792">
        <f t="shared" si="181"/>
        <v>4.3977326252400403E-2</v>
      </c>
    </row>
    <row r="5793" spans="1:5" x14ac:dyDescent="0.25">
      <c r="A5793">
        <v>0</v>
      </c>
      <c r="B5793">
        <v>0.43</v>
      </c>
      <c r="C5793">
        <f t="shared" si="180"/>
        <v>0.41406749247762198</v>
      </c>
      <c r="D5793">
        <v>9</v>
      </c>
      <c r="E5793">
        <f t="shared" si="181"/>
        <v>4.3977326252400403E-2</v>
      </c>
    </row>
    <row r="5794" spans="1:5" x14ac:dyDescent="0.25">
      <c r="A5794">
        <v>0</v>
      </c>
      <c r="B5794">
        <v>0.432</v>
      </c>
      <c r="C5794">
        <f t="shared" si="180"/>
        <v>0.40844421754185845</v>
      </c>
      <c r="D5794">
        <v>9</v>
      </c>
      <c r="E5794">
        <f t="shared" si="181"/>
        <v>4.3977326252400403E-2</v>
      </c>
    </row>
    <row r="5795" spans="1:5" x14ac:dyDescent="0.25">
      <c r="A5795">
        <v>0</v>
      </c>
      <c r="B5795">
        <v>0.432</v>
      </c>
      <c r="C5795">
        <f t="shared" si="180"/>
        <v>0.40844421754185845</v>
      </c>
      <c r="D5795">
        <v>9</v>
      </c>
      <c r="E5795">
        <f t="shared" si="181"/>
        <v>4.3977326252400403E-2</v>
      </c>
    </row>
    <row r="5796" spans="1:5" x14ac:dyDescent="0.25">
      <c r="A5796">
        <v>0</v>
      </c>
      <c r="B5796">
        <v>0.43373493975903599</v>
      </c>
      <c r="C5796">
        <f t="shared" si="180"/>
        <v>0.40360599394828173</v>
      </c>
      <c r="D5796">
        <v>9</v>
      </c>
      <c r="E5796">
        <f t="shared" si="181"/>
        <v>4.3977326252400403E-2</v>
      </c>
    </row>
    <row r="5797" spans="1:5" x14ac:dyDescent="0.25">
      <c r="A5797">
        <v>0</v>
      </c>
      <c r="B5797">
        <v>0.43466666666666698</v>
      </c>
      <c r="C5797">
        <f t="shared" si="180"/>
        <v>0.40102296786609753</v>
      </c>
      <c r="D5797">
        <v>9</v>
      </c>
      <c r="E5797">
        <f t="shared" si="181"/>
        <v>4.3977326252400403E-2</v>
      </c>
    </row>
    <row r="5798" spans="1:5" x14ac:dyDescent="0.25">
      <c r="A5798">
        <v>0</v>
      </c>
      <c r="B5798">
        <v>0.438</v>
      </c>
      <c r="C5798">
        <f t="shared" si="180"/>
        <v>0.39186951907341183</v>
      </c>
      <c r="D5798">
        <v>9</v>
      </c>
      <c r="E5798">
        <f t="shared" si="181"/>
        <v>4.3977326252400403E-2</v>
      </c>
    </row>
    <row r="5799" spans="1:5" x14ac:dyDescent="0.25">
      <c r="A5799">
        <v>0</v>
      </c>
      <c r="B5799">
        <v>0.438</v>
      </c>
      <c r="C5799">
        <f t="shared" si="180"/>
        <v>0.39186951907341183</v>
      </c>
      <c r="D5799">
        <v>9</v>
      </c>
      <c r="E5799">
        <f t="shared" si="181"/>
        <v>4.3977326252400403E-2</v>
      </c>
    </row>
    <row r="5800" spans="1:5" x14ac:dyDescent="0.25">
      <c r="A5800">
        <v>0</v>
      </c>
      <c r="B5800">
        <v>0.438</v>
      </c>
      <c r="C5800">
        <f t="shared" si="180"/>
        <v>0.39186951907341183</v>
      </c>
      <c r="D5800">
        <v>9</v>
      </c>
      <c r="E5800">
        <f t="shared" si="181"/>
        <v>4.3977326252400403E-2</v>
      </c>
    </row>
    <row r="5801" spans="1:5" x14ac:dyDescent="0.25">
      <c r="A5801">
        <v>0</v>
      </c>
      <c r="B5801">
        <v>0.439</v>
      </c>
      <c r="C5801">
        <f t="shared" si="180"/>
        <v>0.38915019801567774</v>
      </c>
      <c r="D5801">
        <v>9</v>
      </c>
      <c r="E5801">
        <f t="shared" si="181"/>
        <v>4.3977326252400403E-2</v>
      </c>
    </row>
    <row r="5802" spans="1:5" x14ac:dyDescent="0.25">
      <c r="A5802">
        <v>0</v>
      </c>
      <c r="B5802">
        <v>0.44</v>
      </c>
      <c r="C5802">
        <f t="shared" si="180"/>
        <v>0.38644321762975076</v>
      </c>
      <c r="D5802">
        <v>9</v>
      </c>
      <c r="E5802">
        <f t="shared" si="181"/>
        <v>4.3977326252400403E-2</v>
      </c>
    </row>
    <row r="5803" spans="1:5" x14ac:dyDescent="0.25">
      <c r="A5803">
        <v>0</v>
      </c>
      <c r="B5803">
        <v>0.44</v>
      </c>
      <c r="C5803">
        <f t="shared" si="180"/>
        <v>0.38644321762975076</v>
      </c>
      <c r="D5803">
        <v>9</v>
      </c>
      <c r="E5803">
        <f t="shared" si="181"/>
        <v>4.3977326252400403E-2</v>
      </c>
    </row>
    <row r="5804" spans="1:5" x14ac:dyDescent="0.25">
      <c r="A5804">
        <v>0</v>
      </c>
      <c r="B5804">
        <v>0.44066666666666698</v>
      </c>
      <c r="C5804">
        <f t="shared" si="180"/>
        <v>0.38464542262014123</v>
      </c>
      <c r="D5804">
        <v>9</v>
      </c>
      <c r="E5804">
        <f t="shared" si="181"/>
        <v>4.3977326252400403E-2</v>
      </c>
    </row>
    <row r="5805" spans="1:5" x14ac:dyDescent="0.25">
      <c r="A5805">
        <v>0</v>
      </c>
      <c r="B5805">
        <v>0.441</v>
      </c>
      <c r="C5805">
        <f t="shared" si="180"/>
        <v>0.38374858323124228</v>
      </c>
      <c r="D5805">
        <v>9</v>
      </c>
      <c r="E5805">
        <f t="shared" si="181"/>
        <v>4.3977326252400403E-2</v>
      </c>
    </row>
    <row r="5806" spans="1:5" x14ac:dyDescent="0.25">
      <c r="A5806">
        <v>0</v>
      </c>
      <c r="B5806">
        <v>0.441</v>
      </c>
      <c r="C5806">
        <f t="shared" si="180"/>
        <v>0.38374858323124228</v>
      </c>
      <c r="D5806">
        <v>9</v>
      </c>
      <c r="E5806">
        <f t="shared" si="181"/>
        <v>4.3977326252400403E-2</v>
      </c>
    </row>
    <row r="5807" spans="1:5" x14ac:dyDescent="0.25">
      <c r="A5807">
        <v>0</v>
      </c>
      <c r="B5807">
        <v>0.441176470588235</v>
      </c>
      <c r="C5807">
        <f t="shared" si="180"/>
        <v>0.38327434146501688</v>
      </c>
      <c r="D5807">
        <v>9</v>
      </c>
      <c r="E5807">
        <f t="shared" si="181"/>
        <v>4.3977326252400403E-2</v>
      </c>
    </row>
    <row r="5808" spans="1:5" x14ac:dyDescent="0.25">
      <c r="A5808">
        <v>0</v>
      </c>
      <c r="B5808">
        <v>0.44230769230769201</v>
      </c>
      <c r="C5808">
        <f t="shared" si="180"/>
        <v>0.38024346677723825</v>
      </c>
      <c r="D5808">
        <v>9</v>
      </c>
      <c r="E5808">
        <f t="shared" si="181"/>
        <v>4.3977326252400403E-2</v>
      </c>
    </row>
    <row r="5809" spans="1:5" x14ac:dyDescent="0.25">
      <c r="A5809">
        <v>0</v>
      </c>
      <c r="B5809">
        <v>0.44266666666666699</v>
      </c>
      <c r="C5809">
        <f t="shared" si="180"/>
        <v>0.37928497377384557</v>
      </c>
      <c r="D5809">
        <v>9</v>
      </c>
      <c r="E5809">
        <f t="shared" si="181"/>
        <v>4.3977326252400403E-2</v>
      </c>
    </row>
    <row r="5810" spans="1:5" x14ac:dyDescent="0.25">
      <c r="A5810">
        <v>0</v>
      </c>
      <c r="B5810">
        <v>0.44444444444444398</v>
      </c>
      <c r="C5810">
        <f t="shared" si="180"/>
        <v>0.37456162399971205</v>
      </c>
      <c r="D5810">
        <v>9</v>
      </c>
      <c r="E5810">
        <f t="shared" si="181"/>
        <v>4.3977326252400403E-2</v>
      </c>
    </row>
    <row r="5811" spans="1:5" x14ac:dyDescent="0.25">
      <c r="A5811">
        <v>0</v>
      </c>
      <c r="B5811">
        <v>0.44444444444444398</v>
      </c>
      <c r="C5811">
        <f t="shared" si="180"/>
        <v>0.37456162399971205</v>
      </c>
      <c r="D5811">
        <v>9</v>
      </c>
      <c r="E5811">
        <f t="shared" si="181"/>
        <v>4.3977326252400403E-2</v>
      </c>
    </row>
    <row r="5812" spans="1:5" x14ac:dyDescent="0.25">
      <c r="A5812">
        <v>0</v>
      </c>
      <c r="B5812">
        <v>0.44500000000000001</v>
      </c>
      <c r="C5812">
        <f t="shared" si="180"/>
        <v>0.37309358879116911</v>
      </c>
      <c r="D5812">
        <v>9</v>
      </c>
      <c r="E5812">
        <f t="shared" si="181"/>
        <v>4.3977326252400403E-2</v>
      </c>
    </row>
    <row r="5813" spans="1:5" x14ac:dyDescent="0.25">
      <c r="A5813">
        <v>0</v>
      </c>
      <c r="B5813">
        <v>0.44833333333333297</v>
      </c>
      <c r="C5813">
        <f t="shared" si="180"/>
        <v>0.36436551389340432</v>
      </c>
      <c r="D5813">
        <v>9</v>
      </c>
      <c r="E5813">
        <f t="shared" si="181"/>
        <v>4.3977326252400403E-2</v>
      </c>
    </row>
    <row r="5814" spans="1:5" x14ac:dyDescent="0.25">
      <c r="A5814">
        <v>0</v>
      </c>
      <c r="B5814">
        <v>0.45166666666666699</v>
      </c>
      <c r="C5814">
        <f t="shared" si="180"/>
        <v>0.35577482208597239</v>
      </c>
      <c r="D5814">
        <v>9</v>
      </c>
      <c r="E5814">
        <f t="shared" si="181"/>
        <v>4.3977326252400403E-2</v>
      </c>
    </row>
    <row r="5815" spans="1:5" x14ac:dyDescent="0.25">
      <c r="A5815">
        <v>0</v>
      </c>
      <c r="B5815">
        <v>0.45166666666666699</v>
      </c>
      <c r="C5815">
        <f t="shared" si="180"/>
        <v>0.35577482208597239</v>
      </c>
      <c r="D5815">
        <v>9</v>
      </c>
      <c r="E5815">
        <f t="shared" si="181"/>
        <v>4.3977326252400403E-2</v>
      </c>
    </row>
    <row r="5816" spans="1:5" x14ac:dyDescent="0.25">
      <c r="A5816">
        <v>0</v>
      </c>
      <c r="B5816">
        <v>0.45200000000000001</v>
      </c>
      <c r="C5816">
        <f t="shared" si="180"/>
        <v>0.35492330763929508</v>
      </c>
      <c r="D5816">
        <v>9</v>
      </c>
      <c r="E5816">
        <f t="shared" si="181"/>
        <v>4.3977326252400403E-2</v>
      </c>
    </row>
    <row r="5817" spans="1:5" x14ac:dyDescent="0.25">
      <c r="A5817">
        <v>0</v>
      </c>
      <c r="B5817">
        <v>0.45333333333333298</v>
      </c>
      <c r="C5817">
        <f t="shared" si="180"/>
        <v>0.3515309816198971</v>
      </c>
      <c r="D5817">
        <v>9</v>
      </c>
      <c r="E5817">
        <f t="shared" si="181"/>
        <v>4.3977326252400403E-2</v>
      </c>
    </row>
    <row r="5818" spans="1:5" x14ac:dyDescent="0.25">
      <c r="A5818">
        <v>0</v>
      </c>
      <c r="B5818">
        <v>0.45762711864406802</v>
      </c>
      <c r="C5818">
        <f t="shared" si="180"/>
        <v>0.34075575675981512</v>
      </c>
      <c r="D5818">
        <v>9</v>
      </c>
      <c r="E5818">
        <f t="shared" si="181"/>
        <v>4.3977326252400403E-2</v>
      </c>
    </row>
    <row r="5819" spans="1:5" x14ac:dyDescent="0.25">
      <c r="A5819">
        <v>0</v>
      </c>
      <c r="B5819">
        <v>0.46200000000000002</v>
      </c>
      <c r="C5819">
        <f t="shared" si="180"/>
        <v>0.33001576349571993</v>
      </c>
      <c r="D5819">
        <v>9</v>
      </c>
      <c r="E5819">
        <f t="shared" si="181"/>
        <v>4.3977326252400403E-2</v>
      </c>
    </row>
    <row r="5820" spans="1:5" x14ac:dyDescent="0.25">
      <c r="A5820">
        <v>0</v>
      </c>
      <c r="B5820">
        <v>0.46200000000000002</v>
      </c>
      <c r="C5820">
        <f t="shared" si="180"/>
        <v>0.33001576349571993</v>
      </c>
      <c r="D5820">
        <v>9</v>
      </c>
      <c r="E5820">
        <f t="shared" si="181"/>
        <v>4.3977326252400403E-2</v>
      </c>
    </row>
    <row r="5821" spans="1:5" x14ac:dyDescent="0.25">
      <c r="A5821">
        <v>0</v>
      </c>
      <c r="B5821">
        <v>0.46300000000000002</v>
      </c>
      <c r="C5821">
        <f t="shared" si="180"/>
        <v>0.3275927951243765</v>
      </c>
      <c r="D5821">
        <v>9</v>
      </c>
      <c r="E5821">
        <f t="shared" si="181"/>
        <v>4.3977326252400403E-2</v>
      </c>
    </row>
    <row r="5822" spans="1:5" x14ac:dyDescent="0.25">
      <c r="A5822">
        <v>0</v>
      </c>
      <c r="B5822">
        <v>0.46333333333333299</v>
      </c>
      <c r="C5822">
        <f t="shared" si="180"/>
        <v>0.32678787163540168</v>
      </c>
      <c r="D5822">
        <v>9</v>
      </c>
      <c r="E5822">
        <f t="shared" si="181"/>
        <v>4.3977326252400403E-2</v>
      </c>
    </row>
    <row r="5823" spans="1:5" x14ac:dyDescent="0.25">
      <c r="A5823">
        <v>0</v>
      </c>
      <c r="B5823">
        <v>0.46400000000000002</v>
      </c>
      <c r="C5823">
        <f t="shared" si="180"/>
        <v>0.32518212159201731</v>
      </c>
      <c r="D5823">
        <v>9</v>
      </c>
      <c r="E5823">
        <f t="shared" si="181"/>
        <v>4.3977326252400403E-2</v>
      </c>
    </row>
    <row r="5824" spans="1:5" x14ac:dyDescent="0.25">
      <c r="A5824">
        <v>0</v>
      </c>
      <c r="B5824">
        <v>0.46400000000000002</v>
      </c>
      <c r="C5824">
        <f t="shared" si="180"/>
        <v>0.32518212159201731</v>
      </c>
      <c r="D5824">
        <v>9</v>
      </c>
      <c r="E5824">
        <f t="shared" si="181"/>
        <v>4.3977326252400403E-2</v>
      </c>
    </row>
    <row r="5825" spans="1:5" x14ac:dyDescent="0.25">
      <c r="A5825">
        <v>0</v>
      </c>
      <c r="B5825">
        <v>0.46500000000000002</v>
      </c>
      <c r="C5825">
        <f t="shared" si="180"/>
        <v>0.32278373358826923</v>
      </c>
      <c r="D5825">
        <v>9</v>
      </c>
      <c r="E5825">
        <f t="shared" si="181"/>
        <v>4.3977326252400403E-2</v>
      </c>
    </row>
    <row r="5826" spans="1:5" x14ac:dyDescent="0.25">
      <c r="A5826">
        <v>0</v>
      </c>
      <c r="B5826">
        <v>0.46500000000000002</v>
      </c>
      <c r="C5826">
        <f t="shared" ref="C5826:C5889" si="182">_xlfn.NORM.DIST(B5826,I$10,I$13,FALSE)</f>
        <v>0.32278373358826923</v>
      </c>
      <c r="D5826">
        <v>9</v>
      </c>
      <c r="E5826">
        <f t="shared" si="181"/>
        <v>4.3977326252400403E-2</v>
      </c>
    </row>
    <row r="5827" spans="1:5" x14ac:dyDescent="0.25">
      <c r="A5827">
        <v>0</v>
      </c>
      <c r="B5827">
        <v>0.46524064171122997</v>
      </c>
      <c r="C5827">
        <f t="shared" si="182"/>
        <v>0.32220841423009305</v>
      </c>
      <c r="D5827">
        <v>9</v>
      </c>
      <c r="E5827">
        <f t="shared" ref="E5827:E5890" si="183">_xlfn.NORM.DIST(D5827,I$4,I$7,FALSE)</f>
        <v>4.3977326252400403E-2</v>
      </c>
    </row>
    <row r="5828" spans="1:5" x14ac:dyDescent="0.25">
      <c r="A5828">
        <v>0</v>
      </c>
      <c r="B5828">
        <v>0.46600000000000003</v>
      </c>
      <c r="C5828">
        <f t="shared" si="182"/>
        <v>0.3203976212508991</v>
      </c>
      <c r="D5828">
        <v>10</v>
      </c>
      <c r="E5828">
        <f t="shared" si="183"/>
        <v>3.9340799162344613E-2</v>
      </c>
    </row>
    <row r="5829" spans="1:5" x14ac:dyDescent="0.25">
      <c r="A5829">
        <v>0</v>
      </c>
      <c r="B5829">
        <v>0.46800000000000003</v>
      </c>
      <c r="C5829">
        <f t="shared" si="182"/>
        <v>0.31566218139547642</v>
      </c>
      <c r="D5829">
        <v>10</v>
      </c>
      <c r="E5829">
        <f t="shared" si="183"/>
        <v>3.9340799162344613E-2</v>
      </c>
    </row>
    <row r="5830" spans="1:5" x14ac:dyDescent="0.25">
      <c r="A5830">
        <v>0</v>
      </c>
      <c r="B5830">
        <v>0.46833333333333299</v>
      </c>
      <c r="C5830">
        <f t="shared" si="182"/>
        <v>0.31487770501231749</v>
      </c>
      <c r="D5830">
        <v>10</v>
      </c>
      <c r="E5830">
        <f t="shared" si="183"/>
        <v>3.9340799162344613E-2</v>
      </c>
    </row>
    <row r="5831" spans="1:5" x14ac:dyDescent="0.25">
      <c r="A5831">
        <v>0</v>
      </c>
      <c r="B5831">
        <v>0.468354430379747</v>
      </c>
      <c r="C5831">
        <f t="shared" si="182"/>
        <v>0.31482810037077391</v>
      </c>
      <c r="D5831">
        <v>10</v>
      </c>
      <c r="E5831">
        <f t="shared" si="183"/>
        <v>3.9340799162344613E-2</v>
      </c>
    </row>
    <row r="5832" spans="1:5" x14ac:dyDescent="0.25">
      <c r="A5832">
        <v>0</v>
      </c>
      <c r="B5832">
        <v>0.46853146853146899</v>
      </c>
      <c r="C5832">
        <f t="shared" si="182"/>
        <v>0.3144120522843612</v>
      </c>
      <c r="D5832">
        <v>10</v>
      </c>
      <c r="E5832">
        <f t="shared" si="183"/>
        <v>3.9340799162344613E-2</v>
      </c>
    </row>
    <row r="5833" spans="1:5" x14ac:dyDescent="0.25">
      <c r="A5833">
        <v>0</v>
      </c>
      <c r="B5833">
        <v>0.47066666666666701</v>
      </c>
      <c r="C5833">
        <f t="shared" si="182"/>
        <v>0.30942442153650762</v>
      </c>
      <c r="D5833">
        <v>10</v>
      </c>
      <c r="E5833">
        <f t="shared" si="183"/>
        <v>3.9340799162344613E-2</v>
      </c>
    </row>
    <row r="5834" spans="1:5" x14ac:dyDescent="0.25">
      <c r="A5834">
        <v>0</v>
      </c>
      <c r="B5834">
        <v>0.47099999999999997</v>
      </c>
      <c r="C5834">
        <f t="shared" si="182"/>
        <v>0.30865081134878486</v>
      </c>
      <c r="D5834">
        <v>10</v>
      </c>
      <c r="E5834">
        <f t="shared" si="183"/>
        <v>3.9340799162344613E-2</v>
      </c>
    </row>
    <row r="5835" spans="1:5" x14ac:dyDescent="0.25">
      <c r="A5835">
        <v>0</v>
      </c>
      <c r="B5835">
        <v>0.47199999999999998</v>
      </c>
      <c r="C5835">
        <f t="shared" si="182"/>
        <v>0.30633811559649471</v>
      </c>
      <c r="D5835">
        <v>10</v>
      </c>
      <c r="E5835">
        <f t="shared" si="183"/>
        <v>3.9340799162344613E-2</v>
      </c>
    </row>
    <row r="5836" spans="1:5" x14ac:dyDescent="0.25">
      <c r="A5836">
        <v>0</v>
      </c>
      <c r="B5836">
        <v>0.47599999999999998</v>
      </c>
      <c r="C5836">
        <f t="shared" si="182"/>
        <v>0.29720910476621482</v>
      </c>
      <c r="D5836">
        <v>10</v>
      </c>
      <c r="E5836">
        <f t="shared" si="183"/>
        <v>3.9340799162344613E-2</v>
      </c>
    </row>
    <row r="5837" spans="1:5" x14ac:dyDescent="0.25">
      <c r="A5837">
        <v>0</v>
      </c>
      <c r="B5837">
        <v>0.477333333333333</v>
      </c>
      <c r="C5837">
        <f t="shared" si="182"/>
        <v>0.2942092860395446</v>
      </c>
      <c r="D5837">
        <v>10</v>
      </c>
      <c r="E5837">
        <f t="shared" si="183"/>
        <v>3.9340799162344613E-2</v>
      </c>
    </row>
    <row r="5838" spans="1:5" x14ac:dyDescent="0.25">
      <c r="A5838">
        <v>0</v>
      </c>
      <c r="B5838">
        <v>0.477333333333333</v>
      </c>
      <c r="C5838">
        <f t="shared" si="182"/>
        <v>0.2942092860395446</v>
      </c>
      <c r="D5838">
        <v>10</v>
      </c>
      <c r="E5838">
        <f t="shared" si="183"/>
        <v>3.9340799162344613E-2</v>
      </c>
    </row>
    <row r="5839" spans="1:5" x14ac:dyDescent="0.25">
      <c r="A5839">
        <v>0</v>
      </c>
      <c r="B5839">
        <v>0.47770700636942698</v>
      </c>
      <c r="C5839">
        <f t="shared" si="182"/>
        <v>0.29337243661541806</v>
      </c>
      <c r="D5839">
        <v>10</v>
      </c>
      <c r="E5839">
        <f t="shared" si="183"/>
        <v>3.9340799162344613E-2</v>
      </c>
    </row>
    <row r="5840" spans="1:5" x14ac:dyDescent="0.25">
      <c r="A5840">
        <v>0</v>
      </c>
      <c r="B5840">
        <v>0.478333333333333</v>
      </c>
      <c r="C5840">
        <f t="shared" si="182"/>
        <v>0.29197355306425388</v>
      </c>
      <c r="D5840">
        <v>10</v>
      </c>
      <c r="E5840">
        <f t="shared" si="183"/>
        <v>3.9340799162344613E-2</v>
      </c>
    </row>
    <row r="5841" spans="1:5" x14ac:dyDescent="0.25">
      <c r="A5841">
        <v>0</v>
      </c>
      <c r="B5841">
        <v>0.47866666666666702</v>
      </c>
      <c r="C5841">
        <f t="shared" si="182"/>
        <v>0.29123099708401973</v>
      </c>
      <c r="D5841">
        <v>10</v>
      </c>
      <c r="E5841">
        <f t="shared" si="183"/>
        <v>3.9340799162344613E-2</v>
      </c>
    </row>
    <row r="5842" spans="1:5" x14ac:dyDescent="0.25">
      <c r="A5842">
        <v>0</v>
      </c>
      <c r="B5842">
        <v>0.47866666666666702</v>
      </c>
      <c r="C5842">
        <f t="shared" si="182"/>
        <v>0.29123099708401973</v>
      </c>
      <c r="D5842">
        <v>10</v>
      </c>
      <c r="E5842">
        <f t="shared" si="183"/>
        <v>3.9340799162344613E-2</v>
      </c>
    </row>
    <row r="5843" spans="1:5" x14ac:dyDescent="0.25">
      <c r="A5843">
        <v>0</v>
      </c>
      <c r="B5843">
        <v>0.48</v>
      </c>
      <c r="C5843">
        <f t="shared" si="182"/>
        <v>0.28827419797163473</v>
      </c>
      <c r="D5843">
        <v>10</v>
      </c>
      <c r="E5843">
        <f t="shared" si="183"/>
        <v>3.9340799162344613E-2</v>
      </c>
    </row>
    <row r="5844" spans="1:5" x14ac:dyDescent="0.25">
      <c r="A5844">
        <v>0</v>
      </c>
      <c r="B5844">
        <v>0.48148148148148101</v>
      </c>
      <c r="C5844">
        <f t="shared" si="182"/>
        <v>0.28501401929606374</v>
      </c>
      <c r="D5844">
        <v>10</v>
      </c>
      <c r="E5844">
        <f t="shared" si="183"/>
        <v>3.9340799162344613E-2</v>
      </c>
    </row>
    <row r="5845" spans="1:5" x14ac:dyDescent="0.25">
      <c r="A5845">
        <v>0</v>
      </c>
      <c r="B5845">
        <v>0.48148148148148101</v>
      </c>
      <c r="C5845">
        <f t="shared" si="182"/>
        <v>0.28501401929606374</v>
      </c>
      <c r="D5845">
        <v>10</v>
      </c>
      <c r="E5845">
        <f t="shared" si="183"/>
        <v>3.9340799162344613E-2</v>
      </c>
    </row>
    <row r="5846" spans="1:5" x14ac:dyDescent="0.25">
      <c r="A5846">
        <v>0</v>
      </c>
      <c r="B5846">
        <v>0.48148148148148101</v>
      </c>
      <c r="C5846">
        <f t="shared" si="182"/>
        <v>0.28501401929606374</v>
      </c>
      <c r="D5846">
        <v>10</v>
      </c>
      <c r="E5846">
        <f t="shared" si="183"/>
        <v>3.9340799162344613E-2</v>
      </c>
    </row>
    <row r="5847" spans="1:5" x14ac:dyDescent="0.25">
      <c r="A5847">
        <v>0</v>
      </c>
      <c r="B5847">
        <v>0.48148148148148101</v>
      </c>
      <c r="C5847">
        <f t="shared" si="182"/>
        <v>0.28501401929606374</v>
      </c>
      <c r="D5847">
        <v>10</v>
      </c>
      <c r="E5847">
        <f t="shared" si="183"/>
        <v>3.9340799162344613E-2</v>
      </c>
    </row>
    <row r="5848" spans="1:5" x14ac:dyDescent="0.25">
      <c r="A5848">
        <v>0</v>
      </c>
      <c r="B5848">
        <v>0.483870967741935</v>
      </c>
      <c r="C5848">
        <f t="shared" si="182"/>
        <v>0.27981131290644845</v>
      </c>
      <c r="D5848">
        <v>10</v>
      </c>
      <c r="E5848">
        <f t="shared" si="183"/>
        <v>3.9340799162344613E-2</v>
      </c>
    </row>
    <row r="5849" spans="1:5" x14ac:dyDescent="0.25">
      <c r="A5849">
        <v>0</v>
      </c>
      <c r="B5849">
        <v>0.48533333333333301</v>
      </c>
      <c r="C5849">
        <f t="shared" si="182"/>
        <v>0.27666104855473173</v>
      </c>
      <c r="D5849">
        <v>10</v>
      </c>
      <c r="E5849">
        <f t="shared" si="183"/>
        <v>3.9340799162344613E-2</v>
      </c>
    </row>
    <row r="5850" spans="1:5" x14ac:dyDescent="0.25">
      <c r="A5850">
        <v>0</v>
      </c>
      <c r="B5850">
        <v>0.48533333333333301</v>
      </c>
      <c r="C5850">
        <f t="shared" si="182"/>
        <v>0.27666104855473173</v>
      </c>
      <c r="D5850">
        <v>10</v>
      </c>
      <c r="E5850">
        <f t="shared" si="183"/>
        <v>3.9340799162344613E-2</v>
      </c>
    </row>
    <row r="5851" spans="1:5" x14ac:dyDescent="0.25">
      <c r="A5851">
        <v>0</v>
      </c>
      <c r="B5851">
        <v>0.48599999999999999</v>
      </c>
      <c r="C5851">
        <f t="shared" si="182"/>
        <v>0.27523339241119543</v>
      </c>
      <c r="D5851">
        <v>11</v>
      </c>
      <c r="E5851">
        <f t="shared" si="183"/>
        <v>3.4489369884321192E-2</v>
      </c>
    </row>
    <row r="5852" spans="1:5" x14ac:dyDescent="0.25">
      <c r="A5852">
        <v>0</v>
      </c>
      <c r="B5852">
        <v>0.48799999999999999</v>
      </c>
      <c r="C5852">
        <f t="shared" si="182"/>
        <v>0.27098226484527443</v>
      </c>
      <c r="D5852">
        <v>11</v>
      </c>
      <c r="E5852">
        <f t="shared" si="183"/>
        <v>3.4489369884321192E-2</v>
      </c>
    </row>
    <row r="5853" spans="1:5" x14ac:dyDescent="0.25">
      <c r="A5853">
        <v>0</v>
      </c>
      <c r="B5853">
        <v>0.48917748917748899</v>
      </c>
      <c r="C5853">
        <f t="shared" si="182"/>
        <v>0.26850172311082432</v>
      </c>
      <c r="D5853">
        <v>11</v>
      </c>
      <c r="E5853">
        <f t="shared" si="183"/>
        <v>3.4489369884321192E-2</v>
      </c>
    </row>
    <row r="5854" spans="1:5" x14ac:dyDescent="0.25">
      <c r="A5854">
        <v>0</v>
      </c>
      <c r="B5854">
        <v>0.49</v>
      </c>
      <c r="C5854">
        <f t="shared" si="182"/>
        <v>0.26677876692954583</v>
      </c>
      <c r="D5854">
        <v>11</v>
      </c>
      <c r="E5854">
        <f t="shared" si="183"/>
        <v>3.4489369884321192E-2</v>
      </c>
    </row>
    <row r="5855" spans="1:5" x14ac:dyDescent="0.25">
      <c r="A5855">
        <v>0</v>
      </c>
      <c r="B5855">
        <v>0.49166666666666697</v>
      </c>
      <c r="C5855">
        <f t="shared" si="182"/>
        <v>0.26331210966944485</v>
      </c>
      <c r="D5855">
        <v>11</v>
      </c>
      <c r="E5855">
        <f t="shared" si="183"/>
        <v>3.4489369884321192E-2</v>
      </c>
    </row>
    <row r="5856" spans="1:5" x14ac:dyDescent="0.25">
      <c r="A5856">
        <v>0</v>
      </c>
      <c r="B5856">
        <v>0.49315068493150699</v>
      </c>
      <c r="C5856">
        <f t="shared" si="182"/>
        <v>0.26025301041232268</v>
      </c>
      <c r="D5856">
        <v>11</v>
      </c>
      <c r="E5856">
        <f t="shared" si="183"/>
        <v>3.4489369884321192E-2</v>
      </c>
    </row>
    <row r="5857" spans="1:5" x14ac:dyDescent="0.25">
      <c r="A5857">
        <v>0</v>
      </c>
      <c r="B5857">
        <v>0.49333333333333301</v>
      </c>
      <c r="C5857">
        <f t="shared" si="182"/>
        <v>0.2598783021711949</v>
      </c>
      <c r="D5857">
        <v>11</v>
      </c>
      <c r="E5857">
        <f t="shared" si="183"/>
        <v>3.4489369884321192E-2</v>
      </c>
    </row>
    <row r="5858" spans="1:5" x14ac:dyDescent="0.25">
      <c r="A5858">
        <v>0</v>
      </c>
      <c r="B5858">
        <v>0.49833333333333302</v>
      </c>
      <c r="C5858">
        <f t="shared" si="182"/>
        <v>0.24977288083055751</v>
      </c>
      <c r="D5858">
        <v>11</v>
      </c>
      <c r="E5858">
        <f t="shared" si="183"/>
        <v>3.4489369884321192E-2</v>
      </c>
    </row>
    <row r="5859" spans="1:5" x14ac:dyDescent="0.25">
      <c r="A5859">
        <v>0</v>
      </c>
      <c r="B5859">
        <v>0.5</v>
      </c>
      <c r="C5859">
        <f t="shared" si="182"/>
        <v>0.24646935937720824</v>
      </c>
      <c r="D5859">
        <v>11</v>
      </c>
      <c r="E5859">
        <f t="shared" si="183"/>
        <v>3.4489369884321192E-2</v>
      </c>
    </row>
    <row r="5860" spans="1:5" x14ac:dyDescent="0.25">
      <c r="A5860">
        <v>0</v>
      </c>
      <c r="B5860">
        <v>0.5</v>
      </c>
      <c r="C5860">
        <f t="shared" si="182"/>
        <v>0.24646935937720824</v>
      </c>
      <c r="D5860">
        <v>11</v>
      </c>
      <c r="E5860">
        <f t="shared" si="183"/>
        <v>3.4489369884321192E-2</v>
      </c>
    </row>
    <row r="5861" spans="1:5" x14ac:dyDescent="0.25">
      <c r="A5861">
        <v>0</v>
      </c>
      <c r="B5861">
        <v>0.5</v>
      </c>
      <c r="C5861">
        <f t="shared" si="182"/>
        <v>0.24646935937720824</v>
      </c>
      <c r="D5861">
        <v>11</v>
      </c>
      <c r="E5861">
        <f t="shared" si="183"/>
        <v>3.4489369884321192E-2</v>
      </c>
    </row>
    <row r="5862" spans="1:5" x14ac:dyDescent="0.25">
      <c r="A5862">
        <v>0</v>
      </c>
      <c r="B5862">
        <v>0.503</v>
      </c>
      <c r="C5862">
        <f t="shared" si="182"/>
        <v>0.24060427823691979</v>
      </c>
      <c r="D5862">
        <v>11</v>
      </c>
      <c r="E5862">
        <f t="shared" si="183"/>
        <v>3.4489369884321192E-2</v>
      </c>
    </row>
    <row r="5863" spans="1:5" x14ac:dyDescent="0.25">
      <c r="A5863">
        <v>0</v>
      </c>
      <c r="B5863">
        <v>0.50333333333333297</v>
      </c>
      <c r="C5863">
        <f t="shared" si="182"/>
        <v>0.23995902677027653</v>
      </c>
      <c r="D5863">
        <v>11</v>
      </c>
      <c r="E5863">
        <f t="shared" si="183"/>
        <v>3.4489369884321192E-2</v>
      </c>
    </row>
    <row r="5864" spans="1:5" x14ac:dyDescent="0.25">
      <c r="A5864">
        <v>0</v>
      </c>
      <c r="B5864">
        <v>0.50333333333333297</v>
      </c>
      <c r="C5864">
        <f t="shared" si="182"/>
        <v>0.23995902677027653</v>
      </c>
      <c r="D5864">
        <v>11</v>
      </c>
      <c r="E5864">
        <f t="shared" si="183"/>
        <v>3.4489369884321192E-2</v>
      </c>
    </row>
    <row r="5865" spans="1:5" x14ac:dyDescent="0.25">
      <c r="A5865">
        <v>0</v>
      </c>
      <c r="B5865">
        <v>0.50600000000000001</v>
      </c>
      <c r="C5865">
        <f t="shared" si="182"/>
        <v>0.23484304955753008</v>
      </c>
      <c r="D5865">
        <v>11</v>
      </c>
      <c r="E5865">
        <f t="shared" si="183"/>
        <v>3.4489369884321192E-2</v>
      </c>
    </row>
    <row r="5866" spans="1:5" x14ac:dyDescent="0.25">
      <c r="A5866">
        <v>0</v>
      </c>
      <c r="B5866">
        <v>0.50600000000000001</v>
      </c>
      <c r="C5866">
        <f t="shared" si="182"/>
        <v>0.23484304955753008</v>
      </c>
      <c r="D5866">
        <v>11</v>
      </c>
      <c r="E5866">
        <f t="shared" si="183"/>
        <v>3.4489369884321192E-2</v>
      </c>
    </row>
    <row r="5867" spans="1:5" x14ac:dyDescent="0.25">
      <c r="A5867">
        <v>0</v>
      </c>
      <c r="B5867">
        <v>0.50800000000000001</v>
      </c>
      <c r="C5867">
        <f t="shared" si="182"/>
        <v>0.2310595542820835</v>
      </c>
      <c r="D5867">
        <v>11</v>
      </c>
      <c r="E5867">
        <f t="shared" si="183"/>
        <v>3.4489369884321192E-2</v>
      </c>
    </row>
    <row r="5868" spans="1:5" x14ac:dyDescent="0.25">
      <c r="A5868">
        <v>0</v>
      </c>
      <c r="B5868">
        <v>0.50815850815850805</v>
      </c>
      <c r="C5868">
        <f t="shared" si="182"/>
        <v>0.23076164971355073</v>
      </c>
      <c r="D5868">
        <v>11</v>
      </c>
      <c r="E5868">
        <f t="shared" si="183"/>
        <v>3.4489369884321192E-2</v>
      </c>
    </row>
    <row r="5869" spans="1:5" x14ac:dyDescent="0.25">
      <c r="A5869">
        <v>0</v>
      </c>
      <c r="B5869">
        <v>0.50898203592814395</v>
      </c>
      <c r="C5869">
        <f t="shared" si="182"/>
        <v>0.22921849346083903</v>
      </c>
      <c r="D5869">
        <v>12</v>
      </c>
      <c r="E5869">
        <f t="shared" si="183"/>
        <v>2.9631597629407619E-2</v>
      </c>
    </row>
    <row r="5870" spans="1:5" x14ac:dyDescent="0.25">
      <c r="A5870">
        <v>0</v>
      </c>
      <c r="B5870">
        <v>0.50912778904665301</v>
      </c>
      <c r="C5870">
        <f t="shared" si="182"/>
        <v>0.2289461795161512</v>
      </c>
      <c r="D5870">
        <v>12</v>
      </c>
      <c r="E5870">
        <f t="shared" si="183"/>
        <v>2.9631597629407619E-2</v>
      </c>
    </row>
    <row r="5871" spans="1:5" x14ac:dyDescent="0.25">
      <c r="A5871">
        <v>0</v>
      </c>
      <c r="B5871">
        <v>0.51059535822401603</v>
      </c>
      <c r="C5871">
        <f t="shared" si="182"/>
        <v>0.22621772409049859</v>
      </c>
      <c r="D5871">
        <v>12</v>
      </c>
      <c r="E5871">
        <f t="shared" si="183"/>
        <v>2.9631597629407619E-2</v>
      </c>
    </row>
    <row r="5872" spans="1:5" x14ac:dyDescent="0.25">
      <c r="A5872">
        <v>0</v>
      </c>
      <c r="B5872">
        <v>0.51166666666666705</v>
      </c>
      <c r="C5872">
        <f t="shared" si="182"/>
        <v>0.22424138450568107</v>
      </c>
      <c r="D5872">
        <v>12</v>
      </c>
      <c r="E5872">
        <f t="shared" si="183"/>
        <v>2.9631597629407619E-2</v>
      </c>
    </row>
    <row r="5873" spans="1:5" x14ac:dyDescent="0.25">
      <c r="A5873">
        <v>0</v>
      </c>
      <c r="B5873">
        <v>0.51200000000000001</v>
      </c>
      <c r="C5873">
        <f t="shared" si="182"/>
        <v>0.22362909879024093</v>
      </c>
      <c r="D5873">
        <v>12</v>
      </c>
      <c r="E5873">
        <f t="shared" si="183"/>
        <v>2.9631597629407619E-2</v>
      </c>
    </row>
    <row r="5874" spans="1:5" x14ac:dyDescent="0.25">
      <c r="A5874">
        <v>0</v>
      </c>
      <c r="B5874">
        <v>0.51470588235294101</v>
      </c>
      <c r="C5874">
        <f t="shared" si="182"/>
        <v>0.21870505413962912</v>
      </c>
      <c r="D5874">
        <v>12</v>
      </c>
      <c r="E5874">
        <f t="shared" si="183"/>
        <v>2.9631597629407619E-2</v>
      </c>
    </row>
    <row r="5875" spans="1:5" x14ac:dyDescent="0.25">
      <c r="A5875">
        <v>0</v>
      </c>
      <c r="B5875">
        <v>0.51666666666666705</v>
      </c>
      <c r="C5875">
        <f t="shared" si="182"/>
        <v>0.21518815721251014</v>
      </c>
      <c r="D5875">
        <v>12</v>
      </c>
      <c r="E5875">
        <f t="shared" si="183"/>
        <v>2.9631597629407619E-2</v>
      </c>
    </row>
    <row r="5876" spans="1:5" x14ac:dyDescent="0.25">
      <c r="A5876">
        <v>0</v>
      </c>
      <c r="B5876">
        <v>0.51833333333333298</v>
      </c>
      <c r="C5876">
        <f t="shared" si="182"/>
        <v>0.21223245565726151</v>
      </c>
      <c r="D5876">
        <v>12</v>
      </c>
      <c r="E5876">
        <f t="shared" si="183"/>
        <v>2.9631597629407619E-2</v>
      </c>
    </row>
    <row r="5877" spans="1:5" x14ac:dyDescent="0.25">
      <c r="A5877">
        <v>0</v>
      </c>
      <c r="B5877">
        <v>0.51900000000000002</v>
      </c>
      <c r="C5877">
        <f t="shared" si="182"/>
        <v>0.21105880010495084</v>
      </c>
      <c r="D5877">
        <v>12</v>
      </c>
      <c r="E5877">
        <f t="shared" si="183"/>
        <v>2.9631597629407619E-2</v>
      </c>
    </row>
    <row r="5878" spans="1:5" x14ac:dyDescent="0.25">
      <c r="A5878">
        <v>0</v>
      </c>
      <c r="B5878">
        <v>0.52266666666666695</v>
      </c>
      <c r="C5878">
        <f t="shared" si="182"/>
        <v>0.20469127373159191</v>
      </c>
      <c r="D5878">
        <v>12</v>
      </c>
      <c r="E5878">
        <f t="shared" si="183"/>
        <v>2.9631597629407619E-2</v>
      </c>
    </row>
    <row r="5879" spans="1:5" x14ac:dyDescent="0.25">
      <c r="A5879">
        <v>0</v>
      </c>
      <c r="B5879">
        <v>0.52333333333333298</v>
      </c>
      <c r="C5879">
        <f t="shared" si="182"/>
        <v>0.20354938525680485</v>
      </c>
      <c r="D5879">
        <v>12</v>
      </c>
      <c r="E5879">
        <f t="shared" si="183"/>
        <v>2.9631597629407619E-2</v>
      </c>
    </row>
    <row r="5880" spans="1:5" x14ac:dyDescent="0.25">
      <c r="A5880">
        <v>0</v>
      </c>
      <c r="B5880">
        <v>0.52500000000000002</v>
      </c>
      <c r="C5880">
        <f t="shared" si="182"/>
        <v>0.20071586113734141</v>
      </c>
      <c r="D5880">
        <v>12</v>
      </c>
      <c r="E5880">
        <f t="shared" si="183"/>
        <v>2.9631597629407619E-2</v>
      </c>
    </row>
    <row r="5881" spans="1:5" x14ac:dyDescent="0.25">
      <c r="A5881">
        <v>0</v>
      </c>
      <c r="B5881">
        <v>0.52900000000000003</v>
      </c>
      <c r="C5881">
        <f t="shared" si="182"/>
        <v>0.19403813090865885</v>
      </c>
      <c r="D5881">
        <v>12</v>
      </c>
      <c r="E5881">
        <f t="shared" si="183"/>
        <v>2.9631597629407619E-2</v>
      </c>
    </row>
    <row r="5882" spans="1:5" x14ac:dyDescent="0.25">
      <c r="A5882">
        <v>0</v>
      </c>
      <c r="B5882">
        <v>0.52900000000000003</v>
      </c>
      <c r="C5882">
        <f t="shared" si="182"/>
        <v>0.19403813090865885</v>
      </c>
      <c r="D5882">
        <v>12</v>
      </c>
      <c r="E5882">
        <f t="shared" si="183"/>
        <v>2.9631597629407619E-2</v>
      </c>
    </row>
    <row r="5883" spans="1:5" x14ac:dyDescent="0.25">
      <c r="A5883">
        <v>0</v>
      </c>
      <c r="B5883">
        <v>0.53100000000000003</v>
      </c>
      <c r="C5883">
        <f t="shared" si="182"/>
        <v>0.19076370496110781</v>
      </c>
      <c r="D5883">
        <v>12</v>
      </c>
      <c r="E5883">
        <f t="shared" si="183"/>
        <v>2.9631597629407619E-2</v>
      </c>
    </row>
    <row r="5884" spans="1:5" x14ac:dyDescent="0.25">
      <c r="A5884">
        <v>0</v>
      </c>
      <c r="B5884">
        <v>0.53379953379953404</v>
      </c>
      <c r="C5884">
        <f t="shared" si="182"/>
        <v>0.18625172541274129</v>
      </c>
      <c r="D5884">
        <v>12</v>
      </c>
      <c r="E5884">
        <f t="shared" si="183"/>
        <v>2.9631597629407619E-2</v>
      </c>
    </row>
    <row r="5885" spans="1:5" x14ac:dyDescent="0.25">
      <c r="A5885">
        <v>0</v>
      </c>
      <c r="B5885">
        <v>0.53500000000000003</v>
      </c>
      <c r="C5885">
        <f t="shared" si="182"/>
        <v>0.18434230902305743</v>
      </c>
      <c r="D5885">
        <v>13</v>
      </c>
      <c r="E5885">
        <f t="shared" si="183"/>
        <v>2.4948968871753581E-2</v>
      </c>
    </row>
    <row r="5886" spans="1:5" x14ac:dyDescent="0.25">
      <c r="A5886">
        <v>0</v>
      </c>
      <c r="B5886">
        <v>0.53666666666666696</v>
      </c>
      <c r="C5886">
        <f t="shared" si="182"/>
        <v>0.18171644633619227</v>
      </c>
      <c r="D5886">
        <v>13</v>
      </c>
      <c r="E5886">
        <f t="shared" si="183"/>
        <v>2.4948968871753581E-2</v>
      </c>
    </row>
    <row r="5887" spans="1:5" x14ac:dyDescent="0.25">
      <c r="A5887">
        <v>0</v>
      </c>
      <c r="B5887">
        <v>0.53846153846153799</v>
      </c>
      <c r="C5887">
        <f t="shared" si="182"/>
        <v>0.17892101773579386</v>
      </c>
      <c r="D5887">
        <v>13</v>
      </c>
      <c r="E5887">
        <f t="shared" si="183"/>
        <v>2.4948968871753581E-2</v>
      </c>
    </row>
    <row r="5888" spans="1:5" x14ac:dyDescent="0.25">
      <c r="A5888">
        <v>0</v>
      </c>
      <c r="B5888">
        <v>0.53866666666666696</v>
      </c>
      <c r="C5888">
        <f t="shared" si="182"/>
        <v>0.1786036718445507</v>
      </c>
      <c r="D5888">
        <v>13</v>
      </c>
      <c r="E5888">
        <f t="shared" si="183"/>
        <v>2.4948968871753581E-2</v>
      </c>
    </row>
    <row r="5889" spans="1:5" x14ac:dyDescent="0.25">
      <c r="A5889">
        <v>0</v>
      </c>
      <c r="B5889">
        <v>0.54</v>
      </c>
      <c r="C5889">
        <f t="shared" si="182"/>
        <v>0.17655153921679834</v>
      </c>
      <c r="D5889">
        <v>13</v>
      </c>
      <c r="E5889">
        <f t="shared" si="183"/>
        <v>2.4948968871753581E-2</v>
      </c>
    </row>
    <row r="5890" spans="1:5" x14ac:dyDescent="0.25">
      <c r="A5890">
        <v>0</v>
      </c>
      <c r="B5890">
        <v>0.54100000000000004</v>
      </c>
      <c r="C5890">
        <f t="shared" ref="C5890:C5953" si="184">_xlfn.NORM.DIST(B5890,I$10,I$13,FALSE)</f>
        <v>0.1750244779059551</v>
      </c>
      <c r="D5890">
        <v>13</v>
      </c>
      <c r="E5890">
        <f t="shared" si="183"/>
        <v>2.4948968871753581E-2</v>
      </c>
    </row>
    <row r="5891" spans="1:5" x14ac:dyDescent="0.25">
      <c r="A5891">
        <v>0</v>
      </c>
      <c r="B5891">
        <v>0.54166666666666696</v>
      </c>
      <c r="C5891">
        <f t="shared" si="184"/>
        <v>0.17401214848997068</v>
      </c>
      <c r="D5891">
        <v>13</v>
      </c>
      <c r="E5891">
        <f t="shared" ref="E5891:E5954" si="185">_xlfn.NORM.DIST(D5891,I$4,I$7,FALSE)</f>
        <v>2.4948968871753581E-2</v>
      </c>
    </row>
    <row r="5892" spans="1:5" x14ac:dyDescent="0.25">
      <c r="A5892">
        <v>0</v>
      </c>
      <c r="B5892">
        <v>0.54166666666666696</v>
      </c>
      <c r="C5892">
        <f t="shared" si="184"/>
        <v>0.17401214848997068</v>
      </c>
      <c r="D5892">
        <v>13</v>
      </c>
      <c r="E5892">
        <f t="shared" si="185"/>
        <v>2.4948968871753581E-2</v>
      </c>
    </row>
    <row r="5893" spans="1:5" x14ac:dyDescent="0.25">
      <c r="A5893">
        <v>0</v>
      </c>
      <c r="B5893">
        <v>0.543333333333333</v>
      </c>
      <c r="C5893">
        <f t="shared" si="184"/>
        <v>0.17150123290663463</v>
      </c>
      <c r="D5893">
        <v>13</v>
      </c>
      <c r="E5893">
        <f t="shared" si="185"/>
        <v>2.4948968871753581E-2</v>
      </c>
    </row>
    <row r="5894" spans="1:5" x14ac:dyDescent="0.25">
      <c r="A5894">
        <v>0</v>
      </c>
      <c r="B5894">
        <v>0.54666666666666697</v>
      </c>
      <c r="C5894">
        <f t="shared" si="184"/>
        <v>0.16656411821653502</v>
      </c>
      <c r="D5894">
        <v>13</v>
      </c>
      <c r="E5894">
        <f t="shared" si="185"/>
        <v>2.4948968871753581E-2</v>
      </c>
    </row>
    <row r="5895" spans="1:5" x14ac:dyDescent="0.25">
      <c r="A5895">
        <v>0</v>
      </c>
      <c r="B5895">
        <v>0.54666666666666697</v>
      </c>
      <c r="C5895">
        <f t="shared" si="184"/>
        <v>0.16656411821653502</v>
      </c>
      <c r="D5895">
        <v>13</v>
      </c>
      <c r="E5895">
        <f t="shared" si="185"/>
        <v>2.4948968871753581E-2</v>
      </c>
    </row>
    <row r="5896" spans="1:5" x14ac:dyDescent="0.25">
      <c r="A5896">
        <v>0</v>
      </c>
      <c r="B5896">
        <v>0.54700000000000004</v>
      </c>
      <c r="C5896">
        <f t="shared" si="184"/>
        <v>0.16607657735560827</v>
      </c>
      <c r="D5896">
        <v>13</v>
      </c>
      <c r="E5896">
        <f t="shared" si="185"/>
        <v>2.4948968871753581E-2</v>
      </c>
    </row>
    <row r="5897" spans="1:5" x14ac:dyDescent="0.25">
      <c r="A5897">
        <v>0</v>
      </c>
      <c r="B5897">
        <v>0.55200000000000005</v>
      </c>
      <c r="C5897">
        <f t="shared" si="184"/>
        <v>0.1588965922676823</v>
      </c>
      <c r="D5897">
        <v>13</v>
      </c>
      <c r="E5897">
        <f t="shared" si="185"/>
        <v>2.4948968871753581E-2</v>
      </c>
    </row>
    <row r="5898" spans="1:5" x14ac:dyDescent="0.25">
      <c r="A5898">
        <v>0</v>
      </c>
      <c r="B5898">
        <v>0.55200000000000005</v>
      </c>
      <c r="C5898">
        <f t="shared" si="184"/>
        <v>0.1588965922676823</v>
      </c>
      <c r="D5898">
        <v>13</v>
      </c>
      <c r="E5898">
        <f t="shared" si="185"/>
        <v>2.4948968871753581E-2</v>
      </c>
    </row>
    <row r="5899" spans="1:5" x14ac:dyDescent="0.25">
      <c r="A5899">
        <v>0</v>
      </c>
      <c r="B5899">
        <v>0.55555555555555602</v>
      </c>
      <c r="C5899">
        <f t="shared" si="184"/>
        <v>0.15394090839364255</v>
      </c>
      <c r="D5899">
        <v>13</v>
      </c>
      <c r="E5899">
        <f t="shared" si="185"/>
        <v>2.4948968871753581E-2</v>
      </c>
    </row>
    <row r="5900" spans="1:5" x14ac:dyDescent="0.25">
      <c r="A5900">
        <v>0</v>
      </c>
      <c r="B5900">
        <v>0.55555555555555602</v>
      </c>
      <c r="C5900">
        <f t="shared" si="184"/>
        <v>0.15394090839364255</v>
      </c>
      <c r="D5900">
        <v>13</v>
      </c>
      <c r="E5900">
        <f t="shared" si="185"/>
        <v>2.4948968871753581E-2</v>
      </c>
    </row>
    <row r="5901" spans="1:5" x14ac:dyDescent="0.25">
      <c r="A5901">
        <v>0</v>
      </c>
      <c r="B5901">
        <v>0.55800000000000005</v>
      </c>
      <c r="C5901">
        <f t="shared" si="184"/>
        <v>0.150605163494864</v>
      </c>
      <c r="D5901">
        <v>13</v>
      </c>
      <c r="E5901">
        <f t="shared" si="185"/>
        <v>2.4948968871753581E-2</v>
      </c>
    </row>
    <row r="5902" spans="1:5" x14ac:dyDescent="0.25">
      <c r="A5902">
        <v>0</v>
      </c>
      <c r="B5902">
        <v>0.55833333333333302</v>
      </c>
      <c r="C5902">
        <f t="shared" si="184"/>
        <v>0.15015475026853636</v>
      </c>
      <c r="D5902">
        <v>14</v>
      </c>
      <c r="E5902">
        <f t="shared" si="185"/>
        <v>2.0586279281502563E-2</v>
      </c>
    </row>
    <row r="5903" spans="1:5" x14ac:dyDescent="0.25">
      <c r="A5903">
        <v>0</v>
      </c>
      <c r="B5903">
        <v>0.56000000000000005</v>
      </c>
      <c r="C5903">
        <f t="shared" si="184"/>
        <v>0.14791864382231373</v>
      </c>
      <c r="D5903">
        <v>14</v>
      </c>
      <c r="E5903">
        <f t="shared" si="185"/>
        <v>2.0586279281502563E-2</v>
      </c>
    </row>
    <row r="5904" spans="1:5" x14ac:dyDescent="0.25">
      <c r="A5904">
        <v>0</v>
      </c>
      <c r="B5904">
        <v>0.56000000000000005</v>
      </c>
      <c r="C5904">
        <f t="shared" si="184"/>
        <v>0.14791864382231373</v>
      </c>
      <c r="D5904">
        <v>14</v>
      </c>
      <c r="E5904">
        <f t="shared" si="185"/>
        <v>2.0586279281502563E-2</v>
      </c>
    </row>
    <row r="5905" spans="1:5" x14ac:dyDescent="0.25">
      <c r="A5905">
        <v>0</v>
      </c>
      <c r="B5905">
        <v>0.56000000000000005</v>
      </c>
      <c r="C5905">
        <f t="shared" si="184"/>
        <v>0.14791864382231373</v>
      </c>
      <c r="D5905">
        <v>14</v>
      </c>
      <c r="E5905">
        <f t="shared" si="185"/>
        <v>2.0586279281502563E-2</v>
      </c>
    </row>
    <row r="5906" spans="1:5" x14ac:dyDescent="0.25">
      <c r="A5906">
        <v>0</v>
      </c>
      <c r="B5906">
        <v>0.56000000000000005</v>
      </c>
      <c r="C5906">
        <f t="shared" si="184"/>
        <v>0.14791864382231373</v>
      </c>
      <c r="D5906">
        <v>14</v>
      </c>
      <c r="E5906">
        <f t="shared" si="185"/>
        <v>2.0586279281502563E-2</v>
      </c>
    </row>
    <row r="5907" spans="1:5" x14ac:dyDescent="0.25">
      <c r="A5907">
        <v>0</v>
      </c>
      <c r="B5907">
        <v>0.56266666666666698</v>
      </c>
      <c r="C5907">
        <f t="shared" si="184"/>
        <v>0.14439583380503712</v>
      </c>
      <c r="D5907">
        <v>14</v>
      </c>
      <c r="E5907">
        <f t="shared" si="185"/>
        <v>2.0586279281502563E-2</v>
      </c>
    </row>
    <row r="5908" spans="1:5" x14ac:dyDescent="0.25">
      <c r="A5908">
        <v>0</v>
      </c>
      <c r="B5908">
        <v>0.56499999999999995</v>
      </c>
      <c r="C5908">
        <f t="shared" si="184"/>
        <v>0.14136833249635153</v>
      </c>
      <c r="D5908">
        <v>14</v>
      </c>
      <c r="E5908">
        <f t="shared" si="185"/>
        <v>2.0586279281502563E-2</v>
      </c>
    </row>
    <row r="5909" spans="1:5" x14ac:dyDescent="0.25">
      <c r="A5909">
        <v>0</v>
      </c>
      <c r="B5909">
        <v>0.56666666666666698</v>
      </c>
      <c r="C5909">
        <f t="shared" si="184"/>
        <v>0.13923693059473849</v>
      </c>
      <c r="D5909">
        <v>14</v>
      </c>
      <c r="E5909">
        <f t="shared" si="185"/>
        <v>2.0586279281502563E-2</v>
      </c>
    </row>
    <row r="5910" spans="1:5" x14ac:dyDescent="0.25">
      <c r="A5910">
        <v>0</v>
      </c>
      <c r="B5910">
        <v>0.56733333333333302</v>
      </c>
      <c r="C5910">
        <f t="shared" si="184"/>
        <v>0.13839157620256656</v>
      </c>
      <c r="D5910">
        <v>14</v>
      </c>
      <c r="E5910">
        <f t="shared" si="185"/>
        <v>2.0586279281502563E-2</v>
      </c>
    </row>
    <row r="5911" spans="1:5" x14ac:dyDescent="0.25">
      <c r="A5911">
        <v>0</v>
      </c>
      <c r="B5911">
        <v>0.56733333333333302</v>
      </c>
      <c r="C5911">
        <f t="shared" si="184"/>
        <v>0.13839157620256656</v>
      </c>
      <c r="D5911">
        <v>14</v>
      </c>
      <c r="E5911">
        <f t="shared" si="185"/>
        <v>2.0586279281502563E-2</v>
      </c>
    </row>
    <row r="5912" spans="1:5" x14ac:dyDescent="0.25">
      <c r="A5912">
        <v>0</v>
      </c>
      <c r="B5912">
        <v>0.56999999999999995</v>
      </c>
      <c r="C5912">
        <f t="shared" si="184"/>
        <v>0.1350510300755518</v>
      </c>
      <c r="D5912">
        <v>14</v>
      </c>
      <c r="E5912">
        <f t="shared" si="185"/>
        <v>2.0586279281502563E-2</v>
      </c>
    </row>
    <row r="5913" spans="1:5" x14ac:dyDescent="0.25">
      <c r="A5913">
        <v>0</v>
      </c>
      <c r="B5913">
        <v>0.57466666666666699</v>
      </c>
      <c r="C5913">
        <f t="shared" si="184"/>
        <v>0.12936052419983726</v>
      </c>
      <c r="D5913">
        <v>14</v>
      </c>
      <c r="E5913">
        <f t="shared" si="185"/>
        <v>2.0586279281502563E-2</v>
      </c>
    </row>
    <row r="5914" spans="1:5" x14ac:dyDescent="0.25">
      <c r="A5914">
        <v>0</v>
      </c>
      <c r="B5914">
        <v>0.57666666666666699</v>
      </c>
      <c r="C5914">
        <f t="shared" si="184"/>
        <v>0.1269814309834299</v>
      </c>
      <c r="D5914">
        <v>14</v>
      </c>
      <c r="E5914">
        <f t="shared" si="185"/>
        <v>2.0586279281502563E-2</v>
      </c>
    </row>
    <row r="5915" spans="1:5" x14ac:dyDescent="0.25">
      <c r="A5915">
        <v>0</v>
      </c>
      <c r="B5915">
        <v>0.57999999999999996</v>
      </c>
      <c r="C5915">
        <f t="shared" si="184"/>
        <v>0.12309462021062925</v>
      </c>
      <c r="D5915">
        <v>14</v>
      </c>
      <c r="E5915">
        <f t="shared" si="185"/>
        <v>2.0586279281502563E-2</v>
      </c>
    </row>
    <row r="5916" spans="1:5" x14ac:dyDescent="0.25">
      <c r="A5916">
        <v>0</v>
      </c>
      <c r="B5916">
        <v>0.580838323353293</v>
      </c>
      <c r="C5916">
        <f t="shared" si="184"/>
        <v>0.12213235852341306</v>
      </c>
      <c r="D5916">
        <v>15</v>
      </c>
      <c r="E5916">
        <f t="shared" si="185"/>
        <v>1.6646803192418461E-2</v>
      </c>
    </row>
    <row r="5917" spans="1:5" x14ac:dyDescent="0.25">
      <c r="A5917">
        <v>0</v>
      </c>
      <c r="B5917">
        <v>0.58333333333333304</v>
      </c>
      <c r="C5917">
        <f t="shared" si="184"/>
        <v>0.11930438153810895</v>
      </c>
      <c r="D5917">
        <v>15</v>
      </c>
      <c r="E5917">
        <f t="shared" si="185"/>
        <v>1.6646803192418461E-2</v>
      </c>
    </row>
    <row r="5918" spans="1:5" x14ac:dyDescent="0.25">
      <c r="A5918">
        <v>0</v>
      </c>
      <c r="B5918">
        <v>0.58599999999999997</v>
      </c>
      <c r="C5918">
        <f t="shared" si="184"/>
        <v>0.11634066597165044</v>
      </c>
      <c r="D5918">
        <v>15</v>
      </c>
      <c r="E5918">
        <f t="shared" si="185"/>
        <v>1.6646803192418461E-2</v>
      </c>
    </row>
    <row r="5919" spans="1:5" x14ac:dyDescent="0.25">
      <c r="A5919">
        <v>0</v>
      </c>
      <c r="B5919">
        <v>0.58799999999999997</v>
      </c>
      <c r="C5919">
        <f t="shared" si="184"/>
        <v>0.11415729375951061</v>
      </c>
      <c r="D5919">
        <v>15</v>
      </c>
      <c r="E5919">
        <f t="shared" si="185"/>
        <v>1.6646803192418461E-2</v>
      </c>
    </row>
    <row r="5920" spans="1:5" x14ac:dyDescent="0.25">
      <c r="A5920">
        <v>0</v>
      </c>
      <c r="B5920">
        <v>0.58933333333333304</v>
      </c>
      <c r="C5920">
        <f t="shared" si="184"/>
        <v>0.1127202916883929</v>
      </c>
      <c r="D5920">
        <v>15</v>
      </c>
      <c r="E5920">
        <f t="shared" si="185"/>
        <v>1.6646803192418461E-2</v>
      </c>
    </row>
    <row r="5921" spans="1:5" x14ac:dyDescent="0.25">
      <c r="A5921">
        <v>0</v>
      </c>
      <c r="B5921">
        <v>0.59099999999999997</v>
      </c>
      <c r="C5921">
        <f t="shared" si="184"/>
        <v>0.11094476321653653</v>
      </c>
      <c r="D5921">
        <v>15</v>
      </c>
      <c r="E5921">
        <f t="shared" si="185"/>
        <v>1.6646803192418461E-2</v>
      </c>
    </row>
    <row r="5922" spans="1:5" x14ac:dyDescent="0.25">
      <c r="A5922">
        <v>0</v>
      </c>
      <c r="B5922">
        <v>0.59333333333333305</v>
      </c>
      <c r="C5922">
        <f t="shared" si="184"/>
        <v>0.10849735431656543</v>
      </c>
      <c r="D5922">
        <v>15</v>
      </c>
      <c r="E5922">
        <f t="shared" si="185"/>
        <v>1.6646803192418461E-2</v>
      </c>
    </row>
    <row r="5923" spans="1:5" x14ac:dyDescent="0.25">
      <c r="A5923">
        <v>0</v>
      </c>
      <c r="B5923">
        <v>0.59399999999999997</v>
      </c>
      <c r="C5923">
        <f t="shared" si="184"/>
        <v>0.10780624200073877</v>
      </c>
      <c r="D5923">
        <v>15</v>
      </c>
      <c r="E5923">
        <f t="shared" si="185"/>
        <v>1.6646803192418461E-2</v>
      </c>
    </row>
    <row r="5924" spans="1:5" x14ac:dyDescent="0.25">
      <c r="A5924">
        <v>0</v>
      </c>
      <c r="B5924">
        <v>0.59499999999999997</v>
      </c>
      <c r="C5924">
        <f t="shared" si="184"/>
        <v>0.10677631556001778</v>
      </c>
      <c r="D5924">
        <v>15</v>
      </c>
      <c r="E5924">
        <f t="shared" si="185"/>
        <v>1.6646803192418461E-2</v>
      </c>
    </row>
    <row r="5925" spans="1:5" x14ac:dyDescent="0.25">
      <c r="A5925">
        <v>0</v>
      </c>
      <c r="B5925">
        <v>0.59799999999999998</v>
      </c>
      <c r="C5925">
        <f t="shared" si="184"/>
        <v>0.10373468036286551</v>
      </c>
      <c r="D5925">
        <v>15</v>
      </c>
      <c r="E5925">
        <f t="shared" si="185"/>
        <v>1.6646803192418461E-2</v>
      </c>
    </row>
    <row r="5926" spans="1:5" x14ac:dyDescent="0.25">
      <c r="A5926">
        <v>0</v>
      </c>
      <c r="B5926">
        <v>0.6</v>
      </c>
      <c r="C5926">
        <f t="shared" si="184"/>
        <v>0.10174661677587983</v>
      </c>
      <c r="D5926">
        <v>15</v>
      </c>
      <c r="E5926">
        <f t="shared" si="185"/>
        <v>1.6646803192418461E-2</v>
      </c>
    </row>
    <row r="5927" spans="1:5" x14ac:dyDescent="0.25">
      <c r="A5927">
        <v>0</v>
      </c>
      <c r="B5927">
        <v>0.60166666666666702</v>
      </c>
      <c r="C5927">
        <f t="shared" si="184"/>
        <v>0.10011386434397296</v>
      </c>
      <c r="D5927">
        <v>16</v>
      </c>
      <c r="E5927">
        <f t="shared" si="185"/>
        <v>1.3192027731595203E-2</v>
      </c>
    </row>
    <row r="5928" spans="1:5" x14ac:dyDescent="0.25">
      <c r="A5928">
        <v>0</v>
      </c>
      <c r="B5928">
        <v>0.60199999999999998</v>
      </c>
      <c r="C5928">
        <f t="shared" si="184"/>
        <v>9.978990951019083E-2</v>
      </c>
      <c r="D5928">
        <v>16</v>
      </c>
      <c r="E5928">
        <f t="shared" si="185"/>
        <v>1.3192027731595203E-2</v>
      </c>
    </row>
    <row r="5929" spans="1:5" x14ac:dyDescent="0.25">
      <c r="A5929">
        <v>0</v>
      </c>
      <c r="B5929">
        <v>0.60317460317460303</v>
      </c>
      <c r="C5929">
        <f t="shared" si="184"/>
        <v>9.8655210673514779E-2</v>
      </c>
      <c r="D5929">
        <v>16</v>
      </c>
      <c r="E5929">
        <f t="shared" si="185"/>
        <v>1.3192027731595203E-2</v>
      </c>
    </row>
    <row r="5930" spans="1:5" x14ac:dyDescent="0.25">
      <c r="A5930">
        <v>0</v>
      </c>
      <c r="B5930">
        <v>0.60599999999999998</v>
      </c>
      <c r="C5930">
        <f t="shared" si="184"/>
        <v>9.5969199979771408E-2</v>
      </c>
      <c r="D5930">
        <v>16</v>
      </c>
      <c r="E5930">
        <f t="shared" si="185"/>
        <v>1.3192027731595203E-2</v>
      </c>
    </row>
    <row r="5931" spans="1:5" x14ac:dyDescent="0.25">
      <c r="A5931">
        <v>0</v>
      </c>
      <c r="B5931">
        <v>0.60599999999999998</v>
      </c>
      <c r="C5931">
        <f t="shared" si="184"/>
        <v>9.5969199979771408E-2</v>
      </c>
      <c r="D5931">
        <v>16</v>
      </c>
      <c r="E5931">
        <f t="shared" si="185"/>
        <v>1.3192027731595203E-2</v>
      </c>
    </row>
    <row r="5932" spans="1:5" x14ac:dyDescent="0.25">
      <c r="A5932">
        <v>0</v>
      </c>
      <c r="B5932">
        <v>0.60869565217391297</v>
      </c>
      <c r="C5932">
        <f t="shared" si="184"/>
        <v>9.3462979302000107E-2</v>
      </c>
      <c r="D5932">
        <v>16</v>
      </c>
      <c r="E5932">
        <f t="shared" si="185"/>
        <v>1.3192027731595203E-2</v>
      </c>
    </row>
    <row r="5933" spans="1:5" x14ac:dyDescent="0.25">
      <c r="A5933">
        <v>0</v>
      </c>
      <c r="B5933">
        <v>0.60933333333333295</v>
      </c>
      <c r="C5933">
        <f t="shared" si="184"/>
        <v>9.2878078984676204E-2</v>
      </c>
      <c r="D5933">
        <v>16</v>
      </c>
      <c r="E5933">
        <f t="shared" si="185"/>
        <v>1.3192027731595203E-2</v>
      </c>
    </row>
    <row r="5934" spans="1:5" x14ac:dyDescent="0.25">
      <c r="A5934">
        <v>0</v>
      </c>
      <c r="B5934">
        <v>0.61199999999999999</v>
      </c>
      <c r="C5934">
        <f t="shared" si="184"/>
        <v>9.0464794089816961E-2</v>
      </c>
      <c r="D5934">
        <v>16</v>
      </c>
      <c r="E5934">
        <f t="shared" si="185"/>
        <v>1.3192027731595203E-2</v>
      </c>
    </row>
    <row r="5935" spans="1:5" x14ac:dyDescent="0.25">
      <c r="A5935">
        <v>0</v>
      </c>
      <c r="B5935">
        <v>0.61448598130841103</v>
      </c>
      <c r="C5935">
        <f t="shared" si="184"/>
        <v>8.8261983605562769E-2</v>
      </c>
      <c r="D5935">
        <v>16</v>
      </c>
      <c r="E5935">
        <f t="shared" si="185"/>
        <v>1.3192027731595203E-2</v>
      </c>
    </row>
    <row r="5936" spans="1:5" x14ac:dyDescent="0.25">
      <c r="A5936">
        <v>0</v>
      </c>
      <c r="B5936">
        <v>0.61599999999999999</v>
      </c>
      <c r="C5936">
        <f t="shared" si="184"/>
        <v>8.694233893601068E-2</v>
      </c>
      <c r="D5936">
        <v>16</v>
      </c>
      <c r="E5936">
        <f t="shared" si="185"/>
        <v>1.3192027731595203E-2</v>
      </c>
    </row>
    <row r="5937" spans="1:5" x14ac:dyDescent="0.25">
      <c r="A5937">
        <v>0</v>
      </c>
      <c r="B5937">
        <v>0.62</v>
      </c>
      <c r="C5937">
        <f t="shared" si="184"/>
        <v>8.3534452372684434E-2</v>
      </c>
      <c r="D5937">
        <v>17</v>
      </c>
      <c r="E5937">
        <f t="shared" si="185"/>
        <v>1.0245189406276773E-2</v>
      </c>
    </row>
    <row r="5938" spans="1:5" x14ac:dyDescent="0.25">
      <c r="A5938">
        <v>0</v>
      </c>
      <c r="B5938">
        <v>0.62</v>
      </c>
      <c r="C5938">
        <f t="shared" si="184"/>
        <v>8.3534452372684434E-2</v>
      </c>
      <c r="D5938">
        <v>17</v>
      </c>
      <c r="E5938">
        <f t="shared" si="185"/>
        <v>1.0245189406276773E-2</v>
      </c>
    </row>
    <row r="5939" spans="1:5" x14ac:dyDescent="0.25">
      <c r="A5939">
        <v>0</v>
      </c>
      <c r="B5939">
        <v>0.62</v>
      </c>
      <c r="C5939">
        <f t="shared" si="184"/>
        <v>8.3534452372684434E-2</v>
      </c>
      <c r="D5939">
        <v>17</v>
      </c>
      <c r="E5939">
        <f t="shared" si="185"/>
        <v>1.0245189406276773E-2</v>
      </c>
    </row>
    <row r="5940" spans="1:5" x14ac:dyDescent="0.25">
      <c r="A5940">
        <v>0</v>
      </c>
      <c r="B5940">
        <v>0.623</v>
      </c>
      <c r="C5940">
        <f t="shared" si="184"/>
        <v>8.1052107594360337E-2</v>
      </c>
      <c r="D5940">
        <v>17</v>
      </c>
      <c r="E5940">
        <f t="shared" si="185"/>
        <v>1.0245189406276773E-2</v>
      </c>
    </row>
    <row r="5941" spans="1:5" x14ac:dyDescent="0.25">
      <c r="A5941">
        <v>0</v>
      </c>
      <c r="B5941">
        <v>0.624</v>
      </c>
      <c r="C5941">
        <f t="shared" si="184"/>
        <v>8.0238449909450893E-2</v>
      </c>
      <c r="D5941">
        <v>17</v>
      </c>
      <c r="E5941">
        <f t="shared" si="185"/>
        <v>1.0245189406276773E-2</v>
      </c>
    </row>
    <row r="5942" spans="1:5" x14ac:dyDescent="0.25">
      <c r="A5942">
        <v>0</v>
      </c>
      <c r="B5942">
        <v>0.624</v>
      </c>
      <c r="C5942">
        <f t="shared" si="184"/>
        <v>8.0238449909450893E-2</v>
      </c>
      <c r="D5942">
        <v>17</v>
      </c>
      <c r="E5942">
        <f t="shared" si="185"/>
        <v>1.0245189406276773E-2</v>
      </c>
    </row>
    <row r="5943" spans="1:5" x14ac:dyDescent="0.25">
      <c r="A5943">
        <v>0</v>
      </c>
      <c r="B5943">
        <v>0.62470862470862498</v>
      </c>
      <c r="C5943">
        <f t="shared" si="184"/>
        <v>7.9666006735820111E-2</v>
      </c>
      <c r="D5943">
        <v>17</v>
      </c>
      <c r="E5943">
        <f t="shared" si="185"/>
        <v>1.0245189406276773E-2</v>
      </c>
    </row>
    <row r="5944" spans="1:5" x14ac:dyDescent="0.25">
      <c r="A5944">
        <v>0</v>
      </c>
      <c r="B5944">
        <v>0.62533333333333296</v>
      </c>
      <c r="C5944">
        <f t="shared" si="184"/>
        <v>7.9164183922555961E-2</v>
      </c>
      <c r="D5944">
        <v>17</v>
      </c>
      <c r="E5944">
        <f t="shared" si="185"/>
        <v>1.0245189406276773E-2</v>
      </c>
    </row>
    <row r="5945" spans="1:5" x14ac:dyDescent="0.25">
      <c r="A5945">
        <v>0</v>
      </c>
      <c r="B5945">
        <v>0.62666666666666704</v>
      </c>
      <c r="C5945">
        <f t="shared" si="184"/>
        <v>7.8101954556390865E-2</v>
      </c>
      <c r="D5945">
        <v>17</v>
      </c>
      <c r="E5945">
        <f t="shared" si="185"/>
        <v>1.0245189406276773E-2</v>
      </c>
    </row>
    <row r="5946" spans="1:5" x14ac:dyDescent="0.25">
      <c r="A5946">
        <v>0</v>
      </c>
      <c r="B5946">
        <v>0.628</v>
      </c>
      <c r="C5946">
        <f t="shared" si="184"/>
        <v>7.7051663689424427E-2</v>
      </c>
      <c r="D5946">
        <v>17</v>
      </c>
      <c r="E5946">
        <f t="shared" si="185"/>
        <v>1.0245189406276773E-2</v>
      </c>
    </row>
    <row r="5947" spans="1:5" x14ac:dyDescent="0.25">
      <c r="A5947">
        <v>0</v>
      </c>
      <c r="B5947">
        <v>0.629</v>
      </c>
      <c r="C5947">
        <f t="shared" si="184"/>
        <v>7.6271721293514602E-2</v>
      </c>
      <c r="D5947">
        <v>17</v>
      </c>
      <c r="E5947">
        <f t="shared" si="185"/>
        <v>1.0245189406276773E-2</v>
      </c>
    </row>
    <row r="5948" spans="1:5" x14ac:dyDescent="0.25">
      <c r="A5948">
        <v>0</v>
      </c>
      <c r="B5948">
        <v>0.62962962962962998</v>
      </c>
      <c r="C5948">
        <f t="shared" si="184"/>
        <v>7.5784044891419322E-2</v>
      </c>
      <c r="D5948">
        <v>17</v>
      </c>
      <c r="E5948">
        <f t="shared" si="185"/>
        <v>1.0245189406276773E-2</v>
      </c>
    </row>
    <row r="5949" spans="1:5" x14ac:dyDescent="0.25">
      <c r="A5949">
        <v>0</v>
      </c>
      <c r="B5949">
        <v>0.62962962962962998</v>
      </c>
      <c r="C5949">
        <f t="shared" si="184"/>
        <v>7.5784044891419322E-2</v>
      </c>
      <c r="D5949">
        <v>17</v>
      </c>
      <c r="E5949">
        <f t="shared" si="185"/>
        <v>1.0245189406276773E-2</v>
      </c>
    </row>
    <row r="5950" spans="1:5" x14ac:dyDescent="0.25">
      <c r="A5950">
        <v>0</v>
      </c>
      <c r="B5950">
        <v>0.62962962962962998</v>
      </c>
      <c r="C5950">
        <f t="shared" si="184"/>
        <v>7.5784044891419322E-2</v>
      </c>
      <c r="D5950">
        <v>17</v>
      </c>
      <c r="E5950">
        <f t="shared" si="185"/>
        <v>1.0245189406276773E-2</v>
      </c>
    </row>
    <row r="5951" spans="1:5" x14ac:dyDescent="0.25">
      <c r="A5951">
        <v>0</v>
      </c>
      <c r="B5951">
        <v>0.62962962962962998</v>
      </c>
      <c r="C5951">
        <f t="shared" si="184"/>
        <v>7.5784044891419322E-2</v>
      </c>
      <c r="D5951">
        <v>17</v>
      </c>
      <c r="E5951">
        <f t="shared" si="185"/>
        <v>1.0245189406276773E-2</v>
      </c>
    </row>
    <row r="5952" spans="1:5" x14ac:dyDescent="0.25">
      <c r="A5952">
        <v>0</v>
      </c>
      <c r="B5952">
        <v>0.62962962962962998</v>
      </c>
      <c r="C5952">
        <f t="shared" si="184"/>
        <v>7.5784044891419322E-2</v>
      </c>
      <c r="D5952">
        <v>17</v>
      </c>
      <c r="E5952">
        <f t="shared" si="185"/>
        <v>1.0245189406276773E-2</v>
      </c>
    </row>
    <row r="5953" spans="1:5" x14ac:dyDescent="0.25">
      <c r="A5953">
        <v>0</v>
      </c>
      <c r="B5953">
        <v>0.63266666666666704</v>
      </c>
      <c r="C5953">
        <f t="shared" si="184"/>
        <v>7.3468250656390663E-2</v>
      </c>
      <c r="D5953">
        <v>18</v>
      </c>
      <c r="E5953">
        <f t="shared" si="185"/>
        <v>7.7975138281977394E-3</v>
      </c>
    </row>
    <row r="5954" spans="1:5" x14ac:dyDescent="0.25">
      <c r="A5954">
        <v>0</v>
      </c>
      <c r="B5954">
        <v>0.63333333333333297</v>
      </c>
      <c r="C5954">
        <f t="shared" ref="C5954:C6017" si="186">_xlfn.NORM.DIST(B5954,I$10,I$13,FALSE)</f>
        <v>7.2967931687778875E-2</v>
      </c>
      <c r="D5954">
        <v>18</v>
      </c>
      <c r="E5954">
        <f t="shared" si="185"/>
        <v>7.7975138281977394E-3</v>
      </c>
    </row>
    <row r="5955" spans="1:5" x14ac:dyDescent="0.25">
      <c r="A5955">
        <v>0</v>
      </c>
      <c r="B5955">
        <v>0.64102564102564097</v>
      </c>
      <c r="C5955">
        <f t="shared" si="186"/>
        <v>6.7399061892917278E-2</v>
      </c>
      <c r="D5955">
        <v>18</v>
      </c>
      <c r="E5955">
        <f t="shared" ref="E5955:E6018" si="187">_xlfn.NORM.DIST(D5955,I$4,I$7,FALSE)</f>
        <v>7.7975138281977394E-3</v>
      </c>
    </row>
    <row r="5956" spans="1:5" x14ac:dyDescent="0.25">
      <c r="A5956">
        <v>0</v>
      </c>
      <c r="B5956">
        <v>0.64200000000000002</v>
      </c>
      <c r="C5956">
        <f t="shared" si="186"/>
        <v>6.671993766278167E-2</v>
      </c>
      <c r="D5956">
        <v>18</v>
      </c>
      <c r="E5956">
        <f t="shared" si="187"/>
        <v>7.7975138281977394E-3</v>
      </c>
    </row>
    <row r="5957" spans="1:5" x14ac:dyDescent="0.25">
      <c r="A5957">
        <v>0</v>
      </c>
      <c r="B5957">
        <v>0.64705882352941202</v>
      </c>
      <c r="C5957">
        <f t="shared" si="186"/>
        <v>6.3286096510028117E-2</v>
      </c>
      <c r="D5957">
        <v>18</v>
      </c>
      <c r="E5957">
        <f t="shared" si="187"/>
        <v>7.7975138281977394E-3</v>
      </c>
    </row>
    <row r="5958" spans="1:5" x14ac:dyDescent="0.25">
      <c r="A5958">
        <v>0</v>
      </c>
      <c r="B5958">
        <v>0.64963503649635002</v>
      </c>
      <c r="C5958">
        <f t="shared" si="186"/>
        <v>6.1595670115693092E-2</v>
      </c>
      <c r="D5958">
        <v>18</v>
      </c>
      <c r="E5958">
        <f t="shared" si="187"/>
        <v>7.7975138281977394E-3</v>
      </c>
    </row>
    <row r="5959" spans="1:5" x14ac:dyDescent="0.25">
      <c r="A5959">
        <v>0</v>
      </c>
      <c r="B5959">
        <v>0.65268065268065301</v>
      </c>
      <c r="C5959">
        <f t="shared" si="186"/>
        <v>5.9646756062836231E-2</v>
      </c>
      <c r="D5959">
        <v>18</v>
      </c>
      <c r="E5959">
        <f t="shared" si="187"/>
        <v>7.7975138281977394E-3</v>
      </c>
    </row>
    <row r="5960" spans="1:5" x14ac:dyDescent="0.25">
      <c r="A5960">
        <v>0</v>
      </c>
      <c r="B5960">
        <v>0.65366666666666695</v>
      </c>
      <c r="C5960">
        <f t="shared" si="186"/>
        <v>5.9027124485493264E-2</v>
      </c>
      <c r="D5960">
        <v>18</v>
      </c>
      <c r="E5960">
        <f t="shared" si="187"/>
        <v>7.7975138281977394E-3</v>
      </c>
    </row>
    <row r="5961" spans="1:5" x14ac:dyDescent="0.25">
      <c r="A5961">
        <v>0</v>
      </c>
      <c r="B5961">
        <v>0.65441176470588203</v>
      </c>
      <c r="C5961">
        <f t="shared" si="186"/>
        <v>5.8562524880975582E-2</v>
      </c>
      <c r="D5961">
        <v>18</v>
      </c>
      <c r="E5961">
        <f t="shared" si="187"/>
        <v>7.7975138281977394E-3</v>
      </c>
    </row>
    <row r="5962" spans="1:5" x14ac:dyDescent="0.25">
      <c r="A5962">
        <v>0</v>
      </c>
      <c r="B5962">
        <v>0.661333333333333</v>
      </c>
      <c r="C5962">
        <f t="shared" si="186"/>
        <v>5.4393268738566418E-2</v>
      </c>
      <c r="D5962">
        <v>18</v>
      </c>
      <c r="E5962">
        <f t="shared" si="187"/>
        <v>7.7975138281977394E-3</v>
      </c>
    </row>
    <row r="5963" spans="1:5" x14ac:dyDescent="0.25">
      <c r="A5963">
        <v>0</v>
      </c>
      <c r="B5963">
        <v>0.66266666666666696</v>
      </c>
      <c r="C5963">
        <f t="shared" si="186"/>
        <v>5.3619911336313178E-2</v>
      </c>
      <c r="D5963">
        <v>18</v>
      </c>
      <c r="E5963">
        <f t="shared" si="187"/>
        <v>7.7975138281977394E-3</v>
      </c>
    </row>
    <row r="5964" spans="1:5" x14ac:dyDescent="0.25">
      <c r="A5964">
        <v>0</v>
      </c>
      <c r="B5964">
        <v>0.663333333333333</v>
      </c>
      <c r="C5964">
        <f t="shared" si="186"/>
        <v>5.3236766088293079E-2</v>
      </c>
      <c r="D5964">
        <v>18</v>
      </c>
      <c r="E5964">
        <f t="shared" si="187"/>
        <v>7.7975138281977394E-3</v>
      </c>
    </row>
    <row r="5965" spans="1:5" x14ac:dyDescent="0.25">
      <c r="A5965">
        <v>0</v>
      </c>
      <c r="B5965">
        <v>0.66666666666666696</v>
      </c>
      <c r="C5965">
        <f t="shared" si="186"/>
        <v>5.1355932302581071E-2</v>
      </c>
      <c r="D5965">
        <v>19</v>
      </c>
      <c r="E5965">
        <f t="shared" si="187"/>
        <v>5.8159416560148985E-3</v>
      </c>
    </row>
    <row r="5966" spans="1:5" x14ac:dyDescent="0.25">
      <c r="A5966">
        <v>0</v>
      </c>
      <c r="B5966">
        <v>0.66666666666666696</v>
      </c>
      <c r="C5966">
        <f t="shared" si="186"/>
        <v>5.1355932302581071E-2</v>
      </c>
      <c r="D5966">
        <v>19</v>
      </c>
      <c r="E5966">
        <f t="shared" si="187"/>
        <v>5.8159416560148985E-3</v>
      </c>
    </row>
    <row r="5967" spans="1:5" x14ac:dyDescent="0.25">
      <c r="A5967">
        <v>0</v>
      </c>
      <c r="B5967">
        <v>0.66800000000000004</v>
      </c>
      <c r="C5967">
        <f t="shared" si="186"/>
        <v>5.0619676883301462E-2</v>
      </c>
      <c r="D5967">
        <v>19</v>
      </c>
      <c r="E5967">
        <f t="shared" si="187"/>
        <v>5.8159416560148985E-3</v>
      </c>
    </row>
    <row r="5968" spans="1:5" x14ac:dyDescent="0.25">
      <c r="A5968">
        <v>0</v>
      </c>
      <c r="B5968">
        <v>0.669333333333333</v>
      </c>
      <c r="C5968">
        <f t="shared" si="186"/>
        <v>4.9892477943447013E-2</v>
      </c>
      <c r="D5968">
        <v>19</v>
      </c>
      <c r="E5968">
        <f t="shared" si="187"/>
        <v>5.8159416560148985E-3</v>
      </c>
    </row>
    <row r="5969" spans="1:5" x14ac:dyDescent="0.25">
      <c r="A5969">
        <v>0</v>
      </c>
      <c r="B5969">
        <v>0.67065868263473005</v>
      </c>
      <c r="C5969">
        <f t="shared" si="186"/>
        <v>4.9178523001520036E-2</v>
      </c>
      <c r="D5969">
        <v>19</v>
      </c>
      <c r="E5969">
        <f t="shared" si="187"/>
        <v>5.8159416560148985E-3</v>
      </c>
    </row>
    <row r="5970" spans="1:5" x14ac:dyDescent="0.25">
      <c r="A5970">
        <v>0</v>
      </c>
      <c r="B5970">
        <v>0.67300000000000004</v>
      </c>
      <c r="C5970">
        <f t="shared" si="186"/>
        <v>4.7938671841973257E-2</v>
      </c>
      <c r="D5970">
        <v>19</v>
      </c>
      <c r="E5970">
        <f t="shared" si="187"/>
        <v>5.8159416560148985E-3</v>
      </c>
    </row>
    <row r="5971" spans="1:5" x14ac:dyDescent="0.25">
      <c r="A5971">
        <v>0</v>
      </c>
      <c r="B5971">
        <v>0.67532467532467499</v>
      </c>
      <c r="C5971">
        <f t="shared" si="186"/>
        <v>4.6734278221889976E-2</v>
      </c>
      <c r="D5971">
        <v>19</v>
      </c>
      <c r="E5971">
        <f t="shared" si="187"/>
        <v>5.8159416560148985E-3</v>
      </c>
    </row>
    <row r="5972" spans="1:5" x14ac:dyDescent="0.25">
      <c r="A5972">
        <v>0</v>
      </c>
      <c r="B5972">
        <v>0.67800000000000005</v>
      </c>
      <c r="C5972">
        <f t="shared" si="186"/>
        <v>4.5380489203699984E-2</v>
      </c>
      <c r="D5972">
        <v>19</v>
      </c>
      <c r="E5972">
        <f t="shared" si="187"/>
        <v>5.8159416560148985E-3</v>
      </c>
    </row>
    <row r="5973" spans="1:5" x14ac:dyDescent="0.25">
      <c r="A5973">
        <v>0</v>
      </c>
      <c r="B5973">
        <v>0.68200000000000005</v>
      </c>
      <c r="C5973">
        <f t="shared" si="186"/>
        <v>4.341938097935328E-2</v>
      </c>
      <c r="D5973">
        <v>19</v>
      </c>
      <c r="E5973">
        <f t="shared" si="187"/>
        <v>5.8159416560148985E-3</v>
      </c>
    </row>
    <row r="5974" spans="1:5" x14ac:dyDescent="0.25">
      <c r="A5974">
        <v>0</v>
      </c>
      <c r="B5974">
        <v>0.68200000000000005</v>
      </c>
      <c r="C5974">
        <f t="shared" si="186"/>
        <v>4.341938097935328E-2</v>
      </c>
      <c r="D5974">
        <v>19</v>
      </c>
      <c r="E5974">
        <f t="shared" si="187"/>
        <v>5.8159416560148985E-3</v>
      </c>
    </row>
    <row r="5975" spans="1:5" x14ac:dyDescent="0.25">
      <c r="A5975">
        <v>0</v>
      </c>
      <c r="B5975">
        <v>0.68461538461538496</v>
      </c>
      <c r="C5975">
        <f t="shared" si="186"/>
        <v>4.2177006334553839E-2</v>
      </c>
      <c r="D5975">
        <v>19</v>
      </c>
      <c r="E5975">
        <f t="shared" si="187"/>
        <v>5.8159416560148985E-3</v>
      </c>
    </row>
    <row r="5976" spans="1:5" x14ac:dyDescent="0.25">
      <c r="A5976">
        <v>0</v>
      </c>
      <c r="B5976">
        <v>0.68799999999999994</v>
      </c>
      <c r="C5976">
        <f t="shared" si="186"/>
        <v>4.0614879117895283E-2</v>
      </c>
      <c r="D5976">
        <v>19</v>
      </c>
      <c r="E5976">
        <f t="shared" si="187"/>
        <v>5.8159416560148985E-3</v>
      </c>
    </row>
    <row r="5977" spans="1:5" x14ac:dyDescent="0.25">
      <c r="A5977">
        <v>0</v>
      </c>
      <c r="B5977">
        <v>0.68899999999999995</v>
      </c>
      <c r="C5977">
        <f t="shared" si="186"/>
        <v>4.0163023970068289E-2</v>
      </c>
      <c r="D5977">
        <v>19</v>
      </c>
      <c r="E5977">
        <f t="shared" si="187"/>
        <v>5.8159416560148985E-3</v>
      </c>
    </row>
    <row r="5978" spans="1:5" x14ac:dyDescent="0.25">
      <c r="A5978">
        <v>0</v>
      </c>
      <c r="B5978">
        <v>0.69158878504672905</v>
      </c>
      <c r="C5978">
        <f t="shared" si="186"/>
        <v>3.9013420614715452E-2</v>
      </c>
      <c r="D5978">
        <v>19</v>
      </c>
      <c r="E5978">
        <f t="shared" si="187"/>
        <v>5.8159416560148985E-3</v>
      </c>
    </row>
    <row r="5979" spans="1:5" x14ac:dyDescent="0.25">
      <c r="A5979">
        <v>0</v>
      </c>
      <c r="B5979">
        <v>0.69166666666666698</v>
      </c>
      <c r="C5979">
        <f t="shared" si="186"/>
        <v>3.8979281930115899E-2</v>
      </c>
      <c r="D5979">
        <v>19</v>
      </c>
      <c r="E5979">
        <f t="shared" si="187"/>
        <v>5.8159416560148985E-3</v>
      </c>
    </row>
    <row r="5980" spans="1:5" x14ac:dyDescent="0.25">
      <c r="A5980">
        <v>0</v>
      </c>
      <c r="B5980">
        <v>0.69230769230769196</v>
      </c>
      <c r="C5980">
        <f t="shared" si="186"/>
        <v>3.8699276058748192E-2</v>
      </c>
      <c r="D5980">
        <v>20</v>
      </c>
      <c r="E5980">
        <f t="shared" si="187"/>
        <v>4.2512011481571849E-3</v>
      </c>
    </row>
    <row r="5981" spans="1:5" x14ac:dyDescent="0.25">
      <c r="A5981">
        <v>0</v>
      </c>
      <c r="B5981">
        <v>0.69230769230769196</v>
      </c>
      <c r="C5981">
        <f t="shared" si="186"/>
        <v>3.8699276058748192E-2</v>
      </c>
      <c r="D5981">
        <v>20</v>
      </c>
      <c r="E5981">
        <f t="shared" si="187"/>
        <v>4.2512011481571849E-3</v>
      </c>
    </row>
    <row r="5982" spans="1:5" x14ac:dyDescent="0.25">
      <c r="A5982">
        <v>0</v>
      </c>
      <c r="B5982">
        <v>0.69230769230769196</v>
      </c>
      <c r="C5982">
        <f t="shared" si="186"/>
        <v>3.8699276058748192E-2</v>
      </c>
      <c r="D5982">
        <v>20</v>
      </c>
      <c r="E5982">
        <f t="shared" si="187"/>
        <v>4.2512011481571849E-3</v>
      </c>
    </row>
    <row r="5983" spans="1:5" x14ac:dyDescent="0.25">
      <c r="A5983">
        <v>0</v>
      </c>
      <c r="B5983">
        <v>0.69333333333333302</v>
      </c>
      <c r="C5983">
        <f t="shared" si="186"/>
        <v>3.8254891915030821E-2</v>
      </c>
      <c r="D5983">
        <v>20</v>
      </c>
      <c r="E5983">
        <f t="shared" si="187"/>
        <v>4.2512011481571849E-3</v>
      </c>
    </row>
    <row r="5984" spans="1:5" x14ac:dyDescent="0.25">
      <c r="A5984">
        <v>0</v>
      </c>
      <c r="B5984">
        <v>0.69788519637462199</v>
      </c>
      <c r="C5984">
        <f t="shared" si="186"/>
        <v>3.6335664081342055E-2</v>
      </c>
      <c r="D5984">
        <v>20</v>
      </c>
      <c r="E5984">
        <f t="shared" si="187"/>
        <v>4.2512011481571849E-3</v>
      </c>
    </row>
    <row r="5985" spans="1:5" x14ac:dyDescent="0.25">
      <c r="A5985">
        <v>0</v>
      </c>
      <c r="B5985">
        <v>0.7</v>
      </c>
      <c r="C5985">
        <f t="shared" si="186"/>
        <v>3.5472820550417276E-2</v>
      </c>
      <c r="D5985">
        <v>20</v>
      </c>
      <c r="E5985">
        <f t="shared" si="187"/>
        <v>4.2512011481571849E-3</v>
      </c>
    </row>
    <row r="5986" spans="1:5" x14ac:dyDescent="0.25">
      <c r="A5986">
        <v>0</v>
      </c>
      <c r="B5986">
        <v>0.70093457943925197</v>
      </c>
      <c r="C5986">
        <f t="shared" si="186"/>
        <v>3.5097222727950891E-2</v>
      </c>
      <c r="D5986">
        <v>20</v>
      </c>
      <c r="E5986">
        <f t="shared" si="187"/>
        <v>4.2512011481571849E-3</v>
      </c>
    </row>
    <row r="5987" spans="1:5" x14ac:dyDescent="0.25">
      <c r="A5987">
        <v>0</v>
      </c>
      <c r="B5987">
        <v>0.70099999999999996</v>
      </c>
      <c r="C5987">
        <f t="shared" si="186"/>
        <v>3.5071060925035591E-2</v>
      </c>
      <c r="D5987">
        <v>20</v>
      </c>
      <c r="E5987">
        <f t="shared" si="187"/>
        <v>4.2512011481571849E-3</v>
      </c>
    </row>
    <row r="5988" spans="1:5" x14ac:dyDescent="0.25">
      <c r="A5988">
        <v>0</v>
      </c>
      <c r="B5988">
        <v>0.70370370370370405</v>
      </c>
      <c r="C5988">
        <f t="shared" si="186"/>
        <v>3.4004581353410009E-2</v>
      </c>
      <c r="D5988">
        <v>21</v>
      </c>
      <c r="E5988">
        <f t="shared" si="187"/>
        <v>3.0453063863102249E-3</v>
      </c>
    </row>
    <row r="5989" spans="1:5" x14ac:dyDescent="0.25">
      <c r="A5989">
        <v>0</v>
      </c>
      <c r="B5989">
        <v>0.70370370370370405</v>
      </c>
      <c r="C5989">
        <f t="shared" si="186"/>
        <v>3.4004581353410009E-2</v>
      </c>
      <c r="D5989">
        <v>21</v>
      </c>
      <c r="E5989">
        <f t="shared" si="187"/>
        <v>3.0453063863102249E-3</v>
      </c>
    </row>
    <row r="5990" spans="1:5" x14ac:dyDescent="0.25">
      <c r="A5990">
        <v>0</v>
      </c>
      <c r="B5990">
        <v>0.70499999999999996</v>
      </c>
      <c r="C5990">
        <f t="shared" si="186"/>
        <v>3.3503351218642716E-2</v>
      </c>
      <c r="D5990">
        <v>21</v>
      </c>
      <c r="E5990">
        <f t="shared" si="187"/>
        <v>3.0453063863102249E-3</v>
      </c>
    </row>
    <row r="5991" spans="1:5" x14ac:dyDescent="0.25">
      <c r="A5991">
        <v>0</v>
      </c>
      <c r="B5991">
        <v>0.706666666666667</v>
      </c>
      <c r="C5991">
        <f t="shared" si="186"/>
        <v>3.2868381978057352E-2</v>
      </c>
      <c r="D5991">
        <v>21</v>
      </c>
      <c r="E5991">
        <f t="shared" si="187"/>
        <v>3.0453063863102249E-3</v>
      </c>
    </row>
    <row r="5992" spans="1:5" x14ac:dyDescent="0.25">
      <c r="A5992">
        <v>0</v>
      </c>
      <c r="B5992">
        <v>0.706666666666667</v>
      </c>
      <c r="C5992">
        <f t="shared" si="186"/>
        <v>3.2868381978057352E-2</v>
      </c>
      <c r="D5992">
        <v>21</v>
      </c>
      <c r="E5992">
        <f t="shared" si="187"/>
        <v>3.0453063863102249E-3</v>
      </c>
    </row>
    <row r="5993" spans="1:5" x14ac:dyDescent="0.25">
      <c r="A5993">
        <v>0</v>
      </c>
      <c r="B5993">
        <v>0.70799999999999996</v>
      </c>
      <c r="C5993">
        <f t="shared" si="186"/>
        <v>3.2367988377282372E-2</v>
      </c>
      <c r="D5993">
        <v>21</v>
      </c>
      <c r="E5993">
        <f t="shared" si="187"/>
        <v>3.0453063863102249E-3</v>
      </c>
    </row>
    <row r="5994" spans="1:5" x14ac:dyDescent="0.25">
      <c r="A5994">
        <v>0</v>
      </c>
      <c r="B5994">
        <v>0.70933333333333304</v>
      </c>
      <c r="C5994">
        <f t="shared" si="186"/>
        <v>3.18742553803288E-2</v>
      </c>
      <c r="D5994">
        <v>21</v>
      </c>
      <c r="E5994">
        <f t="shared" si="187"/>
        <v>3.0453063863102249E-3</v>
      </c>
    </row>
    <row r="5995" spans="1:5" x14ac:dyDescent="0.25">
      <c r="A5995">
        <v>0</v>
      </c>
      <c r="B5995">
        <v>0.710280373831776</v>
      </c>
      <c r="C5995">
        <f t="shared" si="186"/>
        <v>3.1527572483181665E-2</v>
      </c>
      <c r="D5995">
        <v>21</v>
      </c>
      <c r="E5995">
        <f t="shared" si="187"/>
        <v>3.0453063863102249E-3</v>
      </c>
    </row>
    <row r="5996" spans="1:5" x14ac:dyDescent="0.25">
      <c r="A5996">
        <v>0</v>
      </c>
      <c r="B5996">
        <v>0.710666666666667</v>
      </c>
      <c r="C5996">
        <f t="shared" si="186"/>
        <v>3.1387110823400337E-2</v>
      </c>
      <c r="D5996">
        <v>21</v>
      </c>
      <c r="E5996">
        <f t="shared" si="187"/>
        <v>3.0453063863102249E-3</v>
      </c>
    </row>
    <row r="5997" spans="1:5" x14ac:dyDescent="0.25">
      <c r="A5997">
        <v>0</v>
      </c>
      <c r="B5997">
        <v>0.71499999999999997</v>
      </c>
      <c r="C5997">
        <f t="shared" si="186"/>
        <v>2.9848529947269106E-2</v>
      </c>
      <c r="D5997">
        <v>21</v>
      </c>
      <c r="E5997">
        <f t="shared" si="187"/>
        <v>3.0453063863102249E-3</v>
      </c>
    </row>
    <row r="5998" spans="1:5" x14ac:dyDescent="0.25">
      <c r="A5998">
        <v>0</v>
      </c>
      <c r="B5998">
        <v>0.71666666666666701</v>
      </c>
      <c r="C5998">
        <f t="shared" si="186"/>
        <v>2.9274583167609409E-2</v>
      </c>
      <c r="D5998">
        <v>22</v>
      </c>
      <c r="E5998">
        <f t="shared" si="187"/>
        <v>2.1378540744483579E-3</v>
      </c>
    </row>
    <row r="5999" spans="1:5" x14ac:dyDescent="0.25">
      <c r="A5999">
        <v>0</v>
      </c>
      <c r="B5999">
        <v>0.72</v>
      </c>
      <c r="C5999">
        <f t="shared" si="186"/>
        <v>2.8155621305703725E-2</v>
      </c>
      <c r="D5999">
        <v>22</v>
      </c>
      <c r="E5999">
        <f t="shared" si="187"/>
        <v>2.1378540744483579E-3</v>
      </c>
    </row>
    <row r="6000" spans="1:5" x14ac:dyDescent="0.25">
      <c r="A6000">
        <v>0</v>
      </c>
      <c r="B6000">
        <v>0.72133333333333305</v>
      </c>
      <c r="C6000">
        <f t="shared" si="186"/>
        <v>2.7718648018522387E-2</v>
      </c>
      <c r="D6000">
        <v>22</v>
      </c>
      <c r="E6000">
        <f t="shared" si="187"/>
        <v>2.1378540744483579E-3</v>
      </c>
    </row>
    <row r="6001" spans="1:5" x14ac:dyDescent="0.25">
      <c r="A6001">
        <v>0</v>
      </c>
      <c r="B6001">
        <v>0.72833333333333306</v>
      </c>
      <c r="C6001">
        <f t="shared" si="186"/>
        <v>2.5520806159485421E-2</v>
      </c>
      <c r="D6001">
        <v>22</v>
      </c>
      <c r="E6001">
        <f t="shared" si="187"/>
        <v>2.1378540744483579E-3</v>
      </c>
    </row>
    <row r="6002" spans="1:5" x14ac:dyDescent="0.25">
      <c r="A6002">
        <v>0</v>
      </c>
      <c r="B6002">
        <v>0.73333333333333295</v>
      </c>
      <c r="C6002">
        <f t="shared" si="186"/>
        <v>2.4046249487843223E-2</v>
      </c>
      <c r="D6002">
        <v>22</v>
      </c>
      <c r="E6002">
        <f t="shared" si="187"/>
        <v>2.1378540744483579E-3</v>
      </c>
    </row>
    <row r="6003" spans="1:5" x14ac:dyDescent="0.25">
      <c r="A6003">
        <v>0</v>
      </c>
      <c r="B6003">
        <v>0.73599999999999999</v>
      </c>
      <c r="C6003">
        <f t="shared" si="186"/>
        <v>2.3290952445952633E-2</v>
      </c>
      <c r="D6003">
        <v>22</v>
      </c>
      <c r="E6003">
        <f t="shared" si="187"/>
        <v>2.1378540744483579E-3</v>
      </c>
    </row>
    <row r="6004" spans="1:5" x14ac:dyDescent="0.25">
      <c r="A6004">
        <v>0</v>
      </c>
      <c r="B6004">
        <v>0.74074074074074103</v>
      </c>
      <c r="C6004">
        <f t="shared" si="186"/>
        <v>2.1999774317883455E-2</v>
      </c>
      <c r="D6004">
        <v>22</v>
      </c>
      <c r="E6004">
        <f t="shared" si="187"/>
        <v>2.1378540744483579E-3</v>
      </c>
    </row>
    <row r="6005" spans="1:5" x14ac:dyDescent="0.25">
      <c r="A6005">
        <v>0</v>
      </c>
      <c r="B6005">
        <v>0.74199999999999999</v>
      </c>
      <c r="C6005">
        <f t="shared" si="186"/>
        <v>2.1667621081272605E-2</v>
      </c>
      <c r="D6005">
        <v>22</v>
      </c>
      <c r="E6005">
        <f t="shared" si="187"/>
        <v>2.1378540744483579E-3</v>
      </c>
    </row>
    <row r="6006" spans="1:5" x14ac:dyDescent="0.25">
      <c r="A6006">
        <v>0</v>
      </c>
      <c r="B6006">
        <v>0.74399999999999999</v>
      </c>
      <c r="C6006">
        <f t="shared" si="186"/>
        <v>2.1149195652754697E-2</v>
      </c>
      <c r="D6006">
        <v>23</v>
      </c>
      <c r="E6006">
        <f t="shared" si="187"/>
        <v>1.4707973817556764E-3</v>
      </c>
    </row>
    <row r="6007" spans="1:5" x14ac:dyDescent="0.25">
      <c r="A6007">
        <v>0</v>
      </c>
      <c r="B6007">
        <v>0.74866666666666704</v>
      </c>
      <c r="C6007">
        <f t="shared" si="186"/>
        <v>1.9982009421040486E-2</v>
      </c>
      <c r="D6007">
        <v>23</v>
      </c>
      <c r="E6007">
        <f t="shared" si="187"/>
        <v>1.4707973817556764E-3</v>
      </c>
    </row>
    <row r="6008" spans="1:5" x14ac:dyDescent="0.25">
      <c r="A6008">
        <v>0</v>
      </c>
      <c r="B6008">
        <v>0.751</v>
      </c>
      <c r="C6008">
        <f t="shared" si="186"/>
        <v>1.9420118856197356E-2</v>
      </c>
      <c r="D6008">
        <v>23</v>
      </c>
      <c r="E6008">
        <f t="shared" si="187"/>
        <v>1.4707973817556764E-3</v>
      </c>
    </row>
    <row r="6009" spans="1:5" x14ac:dyDescent="0.25">
      <c r="A6009">
        <v>0</v>
      </c>
      <c r="B6009">
        <v>0.754</v>
      </c>
      <c r="C6009">
        <f t="shared" si="186"/>
        <v>1.8718311963892335E-2</v>
      </c>
      <c r="D6009">
        <v>23</v>
      </c>
      <c r="E6009">
        <f t="shared" si="187"/>
        <v>1.4707973817556764E-3</v>
      </c>
    </row>
    <row r="6010" spans="1:5" x14ac:dyDescent="0.25">
      <c r="A6010">
        <v>0</v>
      </c>
      <c r="B6010">
        <v>0.75600000000000001</v>
      </c>
      <c r="C6010">
        <f t="shared" si="186"/>
        <v>1.8263044979628072E-2</v>
      </c>
      <c r="D6010">
        <v>23</v>
      </c>
      <c r="E6010">
        <f t="shared" si="187"/>
        <v>1.4707973817556764E-3</v>
      </c>
    </row>
    <row r="6011" spans="1:5" x14ac:dyDescent="0.25">
      <c r="A6011">
        <v>0</v>
      </c>
      <c r="B6011">
        <v>0.75866666666666704</v>
      </c>
      <c r="C6011">
        <f t="shared" si="186"/>
        <v>1.767134230368566E-2</v>
      </c>
      <c r="D6011">
        <v>23</v>
      </c>
      <c r="E6011">
        <f t="shared" si="187"/>
        <v>1.4707973817556764E-3</v>
      </c>
    </row>
    <row r="6012" spans="1:5" x14ac:dyDescent="0.25">
      <c r="A6012">
        <v>0</v>
      </c>
      <c r="B6012">
        <v>0.76400000000000001</v>
      </c>
      <c r="C6012">
        <f t="shared" si="186"/>
        <v>1.6538864694972361E-2</v>
      </c>
      <c r="D6012">
        <v>23</v>
      </c>
      <c r="E6012">
        <f t="shared" si="187"/>
        <v>1.4707973817556764E-3</v>
      </c>
    </row>
    <row r="6013" spans="1:5" x14ac:dyDescent="0.25">
      <c r="A6013">
        <v>0</v>
      </c>
      <c r="B6013">
        <v>0.76923076923076905</v>
      </c>
      <c r="C6013">
        <f t="shared" si="186"/>
        <v>1.5491456550282641E-2</v>
      </c>
      <c r="D6013">
        <v>23</v>
      </c>
      <c r="E6013">
        <f t="shared" si="187"/>
        <v>1.4707973817556764E-3</v>
      </c>
    </row>
    <row r="6014" spans="1:5" x14ac:dyDescent="0.25">
      <c r="A6014">
        <v>0</v>
      </c>
      <c r="B6014">
        <v>0.77777777777777801</v>
      </c>
      <c r="C6014">
        <f t="shared" si="186"/>
        <v>1.390698536196913E-2</v>
      </c>
      <c r="D6014">
        <v>23</v>
      </c>
      <c r="E6014">
        <f t="shared" si="187"/>
        <v>1.4707973817556764E-3</v>
      </c>
    </row>
    <row r="6015" spans="1:5" x14ac:dyDescent="0.25">
      <c r="A6015">
        <v>0</v>
      </c>
      <c r="B6015">
        <v>0.78133333333333299</v>
      </c>
      <c r="C6015">
        <f t="shared" si="186"/>
        <v>1.3291734641750408E-2</v>
      </c>
      <c r="D6015">
        <v>23</v>
      </c>
      <c r="E6015">
        <f t="shared" si="187"/>
        <v>1.4707973817556764E-3</v>
      </c>
    </row>
    <row r="6016" spans="1:5" x14ac:dyDescent="0.25">
      <c r="A6016">
        <v>0</v>
      </c>
      <c r="B6016">
        <v>0.78260869565217395</v>
      </c>
      <c r="C6016">
        <f t="shared" si="186"/>
        <v>1.3077062763876447E-2</v>
      </c>
      <c r="D6016">
        <v>23</v>
      </c>
      <c r="E6016">
        <f t="shared" si="187"/>
        <v>1.4707973817556764E-3</v>
      </c>
    </row>
    <row r="6017" spans="1:5" x14ac:dyDescent="0.25">
      <c r="A6017">
        <v>0</v>
      </c>
      <c r="B6017">
        <v>0.78300000000000003</v>
      </c>
      <c r="C6017">
        <f t="shared" si="186"/>
        <v>1.3011823528086478E-2</v>
      </c>
      <c r="D6017">
        <v>24</v>
      </c>
      <c r="E6017">
        <f t="shared" si="187"/>
        <v>9.9164303077517901E-4</v>
      </c>
    </row>
    <row r="6018" spans="1:5" x14ac:dyDescent="0.25">
      <c r="A6018">
        <v>0</v>
      </c>
      <c r="B6018">
        <v>0.78766666666666696</v>
      </c>
      <c r="C6018">
        <f t="shared" ref="C6018:C6081" si="188">_xlfn.NORM.DIST(B6018,I$10,I$13,FALSE)</f>
        <v>1.225597677910481E-2</v>
      </c>
      <c r="D6018">
        <v>24</v>
      </c>
      <c r="E6018">
        <f t="shared" si="187"/>
        <v>9.9164303077517901E-4</v>
      </c>
    </row>
    <row r="6019" spans="1:5" x14ac:dyDescent="0.25">
      <c r="A6019">
        <v>0</v>
      </c>
      <c r="B6019">
        <v>0.79200000000000004</v>
      </c>
      <c r="C6019">
        <f t="shared" si="188"/>
        <v>1.1589669358882615E-2</v>
      </c>
      <c r="D6019">
        <v>24</v>
      </c>
      <c r="E6019">
        <f t="shared" ref="E6019:E6082" si="189">_xlfn.NORM.DIST(D6019,I$4,I$7,FALSE)</f>
        <v>9.9164303077517901E-4</v>
      </c>
    </row>
    <row r="6020" spans="1:5" x14ac:dyDescent="0.25">
      <c r="A6020">
        <v>0</v>
      </c>
      <c r="B6020">
        <v>0.79500000000000004</v>
      </c>
      <c r="C6020">
        <f t="shared" si="188"/>
        <v>1.114764817477285E-2</v>
      </c>
      <c r="D6020">
        <v>24</v>
      </c>
      <c r="E6020">
        <f t="shared" si="189"/>
        <v>9.9164303077517901E-4</v>
      </c>
    </row>
    <row r="6021" spans="1:5" x14ac:dyDescent="0.25">
      <c r="A6021">
        <v>0</v>
      </c>
      <c r="B6021">
        <v>0.80100000000000005</v>
      </c>
      <c r="C6021">
        <f t="shared" si="188"/>
        <v>1.0308833831860528E-2</v>
      </c>
      <c r="D6021">
        <v>24</v>
      </c>
      <c r="E6021">
        <f t="shared" si="189"/>
        <v>9.9164303077517901E-4</v>
      </c>
    </row>
    <row r="6022" spans="1:5" x14ac:dyDescent="0.25">
      <c r="A6022">
        <v>0</v>
      </c>
      <c r="B6022">
        <v>0.80533333333333301</v>
      </c>
      <c r="C6022">
        <f t="shared" si="188"/>
        <v>9.7388723888109409E-3</v>
      </c>
      <c r="D6022">
        <v>24</v>
      </c>
      <c r="E6022">
        <f t="shared" si="189"/>
        <v>9.9164303077517901E-4</v>
      </c>
    </row>
    <row r="6023" spans="1:5" x14ac:dyDescent="0.25">
      <c r="A6023">
        <v>0</v>
      </c>
      <c r="B6023">
        <v>0.80769230769230804</v>
      </c>
      <c r="C6023">
        <f t="shared" si="188"/>
        <v>9.4406984857308782E-3</v>
      </c>
      <c r="D6023">
        <v>24</v>
      </c>
      <c r="E6023">
        <f t="shared" si="189"/>
        <v>9.9164303077517901E-4</v>
      </c>
    </row>
    <row r="6024" spans="1:5" x14ac:dyDescent="0.25">
      <c r="A6024">
        <v>0</v>
      </c>
      <c r="B6024">
        <v>0.80769230769230804</v>
      </c>
      <c r="C6024">
        <f t="shared" si="188"/>
        <v>9.4406984857308782E-3</v>
      </c>
      <c r="D6024">
        <v>24</v>
      </c>
      <c r="E6024">
        <f t="shared" si="189"/>
        <v>9.9164303077517901E-4</v>
      </c>
    </row>
    <row r="6025" spans="1:5" x14ac:dyDescent="0.25">
      <c r="A6025">
        <v>0</v>
      </c>
      <c r="B6025">
        <v>0.80900000000000005</v>
      </c>
      <c r="C6025">
        <f t="shared" si="188"/>
        <v>9.2789816982559656E-3</v>
      </c>
      <c r="D6025">
        <v>25</v>
      </c>
      <c r="E6025">
        <f t="shared" si="189"/>
        <v>6.5521767696886512E-4</v>
      </c>
    </row>
    <row r="6026" spans="1:5" x14ac:dyDescent="0.25">
      <c r="A6026">
        <v>0</v>
      </c>
      <c r="B6026">
        <v>0.81499999999999995</v>
      </c>
      <c r="C6026">
        <f t="shared" si="188"/>
        <v>8.5686065360414815E-3</v>
      </c>
      <c r="D6026">
        <v>25</v>
      </c>
      <c r="E6026">
        <f t="shared" si="189"/>
        <v>6.5521767696886512E-4</v>
      </c>
    </row>
    <row r="6027" spans="1:5" x14ac:dyDescent="0.25">
      <c r="A6027">
        <v>0</v>
      </c>
      <c r="B6027">
        <v>0.81599999999999995</v>
      </c>
      <c r="C6027">
        <f t="shared" si="188"/>
        <v>8.4551145890609594E-3</v>
      </c>
      <c r="D6027">
        <v>25</v>
      </c>
      <c r="E6027">
        <f t="shared" si="189"/>
        <v>6.5521767696886512E-4</v>
      </c>
    </row>
    <row r="6028" spans="1:5" x14ac:dyDescent="0.25">
      <c r="A6028">
        <v>0</v>
      </c>
      <c r="B6028">
        <v>0.81833333333333302</v>
      </c>
      <c r="C6028">
        <f t="shared" si="188"/>
        <v>8.1955729486186887E-3</v>
      </c>
      <c r="D6028">
        <v>25</v>
      </c>
      <c r="E6028">
        <f t="shared" si="189"/>
        <v>6.5521767696886512E-4</v>
      </c>
    </row>
    <row r="6029" spans="1:5" x14ac:dyDescent="0.25">
      <c r="A6029">
        <v>0</v>
      </c>
      <c r="B6029">
        <v>0.82399999999999995</v>
      </c>
      <c r="C6029">
        <f t="shared" si="188"/>
        <v>7.5950336279036789E-3</v>
      </c>
      <c r="D6029">
        <v>25</v>
      </c>
      <c r="E6029">
        <f t="shared" si="189"/>
        <v>6.5521767696886512E-4</v>
      </c>
    </row>
    <row r="6030" spans="1:5" x14ac:dyDescent="0.25">
      <c r="A6030">
        <v>0</v>
      </c>
      <c r="B6030">
        <v>0.82608695652173902</v>
      </c>
      <c r="C6030">
        <f t="shared" si="188"/>
        <v>7.384117579132328E-3</v>
      </c>
      <c r="D6030">
        <v>25</v>
      </c>
      <c r="E6030">
        <f t="shared" si="189"/>
        <v>6.5521767696886512E-4</v>
      </c>
    </row>
    <row r="6031" spans="1:5" x14ac:dyDescent="0.25">
      <c r="A6031">
        <v>0</v>
      </c>
      <c r="B6031">
        <v>0.82608695652173902</v>
      </c>
      <c r="C6031">
        <f t="shared" si="188"/>
        <v>7.384117579132328E-3</v>
      </c>
      <c r="D6031">
        <v>25</v>
      </c>
      <c r="E6031">
        <f t="shared" si="189"/>
        <v>6.5521767696886512E-4</v>
      </c>
    </row>
    <row r="6032" spans="1:5" x14ac:dyDescent="0.25">
      <c r="A6032">
        <v>0</v>
      </c>
      <c r="B6032">
        <v>0.82608695652173902</v>
      </c>
      <c r="C6032">
        <f t="shared" si="188"/>
        <v>7.384117579132328E-3</v>
      </c>
      <c r="D6032">
        <v>25</v>
      </c>
      <c r="E6032">
        <f t="shared" si="189"/>
        <v>6.5521767696886512E-4</v>
      </c>
    </row>
    <row r="6033" spans="1:5" x14ac:dyDescent="0.25">
      <c r="A6033">
        <v>0</v>
      </c>
      <c r="B6033">
        <v>0.83</v>
      </c>
      <c r="C6033">
        <f t="shared" si="188"/>
        <v>7.002919790902614E-3</v>
      </c>
      <c r="D6033">
        <v>25</v>
      </c>
      <c r="E6033">
        <f t="shared" si="189"/>
        <v>6.5521767696886512E-4</v>
      </c>
    </row>
    <row r="6034" spans="1:5" x14ac:dyDescent="0.25">
      <c r="A6034">
        <v>0</v>
      </c>
      <c r="B6034">
        <v>0.831666666666667</v>
      </c>
      <c r="C6034">
        <f t="shared" si="188"/>
        <v>6.8460560497912628E-3</v>
      </c>
      <c r="D6034">
        <v>25</v>
      </c>
      <c r="E6034">
        <f t="shared" si="189"/>
        <v>6.5521767696886512E-4</v>
      </c>
    </row>
    <row r="6035" spans="1:5" x14ac:dyDescent="0.25">
      <c r="A6035">
        <v>0</v>
      </c>
      <c r="B6035">
        <v>0.83333333333333304</v>
      </c>
      <c r="C6035">
        <f t="shared" si="188"/>
        <v>6.6923919032004604E-3</v>
      </c>
      <c r="D6035">
        <v>25</v>
      </c>
      <c r="E6035">
        <f t="shared" si="189"/>
        <v>6.5521767696886512E-4</v>
      </c>
    </row>
    <row r="6036" spans="1:5" x14ac:dyDescent="0.25">
      <c r="A6036">
        <v>0</v>
      </c>
      <c r="B6036">
        <v>0.84</v>
      </c>
      <c r="C6036">
        <f t="shared" si="188"/>
        <v>6.1085929524045401E-3</v>
      </c>
      <c r="D6036">
        <v>25</v>
      </c>
      <c r="E6036">
        <f t="shared" si="189"/>
        <v>6.5521767696886512E-4</v>
      </c>
    </row>
    <row r="6037" spans="1:5" x14ac:dyDescent="0.25">
      <c r="A6037">
        <v>0</v>
      </c>
      <c r="B6037">
        <v>0.84</v>
      </c>
      <c r="C6037">
        <f t="shared" si="188"/>
        <v>6.1085929524045401E-3</v>
      </c>
      <c r="D6037">
        <v>26</v>
      </c>
      <c r="E6037">
        <f t="shared" si="189"/>
        <v>4.2427122009139904E-4</v>
      </c>
    </row>
    <row r="6038" spans="1:5" x14ac:dyDescent="0.25">
      <c r="A6038">
        <v>0</v>
      </c>
      <c r="B6038">
        <v>0.84799999999999998</v>
      </c>
      <c r="C6038">
        <f t="shared" si="188"/>
        <v>5.4694350469556867E-3</v>
      </c>
      <c r="D6038">
        <v>26</v>
      </c>
      <c r="E6038">
        <f t="shared" si="189"/>
        <v>4.2427122009139904E-4</v>
      </c>
    </row>
    <row r="6039" spans="1:5" x14ac:dyDescent="0.25">
      <c r="A6039">
        <v>0</v>
      </c>
      <c r="B6039">
        <v>0.85185185185185197</v>
      </c>
      <c r="C6039">
        <f t="shared" si="188"/>
        <v>5.1839938413702378E-3</v>
      </c>
      <c r="D6039">
        <v>26</v>
      </c>
      <c r="E6039">
        <f t="shared" si="189"/>
        <v>4.2427122009139904E-4</v>
      </c>
    </row>
    <row r="6040" spans="1:5" x14ac:dyDescent="0.25">
      <c r="A6040">
        <v>0</v>
      </c>
      <c r="B6040">
        <v>0.85185185185185197</v>
      </c>
      <c r="C6040">
        <f t="shared" si="188"/>
        <v>5.1839938413702378E-3</v>
      </c>
      <c r="D6040">
        <v>26</v>
      </c>
      <c r="E6040">
        <f t="shared" si="189"/>
        <v>4.2427122009139904E-4</v>
      </c>
    </row>
    <row r="6041" spans="1:5" x14ac:dyDescent="0.25">
      <c r="A6041">
        <v>0</v>
      </c>
      <c r="B6041">
        <v>0.85399999999999998</v>
      </c>
      <c r="C6041">
        <f t="shared" si="188"/>
        <v>5.0307788859801561E-3</v>
      </c>
      <c r="D6041">
        <v>26</v>
      </c>
      <c r="E6041">
        <f t="shared" si="189"/>
        <v>4.2427122009139904E-4</v>
      </c>
    </row>
    <row r="6042" spans="1:5" x14ac:dyDescent="0.25">
      <c r="A6042">
        <v>0</v>
      </c>
      <c r="B6042">
        <v>0.85599999999999998</v>
      </c>
      <c r="C6042">
        <f t="shared" si="188"/>
        <v>4.8918610339734022E-3</v>
      </c>
      <c r="D6042">
        <v>26</v>
      </c>
      <c r="E6042">
        <f t="shared" si="189"/>
        <v>4.2427122009139904E-4</v>
      </c>
    </row>
    <row r="6043" spans="1:5" x14ac:dyDescent="0.25">
      <c r="A6043">
        <v>0</v>
      </c>
      <c r="B6043">
        <v>0.85666666666666702</v>
      </c>
      <c r="C6043">
        <f t="shared" si="188"/>
        <v>4.8463400352706121E-3</v>
      </c>
      <c r="D6043">
        <v>26</v>
      </c>
      <c r="E6043">
        <f t="shared" si="189"/>
        <v>4.2427122009139904E-4</v>
      </c>
    </row>
    <row r="6044" spans="1:5" x14ac:dyDescent="0.25">
      <c r="A6044">
        <v>0</v>
      </c>
      <c r="B6044">
        <v>0.85899999999999999</v>
      </c>
      <c r="C6044">
        <f t="shared" si="188"/>
        <v>4.6900491925389587E-3</v>
      </c>
      <c r="D6044">
        <v>26</v>
      </c>
      <c r="E6044">
        <f t="shared" si="189"/>
        <v>4.2427122009139904E-4</v>
      </c>
    </row>
    <row r="6045" spans="1:5" x14ac:dyDescent="0.25">
      <c r="A6045">
        <v>0</v>
      </c>
      <c r="B6045">
        <v>0.86133333333333295</v>
      </c>
      <c r="C6045">
        <f t="shared" si="188"/>
        <v>4.5383810942751738E-3</v>
      </c>
      <c r="D6045">
        <v>26</v>
      </c>
      <c r="E6045">
        <f t="shared" si="189"/>
        <v>4.2427122009139904E-4</v>
      </c>
    </row>
    <row r="6046" spans="1:5" x14ac:dyDescent="0.25">
      <c r="A6046">
        <v>0</v>
      </c>
      <c r="B6046">
        <v>0.86199999999999999</v>
      </c>
      <c r="C6046">
        <f t="shared" si="188"/>
        <v>4.4958792804380568E-3</v>
      </c>
      <c r="D6046">
        <v>26</v>
      </c>
      <c r="E6046">
        <f t="shared" si="189"/>
        <v>4.2427122009139904E-4</v>
      </c>
    </row>
    <row r="6047" spans="1:5" x14ac:dyDescent="0.25">
      <c r="A6047">
        <v>0</v>
      </c>
      <c r="B6047">
        <v>0.87012987012986998</v>
      </c>
      <c r="C6047">
        <f t="shared" si="188"/>
        <v>4.0060869671147328E-3</v>
      </c>
      <c r="D6047">
        <v>26</v>
      </c>
      <c r="E6047">
        <f t="shared" si="189"/>
        <v>4.2427122009139904E-4</v>
      </c>
    </row>
    <row r="6048" spans="1:5" x14ac:dyDescent="0.25">
      <c r="A6048">
        <v>0</v>
      </c>
      <c r="B6048">
        <v>0.871</v>
      </c>
      <c r="C6048">
        <f t="shared" si="188"/>
        <v>3.9566725759786247E-3</v>
      </c>
      <c r="D6048">
        <v>27</v>
      </c>
      <c r="E6048">
        <f t="shared" si="189"/>
        <v>2.6923360471519021E-4</v>
      </c>
    </row>
    <row r="6049" spans="1:5" x14ac:dyDescent="0.25">
      <c r="A6049">
        <v>0</v>
      </c>
      <c r="B6049">
        <v>0.87850467289719603</v>
      </c>
      <c r="C6049">
        <f t="shared" si="188"/>
        <v>3.5531188873867327E-3</v>
      </c>
      <c r="D6049">
        <v>27</v>
      </c>
      <c r="E6049">
        <f t="shared" si="189"/>
        <v>2.6923360471519021E-4</v>
      </c>
    </row>
    <row r="6050" spans="1:5" x14ac:dyDescent="0.25">
      <c r="A6050">
        <v>0</v>
      </c>
      <c r="B6050">
        <v>0.88</v>
      </c>
      <c r="C6050">
        <f t="shared" si="188"/>
        <v>3.477372344053179E-3</v>
      </c>
      <c r="D6050">
        <v>27</v>
      </c>
      <c r="E6050">
        <f t="shared" si="189"/>
        <v>2.6923360471519021E-4</v>
      </c>
    </row>
    <row r="6051" spans="1:5" x14ac:dyDescent="0.25">
      <c r="A6051">
        <v>0</v>
      </c>
      <c r="B6051">
        <v>0.88133333333333297</v>
      </c>
      <c r="C6051">
        <f t="shared" si="188"/>
        <v>3.4110859025661099E-3</v>
      </c>
      <c r="D6051">
        <v>27</v>
      </c>
      <c r="E6051">
        <f t="shared" si="189"/>
        <v>2.6923360471519021E-4</v>
      </c>
    </row>
    <row r="6052" spans="1:5" x14ac:dyDescent="0.25">
      <c r="A6052">
        <v>0</v>
      </c>
      <c r="B6052">
        <v>0.88888888888888895</v>
      </c>
      <c r="C6052">
        <f t="shared" si="188"/>
        <v>3.0568996658394761E-3</v>
      </c>
      <c r="D6052">
        <v>28</v>
      </c>
      <c r="E6052">
        <f t="shared" si="189"/>
        <v>1.6743362677650999E-4</v>
      </c>
    </row>
    <row r="6053" spans="1:5" x14ac:dyDescent="0.25">
      <c r="A6053">
        <v>0</v>
      </c>
      <c r="B6053">
        <v>0.89277389277389296</v>
      </c>
      <c r="C6053">
        <f t="shared" si="188"/>
        <v>2.8882626465402349E-3</v>
      </c>
      <c r="D6053">
        <v>28</v>
      </c>
      <c r="E6053">
        <f t="shared" si="189"/>
        <v>1.6743362677650999E-4</v>
      </c>
    </row>
    <row r="6054" spans="1:5" x14ac:dyDescent="0.25">
      <c r="A6054">
        <v>0</v>
      </c>
      <c r="B6054">
        <v>0.89333333333333298</v>
      </c>
      <c r="C6054">
        <f t="shared" si="188"/>
        <v>2.8646973922928547E-3</v>
      </c>
      <c r="D6054">
        <v>28</v>
      </c>
      <c r="E6054">
        <f t="shared" si="189"/>
        <v>1.6743362677650999E-4</v>
      </c>
    </row>
    <row r="6055" spans="1:5" x14ac:dyDescent="0.25">
      <c r="A6055">
        <v>0</v>
      </c>
      <c r="B6055">
        <v>0.89466666666666705</v>
      </c>
      <c r="C6055">
        <f t="shared" si="188"/>
        <v>2.8092459137094871E-3</v>
      </c>
      <c r="D6055">
        <v>28</v>
      </c>
      <c r="E6055">
        <f t="shared" si="189"/>
        <v>1.6743362677650999E-4</v>
      </c>
    </row>
    <row r="6056" spans="1:5" x14ac:dyDescent="0.25">
      <c r="A6056">
        <v>0</v>
      </c>
      <c r="B6056">
        <v>0.89610389610389596</v>
      </c>
      <c r="C6056">
        <f t="shared" si="188"/>
        <v>2.7505824826112545E-3</v>
      </c>
      <c r="D6056">
        <v>28</v>
      </c>
      <c r="E6056">
        <f t="shared" si="189"/>
        <v>1.6743362677650999E-4</v>
      </c>
    </row>
    <row r="6057" spans="1:5" x14ac:dyDescent="0.25">
      <c r="A6057">
        <v>0</v>
      </c>
      <c r="B6057">
        <v>0.89700000000000002</v>
      </c>
      <c r="C6057">
        <f t="shared" si="188"/>
        <v>2.7145798799177649E-3</v>
      </c>
      <c r="D6057">
        <v>28</v>
      </c>
      <c r="E6057">
        <f t="shared" si="189"/>
        <v>1.6743362677650999E-4</v>
      </c>
    </row>
    <row r="6058" spans="1:5" x14ac:dyDescent="0.25">
      <c r="A6058">
        <v>0</v>
      </c>
      <c r="B6058">
        <v>0.89966666666666695</v>
      </c>
      <c r="C6058">
        <f t="shared" si="188"/>
        <v>2.6099959886132836E-3</v>
      </c>
      <c r="D6058">
        <v>28</v>
      </c>
      <c r="E6058">
        <f t="shared" si="189"/>
        <v>1.6743362677650999E-4</v>
      </c>
    </row>
    <row r="6059" spans="1:5" x14ac:dyDescent="0.25">
      <c r="A6059">
        <v>0</v>
      </c>
      <c r="B6059">
        <v>0.90366666666666695</v>
      </c>
      <c r="C6059">
        <f t="shared" si="188"/>
        <v>2.460072006690058E-3</v>
      </c>
      <c r="D6059">
        <v>28</v>
      </c>
      <c r="E6059">
        <f t="shared" si="189"/>
        <v>1.6743362677650999E-4</v>
      </c>
    </row>
    <row r="6060" spans="1:5" x14ac:dyDescent="0.25">
      <c r="A6060">
        <v>0</v>
      </c>
      <c r="B6060">
        <v>0.90666666666666695</v>
      </c>
      <c r="C6060">
        <f t="shared" si="188"/>
        <v>2.3528907006612693E-3</v>
      </c>
      <c r="D6060">
        <v>28</v>
      </c>
      <c r="E6060">
        <f t="shared" si="189"/>
        <v>1.6743362677650999E-4</v>
      </c>
    </row>
    <row r="6061" spans="1:5" x14ac:dyDescent="0.25">
      <c r="A6061">
        <v>0</v>
      </c>
      <c r="B6061">
        <v>0.90909090909090895</v>
      </c>
      <c r="C6061">
        <f t="shared" si="188"/>
        <v>2.269448446863013E-3</v>
      </c>
      <c r="D6061">
        <v>29</v>
      </c>
      <c r="E6061">
        <f t="shared" si="189"/>
        <v>1.0204314351863907E-4</v>
      </c>
    </row>
    <row r="6062" spans="1:5" x14ac:dyDescent="0.25">
      <c r="A6062">
        <v>0</v>
      </c>
      <c r="B6062">
        <v>0.90909090909090895</v>
      </c>
      <c r="C6062">
        <f t="shared" si="188"/>
        <v>2.269448446863013E-3</v>
      </c>
      <c r="D6062">
        <v>29</v>
      </c>
      <c r="E6062">
        <f t="shared" si="189"/>
        <v>1.0204314351863907E-4</v>
      </c>
    </row>
    <row r="6063" spans="1:5" x14ac:dyDescent="0.25">
      <c r="A6063">
        <v>0</v>
      </c>
      <c r="B6063">
        <v>0.90933333333333299</v>
      </c>
      <c r="C6063">
        <f t="shared" si="188"/>
        <v>2.2612563873267199E-3</v>
      </c>
      <c r="D6063">
        <v>30</v>
      </c>
      <c r="E6063">
        <f t="shared" si="189"/>
        <v>6.0947051332681105E-5</v>
      </c>
    </row>
    <row r="6064" spans="1:5" x14ac:dyDescent="0.25">
      <c r="A6064">
        <v>0</v>
      </c>
      <c r="B6064">
        <v>0.91304347826086996</v>
      </c>
      <c r="C6064">
        <f t="shared" si="188"/>
        <v>2.1392438503362748E-3</v>
      </c>
      <c r="D6064">
        <v>30</v>
      </c>
      <c r="E6064">
        <f t="shared" si="189"/>
        <v>6.0947051332681105E-5</v>
      </c>
    </row>
    <row r="6065" spans="1:5" x14ac:dyDescent="0.25">
      <c r="A6065">
        <v>0</v>
      </c>
      <c r="B6065">
        <v>0.913333333333333</v>
      </c>
      <c r="C6065">
        <f t="shared" si="188"/>
        <v>2.1299727382833077E-3</v>
      </c>
      <c r="D6065">
        <v>30</v>
      </c>
      <c r="E6065">
        <f t="shared" si="189"/>
        <v>6.0947051332681105E-5</v>
      </c>
    </row>
    <row r="6066" spans="1:5" x14ac:dyDescent="0.25">
      <c r="A6066">
        <v>0</v>
      </c>
      <c r="B6066">
        <v>0.91400000000000003</v>
      </c>
      <c r="C6066">
        <f t="shared" si="188"/>
        <v>2.1087900142855898E-3</v>
      </c>
      <c r="D6066">
        <v>31</v>
      </c>
      <c r="E6066">
        <f t="shared" si="189"/>
        <v>3.5673793549622276E-5</v>
      </c>
    </row>
    <row r="6067" spans="1:5" x14ac:dyDescent="0.25">
      <c r="A6067">
        <v>0</v>
      </c>
      <c r="B6067">
        <v>0.92</v>
      </c>
      <c r="C6067">
        <f t="shared" si="188"/>
        <v>1.9267270624110714E-3</v>
      </c>
      <c r="D6067">
        <v>31</v>
      </c>
      <c r="E6067">
        <f t="shared" si="189"/>
        <v>3.5673793549622276E-5</v>
      </c>
    </row>
    <row r="6068" spans="1:5" x14ac:dyDescent="0.25">
      <c r="A6068">
        <v>0</v>
      </c>
      <c r="B6068">
        <v>0.92</v>
      </c>
      <c r="C6068">
        <f t="shared" si="188"/>
        <v>1.9267270624110714E-3</v>
      </c>
      <c r="D6068">
        <v>32</v>
      </c>
      <c r="E6068">
        <f t="shared" si="189"/>
        <v>2.0463203162750363E-5</v>
      </c>
    </row>
    <row r="6069" spans="1:5" x14ac:dyDescent="0.25">
      <c r="A6069">
        <v>0</v>
      </c>
      <c r="B6069">
        <v>0.92333333333333301</v>
      </c>
      <c r="C6069">
        <f t="shared" si="188"/>
        <v>1.8319810269106021E-3</v>
      </c>
      <c r="D6069">
        <v>32</v>
      </c>
      <c r="E6069">
        <f t="shared" si="189"/>
        <v>2.0463203162750363E-5</v>
      </c>
    </row>
    <row r="6070" spans="1:5" x14ac:dyDescent="0.25">
      <c r="A6070">
        <v>0</v>
      </c>
      <c r="B6070">
        <v>0.92592592592592604</v>
      </c>
      <c r="C6070">
        <f t="shared" si="188"/>
        <v>1.7612940605654568E-3</v>
      </c>
      <c r="D6070">
        <v>32</v>
      </c>
      <c r="E6070">
        <f t="shared" si="189"/>
        <v>2.0463203162750363E-5</v>
      </c>
    </row>
    <row r="6071" spans="1:5" x14ac:dyDescent="0.25">
      <c r="A6071">
        <v>0</v>
      </c>
      <c r="B6071">
        <v>0.92592592592592604</v>
      </c>
      <c r="C6071">
        <f t="shared" si="188"/>
        <v>1.7612940605654568E-3</v>
      </c>
      <c r="D6071">
        <v>32</v>
      </c>
      <c r="E6071">
        <f t="shared" si="189"/>
        <v>2.0463203162750363E-5</v>
      </c>
    </row>
    <row r="6072" spans="1:5" x14ac:dyDescent="0.25">
      <c r="A6072">
        <v>0</v>
      </c>
      <c r="B6072">
        <v>0.92666666666666697</v>
      </c>
      <c r="C6072">
        <f t="shared" si="188"/>
        <v>1.7415670961355805E-3</v>
      </c>
      <c r="D6072">
        <v>32</v>
      </c>
      <c r="E6072">
        <f t="shared" si="189"/>
        <v>2.0463203162750363E-5</v>
      </c>
    </row>
    <row r="6073" spans="1:5" x14ac:dyDescent="0.25">
      <c r="A6073">
        <v>0</v>
      </c>
      <c r="B6073">
        <v>0.92733333333333301</v>
      </c>
      <c r="C6073">
        <f t="shared" si="188"/>
        <v>1.7239881429980696E-3</v>
      </c>
      <c r="D6073">
        <v>32</v>
      </c>
      <c r="E6073">
        <f t="shared" si="189"/>
        <v>2.0463203162750363E-5</v>
      </c>
    </row>
    <row r="6074" spans="1:5" x14ac:dyDescent="0.25">
      <c r="A6074">
        <v>0</v>
      </c>
      <c r="B6074">
        <v>0.92833333333333301</v>
      </c>
      <c r="C6074">
        <f t="shared" si="188"/>
        <v>1.6979279405692099E-3</v>
      </c>
      <c r="D6074">
        <v>32</v>
      </c>
      <c r="E6074">
        <f t="shared" si="189"/>
        <v>2.0463203162750363E-5</v>
      </c>
    </row>
    <row r="6075" spans="1:5" x14ac:dyDescent="0.25">
      <c r="A6075">
        <v>0</v>
      </c>
      <c r="B6075">
        <v>0.931034482758621</v>
      </c>
      <c r="C6075">
        <f t="shared" si="188"/>
        <v>1.6293501230542138E-3</v>
      </c>
      <c r="D6075">
        <v>32</v>
      </c>
      <c r="E6075">
        <f t="shared" si="189"/>
        <v>2.0463203162750363E-5</v>
      </c>
    </row>
    <row r="6076" spans="1:5" x14ac:dyDescent="0.25">
      <c r="A6076">
        <v>0</v>
      </c>
      <c r="B6076">
        <v>0.93300000000000005</v>
      </c>
      <c r="C6076">
        <f t="shared" si="188"/>
        <v>1.5810737828159014E-3</v>
      </c>
      <c r="D6076">
        <v>33</v>
      </c>
      <c r="E6076">
        <f t="shared" si="189"/>
        <v>1.1503385209757102E-5</v>
      </c>
    </row>
    <row r="6077" spans="1:5" x14ac:dyDescent="0.25">
      <c r="A6077">
        <v>0</v>
      </c>
      <c r="B6077">
        <v>0.94</v>
      </c>
      <c r="C6077">
        <f t="shared" si="188"/>
        <v>1.4197171234798499E-3</v>
      </c>
      <c r="D6077">
        <v>33</v>
      </c>
      <c r="E6077">
        <f t="shared" si="189"/>
        <v>1.1503385209757102E-5</v>
      </c>
    </row>
    <row r="6078" spans="1:5" x14ac:dyDescent="0.25">
      <c r="A6078">
        <v>0</v>
      </c>
      <c r="B6078">
        <v>0.94033333333333302</v>
      </c>
      <c r="C6078">
        <f t="shared" si="188"/>
        <v>1.4124290655869809E-3</v>
      </c>
      <c r="D6078">
        <v>33</v>
      </c>
      <c r="E6078">
        <f t="shared" si="189"/>
        <v>1.1503385209757102E-5</v>
      </c>
    </row>
    <row r="6079" spans="1:5" x14ac:dyDescent="0.25">
      <c r="A6079">
        <v>0</v>
      </c>
      <c r="B6079">
        <v>0.94399999999999995</v>
      </c>
      <c r="C6079">
        <f t="shared" si="188"/>
        <v>1.334522544514711E-3</v>
      </c>
      <c r="D6079">
        <v>33</v>
      </c>
      <c r="E6079">
        <f t="shared" si="189"/>
        <v>1.1503385209757102E-5</v>
      </c>
    </row>
    <row r="6080" spans="1:5" x14ac:dyDescent="0.25">
      <c r="A6080">
        <v>0</v>
      </c>
      <c r="B6080">
        <v>0.94666666666666699</v>
      </c>
      <c r="C6080">
        <f t="shared" si="188"/>
        <v>1.2803933699205208E-3</v>
      </c>
      <c r="D6080">
        <v>33</v>
      </c>
      <c r="E6080">
        <f t="shared" si="189"/>
        <v>1.1503385209757102E-5</v>
      </c>
    </row>
    <row r="6081" spans="1:5" x14ac:dyDescent="0.25">
      <c r="A6081">
        <v>0</v>
      </c>
      <c r="B6081">
        <v>0.94871794871794901</v>
      </c>
      <c r="C6081">
        <f t="shared" si="188"/>
        <v>1.2401528539684704E-3</v>
      </c>
      <c r="D6081">
        <v>34</v>
      </c>
      <c r="E6081">
        <f t="shared" si="189"/>
        <v>6.3373170621512019E-6</v>
      </c>
    </row>
    <row r="6082" spans="1:5" x14ac:dyDescent="0.25">
      <c r="A6082">
        <v>0</v>
      </c>
      <c r="B6082">
        <v>0.95066666666666699</v>
      </c>
      <c r="C6082">
        <f t="shared" ref="C6082:C6145" si="190">_xlfn.NORM.DIST(B6082,I$10,I$13,FALSE)</f>
        <v>1.2030171747982544E-3</v>
      </c>
      <c r="D6082">
        <v>34</v>
      </c>
      <c r="E6082">
        <f t="shared" si="189"/>
        <v>6.3373170621512019E-6</v>
      </c>
    </row>
    <row r="6083" spans="1:5" x14ac:dyDescent="0.25">
      <c r="A6083">
        <v>0</v>
      </c>
      <c r="B6083">
        <v>0.95161290322580605</v>
      </c>
      <c r="C6083">
        <f t="shared" si="190"/>
        <v>1.1853609703133445E-3</v>
      </c>
      <c r="D6083">
        <v>35</v>
      </c>
      <c r="E6083">
        <f t="shared" ref="E6083:E6146" si="191">_xlfn.NORM.DIST(D6083,I$4,I$7,FALSE)</f>
        <v>3.4214715589974776E-6</v>
      </c>
    </row>
    <row r="6084" spans="1:5" x14ac:dyDescent="0.25">
      <c r="A6084">
        <v>0</v>
      </c>
      <c r="B6084">
        <v>0.95199999999999996</v>
      </c>
      <c r="C6084">
        <f t="shared" si="190"/>
        <v>1.1782077454001207E-3</v>
      </c>
      <c r="D6084">
        <v>35</v>
      </c>
      <c r="E6084">
        <f t="shared" si="191"/>
        <v>3.4214715589974776E-6</v>
      </c>
    </row>
    <row r="6085" spans="1:5" x14ac:dyDescent="0.25">
      <c r="A6085">
        <v>0</v>
      </c>
      <c r="B6085">
        <v>0.952380952380952</v>
      </c>
      <c r="C6085">
        <f t="shared" si="190"/>
        <v>1.1712073147526288E-3</v>
      </c>
      <c r="D6085">
        <v>36</v>
      </c>
      <c r="E6085">
        <f t="shared" si="191"/>
        <v>1.8102900249694596E-6</v>
      </c>
    </row>
    <row r="6086" spans="1:5" x14ac:dyDescent="0.25">
      <c r="A6086">
        <v>0</v>
      </c>
      <c r="B6086">
        <v>0.954666666666667</v>
      </c>
      <c r="C6086">
        <f t="shared" si="190"/>
        <v>1.1300114093090266E-3</v>
      </c>
      <c r="D6086">
        <v>36</v>
      </c>
      <c r="E6086">
        <f t="shared" si="191"/>
        <v>1.8102900249694596E-6</v>
      </c>
    </row>
    <row r="6087" spans="1:5" x14ac:dyDescent="0.25">
      <c r="A6087">
        <v>0</v>
      </c>
      <c r="B6087">
        <v>0.956666666666667</v>
      </c>
      <c r="C6087">
        <f t="shared" si="190"/>
        <v>1.0950760986499124E-3</v>
      </c>
      <c r="D6087">
        <v>36</v>
      </c>
      <c r="E6087">
        <f t="shared" si="191"/>
        <v>1.8102900249694596E-6</v>
      </c>
    </row>
    <row r="6088" spans="1:5" x14ac:dyDescent="0.25">
      <c r="A6088">
        <v>0</v>
      </c>
      <c r="B6088">
        <v>0.95744680851063801</v>
      </c>
      <c r="C6088">
        <f t="shared" si="190"/>
        <v>1.081723709737039E-3</v>
      </c>
      <c r="D6088">
        <v>36</v>
      </c>
      <c r="E6088">
        <f t="shared" si="191"/>
        <v>1.8102900249694596E-6</v>
      </c>
    </row>
    <row r="6089" spans="1:5" x14ac:dyDescent="0.25">
      <c r="A6089">
        <v>0</v>
      </c>
      <c r="B6089">
        <v>0.96499999999999997</v>
      </c>
      <c r="C6089">
        <f t="shared" si="190"/>
        <v>9.6006613617851571E-4</v>
      </c>
      <c r="D6089">
        <v>36</v>
      </c>
      <c r="E6089">
        <f t="shared" si="191"/>
        <v>1.8102900249694596E-6</v>
      </c>
    </row>
    <row r="6090" spans="1:5" x14ac:dyDescent="0.25">
      <c r="A6090">
        <v>0</v>
      </c>
      <c r="B6090">
        <v>0.96799999999999997</v>
      </c>
      <c r="C6090">
        <f t="shared" si="190"/>
        <v>9.1538727228617672E-4</v>
      </c>
      <c r="D6090">
        <v>36</v>
      </c>
      <c r="E6090">
        <f t="shared" si="191"/>
        <v>1.8102900249694596E-6</v>
      </c>
    </row>
    <row r="6091" spans="1:5" x14ac:dyDescent="0.25">
      <c r="A6091">
        <v>0</v>
      </c>
      <c r="B6091">
        <v>0.97</v>
      </c>
      <c r="C6091">
        <f t="shared" si="190"/>
        <v>8.866876464627189E-4</v>
      </c>
      <c r="D6091">
        <v>37</v>
      </c>
      <c r="E6091">
        <f t="shared" si="191"/>
        <v>9.386660450976273E-7</v>
      </c>
    </row>
    <row r="6092" spans="1:5" x14ac:dyDescent="0.25">
      <c r="A6092">
        <v>0</v>
      </c>
      <c r="B6092">
        <v>0.974683544303797</v>
      </c>
      <c r="C6092">
        <f t="shared" si="190"/>
        <v>8.2273360055714815E-4</v>
      </c>
      <c r="D6092">
        <v>37</v>
      </c>
      <c r="E6092">
        <f t="shared" si="191"/>
        <v>9.386660450976273E-7</v>
      </c>
    </row>
    <row r="6093" spans="1:5" x14ac:dyDescent="0.25">
      <c r="A6093">
        <v>0</v>
      </c>
      <c r="B6093">
        <v>0.97599999999999998</v>
      </c>
      <c r="C6093">
        <f t="shared" si="190"/>
        <v>8.0554889691840782E-4</v>
      </c>
      <c r="D6093">
        <v>37</v>
      </c>
      <c r="E6093">
        <f t="shared" si="191"/>
        <v>9.386660450976273E-7</v>
      </c>
    </row>
    <row r="6094" spans="1:5" x14ac:dyDescent="0.25">
      <c r="A6094">
        <v>0</v>
      </c>
      <c r="B6094">
        <v>0.97699999999999998</v>
      </c>
      <c r="C6094">
        <f t="shared" si="190"/>
        <v>7.927199087455635E-4</v>
      </c>
      <c r="D6094">
        <v>37</v>
      </c>
      <c r="E6094">
        <f t="shared" si="191"/>
        <v>9.386660450976273E-7</v>
      </c>
    </row>
    <row r="6095" spans="1:5" x14ac:dyDescent="0.25">
      <c r="A6095">
        <v>0</v>
      </c>
      <c r="B6095">
        <v>0.98550724637681197</v>
      </c>
      <c r="C6095">
        <f t="shared" si="190"/>
        <v>6.9104969710080612E-4</v>
      </c>
      <c r="D6095">
        <v>37</v>
      </c>
      <c r="E6095">
        <f t="shared" si="191"/>
        <v>9.386660450976273E-7</v>
      </c>
    </row>
    <row r="6096" spans="1:5" x14ac:dyDescent="0.25">
      <c r="A6096">
        <v>0</v>
      </c>
      <c r="B6096">
        <v>0.98599999999999999</v>
      </c>
      <c r="C6096">
        <f t="shared" si="190"/>
        <v>6.855517956205477E-4</v>
      </c>
      <c r="D6096">
        <v>38</v>
      </c>
      <c r="E6096">
        <f t="shared" si="191"/>
        <v>4.7698177306811521E-7</v>
      </c>
    </row>
    <row r="6097" spans="1:5" x14ac:dyDescent="0.25">
      <c r="A6097">
        <v>0</v>
      </c>
      <c r="B6097">
        <v>0.98857142857142899</v>
      </c>
      <c r="C6097">
        <f t="shared" si="190"/>
        <v>6.5751912136027553E-4</v>
      </c>
      <c r="D6097">
        <v>38</v>
      </c>
      <c r="E6097">
        <f t="shared" si="191"/>
        <v>4.7698177306811521E-7</v>
      </c>
    </row>
    <row r="6098" spans="1:5" x14ac:dyDescent="0.25">
      <c r="A6098">
        <v>0</v>
      </c>
      <c r="B6098">
        <v>0.99107142857142905</v>
      </c>
      <c r="C6098">
        <f t="shared" si="190"/>
        <v>6.312968851192993E-4</v>
      </c>
      <c r="D6098">
        <v>38</v>
      </c>
      <c r="E6098">
        <f t="shared" si="191"/>
        <v>4.7698177306811521E-7</v>
      </c>
    </row>
    <row r="6099" spans="1:5" x14ac:dyDescent="0.25">
      <c r="A6099">
        <v>0</v>
      </c>
      <c r="B6099">
        <v>0.99266666666666703</v>
      </c>
      <c r="C6099">
        <f t="shared" si="190"/>
        <v>6.1507986320126669E-4</v>
      </c>
      <c r="D6099">
        <v>39</v>
      </c>
      <c r="E6099">
        <f t="shared" si="191"/>
        <v>2.3753093856113201E-7</v>
      </c>
    </row>
    <row r="6100" spans="1:5" x14ac:dyDescent="0.25">
      <c r="A6100">
        <v>0</v>
      </c>
      <c r="B6100">
        <v>0.99466666666666703</v>
      </c>
      <c r="C6100">
        <f t="shared" si="190"/>
        <v>5.9529917804102689E-4</v>
      </c>
      <c r="D6100">
        <v>39</v>
      </c>
      <c r="E6100">
        <f t="shared" si="191"/>
        <v>2.3753093856113201E-7</v>
      </c>
    </row>
    <row r="6101" spans="1:5" x14ac:dyDescent="0.25">
      <c r="A6101">
        <v>0</v>
      </c>
      <c r="B6101">
        <v>0.99466666666666703</v>
      </c>
      <c r="C6101">
        <f t="shared" si="190"/>
        <v>5.9529917804102689E-4</v>
      </c>
      <c r="D6101">
        <v>39</v>
      </c>
      <c r="E6101">
        <f t="shared" si="191"/>
        <v>2.3753093856113201E-7</v>
      </c>
    </row>
    <row r="6102" spans="1:5" x14ac:dyDescent="0.25">
      <c r="A6102">
        <v>0</v>
      </c>
      <c r="B6102">
        <v>0.99466666666666703</v>
      </c>
      <c r="C6102">
        <f t="shared" si="190"/>
        <v>5.9529917804102689E-4</v>
      </c>
      <c r="D6102">
        <v>40</v>
      </c>
      <c r="E6102">
        <f t="shared" si="191"/>
        <v>1.1592211910425684E-7</v>
      </c>
    </row>
    <row r="6103" spans="1:5" x14ac:dyDescent="0.25">
      <c r="A6103">
        <v>0</v>
      </c>
      <c r="B6103">
        <v>0.99866666666666704</v>
      </c>
      <c r="C6103">
        <f t="shared" si="190"/>
        <v>5.5751271025566735E-4</v>
      </c>
      <c r="D6103">
        <v>40</v>
      </c>
      <c r="E6103">
        <f t="shared" si="191"/>
        <v>1.1592211910425684E-7</v>
      </c>
    </row>
    <row r="6104" spans="1:5" x14ac:dyDescent="0.25">
      <c r="A6104">
        <v>0</v>
      </c>
      <c r="B6104">
        <v>0.99866666666666704</v>
      </c>
      <c r="C6104">
        <f t="shared" si="190"/>
        <v>5.5751271025566735E-4</v>
      </c>
      <c r="D6104">
        <v>41</v>
      </c>
      <c r="E6104">
        <f t="shared" si="191"/>
        <v>5.544216284577859E-8</v>
      </c>
    </row>
    <row r="6105" spans="1:5" x14ac:dyDescent="0.25">
      <c r="A6105">
        <v>0</v>
      </c>
      <c r="B6105">
        <v>1</v>
      </c>
      <c r="C6105">
        <f t="shared" si="190"/>
        <v>5.4542517355204425E-4</v>
      </c>
      <c r="D6105">
        <v>41</v>
      </c>
      <c r="E6105">
        <f t="shared" si="191"/>
        <v>5.544216284577859E-8</v>
      </c>
    </row>
    <row r="6106" spans="1:5" x14ac:dyDescent="0.25">
      <c r="A6106">
        <v>0</v>
      </c>
      <c r="B6106">
        <v>1</v>
      </c>
      <c r="C6106">
        <f t="shared" si="190"/>
        <v>5.4542517355204425E-4</v>
      </c>
      <c r="D6106">
        <v>41</v>
      </c>
      <c r="E6106">
        <f t="shared" si="191"/>
        <v>5.544216284577859E-8</v>
      </c>
    </row>
    <row r="6107" spans="1:5" x14ac:dyDescent="0.25">
      <c r="A6107">
        <v>0</v>
      </c>
      <c r="B6107">
        <v>1</v>
      </c>
      <c r="C6107">
        <f t="shared" si="190"/>
        <v>5.4542517355204425E-4</v>
      </c>
      <c r="D6107">
        <v>41</v>
      </c>
      <c r="E6107">
        <f t="shared" si="191"/>
        <v>5.544216284577859E-8</v>
      </c>
    </row>
    <row r="6108" spans="1:5" x14ac:dyDescent="0.25">
      <c r="A6108">
        <v>0</v>
      </c>
      <c r="B6108">
        <v>1</v>
      </c>
      <c r="C6108">
        <f t="shared" si="190"/>
        <v>5.4542517355204425E-4</v>
      </c>
      <c r="D6108">
        <v>43</v>
      </c>
      <c r="E6108">
        <f t="shared" si="191"/>
        <v>1.1936336296611431E-8</v>
      </c>
    </row>
    <row r="6109" spans="1:5" x14ac:dyDescent="0.25">
      <c r="A6109">
        <v>0</v>
      </c>
      <c r="B6109">
        <v>1</v>
      </c>
      <c r="C6109">
        <f t="shared" si="190"/>
        <v>5.4542517355204425E-4</v>
      </c>
      <c r="D6109">
        <v>43</v>
      </c>
      <c r="E6109">
        <f t="shared" si="191"/>
        <v>1.1936336296611431E-8</v>
      </c>
    </row>
    <row r="6110" spans="1:5" x14ac:dyDescent="0.25">
      <c r="A6110">
        <v>0</v>
      </c>
      <c r="B6110">
        <v>1</v>
      </c>
      <c r="C6110">
        <f t="shared" si="190"/>
        <v>5.4542517355204425E-4</v>
      </c>
      <c r="D6110">
        <v>43</v>
      </c>
      <c r="E6110">
        <f t="shared" si="191"/>
        <v>1.1936336296611431E-8</v>
      </c>
    </row>
    <row r="6111" spans="1:5" x14ac:dyDescent="0.25">
      <c r="A6111">
        <v>0</v>
      </c>
      <c r="B6111">
        <v>1</v>
      </c>
      <c r="C6111">
        <f t="shared" si="190"/>
        <v>5.4542517355204425E-4</v>
      </c>
      <c r="D6111">
        <v>43</v>
      </c>
      <c r="E6111">
        <f t="shared" si="191"/>
        <v>1.1936336296611431E-8</v>
      </c>
    </row>
    <row r="6112" spans="1:5" x14ac:dyDescent="0.25">
      <c r="A6112">
        <v>0</v>
      </c>
      <c r="B6112">
        <v>1</v>
      </c>
      <c r="C6112">
        <f t="shared" si="190"/>
        <v>5.4542517355204425E-4</v>
      </c>
      <c r="D6112">
        <v>43</v>
      </c>
      <c r="E6112">
        <f t="shared" si="191"/>
        <v>1.1936336296611431E-8</v>
      </c>
    </row>
    <row r="6113" spans="1:5" x14ac:dyDescent="0.25">
      <c r="A6113">
        <v>0</v>
      </c>
      <c r="B6113">
        <v>1</v>
      </c>
      <c r="C6113">
        <f t="shared" si="190"/>
        <v>5.4542517355204425E-4</v>
      </c>
      <c r="D6113">
        <v>43</v>
      </c>
      <c r="E6113">
        <f t="shared" si="191"/>
        <v>1.1936336296611431E-8</v>
      </c>
    </row>
    <row r="6114" spans="1:5" x14ac:dyDescent="0.25">
      <c r="A6114">
        <v>0</v>
      </c>
      <c r="B6114">
        <v>1</v>
      </c>
      <c r="C6114">
        <f t="shared" si="190"/>
        <v>5.4542517355204425E-4</v>
      </c>
      <c r="D6114">
        <v>44</v>
      </c>
      <c r="E6114">
        <f t="shared" si="191"/>
        <v>5.3731390011078132E-9</v>
      </c>
    </row>
    <row r="6115" spans="1:5" x14ac:dyDescent="0.25">
      <c r="A6115">
        <v>0</v>
      </c>
      <c r="B6115">
        <v>1</v>
      </c>
      <c r="C6115">
        <f t="shared" si="190"/>
        <v>5.4542517355204425E-4</v>
      </c>
      <c r="D6115">
        <v>44</v>
      </c>
      <c r="E6115">
        <f t="shared" si="191"/>
        <v>5.3731390011078132E-9</v>
      </c>
    </row>
    <row r="6116" spans="1:5" x14ac:dyDescent="0.25">
      <c r="A6116">
        <v>0</v>
      </c>
      <c r="B6116">
        <v>1</v>
      </c>
      <c r="C6116">
        <f t="shared" si="190"/>
        <v>5.4542517355204425E-4</v>
      </c>
      <c r="D6116">
        <v>44</v>
      </c>
      <c r="E6116">
        <f t="shared" si="191"/>
        <v>5.3731390011078132E-9</v>
      </c>
    </row>
    <row r="6117" spans="1:5" x14ac:dyDescent="0.25">
      <c r="A6117">
        <v>0</v>
      </c>
      <c r="B6117">
        <v>1</v>
      </c>
      <c r="C6117">
        <f t="shared" si="190"/>
        <v>5.4542517355204425E-4</v>
      </c>
      <c r="D6117">
        <v>46</v>
      </c>
      <c r="E6117">
        <f t="shared" si="191"/>
        <v>1.0247674253986437E-9</v>
      </c>
    </row>
    <row r="6118" spans="1:5" x14ac:dyDescent="0.25">
      <c r="A6118">
        <v>0</v>
      </c>
      <c r="B6118">
        <v>1</v>
      </c>
      <c r="C6118">
        <f t="shared" si="190"/>
        <v>5.4542517355204425E-4</v>
      </c>
      <c r="D6118">
        <v>47</v>
      </c>
      <c r="E6118">
        <f t="shared" si="191"/>
        <v>4.3417570534694777E-10</v>
      </c>
    </row>
    <row r="6119" spans="1:5" x14ac:dyDescent="0.25">
      <c r="A6119">
        <v>0</v>
      </c>
      <c r="B6119">
        <v>1</v>
      </c>
      <c r="C6119">
        <f t="shared" si="190"/>
        <v>5.4542517355204425E-4</v>
      </c>
      <c r="D6119">
        <v>48</v>
      </c>
      <c r="E6119">
        <f t="shared" si="191"/>
        <v>1.8027414761536666E-10</v>
      </c>
    </row>
    <row r="6120" spans="1:5" x14ac:dyDescent="0.25">
      <c r="A6120">
        <v>0</v>
      </c>
      <c r="B6120">
        <v>1</v>
      </c>
      <c r="C6120">
        <f t="shared" si="190"/>
        <v>5.4542517355204425E-4</v>
      </c>
      <c r="D6120">
        <v>48</v>
      </c>
      <c r="E6120">
        <f t="shared" si="191"/>
        <v>1.8027414761536666E-10</v>
      </c>
    </row>
    <row r="6121" spans="1:5" x14ac:dyDescent="0.25">
      <c r="A6121">
        <v>0</v>
      </c>
      <c r="B6121">
        <v>1</v>
      </c>
      <c r="C6121">
        <f t="shared" si="190"/>
        <v>5.4542517355204425E-4</v>
      </c>
      <c r="D6121">
        <v>48</v>
      </c>
      <c r="E6121">
        <f t="shared" si="191"/>
        <v>1.8027414761536666E-10</v>
      </c>
    </row>
    <row r="6122" spans="1:5" x14ac:dyDescent="0.25">
      <c r="A6122">
        <v>0</v>
      </c>
      <c r="B6122">
        <v>1</v>
      </c>
      <c r="C6122">
        <f t="shared" si="190"/>
        <v>5.4542517355204425E-4</v>
      </c>
      <c r="D6122">
        <v>49</v>
      </c>
      <c r="E6122">
        <f t="shared" si="191"/>
        <v>7.3354896512278789E-11</v>
      </c>
    </row>
    <row r="6123" spans="1:5" x14ac:dyDescent="0.25">
      <c r="A6123">
        <v>0</v>
      </c>
      <c r="B6123">
        <v>1</v>
      </c>
      <c r="C6123">
        <f t="shared" si="190"/>
        <v>5.4542517355204425E-4</v>
      </c>
      <c r="D6123">
        <v>49</v>
      </c>
      <c r="E6123">
        <f t="shared" si="191"/>
        <v>7.3354896512278789E-11</v>
      </c>
    </row>
    <row r="6124" spans="1:5" x14ac:dyDescent="0.25">
      <c r="A6124">
        <v>0</v>
      </c>
      <c r="B6124">
        <v>1</v>
      </c>
      <c r="C6124">
        <f t="shared" si="190"/>
        <v>5.4542517355204425E-4</v>
      </c>
      <c r="D6124">
        <v>50</v>
      </c>
      <c r="E6124">
        <f t="shared" si="191"/>
        <v>2.9251793060080723E-11</v>
      </c>
    </row>
    <row r="6125" spans="1:5" x14ac:dyDescent="0.25">
      <c r="A6125">
        <v>0</v>
      </c>
      <c r="B6125">
        <v>1</v>
      </c>
      <c r="C6125">
        <f t="shared" si="190"/>
        <v>5.4542517355204425E-4</v>
      </c>
      <c r="D6125">
        <v>51</v>
      </c>
      <c r="E6125">
        <f t="shared" si="191"/>
        <v>1.1431510029024133E-11</v>
      </c>
    </row>
    <row r="6126" spans="1:5" x14ac:dyDescent="0.25">
      <c r="A6126">
        <v>0</v>
      </c>
      <c r="B6126">
        <v>1</v>
      </c>
      <c r="C6126">
        <f t="shared" si="190"/>
        <v>5.4542517355204425E-4</v>
      </c>
      <c r="D6126">
        <v>52</v>
      </c>
      <c r="E6126">
        <f t="shared" si="191"/>
        <v>4.3780673343117097E-12</v>
      </c>
    </row>
    <row r="6127" spans="1:5" x14ac:dyDescent="0.25">
      <c r="A6127">
        <v>0</v>
      </c>
      <c r="B6127">
        <v>1</v>
      </c>
      <c r="C6127">
        <f t="shared" si="190"/>
        <v>5.4542517355204425E-4</v>
      </c>
      <c r="D6127">
        <v>53</v>
      </c>
      <c r="E6127">
        <f t="shared" si="191"/>
        <v>1.6431945937067096E-12</v>
      </c>
    </row>
    <row r="6128" spans="1:5" x14ac:dyDescent="0.25">
      <c r="A6128">
        <v>0</v>
      </c>
      <c r="B6128">
        <v>1</v>
      </c>
      <c r="C6128">
        <f t="shared" si="190"/>
        <v>5.4542517355204425E-4</v>
      </c>
      <c r="D6128">
        <v>53</v>
      </c>
      <c r="E6128">
        <f t="shared" si="191"/>
        <v>1.6431945937067096E-12</v>
      </c>
    </row>
    <row r="6129" spans="1:5" x14ac:dyDescent="0.25">
      <c r="A6129">
        <v>0</v>
      </c>
      <c r="B6129">
        <v>1</v>
      </c>
      <c r="C6129">
        <f t="shared" si="190"/>
        <v>5.4542517355204425E-4</v>
      </c>
      <c r="D6129">
        <v>55</v>
      </c>
      <c r="E6129">
        <f t="shared" si="191"/>
        <v>2.17863911074785E-13</v>
      </c>
    </row>
    <row r="6130" spans="1:5" x14ac:dyDescent="0.25">
      <c r="A6130">
        <v>0</v>
      </c>
      <c r="B6130">
        <v>1</v>
      </c>
      <c r="C6130">
        <f t="shared" si="190"/>
        <v>5.4542517355204425E-4</v>
      </c>
      <c r="D6130">
        <v>57</v>
      </c>
      <c r="E6130">
        <f t="shared" si="191"/>
        <v>2.6643574965761629E-14</v>
      </c>
    </row>
    <row r="6131" spans="1:5" x14ac:dyDescent="0.25">
      <c r="A6131">
        <v>0</v>
      </c>
      <c r="B6131">
        <v>1</v>
      </c>
      <c r="C6131">
        <f t="shared" si="190"/>
        <v>5.4542517355204425E-4</v>
      </c>
      <c r="D6131">
        <v>57</v>
      </c>
      <c r="E6131">
        <f t="shared" si="191"/>
        <v>2.6643574965761629E-14</v>
      </c>
    </row>
    <row r="6132" spans="1:5" x14ac:dyDescent="0.25">
      <c r="A6132">
        <v>0</v>
      </c>
      <c r="B6132">
        <v>1</v>
      </c>
      <c r="C6132">
        <f t="shared" si="190"/>
        <v>5.4542517355204425E-4</v>
      </c>
      <c r="D6132">
        <v>57</v>
      </c>
      <c r="E6132">
        <f t="shared" si="191"/>
        <v>2.6643574965761629E-14</v>
      </c>
    </row>
    <row r="6133" spans="1:5" x14ac:dyDescent="0.25">
      <c r="A6133">
        <v>0</v>
      </c>
      <c r="B6133">
        <v>1</v>
      </c>
      <c r="C6133">
        <f t="shared" si="190"/>
        <v>5.4542517355204425E-4</v>
      </c>
      <c r="D6133">
        <v>58</v>
      </c>
      <c r="E6133">
        <f t="shared" si="191"/>
        <v>9.0393600650671867E-15</v>
      </c>
    </row>
    <row r="6134" spans="1:5" x14ac:dyDescent="0.25">
      <c r="A6134">
        <v>0</v>
      </c>
      <c r="B6134">
        <v>1</v>
      </c>
      <c r="C6134">
        <f t="shared" si="190"/>
        <v>5.4542517355204425E-4</v>
      </c>
      <c r="D6134">
        <v>59</v>
      </c>
      <c r="E6134">
        <f t="shared" si="191"/>
        <v>3.0054575674951376E-15</v>
      </c>
    </row>
    <row r="6135" spans="1:5" x14ac:dyDescent="0.25">
      <c r="A6135">
        <v>0</v>
      </c>
      <c r="B6135">
        <v>1</v>
      </c>
      <c r="C6135">
        <f t="shared" si="190"/>
        <v>5.4542517355204425E-4</v>
      </c>
      <c r="D6135">
        <v>59</v>
      </c>
      <c r="E6135">
        <f t="shared" si="191"/>
        <v>3.0054575674951376E-15</v>
      </c>
    </row>
    <row r="6136" spans="1:5" x14ac:dyDescent="0.25">
      <c r="A6136">
        <v>0</v>
      </c>
      <c r="B6136">
        <v>1</v>
      </c>
      <c r="C6136">
        <f t="shared" si="190"/>
        <v>5.4542517355204425E-4</v>
      </c>
      <c r="D6136">
        <v>59</v>
      </c>
      <c r="E6136">
        <f t="shared" si="191"/>
        <v>3.0054575674951376E-15</v>
      </c>
    </row>
    <row r="6137" spans="1:5" x14ac:dyDescent="0.25">
      <c r="A6137">
        <v>0</v>
      </c>
      <c r="B6137">
        <v>1</v>
      </c>
      <c r="C6137">
        <f t="shared" si="190"/>
        <v>5.4542517355204425E-4</v>
      </c>
      <c r="D6137">
        <v>60</v>
      </c>
      <c r="E6137">
        <f t="shared" si="191"/>
        <v>9.7928982293795488E-16</v>
      </c>
    </row>
    <row r="6138" spans="1:5" x14ac:dyDescent="0.25">
      <c r="A6138">
        <v>0</v>
      </c>
      <c r="B6138">
        <v>1</v>
      </c>
      <c r="C6138">
        <f t="shared" si="190"/>
        <v>5.4542517355204425E-4</v>
      </c>
      <c r="D6138">
        <v>60</v>
      </c>
      <c r="E6138">
        <f t="shared" si="191"/>
        <v>9.7928982293795488E-16</v>
      </c>
    </row>
    <row r="6139" spans="1:5" x14ac:dyDescent="0.25">
      <c r="A6139">
        <v>0</v>
      </c>
      <c r="B6139">
        <v>1</v>
      </c>
      <c r="C6139">
        <f t="shared" si="190"/>
        <v>5.4542517355204425E-4</v>
      </c>
      <c r="D6139">
        <v>60</v>
      </c>
      <c r="E6139">
        <f t="shared" si="191"/>
        <v>9.7928982293795488E-16</v>
      </c>
    </row>
    <row r="6140" spans="1:5" x14ac:dyDescent="0.25">
      <c r="A6140">
        <v>0</v>
      </c>
      <c r="B6140">
        <v>1</v>
      </c>
      <c r="C6140">
        <f t="shared" si="190"/>
        <v>5.4542517355204425E-4</v>
      </c>
      <c r="D6140">
        <v>60</v>
      </c>
      <c r="E6140">
        <f t="shared" si="191"/>
        <v>9.7928982293795488E-16</v>
      </c>
    </row>
    <row r="6141" spans="1:5" x14ac:dyDescent="0.25">
      <c r="A6141">
        <v>0</v>
      </c>
      <c r="B6141">
        <v>1</v>
      </c>
      <c r="C6141">
        <f t="shared" si="190"/>
        <v>5.4542517355204425E-4</v>
      </c>
      <c r="D6141">
        <v>60</v>
      </c>
      <c r="E6141">
        <f t="shared" si="191"/>
        <v>9.7928982293795488E-16</v>
      </c>
    </row>
    <row r="6142" spans="1:5" x14ac:dyDescent="0.25">
      <c r="A6142">
        <v>0</v>
      </c>
      <c r="B6142">
        <v>1</v>
      </c>
      <c r="C6142">
        <f t="shared" si="190"/>
        <v>5.4542517355204425E-4</v>
      </c>
      <c r="D6142">
        <v>61</v>
      </c>
      <c r="E6142">
        <f t="shared" si="191"/>
        <v>3.1270844312269193E-16</v>
      </c>
    </row>
    <row r="6143" spans="1:5" x14ac:dyDescent="0.25">
      <c r="A6143">
        <v>0</v>
      </c>
      <c r="B6143">
        <v>1</v>
      </c>
      <c r="C6143">
        <f t="shared" si="190"/>
        <v>5.4542517355204425E-4</v>
      </c>
      <c r="D6143">
        <v>63</v>
      </c>
      <c r="E6143">
        <f t="shared" si="191"/>
        <v>3.0010934338684509E-17</v>
      </c>
    </row>
    <row r="6144" spans="1:5" x14ac:dyDescent="0.25">
      <c r="A6144">
        <v>0</v>
      </c>
      <c r="B6144">
        <v>1</v>
      </c>
      <c r="C6144">
        <f t="shared" si="190"/>
        <v>5.4542517355204425E-4</v>
      </c>
      <c r="D6144">
        <v>63</v>
      </c>
      <c r="E6144">
        <f t="shared" si="191"/>
        <v>3.0010934338684509E-17</v>
      </c>
    </row>
    <row r="6145" spans="1:5" x14ac:dyDescent="0.25">
      <c r="A6145">
        <v>0</v>
      </c>
      <c r="B6145">
        <v>1</v>
      </c>
      <c r="C6145">
        <f t="shared" si="190"/>
        <v>5.4542517355204425E-4</v>
      </c>
      <c r="D6145">
        <v>63</v>
      </c>
      <c r="E6145">
        <f t="shared" si="191"/>
        <v>3.0010934338684509E-17</v>
      </c>
    </row>
    <row r="6146" spans="1:5" x14ac:dyDescent="0.25">
      <c r="A6146">
        <v>0</v>
      </c>
      <c r="B6146">
        <v>1</v>
      </c>
      <c r="C6146">
        <f t="shared" ref="C6146:C6161" si="192">_xlfn.NORM.DIST(B6146,I$10,I$13,FALSE)</f>
        <v>5.4542517355204425E-4</v>
      </c>
      <c r="D6146">
        <v>65</v>
      </c>
      <c r="E6146">
        <f t="shared" si="191"/>
        <v>2.6566254492374703E-18</v>
      </c>
    </row>
    <row r="6147" spans="1:5" x14ac:dyDescent="0.25">
      <c r="A6147">
        <v>0</v>
      </c>
      <c r="B6147">
        <v>1</v>
      </c>
      <c r="C6147">
        <f t="shared" si="192"/>
        <v>5.4542517355204425E-4</v>
      </c>
      <c r="D6147">
        <v>69</v>
      </c>
      <c r="E6147">
        <f t="shared" ref="E6147:E6161" si="193">_xlfn.NORM.DIST(D6147,I$4,I$7,FALSE)</f>
        <v>1.6336712299115562E-20</v>
      </c>
    </row>
    <row r="6148" spans="1:5" x14ac:dyDescent="0.25">
      <c r="A6148">
        <v>0</v>
      </c>
      <c r="B6148">
        <v>1</v>
      </c>
      <c r="C6148">
        <f t="shared" si="192"/>
        <v>5.4542517355204425E-4</v>
      </c>
      <c r="D6148">
        <v>69</v>
      </c>
      <c r="E6148">
        <f t="shared" si="193"/>
        <v>1.6336712299115562E-20</v>
      </c>
    </row>
    <row r="6149" spans="1:5" x14ac:dyDescent="0.25">
      <c r="A6149">
        <v>0</v>
      </c>
      <c r="B6149">
        <v>1</v>
      </c>
      <c r="C6149">
        <f t="shared" si="192"/>
        <v>5.4542517355204425E-4</v>
      </c>
      <c r="D6149">
        <v>70</v>
      </c>
      <c r="E6149">
        <f t="shared" si="193"/>
        <v>4.3495322783933813E-21</v>
      </c>
    </row>
    <row r="6150" spans="1:5" x14ac:dyDescent="0.25">
      <c r="A6150">
        <v>0</v>
      </c>
      <c r="B6150">
        <v>1</v>
      </c>
      <c r="C6150">
        <f t="shared" si="192"/>
        <v>5.4542517355204425E-4</v>
      </c>
      <c r="D6150">
        <v>73</v>
      </c>
      <c r="E6150">
        <f t="shared" si="193"/>
        <v>7.2718113564108368E-23</v>
      </c>
    </row>
    <row r="6151" spans="1:5" x14ac:dyDescent="0.25">
      <c r="A6151">
        <v>0</v>
      </c>
      <c r="B6151">
        <v>1</v>
      </c>
      <c r="C6151">
        <f t="shared" si="192"/>
        <v>5.4542517355204425E-4</v>
      </c>
      <c r="D6151">
        <v>73</v>
      </c>
      <c r="E6151">
        <f t="shared" si="193"/>
        <v>7.2718113564108368E-23</v>
      </c>
    </row>
    <row r="6152" spans="1:5" x14ac:dyDescent="0.25">
      <c r="A6152">
        <v>0</v>
      </c>
      <c r="B6152">
        <v>1</v>
      </c>
      <c r="C6152">
        <f t="shared" si="192"/>
        <v>5.4542517355204425E-4</v>
      </c>
      <c r="D6152">
        <v>73</v>
      </c>
      <c r="E6152">
        <f t="shared" si="193"/>
        <v>7.2718113564108368E-23</v>
      </c>
    </row>
    <row r="6153" spans="1:5" x14ac:dyDescent="0.25">
      <c r="A6153">
        <v>0</v>
      </c>
      <c r="B6153">
        <v>1</v>
      </c>
      <c r="C6153">
        <f t="shared" si="192"/>
        <v>5.4542517355204425E-4</v>
      </c>
      <c r="D6153">
        <v>75</v>
      </c>
      <c r="E6153">
        <f t="shared" si="193"/>
        <v>4.297817101346806E-24</v>
      </c>
    </row>
    <row r="6154" spans="1:5" x14ac:dyDescent="0.25">
      <c r="A6154">
        <v>0</v>
      </c>
      <c r="B6154">
        <v>1</v>
      </c>
      <c r="C6154">
        <f t="shared" si="192"/>
        <v>5.4542517355204425E-4</v>
      </c>
      <c r="D6154">
        <v>75</v>
      </c>
      <c r="E6154">
        <f t="shared" si="193"/>
        <v>4.297817101346806E-24</v>
      </c>
    </row>
    <row r="6155" spans="1:5" x14ac:dyDescent="0.25">
      <c r="A6155">
        <v>0</v>
      </c>
      <c r="B6155">
        <v>1</v>
      </c>
      <c r="C6155">
        <f t="shared" si="192"/>
        <v>5.4542517355204425E-4</v>
      </c>
      <c r="D6155">
        <v>75</v>
      </c>
      <c r="E6155">
        <f t="shared" si="193"/>
        <v>4.297817101346806E-24</v>
      </c>
    </row>
    <row r="6156" spans="1:5" x14ac:dyDescent="0.25">
      <c r="A6156">
        <v>0</v>
      </c>
      <c r="B6156">
        <v>1</v>
      </c>
      <c r="C6156">
        <f t="shared" si="192"/>
        <v>5.4542517355204425E-4</v>
      </c>
      <c r="D6156">
        <v>76</v>
      </c>
      <c r="E6156">
        <f t="shared" si="193"/>
        <v>1.0136597008334271E-24</v>
      </c>
    </row>
    <row r="6157" spans="1:5" x14ac:dyDescent="0.25">
      <c r="A6157">
        <v>0</v>
      </c>
      <c r="B6157">
        <v>1</v>
      </c>
      <c r="C6157">
        <f t="shared" si="192"/>
        <v>5.4542517355204425E-4</v>
      </c>
      <c r="D6157">
        <v>77</v>
      </c>
      <c r="E6157">
        <f t="shared" si="193"/>
        <v>2.3429561361956111E-25</v>
      </c>
    </row>
    <row r="6158" spans="1:5" x14ac:dyDescent="0.25">
      <c r="A6158">
        <v>0</v>
      </c>
      <c r="B6158">
        <v>1</v>
      </c>
      <c r="C6158">
        <f t="shared" si="192"/>
        <v>5.4542517355204425E-4</v>
      </c>
      <c r="D6158">
        <v>80</v>
      </c>
      <c r="E6158">
        <f t="shared" si="193"/>
        <v>2.5629872348480819E-27</v>
      </c>
    </row>
    <row r="6159" spans="1:5" x14ac:dyDescent="0.25">
      <c r="A6159">
        <v>0</v>
      </c>
      <c r="B6159">
        <v>1</v>
      </c>
      <c r="C6159">
        <f t="shared" si="192"/>
        <v>5.4542517355204425E-4</v>
      </c>
      <c r="D6159">
        <v>80</v>
      </c>
      <c r="E6159">
        <f t="shared" si="193"/>
        <v>2.5629872348480819E-27</v>
      </c>
    </row>
    <row r="6160" spans="1:5" x14ac:dyDescent="0.25">
      <c r="A6160">
        <v>0</v>
      </c>
      <c r="B6160">
        <v>1</v>
      </c>
      <c r="C6160">
        <f t="shared" si="192"/>
        <v>5.4542517355204425E-4</v>
      </c>
      <c r="D6160">
        <v>80</v>
      </c>
      <c r="E6160">
        <f t="shared" si="193"/>
        <v>2.5629872348480819E-27</v>
      </c>
    </row>
    <row r="6161" spans="1:5" x14ac:dyDescent="0.25">
      <c r="A6161">
        <v>0</v>
      </c>
      <c r="B6161">
        <v>1</v>
      </c>
      <c r="C6161">
        <f t="shared" si="192"/>
        <v>5.4542517355204425E-4</v>
      </c>
      <c r="D6161">
        <v>80</v>
      </c>
      <c r="E6161">
        <f t="shared" si="193"/>
        <v>2.5629872348480819E-27</v>
      </c>
    </row>
  </sheetData>
  <sortState xmlns:xlrd2="http://schemas.microsoft.com/office/spreadsheetml/2017/richdata2" ref="D2:D6161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B301-6AED-460E-8ECE-0370409D9C7B}">
  <sheetPr codeName="Sheet11"/>
  <dimension ref="A1:O51"/>
  <sheetViews>
    <sheetView topLeftCell="A2" workbookViewId="0">
      <selection activeCell="G24" sqref="G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4</v>
      </c>
      <c r="B3" t="s">
        <v>24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24</v>
      </c>
      <c r="B4" t="s">
        <v>4</v>
      </c>
      <c r="C4" t="s">
        <v>24</v>
      </c>
      <c r="F4" t="s">
        <v>27</v>
      </c>
      <c r="G4">
        <f>COUNTIF(C:C, "=MineField")</f>
        <v>45</v>
      </c>
      <c r="J4" t="s">
        <v>25</v>
      </c>
      <c r="K4">
        <f>COUNTIFS(C:C,"=MineField",A:A,"=MineField")</f>
        <v>23</v>
      </c>
      <c r="N4" t="s">
        <v>27</v>
      </c>
      <c r="O4">
        <f>COUNTIFS(A:A,"=Good dad",C:C,"=MineField")</f>
        <v>22</v>
      </c>
    </row>
    <row r="5" spans="1:15" x14ac:dyDescent="0.25">
      <c r="A5" t="s">
        <v>4</v>
      </c>
      <c r="B5" t="s">
        <v>24</v>
      </c>
      <c r="C5" t="s">
        <v>24</v>
      </c>
      <c r="F5" t="s">
        <v>69</v>
      </c>
      <c r="G5">
        <f>COUNTIF(C:C, "=Good dad")</f>
        <v>5</v>
      </c>
      <c r="J5" t="s">
        <v>69</v>
      </c>
      <c r="K5">
        <f>COUNTIFS(C:C,"=Good dad",A:A,"=MineField")</f>
        <v>2</v>
      </c>
      <c r="N5" t="s">
        <v>69</v>
      </c>
      <c r="O5">
        <f>COUNTIFS(A:A,"=Good dad",C:C,"=Good dad")</f>
        <v>3</v>
      </c>
    </row>
    <row r="6" spans="1:15" x14ac:dyDescent="0.25">
      <c r="A6" t="s">
        <v>24</v>
      </c>
      <c r="B6" t="s">
        <v>4</v>
      </c>
      <c r="C6" t="s">
        <v>24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24</v>
      </c>
    </row>
    <row r="8" spans="1:15" x14ac:dyDescent="0.25">
      <c r="A8" t="s">
        <v>24</v>
      </c>
      <c r="B8" t="s">
        <v>4</v>
      </c>
      <c r="C8" t="s">
        <v>24</v>
      </c>
    </row>
    <row r="9" spans="1:15" x14ac:dyDescent="0.25">
      <c r="A9" t="s">
        <v>4</v>
      </c>
      <c r="B9" t="s">
        <v>24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4</v>
      </c>
      <c r="B11" t="s">
        <v>24</v>
      </c>
      <c r="C11" t="s">
        <v>24</v>
      </c>
    </row>
    <row r="12" spans="1:15" x14ac:dyDescent="0.25">
      <c r="A12" t="s">
        <v>24</v>
      </c>
      <c r="B12" t="s">
        <v>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24</v>
      </c>
      <c r="B14" t="s">
        <v>4</v>
      </c>
      <c r="C14" t="s">
        <v>24</v>
      </c>
    </row>
    <row r="15" spans="1:15" x14ac:dyDescent="0.25">
      <c r="A15" t="s">
        <v>4</v>
      </c>
      <c r="B15" t="s">
        <v>24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24</v>
      </c>
      <c r="B19" t="s">
        <v>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24</v>
      </c>
      <c r="B27" t="s">
        <v>4</v>
      </c>
      <c r="C27" t="s">
        <v>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24</v>
      </c>
      <c r="B30" t="s">
        <v>4</v>
      </c>
      <c r="C30" t="s">
        <v>24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4</v>
      </c>
    </row>
    <row r="36" spans="1:3" x14ac:dyDescent="0.25">
      <c r="A36" t="s">
        <v>4</v>
      </c>
      <c r="B36" t="s">
        <v>24</v>
      </c>
      <c r="C36" t="s">
        <v>24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4</v>
      </c>
      <c r="B41" t="s">
        <v>24</v>
      </c>
      <c r="C41" t="s">
        <v>24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4</v>
      </c>
      <c r="B50" t="s">
        <v>24</v>
      </c>
      <c r="C50" t="s">
        <v>24</v>
      </c>
    </row>
    <row r="51" spans="1:3" x14ac:dyDescent="0.25">
      <c r="A51" t="s">
        <v>4</v>
      </c>
      <c r="B51" t="s">
        <v>24</v>
      </c>
      <c r="C51" t="s">
        <v>24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9397-C513-46C6-BB7B-7CD24B02F180}">
  <sheetPr codeName="Sheet12"/>
  <dimension ref="A1:O51"/>
  <sheetViews>
    <sheetView workbookViewId="0">
      <selection activeCell="D2" sqref="D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COUNTIF(C:C, "=Random")</f>
        <v>17</v>
      </c>
      <c r="J4" t="s">
        <v>19</v>
      </c>
      <c r="K4">
        <f>COUNTIFS(C:C,"=Random",A:A,"=Random")</f>
        <v>7</v>
      </c>
      <c r="N4" t="s">
        <v>19</v>
      </c>
      <c r="O4">
        <f>COUNTIFS(A:A,"=Good dad",C:C,"=Random")</f>
        <v>10</v>
      </c>
    </row>
    <row r="5" spans="1:15" x14ac:dyDescent="0.25">
      <c r="A5" t="s">
        <v>16</v>
      </c>
      <c r="B5" t="s">
        <v>4</v>
      </c>
      <c r="C5" t="s">
        <v>4</v>
      </c>
      <c r="F5" t="s">
        <v>20</v>
      </c>
      <c r="G5">
        <f>COUNTIF(C:C, "=Good dad")</f>
        <v>33</v>
      </c>
      <c r="J5" t="s">
        <v>20</v>
      </c>
      <c r="K5">
        <f>COUNTIFS(C:C,"=Good dad",A:A,"=Random")</f>
        <v>18</v>
      </c>
      <c r="N5" t="s">
        <v>20</v>
      </c>
      <c r="O5">
        <f>COUNTIFS(A:A,"=Good dad",C:C,"=Good dad")</f>
        <v>15</v>
      </c>
    </row>
    <row r="6" spans="1:15" x14ac:dyDescent="0.25">
      <c r="A6" t="s">
        <v>4</v>
      </c>
      <c r="B6" t="s">
        <v>16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COUNTIFS(C:C,"=draw",A:A,"=Random")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4</v>
      </c>
      <c r="B10" t="s">
        <v>16</v>
      </c>
      <c r="C10" t="s">
        <v>16</v>
      </c>
    </row>
    <row r="11" spans="1:15" x14ac:dyDescent="0.25">
      <c r="A11" t="s">
        <v>16</v>
      </c>
      <c r="B11" t="s">
        <v>4</v>
      </c>
      <c r="C11" t="s">
        <v>16</v>
      </c>
    </row>
    <row r="12" spans="1:15" x14ac:dyDescent="0.25">
      <c r="A12" t="s">
        <v>4</v>
      </c>
      <c r="B12" t="s">
        <v>16</v>
      </c>
      <c r="C12" t="s">
        <v>16</v>
      </c>
    </row>
    <row r="13" spans="1:15" x14ac:dyDescent="0.25">
      <c r="A13" t="s">
        <v>4</v>
      </c>
      <c r="B13" t="s">
        <v>16</v>
      </c>
      <c r="C13" t="s">
        <v>4</v>
      </c>
    </row>
    <row r="14" spans="1:15" x14ac:dyDescent="0.25">
      <c r="A14" t="s">
        <v>4</v>
      </c>
      <c r="B14" t="s">
        <v>16</v>
      </c>
      <c r="C14" t="s">
        <v>4</v>
      </c>
    </row>
    <row r="15" spans="1:15" x14ac:dyDescent="0.25">
      <c r="A15" t="s">
        <v>16</v>
      </c>
      <c r="B15" t="s">
        <v>4</v>
      </c>
      <c r="C15" t="s">
        <v>4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16</v>
      </c>
      <c r="B17" t="s">
        <v>4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16</v>
      </c>
    </row>
    <row r="21" spans="1:3" x14ac:dyDescent="0.25">
      <c r="A21" t="s">
        <v>4</v>
      </c>
      <c r="B21" t="s">
        <v>16</v>
      </c>
      <c r="C21" t="s">
        <v>16</v>
      </c>
    </row>
    <row r="22" spans="1:3" x14ac:dyDescent="0.25">
      <c r="A22" t="s">
        <v>16</v>
      </c>
      <c r="B22" t="s">
        <v>4</v>
      </c>
      <c r="C22" t="s">
        <v>4</v>
      </c>
    </row>
    <row r="23" spans="1:3" x14ac:dyDescent="0.25">
      <c r="A23" t="s">
        <v>4</v>
      </c>
      <c r="B23" t="s">
        <v>16</v>
      </c>
      <c r="C23" t="s">
        <v>4</v>
      </c>
    </row>
    <row r="24" spans="1:3" x14ac:dyDescent="0.25">
      <c r="A24" t="s">
        <v>16</v>
      </c>
      <c r="B24" t="s">
        <v>4</v>
      </c>
      <c r="C24" t="s">
        <v>4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16</v>
      </c>
      <c r="B27" t="s">
        <v>4</v>
      </c>
      <c r="C27" t="s">
        <v>16</v>
      </c>
    </row>
    <row r="28" spans="1:3" x14ac:dyDescent="0.25">
      <c r="A28" t="s">
        <v>4</v>
      </c>
      <c r="B28" t="s">
        <v>16</v>
      </c>
      <c r="C28" t="s">
        <v>4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4</v>
      </c>
      <c r="B32" t="s">
        <v>16</v>
      </c>
      <c r="C32" t="s">
        <v>16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4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16</v>
      </c>
    </row>
    <row r="37" spans="1:3" x14ac:dyDescent="0.25">
      <c r="A37" t="s">
        <v>4</v>
      </c>
      <c r="B37" t="s">
        <v>16</v>
      </c>
      <c r="C37" t="s">
        <v>4</v>
      </c>
    </row>
    <row r="38" spans="1:3" x14ac:dyDescent="0.25">
      <c r="A38" t="s">
        <v>4</v>
      </c>
      <c r="B38" t="s">
        <v>16</v>
      </c>
      <c r="C38" t="s">
        <v>16</v>
      </c>
    </row>
    <row r="39" spans="1:3" x14ac:dyDescent="0.25">
      <c r="A39" t="s">
        <v>16</v>
      </c>
      <c r="B39" t="s">
        <v>4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4</v>
      </c>
      <c r="B41" t="s">
        <v>16</v>
      </c>
      <c r="C41" t="s">
        <v>16</v>
      </c>
    </row>
    <row r="42" spans="1:3" x14ac:dyDescent="0.25">
      <c r="A42" t="s">
        <v>4</v>
      </c>
      <c r="B42" t="s">
        <v>16</v>
      </c>
      <c r="C42" t="s">
        <v>4</v>
      </c>
    </row>
    <row r="43" spans="1:3" x14ac:dyDescent="0.25">
      <c r="A43" t="s">
        <v>4</v>
      </c>
      <c r="B43" t="s">
        <v>16</v>
      </c>
      <c r="C43" t="s">
        <v>4</v>
      </c>
    </row>
    <row r="44" spans="1:3" x14ac:dyDescent="0.25">
      <c r="A44" t="s">
        <v>16</v>
      </c>
      <c r="B44" t="s">
        <v>4</v>
      </c>
      <c r="C44" t="s">
        <v>16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4</v>
      </c>
      <c r="B46" t="s">
        <v>16</v>
      </c>
      <c r="C46" t="s">
        <v>4</v>
      </c>
    </row>
    <row r="47" spans="1:3" x14ac:dyDescent="0.25">
      <c r="A47" t="s">
        <v>16</v>
      </c>
      <c r="B47" t="s">
        <v>4</v>
      </c>
      <c r="C47" t="s">
        <v>4</v>
      </c>
    </row>
    <row r="48" spans="1:3" x14ac:dyDescent="0.25">
      <c r="A48" t="s">
        <v>4</v>
      </c>
      <c r="B48" t="s">
        <v>16</v>
      </c>
      <c r="C48" t="s">
        <v>16</v>
      </c>
    </row>
    <row r="49" spans="1:3" x14ac:dyDescent="0.25">
      <c r="A49" t="s">
        <v>16</v>
      </c>
      <c r="B49" t="s">
        <v>4</v>
      </c>
      <c r="C49" t="s">
        <v>16</v>
      </c>
    </row>
    <row r="50" spans="1:3" x14ac:dyDescent="0.25">
      <c r="A50" t="s">
        <v>16</v>
      </c>
      <c r="B50" t="s">
        <v>4</v>
      </c>
      <c r="C50" t="s">
        <v>4</v>
      </c>
    </row>
    <row r="51" spans="1:3" x14ac:dyDescent="0.25">
      <c r="A51" t="s">
        <v>16</v>
      </c>
      <c r="B51" t="s">
        <v>4</v>
      </c>
      <c r="C51" t="s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858D-1D99-4D66-9923-043CAB57F8D5}">
  <sheetPr codeName="Sheet13"/>
  <dimension ref="A1:O51"/>
  <sheetViews>
    <sheetView workbookViewId="0">
      <selection activeCell="F21" sqref="F2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4</v>
      </c>
      <c r="E3" t="s">
        <v>18</v>
      </c>
      <c r="I3" t="s">
        <v>23</v>
      </c>
      <c r="M3" t="s">
        <v>22</v>
      </c>
    </row>
    <row r="4" spans="1:15" x14ac:dyDescent="0.25">
      <c r="A4" t="s">
        <v>1</v>
      </c>
      <c r="B4" t="s">
        <v>4</v>
      </c>
      <c r="C4" t="s">
        <v>1</v>
      </c>
      <c r="F4" t="s">
        <v>25</v>
      </c>
      <c r="G4">
        <f>COUNTIF(C:C, "=MCTS")</f>
        <v>43</v>
      </c>
      <c r="J4" t="s">
        <v>25</v>
      </c>
      <c r="K4">
        <f>COUNTIFS(C:C,"=MCTS",A:A,"=MCTS")</f>
        <v>23</v>
      </c>
      <c r="N4" t="s">
        <v>25</v>
      </c>
      <c r="O4">
        <f>COUNTIFS(A:A,"=Good dad",C:C,"=MCTS")</f>
        <v>20</v>
      </c>
    </row>
    <row r="5" spans="1:15" x14ac:dyDescent="0.25">
      <c r="A5" t="s">
        <v>4</v>
      </c>
      <c r="B5" t="s">
        <v>1</v>
      </c>
      <c r="C5" t="s">
        <v>1</v>
      </c>
      <c r="F5" t="s">
        <v>20</v>
      </c>
      <c r="G5">
        <f>COUNTIF(C:C, "=Good dad")</f>
        <v>7</v>
      </c>
      <c r="J5" t="s">
        <v>20</v>
      </c>
      <c r="K5">
        <f>COUNTIFS(C:C,"=Good dad",A:A,"=MCTS")</f>
        <v>2</v>
      </c>
      <c r="N5" t="s">
        <v>20</v>
      </c>
      <c r="O5">
        <f>COUNTIFS(A:A,"=Good dad",C:C,"=Good dad")</f>
        <v>5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0</v>
      </c>
      <c r="J6" t="s">
        <v>17</v>
      </c>
      <c r="K6">
        <f>COUNTIFS(C:C,"=draw",A:A,"=MCTS")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1</v>
      </c>
      <c r="B10" t="s">
        <v>4</v>
      </c>
      <c r="C10" t="s">
        <v>4</v>
      </c>
    </row>
    <row r="11" spans="1:15" x14ac:dyDescent="0.25">
      <c r="A11" t="s">
        <v>4</v>
      </c>
      <c r="B11" t="s">
        <v>1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4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4</v>
      </c>
      <c r="B19" t="s">
        <v>1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4</v>
      </c>
      <c r="B22" t="s">
        <v>1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4</v>
      </c>
    </row>
    <row r="25" spans="1:3" x14ac:dyDescent="0.25">
      <c r="A25" t="s">
        <v>4</v>
      </c>
      <c r="B25" t="s">
        <v>1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1</v>
      </c>
    </row>
    <row r="28" spans="1:3" x14ac:dyDescent="0.25">
      <c r="A28" t="s">
        <v>4</v>
      </c>
      <c r="B28" t="s">
        <v>1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4</v>
      </c>
      <c r="B30" t="s">
        <v>1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1</v>
      </c>
      <c r="B32" t="s">
        <v>4</v>
      </c>
      <c r="C32" t="s">
        <v>1</v>
      </c>
    </row>
    <row r="33" spans="1:3" x14ac:dyDescent="0.25">
      <c r="A33" t="s">
        <v>4</v>
      </c>
      <c r="B33" t="s">
        <v>1</v>
      </c>
      <c r="C33" t="s">
        <v>1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1</v>
      </c>
      <c r="B36" t="s">
        <v>4</v>
      </c>
      <c r="C36" t="s">
        <v>1</v>
      </c>
    </row>
    <row r="37" spans="1:3" x14ac:dyDescent="0.25">
      <c r="A37" t="s">
        <v>4</v>
      </c>
      <c r="B37" t="s">
        <v>1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4</v>
      </c>
    </row>
    <row r="41" spans="1:3" x14ac:dyDescent="0.25">
      <c r="A41" t="s">
        <v>1</v>
      </c>
      <c r="B41" t="s">
        <v>4</v>
      </c>
      <c r="C41" t="s">
        <v>1</v>
      </c>
    </row>
    <row r="42" spans="1:3" x14ac:dyDescent="0.25">
      <c r="A42" t="s">
        <v>1</v>
      </c>
      <c r="B42" t="s">
        <v>4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1</v>
      </c>
    </row>
    <row r="47" spans="1:3" x14ac:dyDescent="0.25">
      <c r="A47" t="s">
        <v>4</v>
      </c>
      <c r="B47" t="s">
        <v>1</v>
      </c>
      <c r="C47" t="s">
        <v>1</v>
      </c>
    </row>
    <row r="48" spans="1:3" x14ac:dyDescent="0.25">
      <c r="A48" t="s">
        <v>4</v>
      </c>
      <c r="B48" t="s">
        <v>1</v>
      </c>
      <c r="C48" t="s">
        <v>4</v>
      </c>
    </row>
    <row r="49" spans="1:3" x14ac:dyDescent="0.25">
      <c r="A49" t="s">
        <v>4</v>
      </c>
      <c r="B49" t="s">
        <v>1</v>
      </c>
      <c r="C49" t="s">
        <v>1</v>
      </c>
    </row>
    <row r="50" spans="1:3" x14ac:dyDescent="0.25">
      <c r="A50" t="s">
        <v>1</v>
      </c>
      <c r="B50" t="s">
        <v>4</v>
      </c>
      <c r="C50" t="s">
        <v>1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5095-420C-456F-A215-2654DCA4404B}">
  <sheetPr codeName="Sheet14"/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  <col min="5" max="5" width="6.5703125" customWidth="1"/>
    <col min="6" max="6" width="14.42578125" customWidth="1"/>
    <col min="9" max="9" width="6" customWidth="1"/>
    <col min="10" max="10" width="14.7109375" customWidth="1"/>
    <col min="13" max="13" width="3.5703125" customWidth="1"/>
    <col min="14" max="14" width="17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24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4</v>
      </c>
      <c r="B4" t="s">
        <v>24</v>
      </c>
      <c r="C4" t="s">
        <v>4</v>
      </c>
      <c r="F4" t="s">
        <v>27</v>
      </c>
      <c r="G4">
        <f>COUNTIF(C:C, "=Minefield")</f>
        <v>34</v>
      </c>
      <c r="J4" t="s">
        <v>27</v>
      </c>
      <c r="K4">
        <f>COUNTIFS(C:C,"=MineField",A:A,"=MineField")</f>
        <v>17</v>
      </c>
      <c r="N4" t="s">
        <v>27</v>
      </c>
      <c r="O4">
        <f>COUNTIFS(A:A,"=Good dad",C:C,"=MineField")</f>
        <v>17</v>
      </c>
    </row>
    <row r="5" spans="1:15" x14ac:dyDescent="0.25">
      <c r="A5" t="s">
        <v>24</v>
      </c>
      <c r="B5" t="s">
        <v>4</v>
      </c>
      <c r="C5" t="s">
        <v>4</v>
      </c>
      <c r="F5" t="s">
        <v>20</v>
      </c>
      <c r="G5">
        <f>COUNTIF(C:C, "=Good dad")</f>
        <v>16</v>
      </c>
      <c r="J5" t="s">
        <v>20</v>
      </c>
      <c r="K5">
        <f>COUNTIFS(C:C,"=Good dad",A:A,"=MineField")</f>
        <v>8</v>
      </c>
      <c r="N5" t="s">
        <v>20</v>
      </c>
      <c r="O5">
        <f>COUNTIFS(A:A,"=Good dad",C:C,"=Good dad")</f>
        <v>8</v>
      </c>
    </row>
    <row r="6" spans="1:15" x14ac:dyDescent="0.25">
      <c r="A6" t="s">
        <v>24</v>
      </c>
      <c r="B6" t="s">
        <v>4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4</v>
      </c>
    </row>
    <row r="8" spans="1:15" x14ac:dyDescent="0.25">
      <c r="A8" t="s">
        <v>24</v>
      </c>
      <c r="B8" t="s">
        <v>4</v>
      </c>
      <c r="C8" t="s">
        <v>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24</v>
      </c>
      <c r="B21" t="s">
        <v>4</v>
      </c>
      <c r="C21" t="s">
        <v>4</v>
      </c>
    </row>
    <row r="22" spans="1:3" x14ac:dyDescent="0.25">
      <c r="A22" t="s">
        <v>4</v>
      </c>
      <c r="B22" t="s">
        <v>24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4</v>
      </c>
      <c r="B28" t="s">
        <v>24</v>
      </c>
      <c r="C28" t="s">
        <v>4</v>
      </c>
    </row>
    <row r="29" spans="1:3" x14ac:dyDescent="0.25">
      <c r="A29" t="s">
        <v>24</v>
      </c>
      <c r="B29" t="s">
        <v>4</v>
      </c>
      <c r="C29" t="s">
        <v>24</v>
      </c>
    </row>
    <row r="30" spans="1:3" x14ac:dyDescent="0.25">
      <c r="A30" t="s">
        <v>4</v>
      </c>
      <c r="B30" t="s">
        <v>24</v>
      </c>
      <c r="C30" t="s">
        <v>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24</v>
      </c>
    </row>
    <row r="36" spans="1:3" x14ac:dyDescent="0.25">
      <c r="A36" t="s">
        <v>4</v>
      </c>
      <c r="B36" t="s">
        <v>24</v>
      </c>
      <c r="C36" t="s">
        <v>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24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24</v>
      </c>
      <c r="B41" t="s">
        <v>4</v>
      </c>
      <c r="C41" t="s">
        <v>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4</v>
      </c>
      <c r="B43" t="s">
        <v>24</v>
      </c>
      <c r="C43" t="s">
        <v>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24</v>
      </c>
      <c r="B45" t="s">
        <v>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4</v>
      </c>
      <c r="B49" t="s">
        <v>24</v>
      </c>
      <c r="C49" t="s">
        <v>24</v>
      </c>
    </row>
    <row r="50" spans="1:3" x14ac:dyDescent="0.25">
      <c r="A50" t="s">
        <v>24</v>
      </c>
      <c r="B50" t="s">
        <v>4</v>
      </c>
      <c r="C50" t="s">
        <v>4</v>
      </c>
    </row>
    <row r="51" spans="1:3" x14ac:dyDescent="0.25">
      <c r="A51" t="s">
        <v>24</v>
      </c>
      <c r="B51" t="s">
        <v>4</v>
      </c>
      <c r="C51" t="s">
        <v>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22F3F-EC8A-4565-9283-9C1315E010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Good dad 60-40 vs MCTS games</vt:lpstr>
      <vt:lpstr>Good dad 80-20 vs MCTS</vt:lpstr>
      <vt:lpstr>Good dad 80-20 vs Minefield</vt:lpstr>
      <vt:lpstr>Good dad 80-20 vs Random</vt:lpstr>
      <vt:lpstr>Good dad 80-20 vs Random games</vt:lpstr>
      <vt:lpstr>Good dad 80-20 vs MCTS games</vt:lpstr>
      <vt:lpstr>Gooddad 80-20vs MineField games</vt:lpstr>
      <vt:lpstr>Good dad 80-20 vs MCTS options</vt:lpstr>
      <vt:lpstr>Good dad v2 vs Random Games</vt:lpstr>
      <vt:lpstr>UserGames</vt:lpstr>
      <vt:lpstr>Good dad v2 vs MCTS Games</vt:lpstr>
      <vt:lpstr>Minefield moves</vt:lpstr>
      <vt:lpstr>User moves</vt:lpstr>
      <vt:lpstr>Rename moves</vt:lpstr>
      <vt:lpstr>Good dad v2 vs MineField</vt:lpstr>
      <vt:lpstr>Gooddad80-20(PickWin) vs Random</vt:lpstr>
      <vt:lpstr>Gooddad80-20(PickWin) vs MCTS</vt:lpstr>
      <vt:lpstr>Gooddad80-20(PickWin)vsMineFiel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Di Nardo</dc:creator>
  <cp:lastModifiedBy>Mauro Di Nardo</cp:lastModifiedBy>
  <dcterms:created xsi:type="dcterms:W3CDTF">2019-02-22T14:13:22Z</dcterms:created>
  <dcterms:modified xsi:type="dcterms:W3CDTF">2019-03-20T23:47:28Z</dcterms:modified>
</cp:coreProperties>
</file>